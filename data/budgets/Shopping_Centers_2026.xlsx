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kormancommercial.sharepoint.com/sites/KormanCommercialProperties/Shared Documents/Data/Shared/Properties/Business Plans - All Entities/2026/Shopping Centers/"/>
    </mc:Choice>
  </mc:AlternateContent>
  <xr:revisionPtr revIDLastSave="131" documentId="11_B171E8E161BC8648844F10D923B32862E7BFBEF5" xr6:coauthVersionLast="47" xr6:coauthVersionMax="47" xr10:uidLastSave="{4B05D243-22B4-4DFB-923A-AB2E74DE460F}"/>
  <bookViews>
    <workbookView xWindow="54495" yWindow="-3375" windowWidth="26010" windowHeight="20985" firstSheet="14" activeTab="18" xr2:uid="{00000000-000D-0000-FFFF-FFFF00000000}"/>
  </bookViews>
  <sheets>
    <sheet name="Cover Sheet" sheetId="67" r:id="rId1"/>
    <sheet name="All Shopping Centers" sheetId="27" r:id="rId2"/>
    <sheet name="1100" sheetId="6" r:id="rId3"/>
    <sheet name="1500" sheetId="22" r:id="rId4"/>
    <sheet name="2300" sheetId="8" r:id="rId5"/>
    <sheet name="4500" sheetId="9" r:id="rId6"/>
    <sheet name="5600" sheetId="10" r:id="rId7"/>
    <sheet name="7010" sheetId="31" r:id="rId8"/>
    <sheet name="7200" sheetId="32" r:id="rId9"/>
    <sheet name="Sheet2" sheetId="48" state="hidden" r:id="rId10"/>
    <sheet name="7300" sheetId="61" r:id="rId11"/>
    <sheet name="8200" sheetId="62" r:id="rId12"/>
    <sheet name="9510" sheetId="63" r:id="rId13"/>
    <sheet name="In Place Revenue" sheetId="38" r:id="rId14"/>
    <sheet name="Renew &amp; Vac " sheetId="41" r:id="rId15"/>
    <sheet name="Tenant Recoveries" sheetId="46" r:id="rId16"/>
    <sheet name="INS RET DEBT" sheetId="43" r:id="rId17"/>
    <sheet name="Building Maint" sheetId="64" r:id="rId18"/>
    <sheet name="Allocated Expenses" sheetId="44" r:id="rId19"/>
    <sheet name="LIK Mgmt Fee" sheetId="66" r:id="rId20"/>
  </sheets>
  <definedNames>
    <definedName name="_Order1" hidden="1">255</definedName>
    <definedName name="_Order2" hidden="1">255</definedName>
    <definedName name="_xlcn.WorksheetConnection_JMRevenueA1H587" hidden="1">'In Place Revenue'!$A$1:$H$613</definedName>
    <definedName name="PaiementsParAn">'INS RET DEBT'!$G$6</definedName>
    <definedName name="pmtType" localSheetId="16">'INS RET DEBT'!$F$20</definedName>
    <definedName name="_xlnm.Print_Area" localSheetId="2">'1100'!$B$1:$R$134</definedName>
    <definedName name="_xlnm.Print_Area" localSheetId="3">'1500'!$B$1:$R$134</definedName>
    <definedName name="_xlnm.Print_Area" localSheetId="4">'2300'!$B$1:$R$134</definedName>
    <definedName name="_xlnm.Print_Area" localSheetId="5">'4500'!$A$1:$R$134</definedName>
    <definedName name="_xlnm.Print_Area" localSheetId="6">'5600'!$A$1:$R$134</definedName>
    <definedName name="_xlnm.Print_Area" localSheetId="7">'7010'!$A$1:$R$138</definedName>
    <definedName name="_xlnm.Print_Area" localSheetId="8">'7200'!$A$1:$R$134</definedName>
    <definedName name="_xlnm.Print_Area" localSheetId="10">'7300'!$A$1:$R$134</definedName>
    <definedName name="_xlnm.Print_Area" localSheetId="11">'8200'!$A$1:$R$134</definedName>
    <definedName name="_xlnm.Print_Area" localSheetId="12">'9510'!$A$1:$R$134</definedName>
    <definedName name="_xlnm.Print_Area" localSheetId="1">'All Shopping Centers'!$B$1:$Q$135</definedName>
    <definedName name="_xlnm.Print_Area" localSheetId="18">'Allocated Expenses'!$A$1:$AB$142</definedName>
    <definedName name="_xlnm.Print_Area" localSheetId="17">'Building Maint'!$A$1:$AD$129</definedName>
    <definedName name="_xlnm.Print_Area" localSheetId="0">'Cover Sheet'!$A$1:$A$3</definedName>
    <definedName name="_xlnm.Print_Area" localSheetId="16">'INS RET DEBT'!$A$1:$Y$123</definedName>
    <definedName name="_xlnm.Print_Area" localSheetId="14">'Renew &amp; Vac '!$A$1:$U$223</definedName>
    <definedName name="_xlnm.Print_Titles" localSheetId="2">'1100'!$A:$D,'1100'!$1:$4</definedName>
    <definedName name="_xlnm.Print_Titles" localSheetId="3">'1500'!$A:$D,'1500'!$1:$4</definedName>
    <definedName name="_xlnm.Print_Titles" localSheetId="4">'2300'!$A:$D,'2300'!$1:$4</definedName>
    <definedName name="_xlnm.Print_Titles" localSheetId="5">'4500'!$A:$D,'4500'!$1:$4</definedName>
    <definedName name="_xlnm.Print_Titles" localSheetId="6">'5600'!$A:$D,'5600'!$1:$4</definedName>
    <definedName name="_xlnm.Print_Titles" localSheetId="7">'7010'!$A:$D,'7010'!$1:$4</definedName>
    <definedName name="_xlnm.Print_Titles" localSheetId="8">'7200'!$A:$D,'7200'!$1:$4</definedName>
    <definedName name="_xlnm.Print_Titles" localSheetId="10">'7300'!$A:$D,'7300'!$1:$4</definedName>
    <definedName name="_xlnm.Print_Titles" localSheetId="11">'8200'!$A:$D,'8200'!$1:$4</definedName>
    <definedName name="_xlnm.Print_Titles" localSheetId="12">'9510'!$A:$D,'9510'!$1:$4</definedName>
    <definedName name="_xlnm.Print_Titles" localSheetId="1">'All Shopping Centers'!$A:$D,'All Shopping Centers'!$1:$4</definedName>
    <definedName name="rate" localSheetId="16">'INS RET DEBT'!$J$6</definedName>
    <definedName name="roundOpt" localSheetId="16">'INS RET DEBT'!$F$24</definedName>
    <definedName name="TauxIntérêt">'INS RET DEBT'!$G$3</definedName>
  </definedNames>
  <calcPr calcId="191029" calcMode="manual"/>
  <pivotCaches>
    <pivotCache cacheId="1" r:id="rId2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JM Revenue!$A$1:$H$587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Charge Date" columnId="Charge Date">
                <x16:calculatedTimeColumn columnName="Charge Date (Month Index)" columnId="Charge Date (Month Index)" contentType="monthsindex" isSelected="1"/>
                <x16:calculatedTimeColumn columnName="Charge Date (Month)" columnId="Charge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3" i="43" l="1"/>
  <c r="H114" i="63" l="1"/>
  <c r="O25" i="46"/>
  <c r="P23" i="46"/>
  <c r="O23" i="46"/>
  <c r="R212" i="41" l="1"/>
  <c r="N222" i="41"/>
  <c r="B301" i="63"/>
  <c r="G115" i="63"/>
  <c r="G114" i="63"/>
  <c r="F114" i="63"/>
  <c r="E114" i="63"/>
  <c r="B287" i="63"/>
  <c r="E201" i="63"/>
  <c r="A201" i="63"/>
  <c r="A223" i="63"/>
  <c r="A222" i="63"/>
  <c r="E221" i="63"/>
  <c r="A221" i="63"/>
  <c r="E202" i="63"/>
  <c r="E205" i="63"/>
  <c r="E208" i="63"/>
  <c r="E227" i="63"/>
  <c r="E230" i="63"/>
  <c r="E232" i="63"/>
  <c r="E233" i="63"/>
  <c r="E234" i="63"/>
  <c r="E236" i="63"/>
  <c r="A200" i="63"/>
  <c r="A210" i="63"/>
  <c r="F197" i="63"/>
  <c r="H152" i="62"/>
  <c r="I152" i="62"/>
  <c r="O152" i="62"/>
  <c r="E152" i="62"/>
  <c r="E154" i="62"/>
  <c r="I154" i="62"/>
  <c r="J154" i="62"/>
  <c r="P154" i="62"/>
  <c r="E155" i="62"/>
  <c r="G155" i="62"/>
  <c r="K155" i="62"/>
  <c r="L155" i="62"/>
  <c r="E157" i="62"/>
  <c r="H157" i="62"/>
  <c r="I157" i="62"/>
  <c r="K157" i="62"/>
  <c r="O157" i="62"/>
  <c r="P157" i="62"/>
  <c r="E159" i="62"/>
  <c r="F159" i="62"/>
  <c r="L159" i="62"/>
  <c r="M159" i="62"/>
  <c r="O159" i="62"/>
  <c r="E161" i="62"/>
  <c r="I161" i="62"/>
  <c r="J161" i="62"/>
  <c r="P161" i="62"/>
  <c r="E163" i="62"/>
  <c r="F163" i="62"/>
  <c r="G163" i="62"/>
  <c r="I163" i="62"/>
  <c r="M163" i="62"/>
  <c r="N163" i="62"/>
  <c r="E171" i="62"/>
  <c r="I171" i="62"/>
  <c r="J171" i="62"/>
  <c r="K171" i="62"/>
  <c r="P171" i="62"/>
  <c r="E174" i="62"/>
  <c r="G174" i="62"/>
  <c r="J174" i="62"/>
  <c r="K174" i="62"/>
  <c r="L174" i="62"/>
  <c r="M174" i="62"/>
  <c r="E176" i="62"/>
  <c r="F176" i="62"/>
  <c r="G176" i="62"/>
  <c r="I176" i="62"/>
  <c r="L176" i="62"/>
  <c r="M176" i="62"/>
  <c r="N176" i="62"/>
  <c r="O176" i="62"/>
  <c r="E177" i="62"/>
  <c r="F177" i="62"/>
  <c r="H177" i="62"/>
  <c r="I177" i="62"/>
  <c r="K177" i="62"/>
  <c r="N177" i="62"/>
  <c r="O177" i="62"/>
  <c r="P177" i="62"/>
  <c r="E178" i="62"/>
  <c r="H178" i="62"/>
  <c r="J178" i="62"/>
  <c r="K178" i="62"/>
  <c r="M178" i="62"/>
  <c r="P178" i="62"/>
  <c r="E180" i="62"/>
  <c r="F180" i="62"/>
  <c r="G180" i="62"/>
  <c r="H180" i="62"/>
  <c r="I180" i="62"/>
  <c r="L180" i="62"/>
  <c r="N180" i="62"/>
  <c r="O180" i="62"/>
  <c r="A148" i="62"/>
  <c r="A157" i="62"/>
  <c r="F145" i="62"/>
  <c r="G145" i="62" s="1"/>
  <c r="H145" i="62" s="1"/>
  <c r="I145" i="62" s="1"/>
  <c r="J145" i="62" s="1"/>
  <c r="K145" i="62" s="1"/>
  <c r="L145" i="62" s="1"/>
  <c r="M145" i="62" s="1"/>
  <c r="N145" i="62" s="1"/>
  <c r="O145" i="62" s="1"/>
  <c r="P145" i="62" s="1"/>
  <c r="J152" i="61"/>
  <c r="M152" i="61"/>
  <c r="E152" i="61"/>
  <c r="A148" i="61"/>
  <c r="E154" i="61"/>
  <c r="E155" i="61"/>
  <c r="O155" i="61"/>
  <c r="E157" i="61"/>
  <c r="F157" i="61"/>
  <c r="E159" i="61"/>
  <c r="I159" i="61"/>
  <c r="J159" i="61"/>
  <c r="E161" i="61"/>
  <c r="E163" i="61"/>
  <c r="E171" i="61"/>
  <c r="E174" i="61"/>
  <c r="K174" i="61"/>
  <c r="E176" i="61"/>
  <c r="O176" i="61"/>
  <c r="E177" i="61"/>
  <c r="G177" i="61"/>
  <c r="E178" i="61"/>
  <c r="I178" i="61"/>
  <c r="J178" i="61"/>
  <c r="E180" i="61"/>
  <c r="A157" i="61"/>
  <c r="F145" i="61"/>
  <c r="G145" i="61" s="1"/>
  <c r="H145" i="61" s="1"/>
  <c r="I145" i="61" s="1"/>
  <c r="J145" i="61" s="1"/>
  <c r="K145" i="61" s="1"/>
  <c r="L145" i="61" s="1"/>
  <c r="M145" i="61" s="1"/>
  <c r="N145" i="61" s="1"/>
  <c r="O145" i="61" s="1"/>
  <c r="P145" i="61" s="1"/>
  <c r="A148" i="32"/>
  <c r="H152" i="32"/>
  <c r="M152" i="32"/>
  <c r="O152" i="32"/>
  <c r="E152" i="32"/>
  <c r="E154" i="32"/>
  <c r="H154" i="32"/>
  <c r="L154" i="32"/>
  <c r="E155" i="32"/>
  <c r="H155" i="32"/>
  <c r="O155" i="32"/>
  <c r="E157" i="32"/>
  <c r="F157" i="32"/>
  <c r="M157" i="32"/>
  <c r="N157" i="32"/>
  <c r="E159" i="32"/>
  <c r="I159" i="32"/>
  <c r="M159" i="32"/>
  <c r="E161" i="32"/>
  <c r="G161" i="32"/>
  <c r="H161" i="32"/>
  <c r="P161" i="32"/>
  <c r="E163" i="32"/>
  <c r="G163" i="32"/>
  <c r="M163" i="32"/>
  <c r="N163" i="32"/>
  <c r="E171" i="32"/>
  <c r="L171" i="32"/>
  <c r="M171" i="32"/>
  <c r="O171" i="32"/>
  <c r="E174" i="32"/>
  <c r="G174" i="32"/>
  <c r="H174" i="32"/>
  <c r="O174" i="32"/>
  <c r="P174" i="32"/>
  <c r="E176" i="32"/>
  <c r="F176" i="32"/>
  <c r="J176" i="32"/>
  <c r="K176" i="32"/>
  <c r="E177" i="32"/>
  <c r="F177" i="32"/>
  <c r="H177" i="32"/>
  <c r="L177" i="32"/>
  <c r="M177" i="32"/>
  <c r="E178" i="32"/>
  <c r="H178" i="32"/>
  <c r="I178" i="32"/>
  <c r="K178" i="32"/>
  <c r="O178" i="32"/>
  <c r="P178" i="32"/>
  <c r="E180" i="32"/>
  <c r="J180" i="32"/>
  <c r="L180" i="32"/>
  <c r="N180" i="32"/>
  <c r="F145" i="32"/>
  <c r="G145" i="32" s="1"/>
  <c r="H145" i="32" s="1"/>
  <c r="I145" i="32" s="1"/>
  <c r="J145" i="32" s="1"/>
  <c r="K145" i="32" s="1"/>
  <c r="L145" i="32" s="1"/>
  <c r="M145" i="32" s="1"/>
  <c r="N145" i="32" s="1"/>
  <c r="O145" i="32" s="1"/>
  <c r="P145" i="32" s="1"/>
  <c r="P157" i="32" s="1"/>
  <c r="A157" i="32"/>
  <c r="A274" i="31"/>
  <c r="E274" i="31"/>
  <c r="J274" i="31"/>
  <c r="K274" i="31"/>
  <c r="M274" i="31"/>
  <c r="A275" i="31"/>
  <c r="A276" i="31"/>
  <c r="A254" i="31"/>
  <c r="E258" i="31"/>
  <c r="E267" i="31"/>
  <c r="E280" i="31"/>
  <c r="E283" i="31"/>
  <c r="E285" i="31"/>
  <c r="E286" i="31"/>
  <c r="L286" i="31"/>
  <c r="M286" i="31"/>
  <c r="E287" i="31"/>
  <c r="E289" i="31"/>
  <c r="A260" i="31"/>
  <c r="F251" i="31"/>
  <c r="G251" i="31" s="1"/>
  <c r="H251" i="31" s="1"/>
  <c r="I251" i="31" s="1"/>
  <c r="J251" i="31" s="1"/>
  <c r="K251" i="31" s="1"/>
  <c r="L251" i="31" s="1"/>
  <c r="M251" i="31" s="1"/>
  <c r="N251" i="31" s="1"/>
  <c r="O251" i="31" s="1"/>
  <c r="P251" i="31" s="1"/>
  <c r="A263" i="31"/>
  <c r="F148" i="10"/>
  <c r="G148" i="10"/>
  <c r="M148" i="10"/>
  <c r="P148" i="10"/>
  <c r="E148" i="10"/>
  <c r="G151" i="10"/>
  <c r="H151" i="10"/>
  <c r="J151" i="10"/>
  <c r="N151" i="10"/>
  <c r="O151" i="10"/>
  <c r="E151" i="10"/>
  <c r="E153" i="10"/>
  <c r="H153" i="10"/>
  <c r="I153" i="10"/>
  <c r="K153" i="10"/>
  <c r="O153" i="10"/>
  <c r="P153" i="10"/>
  <c r="E154" i="10"/>
  <c r="J154" i="10"/>
  <c r="K154" i="10"/>
  <c r="M154" i="10"/>
  <c r="E156" i="10"/>
  <c r="G156" i="10"/>
  <c r="H156" i="10"/>
  <c r="N156" i="10"/>
  <c r="O156" i="10"/>
  <c r="E158" i="10"/>
  <c r="G158" i="10"/>
  <c r="J158" i="10"/>
  <c r="K158" i="10"/>
  <c r="L158" i="10"/>
  <c r="M158" i="10"/>
  <c r="E160" i="10"/>
  <c r="H160" i="10"/>
  <c r="I160" i="10"/>
  <c r="K160" i="10"/>
  <c r="M160" i="10"/>
  <c r="N160" i="10"/>
  <c r="O160" i="10"/>
  <c r="P160" i="10"/>
  <c r="E162" i="10"/>
  <c r="F162" i="10"/>
  <c r="G162" i="10"/>
  <c r="L162" i="10"/>
  <c r="M162" i="10"/>
  <c r="O162" i="10"/>
  <c r="E170" i="10"/>
  <c r="I170" i="10"/>
  <c r="K170" i="10"/>
  <c r="M170" i="10"/>
  <c r="N170" i="10"/>
  <c r="O170" i="10"/>
  <c r="P170" i="10"/>
  <c r="E173" i="10"/>
  <c r="J173" i="10"/>
  <c r="K173" i="10"/>
  <c r="M173" i="10"/>
  <c r="O173" i="10"/>
  <c r="P173" i="10"/>
  <c r="E175" i="10"/>
  <c r="F175" i="10"/>
  <c r="G175" i="10"/>
  <c r="H175" i="10"/>
  <c r="L175" i="10"/>
  <c r="M175" i="10"/>
  <c r="O175" i="10"/>
  <c r="P175" i="10"/>
  <c r="E176" i="10"/>
  <c r="F176" i="10"/>
  <c r="G176" i="10"/>
  <c r="H176" i="10"/>
  <c r="I176" i="10"/>
  <c r="J176" i="10"/>
  <c r="N176" i="10"/>
  <c r="O176" i="10"/>
  <c r="E177" i="10"/>
  <c r="F177" i="10"/>
  <c r="G177" i="10"/>
  <c r="H177" i="10"/>
  <c r="I177" i="10"/>
  <c r="J177" i="10"/>
  <c r="K177" i="10"/>
  <c r="L177" i="10"/>
  <c r="N177" i="10"/>
  <c r="P177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F145" i="10"/>
  <c r="G145" i="10" s="1"/>
  <c r="H145" i="10" s="1"/>
  <c r="I145" i="10" s="1"/>
  <c r="J145" i="10" s="1"/>
  <c r="K145" i="10" s="1"/>
  <c r="L145" i="10" s="1"/>
  <c r="M145" i="10" s="1"/>
  <c r="N145" i="10" s="1"/>
  <c r="O145" i="10" s="1"/>
  <c r="P145" i="10" s="1"/>
  <c r="A156" i="10"/>
  <c r="A209" i="9"/>
  <c r="A210" i="9"/>
  <c r="A211" i="9"/>
  <c r="A188" i="9"/>
  <c r="A189" i="9"/>
  <c r="E190" i="9"/>
  <c r="E215" i="9"/>
  <c r="E218" i="9"/>
  <c r="E220" i="9"/>
  <c r="E221" i="9"/>
  <c r="E222" i="9"/>
  <c r="E224" i="9"/>
  <c r="A198" i="9"/>
  <c r="F185" i="9"/>
  <c r="E148" i="22"/>
  <c r="E151" i="22"/>
  <c r="E153" i="22"/>
  <c r="E154" i="22"/>
  <c r="E157" i="22"/>
  <c r="E159" i="22"/>
  <c r="E161" i="22"/>
  <c r="E170" i="22"/>
  <c r="E173" i="22"/>
  <c r="E175" i="22"/>
  <c r="E176" i="22"/>
  <c r="E177" i="22"/>
  <c r="F177" i="22"/>
  <c r="E179" i="22"/>
  <c r="F145" i="22"/>
  <c r="F161" i="22" s="1"/>
  <c r="E174" i="6"/>
  <c r="L174" i="6"/>
  <c r="M174" i="6"/>
  <c r="N174" i="6"/>
  <c r="O174" i="6"/>
  <c r="F177" i="6"/>
  <c r="G177" i="6"/>
  <c r="H177" i="6"/>
  <c r="E177" i="6"/>
  <c r="E180" i="6"/>
  <c r="H180" i="6"/>
  <c r="I180" i="6"/>
  <c r="J180" i="6"/>
  <c r="K180" i="6"/>
  <c r="E182" i="6"/>
  <c r="L182" i="6"/>
  <c r="M182" i="6"/>
  <c r="N182" i="6"/>
  <c r="O182" i="6"/>
  <c r="E188" i="6"/>
  <c r="J188" i="6"/>
  <c r="K188" i="6"/>
  <c r="L188" i="6"/>
  <c r="M188" i="6"/>
  <c r="E196" i="6"/>
  <c r="F196" i="6"/>
  <c r="G196" i="6"/>
  <c r="I196" i="6"/>
  <c r="E199" i="6"/>
  <c r="H199" i="6"/>
  <c r="I199" i="6"/>
  <c r="J199" i="6"/>
  <c r="K199" i="6"/>
  <c r="E201" i="6"/>
  <c r="J201" i="6"/>
  <c r="K201" i="6"/>
  <c r="L201" i="6"/>
  <c r="M201" i="6"/>
  <c r="E202" i="6"/>
  <c r="L202" i="6"/>
  <c r="M202" i="6"/>
  <c r="N202" i="6"/>
  <c r="O202" i="6"/>
  <c r="E203" i="6"/>
  <c r="M203" i="6"/>
  <c r="N203" i="6"/>
  <c r="O203" i="6"/>
  <c r="P203" i="6"/>
  <c r="E205" i="6"/>
  <c r="F205" i="6"/>
  <c r="G205" i="6"/>
  <c r="E197" i="8"/>
  <c r="E200" i="8"/>
  <c r="E203" i="8"/>
  <c r="E219" i="8"/>
  <c r="E222" i="8"/>
  <c r="E224" i="8"/>
  <c r="E225" i="8"/>
  <c r="E226" i="8"/>
  <c r="E228" i="8"/>
  <c r="F170" i="6"/>
  <c r="G170" i="6" s="1"/>
  <c r="H170" i="6" s="1"/>
  <c r="I170" i="6" s="1"/>
  <c r="J170" i="6" s="1"/>
  <c r="K170" i="6" s="1"/>
  <c r="L170" i="6" s="1"/>
  <c r="M170" i="6" s="1"/>
  <c r="N170" i="6" s="1"/>
  <c r="O170" i="6" s="1"/>
  <c r="P170" i="6" s="1"/>
  <c r="P174" i="6" s="1"/>
  <c r="A205" i="8"/>
  <c r="F228" i="8"/>
  <c r="F194" i="8"/>
  <c r="F197" i="8" s="1"/>
  <c r="A166" i="22"/>
  <c r="A182" i="6"/>
  <c r="A173" i="6"/>
  <c r="G185" i="9" l="1"/>
  <c r="K202" i="6"/>
  <c r="I188" i="6"/>
  <c r="K182" i="6"/>
  <c r="G180" i="6"/>
  <c r="K174" i="6"/>
  <c r="F179" i="22"/>
  <c r="I201" i="6"/>
  <c r="G194" i="8"/>
  <c r="P205" i="6"/>
  <c r="L203" i="6"/>
  <c r="H201" i="6"/>
  <c r="F199" i="6"/>
  <c r="H188" i="6"/>
  <c r="N184" i="6"/>
  <c r="J182" i="6"/>
  <c r="F180" i="6"/>
  <c r="J174" i="6"/>
  <c r="F148" i="22"/>
  <c r="G197" i="63"/>
  <c r="F236" i="63"/>
  <c r="F201" i="63"/>
  <c r="F202" i="63"/>
  <c r="F230" i="63"/>
  <c r="G199" i="6"/>
  <c r="J202" i="6"/>
  <c r="O205" i="6"/>
  <c r="K203" i="6"/>
  <c r="I202" i="6"/>
  <c r="G201" i="6"/>
  <c r="G188" i="6"/>
  <c r="M184" i="6"/>
  <c r="I182" i="6"/>
  <c r="P177" i="6"/>
  <c r="I174" i="6"/>
  <c r="F170" i="22"/>
  <c r="P196" i="6"/>
  <c r="N205" i="6"/>
  <c r="M205" i="6"/>
  <c r="I203" i="6"/>
  <c r="G202" i="6"/>
  <c r="O196" i="6"/>
  <c r="K184" i="6"/>
  <c r="G182" i="6"/>
  <c r="N177" i="6"/>
  <c r="G174" i="6"/>
  <c r="F173" i="22"/>
  <c r="F222" i="8"/>
  <c r="L205" i="6"/>
  <c r="H203" i="6"/>
  <c r="F202" i="6"/>
  <c r="P199" i="6"/>
  <c r="N196" i="6"/>
  <c r="J184" i="6"/>
  <c r="F182" i="6"/>
  <c r="P180" i="6"/>
  <c r="M177" i="6"/>
  <c r="F174" i="6"/>
  <c r="F154" i="22"/>
  <c r="F201" i="6"/>
  <c r="O177" i="6"/>
  <c r="K205" i="6"/>
  <c r="G203" i="6"/>
  <c r="O199" i="6"/>
  <c r="M196" i="6"/>
  <c r="I184" i="6"/>
  <c r="O180" i="6"/>
  <c r="L177" i="6"/>
  <c r="F175" i="22"/>
  <c r="L184" i="6"/>
  <c r="J205" i="6"/>
  <c r="F203" i="6"/>
  <c r="P201" i="6"/>
  <c r="N199" i="6"/>
  <c r="L196" i="6"/>
  <c r="P188" i="6"/>
  <c r="H184" i="6"/>
  <c r="N180" i="6"/>
  <c r="K177" i="6"/>
  <c r="F188" i="6"/>
  <c r="H182" i="6"/>
  <c r="H174" i="6"/>
  <c r="G145" i="22"/>
  <c r="F153" i="22"/>
  <c r="F159" i="22"/>
  <c r="I205" i="6"/>
  <c r="O201" i="6"/>
  <c r="M199" i="6"/>
  <c r="K196" i="6"/>
  <c r="O188" i="6"/>
  <c r="M180" i="6"/>
  <c r="J177" i="6"/>
  <c r="F176" i="22"/>
  <c r="F151" i="22"/>
  <c r="J203" i="6"/>
  <c r="H205" i="6"/>
  <c r="P202" i="6"/>
  <c r="N201" i="6"/>
  <c r="L199" i="6"/>
  <c r="J196" i="6"/>
  <c r="N188" i="6"/>
  <c r="P182" i="6"/>
  <c r="L180" i="6"/>
  <c r="I177" i="6"/>
  <c r="F157" i="22"/>
  <c r="I156" i="10"/>
  <c r="P151" i="10"/>
  <c r="H148" i="10"/>
  <c r="N177" i="32"/>
  <c r="L176" i="32"/>
  <c r="I174" i="32"/>
  <c r="P163" i="32"/>
  <c r="I161" i="32"/>
  <c r="O157" i="32"/>
  <c r="I155" i="32"/>
  <c r="P152" i="32"/>
  <c r="L174" i="61"/>
  <c r="M159" i="61"/>
  <c r="O163" i="62"/>
  <c r="K161" i="62"/>
  <c r="G159" i="62"/>
  <c r="M155" i="62"/>
  <c r="K154" i="62"/>
  <c r="J152" i="62"/>
  <c r="F156" i="10"/>
  <c r="P154" i="10"/>
  <c r="N153" i="10"/>
  <c r="M151" i="10"/>
  <c r="P274" i="31"/>
  <c r="N178" i="32"/>
  <c r="K177" i="32"/>
  <c r="I176" i="32"/>
  <c r="F174" i="32"/>
  <c r="L163" i="32"/>
  <c r="F161" i="32"/>
  <c r="L157" i="32"/>
  <c r="P154" i="32"/>
  <c r="L152" i="32"/>
  <c r="F178" i="61"/>
  <c r="J171" i="61"/>
  <c r="P152" i="61"/>
  <c r="L163" i="62"/>
  <c r="H161" i="62"/>
  <c r="N157" i="62"/>
  <c r="J155" i="62"/>
  <c r="H154" i="62"/>
  <c r="G152" i="62"/>
  <c r="I158" i="10"/>
  <c r="O154" i="10"/>
  <c r="M153" i="10"/>
  <c r="L151" i="10"/>
  <c r="P280" i="31"/>
  <c r="O274" i="31"/>
  <c r="P180" i="32"/>
  <c r="M178" i="32"/>
  <c r="J177" i="32"/>
  <c r="H176" i="32"/>
  <c r="K163" i="32"/>
  <c r="I157" i="32"/>
  <c r="N154" i="32"/>
  <c r="K152" i="32"/>
  <c r="I171" i="61"/>
  <c r="J157" i="61"/>
  <c r="O152" i="61"/>
  <c r="O178" i="62"/>
  <c r="M177" i="62"/>
  <c r="K176" i="62"/>
  <c r="I174" i="62"/>
  <c r="G171" i="62"/>
  <c r="K163" i="62"/>
  <c r="G161" i="62"/>
  <c r="M157" i="62"/>
  <c r="I155" i="62"/>
  <c r="G154" i="62"/>
  <c r="F152" i="62"/>
  <c r="N173" i="10"/>
  <c r="L170" i="10"/>
  <c r="P162" i="10"/>
  <c r="L160" i="10"/>
  <c r="H158" i="10"/>
  <c r="N154" i="10"/>
  <c r="L153" i="10"/>
  <c r="K151" i="10"/>
  <c r="N274" i="31"/>
  <c r="O180" i="32"/>
  <c r="L178" i="32"/>
  <c r="I177" i="32"/>
  <c r="G176" i="32"/>
  <c r="P171" i="32"/>
  <c r="J163" i="32"/>
  <c r="P159" i="32"/>
  <c r="H157" i="32"/>
  <c r="M154" i="32"/>
  <c r="I152" i="32"/>
  <c r="H177" i="61"/>
  <c r="F171" i="61"/>
  <c r="I157" i="61"/>
  <c r="N152" i="61"/>
  <c r="N178" i="62"/>
  <c r="L177" i="62"/>
  <c r="J176" i="62"/>
  <c r="H174" i="62"/>
  <c r="F171" i="62"/>
  <c r="J163" i="62"/>
  <c r="F161" i="62"/>
  <c r="P159" i="62"/>
  <c r="L157" i="62"/>
  <c r="H155" i="62"/>
  <c r="F154" i="62"/>
  <c r="P176" i="10"/>
  <c r="N175" i="10"/>
  <c r="L173" i="10"/>
  <c r="J170" i="10"/>
  <c r="N162" i="10"/>
  <c r="J160" i="10"/>
  <c r="F158" i="10"/>
  <c r="P156" i="10"/>
  <c r="L154" i="10"/>
  <c r="J153" i="10"/>
  <c r="I151" i="10"/>
  <c r="O148" i="10"/>
  <c r="L274" i="31"/>
  <c r="M180" i="32"/>
  <c r="J178" i="32"/>
  <c r="G177" i="32"/>
  <c r="N171" i="32"/>
  <c r="F163" i="32"/>
  <c r="L159" i="32"/>
  <c r="J154" i="32"/>
  <c r="G152" i="32"/>
  <c r="H163" i="61"/>
  <c r="L152" i="61"/>
  <c r="P180" i="62"/>
  <c r="L178" i="62"/>
  <c r="J177" i="62"/>
  <c r="H176" i="62"/>
  <c r="F174" i="62"/>
  <c r="H163" i="62"/>
  <c r="N159" i="62"/>
  <c r="J157" i="62"/>
  <c r="F155" i="62"/>
  <c r="N148" i="10"/>
  <c r="J159" i="32"/>
  <c r="P155" i="32"/>
  <c r="I154" i="32"/>
  <c r="F152" i="32"/>
  <c r="P176" i="61"/>
  <c r="G163" i="61"/>
  <c r="P155" i="61"/>
  <c r="K152" i="61"/>
  <c r="P152" i="62"/>
  <c r="O177" i="10"/>
  <c r="M176" i="10"/>
  <c r="K175" i="10"/>
  <c r="I173" i="10"/>
  <c r="G170" i="10"/>
  <c r="K162" i="10"/>
  <c r="G160" i="10"/>
  <c r="M156" i="10"/>
  <c r="I154" i="10"/>
  <c r="G153" i="10"/>
  <c r="F151" i="10"/>
  <c r="L148" i="10"/>
  <c r="I274" i="31"/>
  <c r="I180" i="32"/>
  <c r="F178" i="32"/>
  <c r="P176" i="32"/>
  <c r="N174" i="32"/>
  <c r="J171" i="32"/>
  <c r="N161" i="32"/>
  <c r="H159" i="32"/>
  <c r="N155" i="32"/>
  <c r="G154" i="32"/>
  <c r="N180" i="61"/>
  <c r="F176" i="61"/>
  <c r="N161" i="61"/>
  <c r="F155" i="61"/>
  <c r="I152" i="61"/>
  <c r="M180" i="62"/>
  <c r="I178" i="62"/>
  <c r="G177" i="62"/>
  <c r="O171" i="62"/>
  <c r="O161" i="62"/>
  <c r="K159" i="62"/>
  <c r="G157" i="62"/>
  <c r="O154" i="62"/>
  <c r="N152" i="62"/>
  <c r="L176" i="10"/>
  <c r="J175" i="10"/>
  <c r="H173" i="10"/>
  <c r="F170" i="10"/>
  <c r="J162" i="10"/>
  <c r="F160" i="10"/>
  <c r="P158" i="10"/>
  <c r="L156" i="10"/>
  <c r="H154" i="10"/>
  <c r="F153" i="10"/>
  <c r="K148" i="10"/>
  <c r="H274" i="31"/>
  <c r="H180" i="32"/>
  <c r="O176" i="32"/>
  <c r="L174" i="32"/>
  <c r="I171" i="32"/>
  <c r="M161" i="32"/>
  <c r="F159" i="32"/>
  <c r="L155" i="32"/>
  <c r="F154" i="32"/>
  <c r="M180" i="61"/>
  <c r="M161" i="61"/>
  <c r="H152" i="61"/>
  <c r="P174" i="62"/>
  <c r="N171" i="62"/>
  <c r="N161" i="62"/>
  <c r="J159" i="62"/>
  <c r="F157" i="62"/>
  <c r="P155" i="62"/>
  <c r="N154" i="62"/>
  <c r="M152" i="62"/>
  <c r="M177" i="10"/>
  <c r="K176" i="10"/>
  <c r="I175" i="10"/>
  <c r="G173" i="10"/>
  <c r="I162" i="10"/>
  <c r="O158" i="10"/>
  <c r="K156" i="10"/>
  <c r="G154" i="10"/>
  <c r="J148" i="10"/>
  <c r="G274" i="31"/>
  <c r="G180" i="32"/>
  <c r="P177" i="32"/>
  <c r="N176" i="32"/>
  <c r="K174" i="32"/>
  <c r="F171" i="32"/>
  <c r="L161" i="32"/>
  <c r="K155" i="32"/>
  <c r="J180" i="61"/>
  <c r="P174" i="61"/>
  <c r="N154" i="61"/>
  <c r="G152" i="61"/>
  <c r="K180" i="62"/>
  <c r="G178" i="62"/>
  <c r="O174" i="62"/>
  <c r="M171" i="62"/>
  <c r="M161" i="62"/>
  <c r="I159" i="62"/>
  <c r="O155" i="62"/>
  <c r="M154" i="62"/>
  <c r="L152" i="62"/>
  <c r="F173" i="10"/>
  <c r="H162" i="10"/>
  <c r="N158" i="10"/>
  <c r="J156" i="10"/>
  <c r="F154" i="10"/>
  <c r="I148" i="10"/>
  <c r="G280" i="31"/>
  <c r="F274" i="31"/>
  <c r="F180" i="32"/>
  <c r="O177" i="32"/>
  <c r="M176" i="32"/>
  <c r="J174" i="32"/>
  <c r="J161" i="32"/>
  <c r="J155" i="32"/>
  <c r="I180" i="61"/>
  <c r="O174" i="61"/>
  <c r="N159" i="61"/>
  <c r="M154" i="61"/>
  <c r="F152" i="61"/>
  <c r="J180" i="62"/>
  <c r="F178" i="62"/>
  <c r="P176" i="62"/>
  <c r="N174" i="62"/>
  <c r="L171" i="62"/>
  <c r="P163" i="62"/>
  <c r="L161" i="62"/>
  <c r="H159" i="62"/>
  <c r="N155" i="62"/>
  <c r="L154" i="62"/>
  <c r="K152" i="62"/>
  <c r="F234" i="63"/>
  <c r="F233" i="63"/>
  <c r="F221" i="63"/>
  <c r="G227" i="63"/>
  <c r="G221" i="63"/>
  <c r="G236" i="63"/>
  <c r="F227" i="63"/>
  <c r="G230" i="63"/>
  <c r="F205" i="63"/>
  <c r="G232" i="63"/>
  <c r="G208" i="63"/>
  <c r="F232" i="63"/>
  <c r="F208" i="63"/>
  <c r="G233" i="63"/>
  <c r="L180" i="61"/>
  <c r="H178" i="61"/>
  <c r="F177" i="61"/>
  <c r="N174" i="61"/>
  <c r="F163" i="61"/>
  <c r="P161" i="61"/>
  <c r="L159" i="61"/>
  <c r="H157" i="61"/>
  <c r="P154" i="61"/>
  <c r="K180" i="61"/>
  <c r="G178" i="61"/>
  <c r="M174" i="61"/>
  <c r="G171" i="61"/>
  <c r="O161" i="61"/>
  <c r="K159" i="61"/>
  <c r="G157" i="61"/>
  <c r="O154" i="61"/>
  <c r="M176" i="61"/>
  <c r="K161" i="61"/>
  <c r="G159" i="61"/>
  <c r="M155" i="61"/>
  <c r="K154" i="61"/>
  <c r="F180" i="61"/>
  <c r="P178" i="61"/>
  <c r="N177" i="61"/>
  <c r="L176" i="61"/>
  <c r="H174" i="61"/>
  <c r="P171" i="61"/>
  <c r="N163" i="61"/>
  <c r="J161" i="61"/>
  <c r="F159" i="61"/>
  <c r="P157" i="61"/>
  <c r="L155" i="61"/>
  <c r="J154" i="61"/>
  <c r="N155" i="61"/>
  <c r="O178" i="61"/>
  <c r="M177" i="61"/>
  <c r="K176" i="61"/>
  <c r="G174" i="61"/>
  <c r="O171" i="61"/>
  <c r="M163" i="61"/>
  <c r="I161" i="61"/>
  <c r="O157" i="61"/>
  <c r="K155" i="61"/>
  <c r="I154" i="61"/>
  <c r="H180" i="61"/>
  <c r="P177" i="61"/>
  <c r="J174" i="61"/>
  <c r="P163" i="61"/>
  <c r="L161" i="61"/>
  <c r="L154" i="61"/>
  <c r="O177" i="61"/>
  <c r="I174" i="61"/>
  <c r="O163" i="61"/>
  <c r="N178" i="61"/>
  <c r="L177" i="61"/>
  <c r="J176" i="61"/>
  <c r="F174" i="61"/>
  <c r="N171" i="61"/>
  <c r="L163" i="61"/>
  <c r="H161" i="61"/>
  <c r="N157" i="61"/>
  <c r="J155" i="61"/>
  <c r="H154" i="61"/>
  <c r="M178" i="61"/>
  <c r="K177" i="61"/>
  <c r="I176" i="61"/>
  <c r="M171" i="61"/>
  <c r="K163" i="61"/>
  <c r="G161" i="61"/>
  <c r="M157" i="61"/>
  <c r="I155" i="61"/>
  <c r="G154" i="61"/>
  <c r="N176" i="61"/>
  <c r="H159" i="61"/>
  <c r="P180" i="61"/>
  <c r="L178" i="61"/>
  <c r="J177" i="61"/>
  <c r="H176" i="61"/>
  <c r="L171" i="61"/>
  <c r="J163" i="61"/>
  <c r="F161" i="61"/>
  <c r="P159" i="61"/>
  <c r="L157" i="61"/>
  <c r="H155" i="61"/>
  <c r="F154" i="61"/>
  <c r="G180" i="61"/>
  <c r="O180" i="61"/>
  <c r="K178" i="61"/>
  <c r="I177" i="61"/>
  <c r="G176" i="61"/>
  <c r="K171" i="61"/>
  <c r="I163" i="61"/>
  <c r="O159" i="61"/>
  <c r="K157" i="61"/>
  <c r="G155" i="61"/>
  <c r="O163" i="32"/>
  <c r="K161" i="32"/>
  <c r="G159" i="32"/>
  <c r="M155" i="32"/>
  <c r="K154" i="32"/>
  <c r="J152" i="32"/>
  <c r="K171" i="32"/>
  <c r="I163" i="32"/>
  <c r="O159" i="32"/>
  <c r="K157" i="32"/>
  <c r="G155" i="32"/>
  <c r="H163" i="32"/>
  <c r="N159" i="32"/>
  <c r="J157" i="32"/>
  <c r="F155" i="32"/>
  <c r="K180" i="32"/>
  <c r="G178" i="32"/>
  <c r="M174" i="32"/>
  <c r="G171" i="32"/>
  <c r="O161" i="32"/>
  <c r="K159" i="32"/>
  <c r="G157" i="32"/>
  <c r="O154" i="32"/>
  <c r="N152" i="32"/>
  <c r="O280" i="31"/>
  <c r="P283" i="31"/>
  <c r="N286" i="31"/>
  <c r="N280" i="31"/>
  <c r="I267" i="31"/>
  <c r="K289" i="31"/>
  <c r="J285" i="31"/>
  <c r="H267" i="31"/>
  <c r="F289" i="31"/>
  <c r="P289" i="31"/>
  <c r="P258" i="31"/>
  <c r="O267" i="31"/>
  <c r="L285" i="31"/>
  <c r="J267" i="31"/>
  <c r="K285" i="31"/>
  <c r="M283" i="31"/>
  <c r="O287" i="31"/>
  <c r="H283" i="31"/>
  <c r="P287" i="31"/>
  <c r="L289" i="31"/>
  <c r="K265" i="31"/>
  <c r="N287" i="31"/>
  <c r="G283" i="31"/>
  <c r="L258" i="31"/>
  <c r="P286" i="31"/>
  <c r="H287" i="31"/>
  <c r="F283" i="31"/>
  <c r="G258" i="31"/>
  <c r="P285" i="31"/>
  <c r="G287" i="31"/>
  <c r="F258" i="31"/>
  <c r="P267" i="31"/>
  <c r="F286" i="31"/>
  <c r="N283" i="31"/>
  <c r="L265" i="31"/>
  <c r="M258" i="31"/>
  <c r="J289" i="31"/>
  <c r="F287" i="31"/>
  <c r="L283" i="31"/>
  <c r="F280" i="31"/>
  <c r="N267" i="31"/>
  <c r="J265" i="31"/>
  <c r="K258" i="31"/>
  <c r="I289" i="31"/>
  <c r="O285" i="31"/>
  <c r="K283" i="31"/>
  <c r="M267" i="31"/>
  <c r="I265" i="31"/>
  <c r="J258" i="31"/>
  <c r="H289" i="31"/>
  <c r="N285" i="31"/>
  <c r="J283" i="31"/>
  <c r="L267" i="31"/>
  <c r="H265" i="31"/>
  <c r="I258" i="31"/>
  <c r="G289" i="31"/>
  <c r="O286" i="31"/>
  <c r="M285" i="31"/>
  <c r="I283" i="31"/>
  <c r="K267" i="31"/>
  <c r="H258" i="31"/>
  <c r="M287" i="31"/>
  <c r="K286" i="31"/>
  <c r="I285" i="31"/>
  <c r="M280" i="31"/>
  <c r="G267" i="31"/>
  <c r="L287" i="31"/>
  <c r="J286" i="31"/>
  <c r="H285" i="31"/>
  <c r="L280" i="31"/>
  <c r="F267" i="31"/>
  <c r="O289" i="31"/>
  <c r="K287" i="31"/>
  <c r="I286" i="31"/>
  <c r="G285" i="31"/>
  <c r="K280" i="31"/>
  <c r="N289" i="31"/>
  <c r="J287" i="31"/>
  <c r="H286" i="31"/>
  <c r="F285" i="31"/>
  <c r="J280" i="31"/>
  <c r="N265" i="31"/>
  <c r="O258" i="31"/>
  <c r="M289" i="31"/>
  <c r="I287" i="31"/>
  <c r="G286" i="31"/>
  <c r="O283" i="31"/>
  <c r="I280" i="31"/>
  <c r="M265" i="31"/>
  <c r="N258" i="31"/>
  <c r="G218" i="9"/>
  <c r="F218" i="9"/>
  <c r="G222" i="9"/>
  <c r="F222" i="9"/>
  <c r="G193" i="9"/>
  <c r="F193" i="9"/>
  <c r="G215" i="9"/>
  <c r="F224" i="9"/>
  <c r="F215" i="9"/>
  <c r="F221" i="9"/>
  <c r="F190" i="9"/>
  <c r="G224" i="9"/>
  <c r="Q182" i="6"/>
  <c r="G220" i="9"/>
  <c r="F220" i="9"/>
  <c r="G221" i="9"/>
  <c r="G190" i="9"/>
  <c r="F200" i="8"/>
  <c r="G224" i="8"/>
  <c r="F224" i="8"/>
  <c r="G225" i="8"/>
  <c r="H194" i="8"/>
  <c r="F225" i="8"/>
  <c r="G226" i="8"/>
  <c r="G203" i="8"/>
  <c r="G197" i="8"/>
  <c r="G219" i="8"/>
  <c r="F226" i="8"/>
  <c r="F219" i="8"/>
  <c r="F203" i="8"/>
  <c r="Q274" i="31" l="1"/>
  <c r="G222" i="8"/>
  <c r="G200" i="8"/>
  <c r="G228" i="8"/>
  <c r="H145" i="22"/>
  <c r="G148" i="22"/>
  <c r="G151" i="22"/>
  <c r="G177" i="22"/>
  <c r="G153" i="22"/>
  <c r="G157" i="22"/>
  <c r="G159" i="22"/>
  <c r="G176" i="22"/>
  <c r="G161" i="22"/>
  <c r="G175" i="22"/>
  <c r="G154" i="22"/>
  <c r="G173" i="22"/>
  <c r="G179" i="22"/>
  <c r="G170" i="22"/>
  <c r="G166" i="22"/>
  <c r="H197" i="63"/>
  <c r="G201" i="63"/>
  <c r="G202" i="63"/>
  <c r="G205" i="63"/>
  <c r="G234" i="63"/>
  <c r="H185" i="9"/>
  <c r="Q157" i="32"/>
  <c r="I194" i="8"/>
  <c r="H224" i="8"/>
  <c r="H197" i="8"/>
  <c r="H203" i="8"/>
  <c r="H226" i="8"/>
  <c r="H225" i="8"/>
  <c r="H200" i="8"/>
  <c r="H228" i="8"/>
  <c r="H207" i="8"/>
  <c r="H222" i="8"/>
  <c r="B140" i="63"/>
  <c r="A2" i="67"/>
  <c r="A1" i="67"/>
  <c r="D27" i="43"/>
  <c r="E113" i="44"/>
  <c r="I185" i="9" l="1"/>
  <c r="H200" i="9"/>
  <c r="H220" i="9"/>
  <c r="H218" i="9"/>
  <c r="H222" i="9"/>
  <c r="H224" i="9"/>
  <c r="H221" i="9"/>
  <c r="H193" i="9"/>
  <c r="H190" i="9"/>
  <c r="I145" i="22"/>
  <c r="H148" i="22"/>
  <c r="H154" i="22"/>
  <c r="H161" i="22"/>
  <c r="H153" i="22"/>
  <c r="H177" i="22"/>
  <c r="H151" i="22"/>
  <c r="H157" i="22"/>
  <c r="H159" i="22"/>
  <c r="H176" i="22"/>
  <c r="H175" i="22"/>
  <c r="H173" i="22"/>
  <c r="H179" i="22"/>
  <c r="H166" i="22"/>
  <c r="I197" i="63"/>
  <c r="H201" i="63"/>
  <c r="H230" i="63"/>
  <c r="H234" i="63"/>
  <c r="H221" i="63"/>
  <c r="H205" i="63"/>
  <c r="H202" i="63"/>
  <c r="H236" i="63"/>
  <c r="H233" i="63"/>
  <c r="H212" i="63"/>
  <c r="H208" i="63"/>
  <c r="H232" i="63"/>
  <c r="H227" i="63"/>
  <c r="J194" i="8"/>
  <c r="I228" i="8"/>
  <c r="I197" i="8"/>
  <c r="I203" i="8"/>
  <c r="I219" i="8"/>
  <c r="I226" i="8"/>
  <c r="I225" i="8"/>
  <c r="I224" i="8"/>
  <c r="I207" i="8"/>
  <c r="I222" i="8"/>
  <c r="I200" i="8"/>
  <c r="K26" i="46"/>
  <c r="K27" i="46"/>
  <c r="P29" i="31"/>
  <c r="O29" i="31"/>
  <c r="N29" i="31"/>
  <c r="M29" i="31"/>
  <c r="L29" i="31"/>
  <c r="K29" i="31"/>
  <c r="J29" i="31"/>
  <c r="I29" i="31"/>
  <c r="H29" i="31"/>
  <c r="G29" i="31"/>
  <c r="G260" i="31" s="1"/>
  <c r="F29" i="31"/>
  <c r="F260" i="31" s="1"/>
  <c r="E29" i="31"/>
  <c r="E260" i="31" s="1"/>
  <c r="L30" i="31"/>
  <c r="L18" i="31" s="1"/>
  <c r="K30" i="31"/>
  <c r="K18" i="31" s="1"/>
  <c r="J30" i="31"/>
  <c r="J18" i="31" s="1"/>
  <c r="I30" i="31"/>
  <c r="I18" i="31" s="1"/>
  <c r="H30" i="31"/>
  <c r="M30" i="31" s="1"/>
  <c r="G30" i="31"/>
  <c r="G18" i="31" s="1"/>
  <c r="F30" i="31"/>
  <c r="F18" i="31" s="1"/>
  <c r="E30" i="31"/>
  <c r="E18" i="31" s="1"/>
  <c r="N30" i="31"/>
  <c r="N18" i="31" s="1"/>
  <c r="O30" i="31"/>
  <c r="O18" i="31" s="1"/>
  <c r="P30" i="31"/>
  <c r="P18" i="31" s="1"/>
  <c r="Q31" i="31"/>
  <c r="R31" i="31" s="1"/>
  <c r="J145" i="22" l="1"/>
  <c r="I157" i="22"/>
  <c r="I148" i="22"/>
  <c r="I166" i="22"/>
  <c r="I179" i="22"/>
  <c r="I177" i="22"/>
  <c r="I154" i="22"/>
  <c r="I151" i="22"/>
  <c r="I159" i="22"/>
  <c r="I176" i="22"/>
  <c r="I175" i="22"/>
  <c r="I161" i="22"/>
  <c r="I170" i="22"/>
  <c r="I173" i="22"/>
  <c r="I153" i="22"/>
  <c r="H260" i="31"/>
  <c r="K260" i="31"/>
  <c r="J197" i="63"/>
  <c r="I212" i="63"/>
  <c r="I205" i="63"/>
  <c r="I221" i="63"/>
  <c r="I201" i="63"/>
  <c r="I233" i="63"/>
  <c r="I234" i="63"/>
  <c r="I232" i="63"/>
  <c r="I227" i="63"/>
  <c r="I230" i="63"/>
  <c r="I208" i="63"/>
  <c r="I202" i="63"/>
  <c r="I236" i="63"/>
  <c r="J185" i="9"/>
  <c r="I221" i="9"/>
  <c r="I222" i="9"/>
  <c r="I200" i="9"/>
  <c r="I193" i="9"/>
  <c r="I224" i="9"/>
  <c r="I190" i="9"/>
  <c r="I215" i="9"/>
  <c r="I218" i="9"/>
  <c r="I220" i="9"/>
  <c r="I260" i="31"/>
  <c r="J260" i="31"/>
  <c r="M260" i="31"/>
  <c r="K255" i="31"/>
  <c r="L255" i="31"/>
  <c r="J255" i="31"/>
  <c r="I255" i="31"/>
  <c r="P255" i="31"/>
  <c r="O255" i="31"/>
  <c r="N255" i="31"/>
  <c r="N260" i="31"/>
  <c r="O260" i="31"/>
  <c r="E255" i="31"/>
  <c r="F255" i="31"/>
  <c r="L260" i="31"/>
  <c r="G255" i="31"/>
  <c r="P260" i="31"/>
  <c r="H18" i="31"/>
  <c r="K194" i="8"/>
  <c r="J228" i="8"/>
  <c r="J225" i="8"/>
  <c r="J197" i="8"/>
  <c r="J203" i="8"/>
  <c r="J219" i="8"/>
  <c r="J226" i="8"/>
  <c r="J224" i="8"/>
  <c r="J200" i="8"/>
  <c r="J207" i="8"/>
  <c r="J222" i="8"/>
  <c r="M18" i="31"/>
  <c r="Q30" i="31"/>
  <c r="R30" i="31" s="1"/>
  <c r="K197" i="63" l="1"/>
  <c r="J230" i="63"/>
  <c r="J201" i="63"/>
  <c r="J221" i="63"/>
  <c r="J232" i="63"/>
  <c r="J212" i="63"/>
  <c r="J202" i="63"/>
  <c r="J208" i="63"/>
  <c r="J205" i="63"/>
  <c r="J227" i="63"/>
  <c r="J236" i="63"/>
  <c r="J234" i="63"/>
  <c r="K185" i="9"/>
  <c r="J224" i="9"/>
  <c r="J218" i="9"/>
  <c r="J222" i="9"/>
  <c r="J221" i="9"/>
  <c r="J200" i="9"/>
  <c r="J220" i="9"/>
  <c r="J193" i="9"/>
  <c r="J190" i="9"/>
  <c r="J215" i="9"/>
  <c r="K145" i="22"/>
  <c r="J157" i="22"/>
  <c r="J154" i="22"/>
  <c r="J161" i="22"/>
  <c r="J166" i="22"/>
  <c r="J177" i="22"/>
  <c r="J151" i="22"/>
  <c r="J159" i="22"/>
  <c r="J176" i="22"/>
  <c r="J175" i="22"/>
  <c r="J153" i="22"/>
  <c r="J148" i="22"/>
  <c r="J173" i="22"/>
  <c r="J170" i="22"/>
  <c r="J179" i="22"/>
  <c r="H255" i="31"/>
  <c r="M255" i="31"/>
  <c r="L194" i="8"/>
  <c r="K200" i="8"/>
  <c r="K207" i="8"/>
  <c r="K222" i="8"/>
  <c r="K228" i="8"/>
  <c r="K224" i="8"/>
  <c r="K226" i="8"/>
  <c r="K197" i="8"/>
  <c r="K203" i="8"/>
  <c r="K219" i="8"/>
  <c r="K225" i="8"/>
  <c r="Q115" i="43"/>
  <c r="P123" i="43"/>
  <c r="N123" i="43"/>
  <c r="M123" i="43"/>
  <c r="L123" i="43"/>
  <c r="K123" i="43"/>
  <c r="J123" i="43"/>
  <c r="I123" i="43"/>
  <c r="H123" i="43"/>
  <c r="G123" i="43"/>
  <c r="F123" i="43"/>
  <c r="E123" i="43"/>
  <c r="Q122" i="43"/>
  <c r="Q121" i="43"/>
  <c r="Q120" i="43"/>
  <c r="Q119" i="43"/>
  <c r="Q118" i="43"/>
  <c r="Q117" i="43"/>
  <c r="Q116" i="43"/>
  <c r="Q114" i="43"/>
  <c r="Q113" i="43"/>
  <c r="Q107" i="43"/>
  <c r="Q106" i="43"/>
  <c r="Q102" i="43"/>
  <c r="Q103" i="43"/>
  <c r="Q104" i="43"/>
  <c r="Q105" i="43"/>
  <c r="Q98" i="43"/>
  <c r="L197" i="63" l="1"/>
  <c r="K221" i="63"/>
  <c r="K212" i="63"/>
  <c r="K205" i="63"/>
  <c r="K234" i="63"/>
  <c r="K201" i="63"/>
  <c r="K236" i="63"/>
  <c r="K233" i="63"/>
  <c r="K208" i="63"/>
  <c r="K227" i="63"/>
  <c r="K202" i="63"/>
  <c r="K230" i="63"/>
  <c r="K232" i="63"/>
  <c r="L185" i="9"/>
  <c r="K200" i="9"/>
  <c r="K220" i="9"/>
  <c r="K215" i="9"/>
  <c r="K190" i="9"/>
  <c r="K193" i="9"/>
  <c r="K224" i="9"/>
  <c r="K218" i="9"/>
  <c r="K222" i="9"/>
  <c r="L145" i="22"/>
  <c r="K157" i="22"/>
  <c r="K179" i="22"/>
  <c r="K148" i="22"/>
  <c r="K166" i="22"/>
  <c r="K176" i="22"/>
  <c r="K177" i="22"/>
  <c r="K161" i="22"/>
  <c r="K151" i="22"/>
  <c r="K159" i="22"/>
  <c r="K154" i="22"/>
  <c r="K173" i="22"/>
  <c r="K175" i="22"/>
  <c r="K170" i="22"/>
  <c r="K153" i="22"/>
  <c r="M194" i="8"/>
  <c r="L226" i="8"/>
  <c r="L200" i="8"/>
  <c r="L207" i="8"/>
  <c r="L222" i="8"/>
  <c r="L203" i="8"/>
  <c r="L228" i="8"/>
  <c r="L197" i="8"/>
  <c r="L219" i="8"/>
  <c r="L225" i="8"/>
  <c r="L224" i="8"/>
  <c r="O123" i="43"/>
  <c r="Q123" i="43"/>
  <c r="M197" i="63" l="1"/>
  <c r="L201" i="63"/>
  <c r="L221" i="63"/>
  <c r="L230" i="63"/>
  <c r="L236" i="63"/>
  <c r="L208" i="63"/>
  <c r="L212" i="63"/>
  <c r="L205" i="63"/>
  <c r="L233" i="63"/>
  <c r="L234" i="63"/>
  <c r="L227" i="63"/>
  <c r="L202" i="63"/>
  <c r="L232" i="63"/>
  <c r="M185" i="9"/>
  <c r="L190" i="9"/>
  <c r="L220" i="9"/>
  <c r="L218" i="9"/>
  <c r="L224" i="9"/>
  <c r="L221" i="9"/>
  <c r="L222" i="9"/>
  <c r="L215" i="9"/>
  <c r="L200" i="9"/>
  <c r="L193" i="9"/>
  <c r="M145" i="22"/>
  <c r="L148" i="22"/>
  <c r="L153" i="22"/>
  <c r="L159" i="22"/>
  <c r="L179" i="22"/>
  <c r="L173" i="22"/>
  <c r="L157" i="22"/>
  <c r="L166" i="22"/>
  <c r="L151" i="22"/>
  <c r="L177" i="22"/>
  <c r="L161" i="22"/>
  <c r="L176" i="22"/>
  <c r="L154" i="22"/>
  <c r="L175" i="22"/>
  <c r="L170" i="22"/>
  <c r="N194" i="8"/>
  <c r="M200" i="8"/>
  <c r="M207" i="8"/>
  <c r="M222" i="8"/>
  <c r="M225" i="8"/>
  <c r="M228" i="8"/>
  <c r="M197" i="8"/>
  <c r="M203" i="8"/>
  <c r="M219" i="8"/>
  <c r="M226" i="8"/>
  <c r="M224" i="8"/>
  <c r="F141" i="9"/>
  <c r="G141" i="9"/>
  <c r="H141" i="9"/>
  <c r="I141" i="9"/>
  <c r="J141" i="9"/>
  <c r="K141" i="9"/>
  <c r="L141" i="9"/>
  <c r="M141" i="9"/>
  <c r="N141" i="9"/>
  <c r="O141" i="9"/>
  <c r="P141" i="9"/>
  <c r="E141" i="9"/>
  <c r="N145" i="22" l="1"/>
  <c r="M159" i="22"/>
  <c r="M170" i="22"/>
  <c r="M153" i="22"/>
  <c r="M179" i="22"/>
  <c r="M175" i="22"/>
  <c r="M157" i="22"/>
  <c r="M166" i="22"/>
  <c r="M148" i="22"/>
  <c r="M177" i="22"/>
  <c r="M151" i="22"/>
  <c r="M173" i="22"/>
  <c r="M161" i="22"/>
  <c r="M176" i="22"/>
  <c r="M154" i="22"/>
  <c r="N197" i="63"/>
  <c r="M221" i="63"/>
  <c r="M205" i="63"/>
  <c r="M230" i="63"/>
  <c r="M236" i="63"/>
  <c r="M234" i="63"/>
  <c r="M232" i="63"/>
  <c r="M227" i="63"/>
  <c r="M212" i="63"/>
  <c r="M208" i="63"/>
  <c r="M201" i="63"/>
  <c r="M233" i="63"/>
  <c r="M202" i="63"/>
  <c r="N185" i="9"/>
  <c r="M222" i="9"/>
  <c r="M218" i="9"/>
  <c r="M224" i="9"/>
  <c r="M215" i="9"/>
  <c r="M200" i="9"/>
  <c r="M220" i="9"/>
  <c r="M221" i="9"/>
  <c r="M190" i="9"/>
  <c r="M193" i="9"/>
  <c r="O194" i="8"/>
  <c r="N200" i="8"/>
  <c r="N207" i="8"/>
  <c r="N222" i="8"/>
  <c r="N228" i="8"/>
  <c r="N197" i="8"/>
  <c r="N203" i="8"/>
  <c r="N219" i="8"/>
  <c r="N226" i="8"/>
  <c r="N224" i="8"/>
  <c r="N225" i="8"/>
  <c r="G26" i="46"/>
  <c r="O197" i="63" l="1"/>
  <c r="N230" i="63"/>
  <c r="N233" i="63"/>
  <c r="N234" i="63"/>
  <c r="N208" i="63"/>
  <c r="N232" i="63"/>
  <c r="N236" i="63"/>
  <c r="N221" i="63"/>
  <c r="N205" i="63"/>
  <c r="N227" i="63"/>
  <c r="N202" i="63"/>
  <c r="N201" i="63"/>
  <c r="O185" i="9"/>
  <c r="N222" i="9"/>
  <c r="N221" i="9"/>
  <c r="N215" i="9"/>
  <c r="N190" i="9"/>
  <c r="N224" i="9"/>
  <c r="N193" i="9"/>
  <c r="N220" i="9"/>
  <c r="N218" i="9"/>
  <c r="N200" i="9"/>
  <c r="O145" i="22"/>
  <c r="N151" i="22"/>
  <c r="N159" i="22"/>
  <c r="N157" i="22"/>
  <c r="N148" i="22"/>
  <c r="N170" i="22"/>
  <c r="N153" i="22"/>
  <c r="N179" i="22"/>
  <c r="N166" i="22"/>
  <c r="N175" i="22"/>
  <c r="N177" i="22"/>
  <c r="N154" i="22"/>
  <c r="N161" i="22"/>
  <c r="N176" i="22"/>
  <c r="N173" i="22"/>
  <c r="P194" i="8"/>
  <c r="O224" i="8"/>
  <c r="O203" i="8"/>
  <c r="O219" i="8"/>
  <c r="O200" i="8"/>
  <c r="O222" i="8"/>
  <c r="O228" i="8"/>
  <c r="O197" i="8"/>
  <c r="O226" i="8"/>
  <c r="O225" i="8"/>
  <c r="P145" i="22" l="1"/>
  <c r="O153" i="22"/>
  <c r="O151" i="22"/>
  <c r="O159" i="22"/>
  <c r="O173" i="22"/>
  <c r="O166" i="22"/>
  <c r="O154" i="22"/>
  <c r="O170" i="22"/>
  <c r="O179" i="22"/>
  <c r="O157" i="22"/>
  <c r="O176" i="22"/>
  <c r="O175" i="22"/>
  <c r="O177" i="22"/>
  <c r="O161" i="22"/>
  <c r="O148" i="22"/>
  <c r="P185" i="9"/>
  <c r="O224" i="9"/>
  <c r="O220" i="9"/>
  <c r="O218" i="9"/>
  <c r="O221" i="9"/>
  <c r="O193" i="9"/>
  <c r="O215" i="9"/>
  <c r="O190" i="9"/>
  <c r="O222" i="9"/>
  <c r="P197" i="63"/>
  <c r="O208" i="63"/>
  <c r="O221" i="63"/>
  <c r="O236" i="63"/>
  <c r="O202" i="63"/>
  <c r="O201" i="63"/>
  <c r="O233" i="63"/>
  <c r="O230" i="63"/>
  <c r="O205" i="63"/>
  <c r="O234" i="63"/>
  <c r="O227" i="63"/>
  <c r="O232" i="63"/>
  <c r="P224" i="8"/>
  <c r="P197" i="8"/>
  <c r="P200" i="8"/>
  <c r="P222" i="8"/>
  <c r="P228" i="8"/>
  <c r="P225" i="8"/>
  <c r="P226" i="8"/>
  <c r="P219" i="8"/>
  <c r="P203" i="8"/>
  <c r="E26" i="46"/>
  <c r="P17" i="46"/>
  <c r="P222" i="9" l="1"/>
  <c r="Q222" i="9" s="1"/>
  <c r="P220" i="9"/>
  <c r="Q220" i="9" s="1"/>
  <c r="P193" i="9"/>
  <c r="P221" i="9"/>
  <c r="P215" i="9"/>
  <c r="P190" i="9"/>
  <c r="Q190" i="9" s="1"/>
  <c r="P218" i="9"/>
  <c r="Q218" i="9" s="1"/>
  <c r="P224" i="9"/>
  <c r="Q224" i="9" s="1"/>
  <c r="P205" i="63"/>
  <c r="P221" i="63"/>
  <c r="Q221" i="63" s="1"/>
  <c r="P227" i="63"/>
  <c r="P233" i="63"/>
  <c r="P234" i="63"/>
  <c r="P230" i="63"/>
  <c r="P202" i="63"/>
  <c r="P232" i="63"/>
  <c r="P236" i="63"/>
  <c r="P208" i="63"/>
  <c r="P153" i="22"/>
  <c r="P151" i="22"/>
  <c r="P157" i="22"/>
  <c r="P173" i="22"/>
  <c r="P170" i="22"/>
  <c r="P179" i="22"/>
  <c r="P159" i="22"/>
  <c r="P166" i="22"/>
  <c r="P161" i="22"/>
  <c r="P154" i="22"/>
  <c r="P148" i="22"/>
  <c r="P177" i="22"/>
  <c r="P176" i="22"/>
  <c r="P175" i="22"/>
  <c r="B143" i="9"/>
  <c r="B144" i="9"/>
  <c r="B145" i="9"/>
  <c r="B146" i="9"/>
  <c r="B147" i="9"/>
  <c r="B148" i="9"/>
  <c r="B149" i="9"/>
  <c r="B150" i="9"/>
  <c r="B151" i="9"/>
  <c r="B142" i="9"/>
  <c r="H75" i="41"/>
  <c r="D158" i="9"/>
  <c r="D143" i="9" s="1"/>
  <c r="D160" i="9"/>
  <c r="D145" i="9" s="1"/>
  <c r="D161" i="9"/>
  <c r="D146" i="9" s="1"/>
  <c r="D162" i="9"/>
  <c r="D147" i="9" s="1"/>
  <c r="D163" i="9"/>
  <c r="D148" i="9" s="1"/>
  <c r="D164" i="9"/>
  <c r="D149" i="9" s="1"/>
  <c r="D165" i="9"/>
  <c r="D150" i="9" s="1"/>
  <c r="D166" i="9"/>
  <c r="D151" i="9" s="1"/>
  <c r="D157" i="9"/>
  <c r="D142" i="9" s="1"/>
  <c r="D163" i="63"/>
  <c r="D164" i="63"/>
  <c r="D165" i="63"/>
  <c r="D166" i="63"/>
  <c r="D167" i="63"/>
  <c r="D169" i="63"/>
  <c r="D170" i="63"/>
  <c r="D172" i="63"/>
  <c r="D181" i="31"/>
  <c r="D145" i="31" s="1"/>
  <c r="D182" i="31"/>
  <c r="D146" i="31" s="1"/>
  <c r="D190" i="31"/>
  <c r="D154" i="31" s="1"/>
  <c r="D191" i="31"/>
  <c r="D155" i="31" s="1"/>
  <c r="D192" i="31"/>
  <c r="D156" i="31" s="1"/>
  <c r="D193" i="31"/>
  <c r="D157" i="31" s="1"/>
  <c r="D194" i="31"/>
  <c r="D158" i="31" s="1"/>
  <c r="D195" i="31"/>
  <c r="D159" i="31" s="1"/>
  <c r="D196" i="31"/>
  <c r="D160" i="31" s="1"/>
  <c r="D198" i="31"/>
  <c r="D162" i="31" s="1"/>
  <c r="D199" i="31"/>
  <c r="D163" i="31" s="1"/>
  <c r="D200" i="31"/>
  <c r="D164" i="31" s="1"/>
  <c r="D201" i="31"/>
  <c r="D165" i="31" s="1"/>
  <c r="D202" i="31"/>
  <c r="D166" i="31" s="1"/>
  <c r="D203" i="31"/>
  <c r="D167" i="31" s="1"/>
  <c r="D204" i="31"/>
  <c r="D168" i="31" s="1"/>
  <c r="D205" i="31"/>
  <c r="D169" i="31" s="1"/>
  <c r="D207" i="31"/>
  <c r="D171" i="31" s="1"/>
  <c r="D208" i="31"/>
  <c r="D172" i="31" s="1"/>
  <c r="D209" i="31"/>
  <c r="D173" i="31" s="1"/>
  <c r="D210" i="31"/>
  <c r="D174" i="31" s="1"/>
  <c r="D211" i="31"/>
  <c r="D175" i="31" s="1"/>
  <c r="B146" i="31"/>
  <c r="B147" i="31"/>
  <c r="B148" i="31"/>
  <c r="B149" i="31"/>
  <c r="B150" i="31"/>
  <c r="B151" i="31"/>
  <c r="B152" i="31"/>
  <c r="B153" i="31"/>
  <c r="B154" i="31"/>
  <c r="B155" i="31"/>
  <c r="B156" i="31"/>
  <c r="B157" i="31"/>
  <c r="B158" i="31"/>
  <c r="B159" i="31"/>
  <c r="B160" i="31"/>
  <c r="B161" i="31"/>
  <c r="B162" i="31"/>
  <c r="B163" i="31"/>
  <c r="B164" i="31"/>
  <c r="B165" i="31"/>
  <c r="B166" i="31"/>
  <c r="B167" i="31"/>
  <c r="B168" i="31"/>
  <c r="B169" i="31"/>
  <c r="B170" i="31"/>
  <c r="B171" i="31"/>
  <c r="B172" i="31"/>
  <c r="B173" i="31"/>
  <c r="B174" i="31"/>
  <c r="B175" i="31"/>
  <c r="B145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H558" i="38"/>
  <c r="H559" i="38"/>
  <c r="H560" i="38"/>
  <c r="H561" i="38"/>
  <c r="H562" i="38"/>
  <c r="H563" i="38"/>
  <c r="H564" i="38"/>
  <c r="H565" i="38"/>
  <c r="H566" i="38"/>
  <c r="H567" i="38"/>
  <c r="H568" i="38"/>
  <c r="H616" i="38"/>
  <c r="H617" i="38"/>
  <c r="H618" i="38"/>
  <c r="F141" i="63"/>
  <c r="G141" i="63"/>
  <c r="H141" i="63"/>
  <c r="I141" i="63"/>
  <c r="J141" i="63"/>
  <c r="K141" i="63"/>
  <c r="L141" i="63"/>
  <c r="M141" i="63"/>
  <c r="N141" i="63"/>
  <c r="O141" i="63"/>
  <c r="P141" i="63"/>
  <c r="E141" i="63"/>
  <c r="B154" i="63"/>
  <c r="B155" i="63"/>
  <c r="B143" i="63"/>
  <c r="B144" i="63"/>
  <c r="B145" i="63"/>
  <c r="B146" i="63"/>
  <c r="B147" i="63"/>
  <c r="B148" i="63"/>
  <c r="B149" i="63"/>
  <c r="B150" i="63"/>
  <c r="B151" i="63"/>
  <c r="B152" i="63"/>
  <c r="B153" i="63"/>
  <c r="B142" i="63"/>
  <c r="B153" i="8"/>
  <c r="B154" i="8"/>
  <c r="B143" i="8"/>
  <c r="B144" i="8"/>
  <c r="B145" i="8"/>
  <c r="B146" i="8"/>
  <c r="B147" i="8"/>
  <c r="B148" i="8"/>
  <c r="B149" i="8"/>
  <c r="B150" i="8"/>
  <c r="B151" i="8"/>
  <c r="B152" i="8"/>
  <c r="B142" i="8"/>
  <c r="N153" i="6"/>
  <c r="K155" i="6"/>
  <c r="D152" i="6"/>
  <c r="D153" i="6"/>
  <c r="D154" i="6"/>
  <c r="D155" i="6"/>
  <c r="D156" i="6"/>
  <c r="F161" i="6"/>
  <c r="F141" i="6" s="1"/>
  <c r="G161" i="6"/>
  <c r="G141" i="6" s="1"/>
  <c r="H161" i="6"/>
  <c r="H141" i="6" s="1"/>
  <c r="I161" i="6"/>
  <c r="I141" i="6" s="1"/>
  <c r="J161" i="6"/>
  <c r="J141" i="6" s="1"/>
  <c r="K161" i="6"/>
  <c r="L161" i="6"/>
  <c r="L141" i="6" s="1"/>
  <c r="M161" i="6"/>
  <c r="M141" i="6" s="1"/>
  <c r="N161" i="6"/>
  <c r="O161" i="6"/>
  <c r="O141" i="6" s="1"/>
  <c r="P161" i="6"/>
  <c r="E161" i="6"/>
  <c r="E141" i="6" s="1"/>
  <c r="B163" i="6"/>
  <c r="B164" i="6"/>
  <c r="D164" i="6" s="1"/>
  <c r="B165" i="6"/>
  <c r="D165" i="6" s="1"/>
  <c r="B166" i="6"/>
  <c r="B162" i="6"/>
  <c r="B218" i="31"/>
  <c r="I218" i="31" s="1"/>
  <c r="B219" i="31"/>
  <c r="E219" i="31" s="1"/>
  <c r="B220" i="31"/>
  <c r="E220" i="31" s="1"/>
  <c r="B221" i="31"/>
  <c r="G221" i="31" s="1"/>
  <c r="B222" i="31"/>
  <c r="I222" i="31" s="1"/>
  <c r="B223" i="31"/>
  <c r="I223" i="31" s="1"/>
  <c r="B224" i="31"/>
  <c r="M224" i="31" s="1"/>
  <c r="B225" i="31"/>
  <c r="O225" i="31" s="1"/>
  <c r="B226" i="31"/>
  <c r="F226" i="31" s="1"/>
  <c r="B227" i="31"/>
  <c r="E227" i="31" s="1"/>
  <c r="B228" i="31"/>
  <c r="G228" i="31" s="1"/>
  <c r="B229" i="31"/>
  <c r="I229" i="31" s="1"/>
  <c r="B230" i="31"/>
  <c r="K230" i="31" s="1"/>
  <c r="B231" i="31"/>
  <c r="M231" i="31" s="1"/>
  <c r="B232" i="31"/>
  <c r="P232" i="31" s="1"/>
  <c r="B233" i="31"/>
  <c r="B234" i="31"/>
  <c r="J234" i="31" s="1"/>
  <c r="B235" i="31"/>
  <c r="G235" i="31" s="1"/>
  <c r="B236" i="31"/>
  <c r="I236" i="31" s="1"/>
  <c r="B237" i="31"/>
  <c r="L237" i="31" s="1"/>
  <c r="B238" i="31"/>
  <c r="B239" i="31"/>
  <c r="O239" i="31" s="1"/>
  <c r="B240" i="31"/>
  <c r="F240" i="31" s="1"/>
  <c r="B241" i="31"/>
  <c r="E241" i="31" s="1"/>
  <c r="B242" i="31"/>
  <c r="B243" i="31"/>
  <c r="I243" i="31" s="1"/>
  <c r="B244" i="31"/>
  <c r="K244" i="31" s="1"/>
  <c r="B245" i="31"/>
  <c r="M245" i="31" s="1"/>
  <c r="B246" i="31"/>
  <c r="F246" i="31" s="1"/>
  <c r="B247" i="31"/>
  <c r="H247" i="31" s="1"/>
  <c r="B217" i="31"/>
  <c r="G217" i="31" s="1"/>
  <c r="AJ120" i="41" a="1"/>
  <c r="AJ120" i="41" s="1"/>
  <c r="F209" i="41"/>
  <c r="F210" i="41"/>
  <c r="F211" i="41"/>
  <c r="F212" i="41"/>
  <c r="F213" i="41"/>
  <c r="F214" i="41"/>
  <c r="B193" i="63"/>
  <c r="D193" i="63" s="1"/>
  <c r="B192" i="63"/>
  <c r="B191" i="63"/>
  <c r="B190" i="63"/>
  <c r="D190" i="63" s="1"/>
  <c r="B189" i="63"/>
  <c r="B188" i="63"/>
  <c r="B187" i="63"/>
  <c r="B186" i="63"/>
  <c r="B185" i="63"/>
  <c r="D185" i="63" s="1"/>
  <c r="B184" i="63"/>
  <c r="B183" i="63"/>
  <c r="B182" i="63"/>
  <c r="B181" i="63"/>
  <c r="D181" i="63" s="1"/>
  <c r="B180" i="63"/>
  <c r="P179" i="63"/>
  <c r="O179" i="63"/>
  <c r="N179" i="63"/>
  <c r="M179" i="63"/>
  <c r="L179" i="63"/>
  <c r="K179" i="63"/>
  <c r="J179" i="63"/>
  <c r="I179" i="63"/>
  <c r="H179" i="63"/>
  <c r="G179" i="63"/>
  <c r="F179" i="63"/>
  <c r="E179" i="63"/>
  <c r="B174" i="9"/>
  <c r="B172" i="9"/>
  <c r="B181" i="9"/>
  <c r="B180" i="9"/>
  <c r="B179" i="9"/>
  <c r="B178" i="9"/>
  <c r="B177" i="9"/>
  <c r="I177" i="9" s="1"/>
  <c r="B176" i="9"/>
  <c r="B175" i="9"/>
  <c r="B173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E157" i="9"/>
  <c r="F157" i="9"/>
  <c r="G157" i="9"/>
  <c r="H157" i="9"/>
  <c r="I157" i="9"/>
  <c r="J157" i="9"/>
  <c r="K157" i="9"/>
  <c r="L157" i="9"/>
  <c r="M157" i="9"/>
  <c r="N157" i="9"/>
  <c r="O157" i="9"/>
  <c r="P157" i="9"/>
  <c r="E158" i="9"/>
  <c r="F158" i="9"/>
  <c r="G158" i="9"/>
  <c r="H158" i="9"/>
  <c r="I158" i="9"/>
  <c r="J158" i="9"/>
  <c r="K158" i="9"/>
  <c r="L158" i="9"/>
  <c r="M158" i="9"/>
  <c r="N158" i="9"/>
  <c r="O158" i="9"/>
  <c r="P158" i="9"/>
  <c r="E159" i="9"/>
  <c r="F159" i="9"/>
  <c r="G159" i="9"/>
  <c r="H159" i="9"/>
  <c r="I159" i="9"/>
  <c r="J159" i="9"/>
  <c r="K159" i="9"/>
  <c r="L159" i="9"/>
  <c r="M159" i="9"/>
  <c r="N159" i="9"/>
  <c r="O159" i="9"/>
  <c r="P159" i="9"/>
  <c r="E160" i="9"/>
  <c r="F160" i="9"/>
  <c r="G160" i="9"/>
  <c r="H160" i="9"/>
  <c r="I160" i="9"/>
  <c r="J160" i="9"/>
  <c r="K160" i="9"/>
  <c r="L160" i="9"/>
  <c r="M160" i="9"/>
  <c r="N160" i="9"/>
  <c r="O160" i="9"/>
  <c r="P160" i="9"/>
  <c r="E161" i="9"/>
  <c r="F161" i="9"/>
  <c r="G161" i="9"/>
  <c r="H161" i="9"/>
  <c r="I161" i="9"/>
  <c r="J161" i="9"/>
  <c r="K161" i="9"/>
  <c r="L161" i="9"/>
  <c r="M161" i="9"/>
  <c r="N161" i="9"/>
  <c r="O161" i="9"/>
  <c r="P161" i="9"/>
  <c r="E162" i="9"/>
  <c r="F162" i="9"/>
  <c r="G162" i="9"/>
  <c r="H162" i="9"/>
  <c r="I162" i="9"/>
  <c r="J162" i="9"/>
  <c r="K162" i="9"/>
  <c r="L162" i="9"/>
  <c r="M162" i="9"/>
  <c r="N162" i="9"/>
  <c r="O162" i="9"/>
  <c r="P162" i="9"/>
  <c r="E163" i="9"/>
  <c r="F163" i="9"/>
  <c r="G163" i="9"/>
  <c r="H163" i="9"/>
  <c r="I163" i="9"/>
  <c r="J163" i="9"/>
  <c r="K163" i="9"/>
  <c r="L163" i="9"/>
  <c r="M163" i="9"/>
  <c r="N163" i="9"/>
  <c r="O163" i="9"/>
  <c r="P163" i="9"/>
  <c r="E164" i="9"/>
  <c r="F164" i="9"/>
  <c r="G164" i="9"/>
  <c r="H164" i="9"/>
  <c r="I164" i="9"/>
  <c r="J164" i="9"/>
  <c r="K164" i="9"/>
  <c r="L164" i="9"/>
  <c r="M164" i="9"/>
  <c r="N164" i="9"/>
  <c r="O164" i="9"/>
  <c r="P164" i="9"/>
  <c r="E165" i="9"/>
  <c r="F165" i="9"/>
  <c r="G165" i="9"/>
  <c r="H165" i="9"/>
  <c r="I165" i="9"/>
  <c r="J165" i="9"/>
  <c r="K165" i="9"/>
  <c r="L165" i="9"/>
  <c r="M165" i="9"/>
  <c r="N165" i="9"/>
  <c r="O165" i="9"/>
  <c r="P165" i="9"/>
  <c r="E166" i="9"/>
  <c r="F166" i="9"/>
  <c r="G166" i="9"/>
  <c r="H166" i="9"/>
  <c r="I166" i="9"/>
  <c r="J166" i="9"/>
  <c r="K166" i="9"/>
  <c r="L166" i="9"/>
  <c r="M166" i="9"/>
  <c r="N166" i="9"/>
  <c r="O166" i="9"/>
  <c r="P166" i="9"/>
  <c r="L190" i="63" l="1"/>
  <c r="D180" i="63"/>
  <c r="D161" i="63" s="1"/>
  <c r="L180" i="9"/>
  <c r="L150" i="9" s="1"/>
  <c r="I179" i="9"/>
  <c r="I149" i="9" s="1"/>
  <c r="O176" i="9"/>
  <c r="O146" i="9" s="1"/>
  <c r="G175" i="9"/>
  <c r="G145" i="9" s="1"/>
  <c r="H175" i="9"/>
  <c r="H145" i="9" s="1"/>
  <c r="P176" i="9"/>
  <c r="P146" i="9" s="1"/>
  <c r="G173" i="9"/>
  <c r="G143" i="9" s="1"/>
  <c r="G181" i="9"/>
  <c r="G151" i="9" s="1"/>
  <c r="I175" i="9"/>
  <c r="I145" i="9" s="1"/>
  <c r="L176" i="9"/>
  <c r="L146" i="9" s="1"/>
  <c r="F174" i="9"/>
  <c r="F144" i="9" s="1"/>
  <c r="D175" i="9"/>
  <c r="M175" i="9"/>
  <c r="M145" i="9" s="1"/>
  <c r="N176" i="9"/>
  <c r="N146" i="9" s="1"/>
  <c r="G179" i="9"/>
  <c r="G149" i="9" s="1"/>
  <c r="K181" i="9"/>
  <c r="K151" i="9" s="1"/>
  <c r="I176" i="9"/>
  <c r="I146" i="9" s="1"/>
  <c r="H176" i="9"/>
  <c r="H146" i="9" s="1"/>
  <c r="K180" i="9"/>
  <c r="K150" i="9" s="1"/>
  <c r="L172" i="9"/>
  <c r="L142" i="9" s="1"/>
  <c r="M179" i="9"/>
  <c r="M149" i="9" s="1"/>
  <c r="D179" i="9"/>
  <c r="F179" i="9"/>
  <c r="F149" i="9" s="1"/>
  <c r="J172" i="9"/>
  <c r="J142" i="9" s="1"/>
  <c r="I172" i="9"/>
  <c r="I142" i="9" s="1"/>
  <c r="J176" i="9"/>
  <c r="J146" i="9" s="1"/>
  <c r="H172" i="9"/>
  <c r="H142" i="9" s="1"/>
  <c r="N181" i="9"/>
  <c r="N151" i="9" s="1"/>
  <c r="M181" i="9"/>
  <c r="M151" i="9" s="1"/>
  <c r="P175" i="9"/>
  <c r="P145" i="9" s="1"/>
  <c r="E181" i="9"/>
  <c r="E151" i="9" s="1"/>
  <c r="L175" i="9"/>
  <c r="L145" i="9" s="1"/>
  <c r="K175" i="9"/>
  <c r="K145" i="9" s="1"/>
  <c r="P179" i="9"/>
  <c r="P149" i="9" s="1"/>
  <c r="E175" i="9"/>
  <c r="E145" i="9" s="1"/>
  <c r="D174" i="9"/>
  <c r="D159" i="9" s="1"/>
  <c r="D144" i="9" s="1"/>
  <c r="M176" i="9"/>
  <c r="M146" i="9" s="1"/>
  <c r="J179" i="9"/>
  <c r="J149" i="9" s="1"/>
  <c r="N173" i="9"/>
  <c r="N143" i="9" s="1"/>
  <c r="E174" i="9"/>
  <c r="E144" i="9" s="1"/>
  <c r="M177" i="9"/>
  <c r="M147" i="9" s="1"/>
  <c r="M173" i="9"/>
  <c r="M143" i="9" s="1"/>
  <c r="E172" i="9"/>
  <c r="E142" i="9" s="1"/>
  <c r="D178" i="9"/>
  <c r="P172" i="9"/>
  <c r="P142" i="9" s="1"/>
  <c r="M178" i="9"/>
  <c r="M148" i="9" s="1"/>
  <c r="K173" i="9"/>
  <c r="K143" i="9" s="1"/>
  <c r="D172" i="9"/>
  <c r="M174" i="9"/>
  <c r="M144" i="9" s="1"/>
  <c r="E179" i="9"/>
  <c r="E149" i="9" s="1"/>
  <c r="M172" i="9"/>
  <c r="M142" i="9" s="1"/>
  <c r="H178" i="9"/>
  <c r="H148" i="9" s="1"/>
  <c r="H173" i="9"/>
  <c r="H143" i="9" s="1"/>
  <c r="L174" i="9"/>
  <c r="L144" i="9" s="1"/>
  <c r="E180" i="9"/>
  <c r="E150" i="9" s="1"/>
  <c r="K172" i="9"/>
  <c r="K142" i="9" s="1"/>
  <c r="K176" i="9"/>
  <c r="K146" i="9" s="1"/>
  <c r="E173" i="9"/>
  <c r="E143" i="9" s="1"/>
  <c r="J174" i="9"/>
  <c r="J144" i="9" s="1"/>
  <c r="F181" i="9"/>
  <c r="F151" i="9" s="1"/>
  <c r="N178" i="9"/>
  <c r="N148" i="9" s="1"/>
  <c r="L177" i="9"/>
  <c r="L147" i="9" s="1"/>
  <c r="F173" i="9"/>
  <c r="F143" i="9" s="1"/>
  <c r="G172" i="9"/>
  <c r="G142" i="9" s="1"/>
  <c r="P180" i="9"/>
  <c r="P150" i="9" s="1"/>
  <c r="N179" i="9"/>
  <c r="N149" i="9" s="1"/>
  <c r="L178" i="9"/>
  <c r="L148" i="9" s="1"/>
  <c r="J177" i="9"/>
  <c r="J147" i="9" s="1"/>
  <c r="F175" i="9"/>
  <c r="F145" i="9" s="1"/>
  <c r="F172" i="9"/>
  <c r="F142" i="9" s="1"/>
  <c r="O180" i="9"/>
  <c r="O150" i="9" s="1"/>
  <c r="K178" i="9"/>
  <c r="K148" i="9" s="1"/>
  <c r="I147" i="9"/>
  <c r="G176" i="9"/>
  <c r="G146" i="9" s="1"/>
  <c r="P174" i="9"/>
  <c r="P144" i="9" s="1"/>
  <c r="P181" i="9"/>
  <c r="P151" i="9" s="1"/>
  <c r="N180" i="9"/>
  <c r="N150" i="9" s="1"/>
  <c r="L179" i="9"/>
  <c r="L149" i="9" s="1"/>
  <c r="J178" i="9"/>
  <c r="J148" i="9" s="1"/>
  <c r="H177" i="9"/>
  <c r="H147" i="9" s="1"/>
  <c r="F176" i="9"/>
  <c r="F146" i="9" s="1"/>
  <c r="P173" i="9"/>
  <c r="P143" i="9" s="1"/>
  <c r="D177" i="9"/>
  <c r="O174" i="9"/>
  <c r="O144" i="9" s="1"/>
  <c r="O179" i="9"/>
  <c r="O149" i="9" s="1"/>
  <c r="K177" i="9"/>
  <c r="K147" i="9" s="1"/>
  <c r="O181" i="9"/>
  <c r="O151" i="9" s="1"/>
  <c r="M180" i="9"/>
  <c r="M150" i="9" s="1"/>
  <c r="K179" i="9"/>
  <c r="K149" i="9" s="1"/>
  <c r="I178" i="9"/>
  <c r="I148" i="9" s="1"/>
  <c r="G177" i="9"/>
  <c r="G147" i="9" s="1"/>
  <c r="E176" i="9"/>
  <c r="E146" i="9" s="1"/>
  <c r="O173" i="9"/>
  <c r="O143" i="9" s="1"/>
  <c r="D176" i="9"/>
  <c r="N174" i="9"/>
  <c r="N144" i="9" s="1"/>
  <c r="O172" i="9"/>
  <c r="O142" i="9" s="1"/>
  <c r="L181" i="9"/>
  <c r="L151" i="9" s="1"/>
  <c r="J180" i="9"/>
  <c r="J150" i="9" s="1"/>
  <c r="H179" i="9"/>
  <c r="H149" i="9" s="1"/>
  <c r="F178" i="9"/>
  <c r="F148" i="9" s="1"/>
  <c r="N175" i="9"/>
  <c r="N145" i="9" s="1"/>
  <c r="L173" i="9"/>
  <c r="L143" i="9" s="1"/>
  <c r="D173" i="9"/>
  <c r="K174" i="9"/>
  <c r="K144" i="9" s="1"/>
  <c r="G178" i="9"/>
  <c r="G148" i="9" s="1"/>
  <c r="E177" i="9"/>
  <c r="E147" i="9" s="1"/>
  <c r="O175" i="9"/>
  <c r="O145" i="9" s="1"/>
  <c r="F177" i="9"/>
  <c r="F147" i="9" s="1"/>
  <c r="N172" i="9"/>
  <c r="N142" i="9" s="1"/>
  <c r="I180" i="9"/>
  <c r="I150" i="9" s="1"/>
  <c r="E178" i="9"/>
  <c r="E148" i="9" s="1"/>
  <c r="J181" i="9"/>
  <c r="J151" i="9" s="1"/>
  <c r="H180" i="9"/>
  <c r="H150" i="9" s="1"/>
  <c r="P177" i="9"/>
  <c r="P147" i="9" s="1"/>
  <c r="J173" i="9"/>
  <c r="J143" i="9" s="1"/>
  <c r="D181" i="9"/>
  <c r="I174" i="9"/>
  <c r="I144" i="9" s="1"/>
  <c r="I181" i="9"/>
  <c r="I151" i="9" s="1"/>
  <c r="G180" i="9"/>
  <c r="G150" i="9" s="1"/>
  <c r="O177" i="9"/>
  <c r="O147" i="9" s="1"/>
  <c r="I173" i="9"/>
  <c r="I143" i="9" s="1"/>
  <c r="D180" i="9"/>
  <c r="H174" i="9"/>
  <c r="H144" i="9" s="1"/>
  <c r="H181" i="9"/>
  <c r="H151" i="9" s="1"/>
  <c r="F180" i="9"/>
  <c r="F150" i="9" s="1"/>
  <c r="P178" i="9"/>
  <c r="P148" i="9" s="1"/>
  <c r="N177" i="9"/>
  <c r="N147" i="9" s="1"/>
  <c r="J175" i="9"/>
  <c r="J145" i="9" s="1"/>
  <c r="G174" i="9"/>
  <c r="G144" i="9" s="1"/>
  <c r="O178" i="9"/>
  <c r="O148" i="9" s="1"/>
  <c r="D162" i="63"/>
  <c r="D171" i="63"/>
  <c r="D166" i="6"/>
  <c r="L225" i="31"/>
  <c r="K189" i="63"/>
  <c r="D174" i="63"/>
  <c r="D155" i="63" s="1"/>
  <c r="H225" i="31"/>
  <c r="E225" i="31"/>
  <c r="K225" i="31"/>
  <c r="M239" i="31"/>
  <c r="D182" i="63"/>
  <c r="N239" i="31"/>
  <c r="E239" i="31"/>
  <c r="M225" i="31"/>
  <c r="L226" i="31"/>
  <c r="K226" i="31"/>
  <c r="N241" i="31"/>
  <c r="O241" i="31"/>
  <c r="H223" i="31"/>
  <c r="K237" i="31"/>
  <c r="I244" i="31"/>
  <c r="E234" i="31"/>
  <c r="O240" i="31"/>
  <c r="N240" i="31"/>
  <c r="D246" i="31"/>
  <c r="L240" i="31"/>
  <c r="D243" i="31"/>
  <c r="M240" i="31"/>
  <c r="K240" i="31"/>
  <c r="D242" i="31"/>
  <c r="D217" i="31"/>
  <c r="D239" i="31"/>
  <c r="N220" i="31"/>
  <c r="D232" i="31"/>
  <c r="D229" i="31"/>
  <c r="D226" i="31"/>
  <c r="D245" i="31"/>
  <c r="D231" i="31"/>
  <c r="J237" i="31"/>
  <c r="D244" i="31"/>
  <c r="D230" i="31"/>
  <c r="D241" i="31"/>
  <c r="D240" i="31"/>
  <c r="G223" i="31"/>
  <c r="D228" i="31"/>
  <c r="D238" i="31"/>
  <c r="D237" i="31"/>
  <c r="D236" i="31"/>
  <c r="D235" i="31"/>
  <c r="D227" i="31"/>
  <c r="D234" i="31"/>
  <c r="J224" i="31"/>
  <c r="D247" i="31"/>
  <c r="D233" i="31"/>
  <c r="D218" i="31"/>
  <c r="J191" i="63"/>
  <c r="D184" i="63"/>
  <c r="L189" i="63"/>
  <c r="D183" i="63"/>
  <c r="D186" i="63"/>
  <c r="D188" i="63"/>
  <c r="O191" i="63"/>
  <c r="N190" i="63"/>
  <c r="D191" i="63"/>
  <c r="M190" i="63"/>
  <c r="I187" i="63"/>
  <c r="D189" i="63"/>
  <c r="F191" i="63"/>
  <c r="H191" i="63"/>
  <c r="I185" i="63"/>
  <c r="B142" i="6"/>
  <c r="L231" i="31"/>
  <c r="H245" i="31"/>
  <c r="I231" i="31"/>
  <c r="K231" i="31"/>
  <c r="J231" i="31"/>
  <c r="G245" i="31"/>
  <c r="L239" i="31"/>
  <c r="H231" i="31"/>
  <c r="F245" i="31"/>
  <c r="I239" i="31"/>
  <c r="F231" i="31"/>
  <c r="E245" i="31"/>
  <c r="H239" i="31"/>
  <c r="I230" i="31"/>
  <c r="P241" i="31"/>
  <c r="L219" i="31"/>
  <c r="K219" i="31"/>
  <c r="O232" i="31"/>
  <c r="G231" i="31"/>
  <c r="J219" i="31"/>
  <c r="M220" i="31"/>
  <c r="E217" i="31"/>
  <c r="E246" i="31"/>
  <c r="M232" i="31"/>
  <c r="F217" i="31"/>
  <c r="G219" i="31"/>
  <c r="P245" i="31"/>
  <c r="L232" i="31"/>
  <c r="F219" i="31"/>
  <c r="O245" i="31"/>
  <c r="N235" i="31"/>
  <c r="K232" i="31"/>
  <c r="E228" i="31"/>
  <c r="L220" i="31"/>
  <c r="L245" i="31"/>
  <c r="K235" i="31"/>
  <c r="J232" i="31"/>
  <c r="P227" i="31"/>
  <c r="M218" i="31"/>
  <c r="E231" i="31"/>
  <c r="K245" i="31"/>
  <c r="J235" i="31"/>
  <c r="I232" i="31"/>
  <c r="O227" i="31"/>
  <c r="H218" i="31"/>
  <c r="N232" i="31"/>
  <c r="I219" i="31"/>
  <c r="J245" i="31"/>
  <c r="F235" i="31"/>
  <c r="F232" i="31"/>
  <c r="N227" i="31"/>
  <c r="P220" i="31"/>
  <c r="G218" i="31"/>
  <c r="I245" i="31"/>
  <c r="F234" i="31"/>
  <c r="P231" i="31"/>
  <c r="O220" i="31"/>
  <c r="F218" i="31"/>
  <c r="H238" i="31"/>
  <c r="F237" i="31"/>
  <c r="P234" i="31"/>
  <c r="G222" i="31"/>
  <c r="K220" i="31"/>
  <c r="K247" i="31"/>
  <c r="E237" i="31"/>
  <c r="O234" i="31"/>
  <c r="J247" i="31"/>
  <c r="G246" i="31"/>
  <c r="G243" i="31"/>
  <c r="K239" i="31"/>
  <c r="F238" i="31"/>
  <c r="P236" i="31"/>
  <c r="N234" i="31"/>
  <c r="H232" i="31"/>
  <c r="G229" i="31"/>
  <c r="J225" i="31"/>
  <c r="O223" i="31"/>
  <c r="E222" i="31"/>
  <c r="H220" i="31"/>
  <c r="E218" i="31"/>
  <c r="I224" i="31"/>
  <c r="M222" i="31"/>
  <c r="G238" i="31"/>
  <c r="P223" i="31"/>
  <c r="F222" i="31"/>
  <c r="I220" i="31"/>
  <c r="I247" i="31"/>
  <c r="F243" i="31"/>
  <c r="J239" i="31"/>
  <c r="E238" i="31"/>
  <c r="M236" i="31"/>
  <c r="M234" i="31"/>
  <c r="G232" i="31"/>
  <c r="F229" i="31"/>
  <c r="I225" i="31"/>
  <c r="N223" i="31"/>
  <c r="P221" i="31"/>
  <c r="G220" i="31"/>
  <c r="H237" i="31"/>
  <c r="G224" i="31"/>
  <c r="I238" i="31"/>
  <c r="F224" i="31"/>
  <c r="M223" i="31"/>
  <c r="O221" i="31"/>
  <c r="F220" i="31"/>
  <c r="J238" i="31"/>
  <c r="G237" i="31"/>
  <c r="E224" i="31"/>
  <c r="J217" i="31"/>
  <c r="F247" i="31"/>
  <c r="F236" i="31"/>
  <c r="K234" i="31"/>
  <c r="E232" i="31"/>
  <c r="L223" i="31"/>
  <c r="N221" i="31"/>
  <c r="P219" i="31"/>
  <c r="L218" i="31"/>
  <c r="F223" i="31"/>
  <c r="E235" i="31"/>
  <c r="G247" i="31"/>
  <c r="G236" i="31"/>
  <c r="L234" i="31"/>
  <c r="I217" i="31"/>
  <c r="E247" i="31"/>
  <c r="E236" i="31"/>
  <c r="I234" i="31"/>
  <c r="P224" i="31"/>
  <c r="K223" i="31"/>
  <c r="K221" i="31"/>
  <c r="O219" i="31"/>
  <c r="K218" i="31"/>
  <c r="L238" i="31"/>
  <c r="H224" i="31"/>
  <c r="E223" i="31"/>
  <c r="H217" i="31"/>
  <c r="M237" i="31"/>
  <c r="P235" i="31"/>
  <c r="H234" i="31"/>
  <c r="L224" i="31"/>
  <c r="J223" i="31"/>
  <c r="J221" i="31"/>
  <c r="N219" i="31"/>
  <c r="J218" i="31"/>
  <c r="K238" i="31"/>
  <c r="I237" i="31"/>
  <c r="O235" i="31"/>
  <c r="G234" i="31"/>
  <c r="K224" i="31"/>
  <c r="E221" i="31"/>
  <c r="M219" i="31"/>
  <c r="Q162" i="9"/>
  <c r="Q166" i="9"/>
  <c r="Q164" i="9"/>
  <c r="Q160" i="9"/>
  <c r="Q161" i="9"/>
  <c r="E166" i="6"/>
  <c r="G166" i="6"/>
  <c r="D144" i="6"/>
  <c r="F166" i="6"/>
  <c r="J162" i="6"/>
  <c r="N141" i="6"/>
  <c r="P141" i="6"/>
  <c r="I162" i="6"/>
  <c r="H162" i="6"/>
  <c r="G162" i="6"/>
  <c r="P166" i="6"/>
  <c r="E162" i="6"/>
  <c r="N166" i="6"/>
  <c r="H163" i="6"/>
  <c r="O166" i="6"/>
  <c r="I163" i="6"/>
  <c r="P162" i="6"/>
  <c r="M166" i="6"/>
  <c r="G163" i="6"/>
  <c r="B143" i="6"/>
  <c r="O162" i="6"/>
  <c r="L166" i="6"/>
  <c r="F163" i="6"/>
  <c r="B144" i="6"/>
  <c r="N162" i="6"/>
  <c r="K166" i="6"/>
  <c r="E163" i="6"/>
  <c r="B145" i="6"/>
  <c r="K141" i="6"/>
  <c r="D145" i="6"/>
  <c r="F162" i="6"/>
  <c r="M162" i="6"/>
  <c r="J166" i="6"/>
  <c r="B146" i="6"/>
  <c r="L162" i="6"/>
  <c r="K162" i="6"/>
  <c r="H166" i="6"/>
  <c r="I166" i="6"/>
  <c r="N184" i="63"/>
  <c r="J187" i="63"/>
  <c r="E191" i="63"/>
  <c r="E186" i="63"/>
  <c r="N182" i="63"/>
  <c r="O190" i="63"/>
  <c r="G181" i="63"/>
  <c r="G191" i="63"/>
  <c r="I191" i="63"/>
  <c r="J185" i="63"/>
  <c r="P190" i="63"/>
  <c r="N191" i="63"/>
  <c r="F180" i="63"/>
  <c r="E183" i="63"/>
  <c r="E184" i="63"/>
  <c r="P183" i="63"/>
  <c r="E185" i="63"/>
  <c r="J180" i="63"/>
  <c r="J182" i="63"/>
  <c r="I186" i="63"/>
  <c r="J189" i="63"/>
  <c r="L187" i="63"/>
  <c r="K180" i="63"/>
  <c r="P191" i="63"/>
  <c r="K187" i="63"/>
  <c r="E188" i="63"/>
  <c r="F188" i="63"/>
  <c r="G188" i="63"/>
  <c r="G180" i="63"/>
  <c r="G192" i="63"/>
  <c r="L188" i="63"/>
  <c r="L186" i="63"/>
  <c r="I181" i="63"/>
  <c r="P182" i="63"/>
  <c r="G190" i="63"/>
  <c r="E192" i="63"/>
  <c r="E190" i="63"/>
  <c r="J188" i="63"/>
  <c r="J186" i="63"/>
  <c r="O184" i="63"/>
  <c r="O182" i="63"/>
  <c r="K191" i="63"/>
  <c r="I188" i="63"/>
  <c r="E181" i="63"/>
  <c r="F181" i="63"/>
  <c r="E182" i="63"/>
  <c r="F182" i="63"/>
  <c r="G182" i="63"/>
  <c r="H182" i="63"/>
  <c r="I182" i="63"/>
  <c r="G183" i="63"/>
  <c r="H183" i="63"/>
  <c r="I183" i="63"/>
  <c r="J183" i="63"/>
  <c r="K183" i="63"/>
  <c r="O183" i="63"/>
  <c r="I184" i="63"/>
  <c r="J184" i="63"/>
  <c r="K184" i="63"/>
  <c r="L184" i="63"/>
  <c r="M184" i="63"/>
  <c r="P188" i="63"/>
  <c r="N183" i="63"/>
  <c r="K185" i="63"/>
  <c r="O188" i="63"/>
  <c r="H187" i="63"/>
  <c r="H185" i="63"/>
  <c r="M183" i="63"/>
  <c r="M186" i="63"/>
  <c r="N186" i="63"/>
  <c r="O186" i="63"/>
  <c r="P186" i="63"/>
  <c r="I180" i="63"/>
  <c r="I192" i="63"/>
  <c r="N188" i="63"/>
  <c r="G187" i="63"/>
  <c r="G185" i="63"/>
  <c r="L183" i="63"/>
  <c r="K181" i="63"/>
  <c r="O187" i="63"/>
  <c r="P187" i="63"/>
  <c r="E187" i="63"/>
  <c r="H180" i="63"/>
  <c r="H192" i="63"/>
  <c r="M188" i="63"/>
  <c r="F187" i="63"/>
  <c r="F185" i="63"/>
  <c r="F183" i="63"/>
  <c r="J181" i="63"/>
  <c r="E189" i="63"/>
  <c r="F189" i="63"/>
  <c r="G189" i="63"/>
  <c r="H189" i="63"/>
  <c r="I189" i="63"/>
  <c r="F192" i="63"/>
  <c r="F190" i="63"/>
  <c r="K188" i="63"/>
  <c r="K186" i="63"/>
  <c r="P184" i="63"/>
  <c r="H181" i="63"/>
  <c r="H188" i="63"/>
  <c r="H186" i="63"/>
  <c r="H184" i="63"/>
  <c r="M182" i="63"/>
  <c r="N187" i="63"/>
  <c r="G186" i="63"/>
  <c r="G184" i="63"/>
  <c r="L182" i="63"/>
  <c r="M189" i="63"/>
  <c r="M187" i="63"/>
  <c r="F186" i="63"/>
  <c r="F184" i="63"/>
  <c r="K182" i="63"/>
  <c r="M191" i="63"/>
  <c r="K190" i="63"/>
  <c r="E180" i="63"/>
  <c r="L191" i="63"/>
  <c r="J190" i="63"/>
  <c r="I190" i="63"/>
  <c r="H190" i="63"/>
  <c r="H244" i="31"/>
  <c r="H230" i="31"/>
  <c r="G230" i="31"/>
  <c r="J244" i="31"/>
  <c r="H243" i="31"/>
  <c r="P240" i="31"/>
  <c r="H236" i="31"/>
  <c r="J230" i="31"/>
  <c r="H229" i="31"/>
  <c r="F228" i="31"/>
  <c r="N225" i="31"/>
  <c r="H222" i="31"/>
  <c r="F221" i="31"/>
  <c r="E244" i="31"/>
  <c r="L241" i="31"/>
  <c r="J240" i="31"/>
  <c r="P229" i="31"/>
  <c r="N228" i="31"/>
  <c r="L227" i="31"/>
  <c r="J226" i="31"/>
  <c r="P222" i="31"/>
  <c r="K241" i="31"/>
  <c r="I240" i="31"/>
  <c r="G239" i="31"/>
  <c r="O236" i="31"/>
  <c r="M235" i="31"/>
  <c r="O229" i="31"/>
  <c r="M228" i="31"/>
  <c r="K227" i="31"/>
  <c r="I226" i="31"/>
  <c r="G225" i="31"/>
  <c r="O222" i="31"/>
  <c r="M221" i="31"/>
  <c r="P244" i="31"/>
  <c r="J241" i="31"/>
  <c r="H240" i="31"/>
  <c r="F239" i="31"/>
  <c r="N236" i="31"/>
  <c r="L235" i="31"/>
  <c r="P230" i="31"/>
  <c r="N229" i="31"/>
  <c r="L228" i="31"/>
  <c r="J227" i="31"/>
  <c r="H226" i="31"/>
  <c r="F225" i="31"/>
  <c r="N222" i="31"/>
  <c r="L221" i="31"/>
  <c r="J220" i="31"/>
  <c r="H219" i="31"/>
  <c r="E243" i="31"/>
  <c r="F230" i="31"/>
  <c r="P228" i="31"/>
  <c r="I241" i="31"/>
  <c r="G240" i="31"/>
  <c r="M244" i="31"/>
  <c r="K243" i="31"/>
  <c r="G241" i="31"/>
  <c r="E240" i="31"/>
  <c r="K236" i="31"/>
  <c r="I235" i="31"/>
  <c r="O231" i="31"/>
  <c r="M230" i="31"/>
  <c r="K229" i="31"/>
  <c r="I228" i="31"/>
  <c r="G227" i="31"/>
  <c r="E226" i="31"/>
  <c r="O224" i="31"/>
  <c r="K222" i="31"/>
  <c r="I221" i="31"/>
  <c r="M241" i="31"/>
  <c r="E230" i="31"/>
  <c r="O228" i="31"/>
  <c r="M227" i="31"/>
  <c r="O244" i="31"/>
  <c r="O230" i="31"/>
  <c r="M229" i="31"/>
  <c r="K228" i="31"/>
  <c r="I227" i="31"/>
  <c r="G226" i="31"/>
  <c r="L236" i="31"/>
  <c r="N245" i="31"/>
  <c r="L244" i="31"/>
  <c r="J243" i="31"/>
  <c r="F241" i="31"/>
  <c r="P239" i="31"/>
  <c r="J236" i="31"/>
  <c r="H235" i="31"/>
  <c r="N231" i="31"/>
  <c r="L230" i="31"/>
  <c r="J229" i="31"/>
  <c r="H228" i="31"/>
  <c r="F227" i="31"/>
  <c r="P225" i="31"/>
  <c r="N224" i="31"/>
  <c r="J222" i="31"/>
  <c r="H221" i="31"/>
  <c r="G244" i="31"/>
  <c r="E229" i="31"/>
  <c r="F244" i="31"/>
  <c r="N244" i="31"/>
  <c r="H241" i="31"/>
  <c r="N230" i="31"/>
  <c r="L229" i="31"/>
  <c r="J228" i="31"/>
  <c r="H227" i="31"/>
  <c r="L222" i="31"/>
  <c r="Q159" i="9"/>
  <c r="N167" i="9"/>
  <c r="M167" i="9"/>
  <c r="L167" i="9"/>
  <c r="Q163" i="9"/>
  <c r="Q158" i="9"/>
  <c r="K167" i="9"/>
  <c r="J167" i="9"/>
  <c r="I167" i="9"/>
  <c r="H167" i="9"/>
  <c r="G167" i="9"/>
  <c r="E167" i="9"/>
  <c r="F167" i="9"/>
  <c r="Q157" i="9"/>
  <c r="P167" i="9"/>
  <c r="O167" i="9"/>
  <c r="Q165" i="9"/>
  <c r="D197" i="31" l="1"/>
  <c r="D161" i="31" s="1"/>
  <c r="D206" i="31"/>
  <c r="D170" i="31" s="1"/>
  <c r="Q220" i="31"/>
  <c r="Q234" i="31"/>
  <c r="Q232" i="31"/>
  <c r="Q235" i="31"/>
  <c r="Q231" i="31"/>
  <c r="Q236" i="31"/>
  <c r="Q219" i="31"/>
  <c r="Q245" i="31"/>
  <c r="Q223" i="31"/>
  <c r="Q239" i="31"/>
  <c r="Q224" i="31"/>
  <c r="Q230" i="31"/>
  <c r="Q241" i="31"/>
  <c r="Q222" i="31"/>
  <c r="Q227" i="31"/>
  <c r="Q240" i="31"/>
  <c r="Q244" i="31"/>
  <c r="Q221" i="31"/>
  <c r="Q225" i="31"/>
  <c r="Q228" i="31"/>
  <c r="Q229" i="31"/>
  <c r="Q190" i="63"/>
  <c r="Q188" i="63"/>
  <c r="Q186" i="63"/>
  <c r="Q184" i="63"/>
  <c r="Q187" i="63"/>
  <c r="Q182" i="63"/>
  <c r="Q183" i="63"/>
  <c r="Q191" i="63"/>
  <c r="M182" i="9"/>
  <c r="Q175" i="9"/>
  <c r="Q180" i="9"/>
  <c r="Q181" i="9"/>
  <c r="Q177" i="9"/>
  <c r="Q173" i="9"/>
  <c r="Q167" i="9"/>
  <c r="L182" i="9"/>
  <c r="Q176" i="9"/>
  <c r="Q172" i="9"/>
  <c r="E182" i="9"/>
  <c r="O182" i="9"/>
  <c r="N182" i="9"/>
  <c r="Q178" i="9"/>
  <c r="G182" i="9"/>
  <c r="H182" i="9"/>
  <c r="Q179" i="9"/>
  <c r="F182" i="9"/>
  <c r="K182" i="9"/>
  <c r="P182" i="9"/>
  <c r="B179" i="8" l="1"/>
  <c r="B180" i="8"/>
  <c r="B181" i="8"/>
  <c r="B182" i="8"/>
  <c r="B183" i="8"/>
  <c r="B184" i="8"/>
  <c r="B185" i="8"/>
  <c r="B186" i="8"/>
  <c r="B187" i="8"/>
  <c r="D187" i="8" s="1"/>
  <c r="B188" i="8"/>
  <c r="B189" i="8"/>
  <c r="B190" i="8"/>
  <c r="B178" i="8"/>
  <c r="H53" i="41"/>
  <c r="E160" i="8"/>
  <c r="F177" i="8"/>
  <c r="F141" i="8" s="1"/>
  <c r="G177" i="8"/>
  <c r="G141" i="8" s="1"/>
  <c r="H177" i="8"/>
  <c r="H141" i="8" s="1"/>
  <c r="I177" i="8"/>
  <c r="I141" i="8" s="1"/>
  <c r="J177" i="8"/>
  <c r="J141" i="8" s="1"/>
  <c r="K177" i="8"/>
  <c r="K141" i="8" s="1"/>
  <c r="L177" i="8"/>
  <c r="L141" i="8" s="1"/>
  <c r="M177" i="8"/>
  <c r="M141" i="8" s="1"/>
  <c r="N177" i="8"/>
  <c r="N141" i="8" s="1"/>
  <c r="O177" i="8"/>
  <c r="O141" i="8" s="1"/>
  <c r="P177" i="8"/>
  <c r="P141" i="8" s="1"/>
  <c r="E177" i="8"/>
  <c r="E141" i="8" s="1"/>
  <c r="H221" i="41"/>
  <c r="H220" i="41"/>
  <c r="H219" i="41"/>
  <c r="H218" i="41"/>
  <c r="H217" i="41"/>
  <c r="H216" i="41"/>
  <c r="H215" i="41"/>
  <c r="H214" i="41"/>
  <c r="H213" i="41"/>
  <c r="H212" i="41"/>
  <c r="H211" i="41"/>
  <c r="H210" i="41"/>
  <c r="H209" i="41"/>
  <c r="H208" i="41"/>
  <c r="H207" i="41"/>
  <c r="H199" i="41"/>
  <c r="H198" i="41"/>
  <c r="H197" i="41"/>
  <c r="H196" i="41"/>
  <c r="H195" i="41"/>
  <c r="H194" i="41"/>
  <c r="H193" i="41"/>
  <c r="H192" i="41"/>
  <c r="H191" i="41"/>
  <c r="H190" i="41"/>
  <c r="H189" i="41"/>
  <c r="H188" i="41"/>
  <c r="H187" i="41"/>
  <c r="H186" i="41"/>
  <c r="H185" i="41"/>
  <c r="H177" i="41"/>
  <c r="H176" i="41"/>
  <c r="H175" i="41"/>
  <c r="H174" i="41"/>
  <c r="H173" i="41"/>
  <c r="H172" i="41"/>
  <c r="H171" i="41"/>
  <c r="H170" i="41"/>
  <c r="H169" i="41"/>
  <c r="H168" i="41"/>
  <c r="H167" i="41"/>
  <c r="H166" i="41"/>
  <c r="H165" i="41"/>
  <c r="H164" i="41"/>
  <c r="H163" i="41"/>
  <c r="H155" i="41"/>
  <c r="H154" i="41"/>
  <c r="H153" i="41"/>
  <c r="H152" i="41"/>
  <c r="H151" i="41"/>
  <c r="H150" i="41"/>
  <c r="H149" i="41"/>
  <c r="H148" i="41"/>
  <c r="H147" i="41"/>
  <c r="H146" i="41"/>
  <c r="H145" i="41"/>
  <c r="H144" i="41"/>
  <c r="H143" i="41"/>
  <c r="H142" i="41"/>
  <c r="H141" i="41"/>
  <c r="H133" i="41"/>
  <c r="H132" i="41"/>
  <c r="H131" i="41"/>
  <c r="H130" i="41"/>
  <c r="H129" i="41"/>
  <c r="H128" i="41"/>
  <c r="H127" i="41"/>
  <c r="H126" i="41"/>
  <c r="H125" i="41"/>
  <c r="H124" i="41"/>
  <c r="H123" i="41"/>
  <c r="H122" i="41"/>
  <c r="H121" i="41"/>
  <c r="H120" i="41"/>
  <c r="H119" i="41"/>
  <c r="H111" i="41"/>
  <c r="H110" i="41"/>
  <c r="H109" i="41"/>
  <c r="H108" i="41"/>
  <c r="H107" i="41"/>
  <c r="H106" i="41"/>
  <c r="H105" i="41"/>
  <c r="H104" i="41"/>
  <c r="H103" i="41"/>
  <c r="H102" i="41"/>
  <c r="H101" i="41"/>
  <c r="H100" i="41"/>
  <c r="H99" i="41"/>
  <c r="H98" i="41"/>
  <c r="H97" i="41"/>
  <c r="H89" i="41"/>
  <c r="H88" i="41"/>
  <c r="H87" i="41"/>
  <c r="H86" i="41"/>
  <c r="H85" i="41"/>
  <c r="H84" i="41"/>
  <c r="H83" i="41"/>
  <c r="H82" i="41"/>
  <c r="H81" i="41"/>
  <c r="H80" i="41"/>
  <c r="H79" i="41"/>
  <c r="H78" i="41"/>
  <c r="H77" i="41"/>
  <c r="H76" i="41"/>
  <c r="H67" i="41"/>
  <c r="H66" i="41"/>
  <c r="H65" i="41"/>
  <c r="H64" i="41"/>
  <c r="H63" i="41"/>
  <c r="H62" i="41"/>
  <c r="H61" i="41"/>
  <c r="H60" i="41"/>
  <c r="H59" i="41"/>
  <c r="H58" i="41"/>
  <c r="H57" i="41"/>
  <c r="H56" i="41"/>
  <c r="H55" i="41"/>
  <c r="H54" i="41"/>
  <c r="H45" i="41"/>
  <c r="H44" i="41"/>
  <c r="H43" i="41"/>
  <c r="H42" i="41"/>
  <c r="H41" i="41"/>
  <c r="H40" i="41"/>
  <c r="H39" i="41"/>
  <c r="H38" i="41"/>
  <c r="H37" i="41"/>
  <c r="H36" i="41"/>
  <c r="H35" i="41"/>
  <c r="H34" i="41"/>
  <c r="H33" i="41"/>
  <c r="H32" i="41"/>
  <c r="H31" i="41"/>
  <c r="H23" i="41"/>
  <c r="H22" i="41"/>
  <c r="H21" i="41"/>
  <c r="H20" i="41"/>
  <c r="H19" i="41"/>
  <c r="H18" i="41"/>
  <c r="H17" i="41"/>
  <c r="H16" i="41"/>
  <c r="H15" i="41"/>
  <c r="H14" i="41"/>
  <c r="H13" i="41"/>
  <c r="H12" i="41"/>
  <c r="H11" i="41"/>
  <c r="H10" i="41"/>
  <c r="H9" i="41"/>
  <c r="S221" i="41"/>
  <c r="S220" i="41"/>
  <c r="S219" i="41"/>
  <c r="S218" i="41"/>
  <c r="S217" i="41"/>
  <c r="S216" i="41"/>
  <c r="S215" i="41"/>
  <c r="S214" i="41"/>
  <c r="S213" i="41"/>
  <c r="S212" i="41"/>
  <c r="S210" i="41"/>
  <c r="S209" i="41"/>
  <c r="S208" i="41"/>
  <c r="S207" i="41"/>
  <c r="S199" i="41"/>
  <c r="S198" i="41"/>
  <c r="S197" i="41"/>
  <c r="S196" i="41"/>
  <c r="S195" i="41"/>
  <c r="S194" i="41"/>
  <c r="S193" i="41"/>
  <c r="S192" i="41"/>
  <c r="S191" i="41"/>
  <c r="S190" i="41"/>
  <c r="S189" i="41"/>
  <c r="S188" i="41"/>
  <c r="S187" i="41"/>
  <c r="S186" i="41"/>
  <c r="S185" i="41"/>
  <c r="S177" i="41"/>
  <c r="S176" i="41"/>
  <c r="S175" i="41"/>
  <c r="S174" i="41"/>
  <c r="S173" i="41"/>
  <c r="S172" i="41"/>
  <c r="S171" i="41"/>
  <c r="S170" i="41"/>
  <c r="S169" i="41"/>
  <c r="S168" i="41"/>
  <c r="S167" i="41"/>
  <c r="S166" i="41"/>
  <c r="S165" i="41"/>
  <c r="S164" i="41"/>
  <c r="S163" i="41"/>
  <c r="S155" i="41"/>
  <c r="S154" i="41"/>
  <c r="S153" i="41"/>
  <c r="S152" i="41"/>
  <c r="S151" i="41"/>
  <c r="S150" i="41"/>
  <c r="S149" i="41"/>
  <c r="S148" i="41"/>
  <c r="S147" i="41"/>
  <c r="S146" i="41"/>
  <c r="S145" i="41"/>
  <c r="S144" i="41"/>
  <c r="S143" i="41"/>
  <c r="S142" i="41"/>
  <c r="S141" i="41"/>
  <c r="S23" i="41"/>
  <c r="S22" i="41"/>
  <c r="S21" i="41"/>
  <c r="S20" i="41"/>
  <c r="S19" i="41"/>
  <c r="S18" i="41"/>
  <c r="S17" i="41"/>
  <c r="S16" i="41"/>
  <c r="S15" i="41"/>
  <c r="S14" i="41"/>
  <c r="S13" i="41"/>
  <c r="S12" i="41"/>
  <c r="S11" i="41"/>
  <c r="S10" i="41"/>
  <c r="S9" i="41"/>
  <c r="S45" i="41"/>
  <c r="S44" i="41"/>
  <c r="S43" i="41"/>
  <c r="S42" i="41"/>
  <c r="S41" i="41"/>
  <c r="S40" i="41"/>
  <c r="S39" i="41"/>
  <c r="S38" i="41"/>
  <c r="S37" i="41"/>
  <c r="S36" i="41"/>
  <c r="S35" i="41"/>
  <c r="S34" i="41"/>
  <c r="S33" i="41"/>
  <c r="S32" i="41"/>
  <c r="S31" i="41"/>
  <c r="S67" i="41"/>
  <c r="S66" i="41"/>
  <c r="S65" i="41"/>
  <c r="S64" i="41"/>
  <c r="S63" i="41"/>
  <c r="S62" i="41"/>
  <c r="S61" i="41"/>
  <c r="S60" i="41"/>
  <c r="S59" i="41"/>
  <c r="S58" i="41"/>
  <c r="S57" i="41"/>
  <c r="S56" i="41"/>
  <c r="S55" i="41"/>
  <c r="S54" i="41"/>
  <c r="S53" i="41"/>
  <c r="S89" i="41"/>
  <c r="S88" i="41"/>
  <c r="S87" i="41"/>
  <c r="S86" i="41"/>
  <c r="S85" i="41"/>
  <c r="S84" i="41"/>
  <c r="S83" i="41"/>
  <c r="S82" i="41"/>
  <c r="S81" i="41"/>
  <c r="S80" i="41"/>
  <c r="S79" i="41"/>
  <c r="S78" i="41"/>
  <c r="S77" i="41"/>
  <c r="S76" i="41"/>
  <c r="S75" i="41"/>
  <c r="S111" i="41"/>
  <c r="S110" i="41"/>
  <c r="S109" i="41"/>
  <c r="S108" i="41"/>
  <c r="S107" i="41"/>
  <c r="S106" i="41"/>
  <c r="S105" i="41"/>
  <c r="S104" i="41"/>
  <c r="S103" i="41"/>
  <c r="S102" i="41"/>
  <c r="S101" i="41"/>
  <c r="S100" i="41"/>
  <c r="S99" i="41"/>
  <c r="S98" i="41"/>
  <c r="S97" i="41"/>
  <c r="Q129" i="41"/>
  <c r="S120" i="41"/>
  <c r="S121" i="41"/>
  <c r="S122" i="41"/>
  <c r="S123" i="41"/>
  <c r="S124" i="41"/>
  <c r="S125" i="41"/>
  <c r="S126" i="41"/>
  <c r="S127" i="41"/>
  <c r="S128" i="41"/>
  <c r="S129" i="41"/>
  <c r="S130" i="41"/>
  <c r="S131" i="41"/>
  <c r="S132" i="41"/>
  <c r="S133" i="41"/>
  <c r="S119" i="41"/>
  <c r="AU209" i="41" a="1"/>
  <c r="AU209" i="41" s="1"/>
  <c r="AT209" i="41" a="1"/>
  <c r="AT209" i="41" s="1"/>
  <c r="AS209" i="41" a="1"/>
  <c r="AS209" i="41" s="1"/>
  <c r="AR209" i="41" a="1"/>
  <c r="AR209" i="41" s="1"/>
  <c r="AQ209" i="41" a="1"/>
  <c r="AQ209" i="41" s="1"/>
  <c r="AP209" i="41" a="1"/>
  <c r="AP209" i="41" s="1"/>
  <c r="AO209" i="41" a="1"/>
  <c r="AO209" i="41" s="1"/>
  <c r="AN209" i="41" a="1"/>
  <c r="AN209" i="41" s="1"/>
  <c r="AM209" i="41" a="1"/>
  <c r="AM209" i="41" s="1"/>
  <c r="AL209" i="41" a="1"/>
  <c r="AL209" i="41" s="1"/>
  <c r="AK209" i="41" a="1"/>
  <c r="AK209" i="41" s="1"/>
  <c r="AJ209" i="41" a="1"/>
  <c r="AJ209" i="41" s="1"/>
  <c r="AI209" i="41" a="1"/>
  <c r="AI209" i="41" s="1"/>
  <c r="AH209" i="41" a="1"/>
  <c r="AH209" i="41" s="1"/>
  <c r="AG209" i="41" a="1"/>
  <c r="AG209" i="41" s="1"/>
  <c r="AF209" i="41" a="1"/>
  <c r="AF209" i="41" s="1"/>
  <c r="AE209" i="41" a="1"/>
  <c r="AE209" i="41" s="1"/>
  <c r="AD209" i="41" a="1"/>
  <c r="AD209" i="41" s="1"/>
  <c r="AC209" i="41" a="1"/>
  <c r="AC209" i="41" s="1"/>
  <c r="AB209" i="41" a="1"/>
  <c r="AB209" i="41" s="1"/>
  <c r="AA209" i="41" a="1"/>
  <c r="AA209" i="41" s="1"/>
  <c r="Z209" i="41" a="1"/>
  <c r="Z209" i="41" s="1"/>
  <c r="Y209" i="41" a="1"/>
  <c r="Y209" i="41" s="1"/>
  <c r="X209" i="41" a="1"/>
  <c r="X209" i="41" s="1"/>
  <c r="AU187" i="41" a="1"/>
  <c r="AU187" i="41" s="1"/>
  <c r="AT187" i="41" a="1"/>
  <c r="AT187" i="41" s="1"/>
  <c r="AS187" i="41" a="1"/>
  <c r="AS187" i="41" s="1"/>
  <c r="AR187" i="41" a="1"/>
  <c r="AR187" i="41" s="1"/>
  <c r="AQ187" i="41" a="1"/>
  <c r="AQ187" i="41" s="1"/>
  <c r="AP187" i="41" a="1"/>
  <c r="AP187" i="41" s="1"/>
  <c r="AO187" i="41" a="1"/>
  <c r="AO187" i="41" s="1"/>
  <c r="AN187" i="41" a="1"/>
  <c r="AN187" i="41" s="1"/>
  <c r="AM187" i="41" a="1"/>
  <c r="AM187" i="41" s="1"/>
  <c r="AL187" i="41" a="1"/>
  <c r="AL187" i="41" s="1"/>
  <c r="AK187" i="41" a="1"/>
  <c r="AK187" i="41" s="1"/>
  <c r="AJ187" i="41" a="1"/>
  <c r="AJ187" i="41" s="1"/>
  <c r="AI187" i="41" a="1"/>
  <c r="AI187" i="41" s="1"/>
  <c r="AH187" i="41" a="1"/>
  <c r="AH187" i="41" s="1"/>
  <c r="AG187" i="41" a="1"/>
  <c r="AG187" i="41" s="1"/>
  <c r="AF187" i="41" a="1"/>
  <c r="AF187" i="41" s="1"/>
  <c r="AE187" i="41" a="1"/>
  <c r="AE187" i="41" s="1"/>
  <c r="AD187" i="41" a="1"/>
  <c r="AD187" i="41" s="1"/>
  <c r="AC187" i="41" a="1"/>
  <c r="AC187" i="41" s="1"/>
  <c r="AB187" i="41" a="1"/>
  <c r="AB187" i="41" s="1"/>
  <c r="AA187" i="41" a="1"/>
  <c r="AA187" i="41" s="1"/>
  <c r="Z187" i="41" a="1"/>
  <c r="Z187" i="41" s="1"/>
  <c r="Y187" i="41" a="1"/>
  <c r="Y187" i="41" s="1"/>
  <c r="X187" i="41" a="1"/>
  <c r="X187" i="41" s="1"/>
  <c r="AU186" i="41" a="1"/>
  <c r="AU186" i="41" s="1"/>
  <c r="AT186" i="41" a="1"/>
  <c r="AT186" i="41" s="1"/>
  <c r="AS186" i="41" a="1"/>
  <c r="AS186" i="41" s="1"/>
  <c r="AR186" i="41" a="1"/>
  <c r="AR186" i="41" s="1"/>
  <c r="AQ186" i="41" a="1"/>
  <c r="AQ186" i="41" s="1"/>
  <c r="AP186" i="41" a="1"/>
  <c r="AP186" i="41" s="1"/>
  <c r="AO186" i="41" a="1"/>
  <c r="AO186" i="41" s="1"/>
  <c r="AN186" i="41" a="1"/>
  <c r="AN186" i="41" s="1"/>
  <c r="AM186" i="41" a="1"/>
  <c r="AM186" i="41" s="1"/>
  <c r="AL186" i="41" a="1"/>
  <c r="AL186" i="41" s="1"/>
  <c r="AK186" i="41" a="1"/>
  <c r="AK186" i="41" s="1"/>
  <c r="AJ186" i="41" a="1"/>
  <c r="AJ186" i="41" s="1"/>
  <c r="AI186" i="41" a="1"/>
  <c r="AI186" i="41" s="1"/>
  <c r="AH186" i="41" a="1"/>
  <c r="AH186" i="41" s="1"/>
  <c r="AG186" i="41" a="1"/>
  <c r="AG186" i="41" s="1"/>
  <c r="AF186" i="41" a="1"/>
  <c r="AF186" i="41" s="1"/>
  <c r="AE186" i="41" a="1"/>
  <c r="AE186" i="41" s="1"/>
  <c r="AD186" i="41" a="1"/>
  <c r="AD186" i="41" s="1"/>
  <c r="AC186" i="41" a="1"/>
  <c r="AC186" i="41" s="1"/>
  <c r="AB186" i="41" a="1"/>
  <c r="AB186" i="41" s="1"/>
  <c r="AA186" i="41" a="1"/>
  <c r="AA186" i="41" s="1"/>
  <c r="Z186" i="41" a="1"/>
  <c r="Z186" i="41" s="1"/>
  <c r="Y186" i="41" a="1"/>
  <c r="Y186" i="41" s="1"/>
  <c r="X186" i="41" a="1"/>
  <c r="X186" i="41" s="1"/>
  <c r="AU165" i="41" a="1"/>
  <c r="AU165" i="41" s="1"/>
  <c r="AT165" i="41" a="1"/>
  <c r="AT165" i="41" s="1"/>
  <c r="AS165" i="41" a="1"/>
  <c r="AS165" i="41" s="1"/>
  <c r="AR165" i="41" a="1"/>
  <c r="AR165" i="41" s="1"/>
  <c r="AQ165" i="41" a="1"/>
  <c r="AQ165" i="41" s="1"/>
  <c r="AP165" i="41" a="1"/>
  <c r="AP165" i="41" s="1"/>
  <c r="AO165" i="41" a="1"/>
  <c r="AO165" i="41" s="1"/>
  <c r="AN165" i="41" a="1"/>
  <c r="AN165" i="41" s="1"/>
  <c r="AM165" i="41" a="1"/>
  <c r="AM165" i="41" s="1"/>
  <c r="AL165" i="41" a="1"/>
  <c r="AL165" i="41" s="1"/>
  <c r="AK165" i="41" a="1"/>
  <c r="AK165" i="41" s="1"/>
  <c r="AJ165" i="41" a="1"/>
  <c r="AJ165" i="41" s="1"/>
  <c r="AI165" i="41" a="1"/>
  <c r="AI165" i="41" s="1"/>
  <c r="AH165" i="41" a="1"/>
  <c r="AH165" i="41" s="1"/>
  <c r="AG165" i="41" a="1"/>
  <c r="AG165" i="41" s="1"/>
  <c r="AF165" i="41" a="1"/>
  <c r="AF165" i="41" s="1"/>
  <c r="AE165" i="41" a="1"/>
  <c r="AE165" i="41" s="1"/>
  <c r="AD165" i="41" a="1"/>
  <c r="AD165" i="41" s="1"/>
  <c r="AC165" i="41" a="1"/>
  <c r="AC165" i="41" s="1"/>
  <c r="AB165" i="41" a="1"/>
  <c r="AB165" i="41" s="1"/>
  <c r="AA165" i="41" a="1"/>
  <c r="AA165" i="41" s="1"/>
  <c r="Z165" i="41" a="1"/>
  <c r="Z165" i="41" s="1"/>
  <c r="Y165" i="41" a="1"/>
  <c r="Y165" i="41" s="1"/>
  <c r="X165" i="41" a="1"/>
  <c r="X165" i="41" s="1"/>
  <c r="AU164" i="41" a="1"/>
  <c r="AU164" i="41" s="1"/>
  <c r="AT164" i="41" a="1"/>
  <c r="AT164" i="41" s="1"/>
  <c r="AS164" i="41" a="1"/>
  <c r="AS164" i="41" s="1"/>
  <c r="AR164" i="41" a="1"/>
  <c r="AR164" i="41" s="1"/>
  <c r="AQ164" i="41" a="1"/>
  <c r="AQ164" i="41" s="1"/>
  <c r="AP164" i="41" a="1"/>
  <c r="AP164" i="41" s="1"/>
  <c r="AO164" i="41" a="1"/>
  <c r="AO164" i="41" s="1"/>
  <c r="AN164" i="41" a="1"/>
  <c r="AN164" i="41" s="1"/>
  <c r="AM164" i="41" a="1"/>
  <c r="AM164" i="41" s="1"/>
  <c r="AL164" i="41" a="1"/>
  <c r="AL164" i="41" s="1"/>
  <c r="AK164" i="41" a="1"/>
  <c r="AK164" i="41" s="1"/>
  <c r="AJ164" i="41" a="1"/>
  <c r="AJ164" i="41" s="1"/>
  <c r="AI164" i="41" a="1"/>
  <c r="AI164" i="41" s="1"/>
  <c r="AH164" i="41" a="1"/>
  <c r="AH164" i="41" s="1"/>
  <c r="AG164" i="41" a="1"/>
  <c r="AG164" i="41" s="1"/>
  <c r="AF164" i="41" a="1"/>
  <c r="AF164" i="41" s="1"/>
  <c r="AE164" i="41" a="1"/>
  <c r="AE164" i="41" s="1"/>
  <c r="AD164" i="41" a="1"/>
  <c r="AD164" i="41" s="1"/>
  <c r="AC164" i="41" a="1"/>
  <c r="AC164" i="41" s="1"/>
  <c r="AB164" i="41" a="1"/>
  <c r="AB164" i="41" s="1"/>
  <c r="AA164" i="41" a="1"/>
  <c r="AA164" i="41" s="1"/>
  <c r="Z164" i="41" a="1"/>
  <c r="Z164" i="41" s="1"/>
  <c r="Y164" i="41" a="1"/>
  <c r="Y164" i="41" s="1"/>
  <c r="X164" i="41" a="1"/>
  <c r="X164" i="41" s="1"/>
  <c r="AU143" i="41" a="1"/>
  <c r="AU143" i="41" s="1"/>
  <c r="AT143" i="41" a="1"/>
  <c r="AT143" i="41" s="1"/>
  <c r="AS143" i="41" a="1"/>
  <c r="AS143" i="41" s="1"/>
  <c r="AR143" i="41" a="1"/>
  <c r="AR143" i="41" s="1"/>
  <c r="AQ143" i="41" a="1"/>
  <c r="AQ143" i="41" s="1"/>
  <c r="AP143" i="41" a="1"/>
  <c r="AP143" i="41" s="1"/>
  <c r="AO143" i="41" a="1"/>
  <c r="AO143" i="41" s="1"/>
  <c r="AN143" i="41" a="1"/>
  <c r="AN143" i="41" s="1"/>
  <c r="AM143" i="41" a="1"/>
  <c r="AM143" i="41" s="1"/>
  <c r="AL143" i="41" a="1"/>
  <c r="AL143" i="41" s="1"/>
  <c r="AK143" i="41" a="1"/>
  <c r="AK143" i="41" s="1"/>
  <c r="AJ143" i="41" a="1"/>
  <c r="AJ143" i="41" s="1"/>
  <c r="AI143" i="41" a="1"/>
  <c r="AI143" i="41" s="1"/>
  <c r="AH143" i="41" a="1"/>
  <c r="AH143" i="41" s="1"/>
  <c r="AG143" i="41" a="1"/>
  <c r="AG143" i="41" s="1"/>
  <c r="AF143" i="41" a="1"/>
  <c r="AF143" i="41" s="1"/>
  <c r="AE143" i="41" a="1"/>
  <c r="AE143" i="41" s="1"/>
  <c r="AD143" i="41" a="1"/>
  <c r="AD143" i="41" s="1"/>
  <c r="AC143" i="41" a="1"/>
  <c r="AC143" i="41" s="1"/>
  <c r="AB143" i="41" a="1"/>
  <c r="AB143" i="41" s="1"/>
  <c r="AA143" i="41" a="1"/>
  <c r="AA143" i="41" s="1"/>
  <c r="Z143" i="41" a="1"/>
  <c r="Z143" i="41" s="1"/>
  <c r="Y143" i="41" a="1"/>
  <c r="Y143" i="41" s="1"/>
  <c r="X143" i="41" a="1"/>
  <c r="X143" i="41" s="1"/>
  <c r="AU142" i="41" a="1"/>
  <c r="AU142" i="41" s="1"/>
  <c r="AT142" i="41" a="1"/>
  <c r="AT142" i="41" s="1"/>
  <c r="AS142" i="41" a="1"/>
  <c r="AS142" i="41" s="1"/>
  <c r="AR142" i="41" a="1"/>
  <c r="AR142" i="41" s="1"/>
  <c r="AQ142" i="41" a="1"/>
  <c r="AQ142" i="41" s="1"/>
  <c r="AP142" i="41" a="1"/>
  <c r="AP142" i="41" s="1"/>
  <c r="AO142" i="41" a="1"/>
  <c r="AO142" i="41" s="1"/>
  <c r="AN142" i="41" a="1"/>
  <c r="AN142" i="41" s="1"/>
  <c r="AM142" i="41" a="1"/>
  <c r="AM142" i="41" s="1"/>
  <c r="AL142" i="41" a="1"/>
  <c r="AL142" i="41" s="1"/>
  <c r="AK142" i="41" a="1"/>
  <c r="AK142" i="41" s="1"/>
  <c r="AJ142" i="41" a="1"/>
  <c r="AJ142" i="41" s="1"/>
  <c r="AI142" i="41" a="1"/>
  <c r="AI142" i="41" s="1"/>
  <c r="AH142" i="41" a="1"/>
  <c r="AH142" i="41" s="1"/>
  <c r="AG142" i="41" a="1"/>
  <c r="AG142" i="41" s="1"/>
  <c r="AF142" i="41" a="1"/>
  <c r="AF142" i="41" s="1"/>
  <c r="AE142" i="41" a="1"/>
  <c r="AE142" i="41" s="1"/>
  <c r="AD142" i="41" a="1"/>
  <c r="AD142" i="41" s="1"/>
  <c r="AC142" i="41" a="1"/>
  <c r="AC142" i="41" s="1"/>
  <c r="AB142" i="41" a="1"/>
  <c r="AB142" i="41" s="1"/>
  <c r="AA142" i="41" a="1"/>
  <c r="AA142" i="41" s="1"/>
  <c r="Z142" i="41" a="1"/>
  <c r="Z142" i="41" s="1"/>
  <c r="Y142" i="41" a="1"/>
  <c r="Y142" i="41" s="1"/>
  <c r="X142" i="41" a="1"/>
  <c r="X142" i="41" s="1"/>
  <c r="AU121" i="41" a="1"/>
  <c r="AU121" i="41" s="1"/>
  <c r="AT121" i="41" a="1"/>
  <c r="AT121" i="41" s="1"/>
  <c r="AS121" i="41" a="1"/>
  <c r="AS121" i="41" s="1"/>
  <c r="AR121" i="41" a="1"/>
  <c r="AR121" i="41" s="1"/>
  <c r="AQ121" i="41" a="1"/>
  <c r="AQ121" i="41" s="1"/>
  <c r="AP121" i="41" a="1"/>
  <c r="AP121" i="41" s="1"/>
  <c r="AO121" i="41" a="1"/>
  <c r="AO121" i="41" s="1"/>
  <c r="AN121" i="41" a="1"/>
  <c r="AN121" i="41" s="1"/>
  <c r="AM121" i="41" a="1"/>
  <c r="AM121" i="41" s="1"/>
  <c r="AL121" i="41" a="1"/>
  <c r="AL121" i="41" s="1"/>
  <c r="AK121" i="41" a="1"/>
  <c r="AK121" i="41" s="1"/>
  <c r="AJ121" i="41" a="1"/>
  <c r="AJ121" i="41" s="1"/>
  <c r="AI121" i="41" a="1"/>
  <c r="AI121" i="41" s="1"/>
  <c r="AH121" i="41" a="1"/>
  <c r="AH121" i="41" s="1"/>
  <c r="AG121" i="41" a="1"/>
  <c r="AG121" i="41" s="1"/>
  <c r="AF121" i="41" a="1"/>
  <c r="AF121" i="41" s="1"/>
  <c r="AE121" i="41" a="1"/>
  <c r="AE121" i="41" s="1"/>
  <c r="AD121" i="41" a="1"/>
  <c r="AD121" i="41" s="1"/>
  <c r="AC121" i="41" a="1"/>
  <c r="AC121" i="41" s="1"/>
  <c r="AB121" i="41" a="1"/>
  <c r="AB121" i="41" s="1"/>
  <c r="AA121" i="41" a="1"/>
  <c r="AA121" i="41" s="1"/>
  <c r="Z121" i="41" a="1"/>
  <c r="Z121" i="41" s="1"/>
  <c r="Y121" i="41" a="1"/>
  <c r="Y121" i="41" s="1"/>
  <c r="X121" i="41" a="1"/>
  <c r="X121" i="41" s="1"/>
  <c r="AU120" i="41" a="1"/>
  <c r="AU120" i="41" s="1"/>
  <c r="AT120" i="41" a="1"/>
  <c r="AT120" i="41" s="1"/>
  <c r="AS120" i="41" a="1"/>
  <c r="AS120" i="41" s="1"/>
  <c r="AR120" i="41" a="1"/>
  <c r="AR120" i="41" s="1"/>
  <c r="AQ120" i="41" a="1"/>
  <c r="AQ120" i="41" s="1"/>
  <c r="AP120" i="41" a="1"/>
  <c r="AP120" i="41" s="1"/>
  <c r="AO120" i="41" a="1"/>
  <c r="AO120" i="41" s="1"/>
  <c r="AN120" i="41" a="1"/>
  <c r="AN120" i="41" s="1"/>
  <c r="AM120" i="41" a="1"/>
  <c r="AM120" i="41" s="1"/>
  <c r="AL120" i="41" a="1"/>
  <c r="AL120" i="41" s="1"/>
  <c r="AK120" i="41" a="1"/>
  <c r="AK120" i="41" s="1"/>
  <c r="AI120" i="41" a="1"/>
  <c r="AI120" i="41" s="1"/>
  <c r="AH120" i="41" a="1"/>
  <c r="AH120" i="41" s="1"/>
  <c r="AG120" i="41" a="1"/>
  <c r="AG120" i="41" s="1"/>
  <c r="AF120" i="41" a="1"/>
  <c r="AF120" i="41" s="1"/>
  <c r="AE120" i="41" a="1"/>
  <c r="AE120" i="41" s="1"/>
  <c r="AD120" i="41" a="1"/>
  <c r="AD120" i="41" s="1"/>
  <c r="AC120" i="41" a="1"/>
  <c r="AC120" i="41" s="1"/>
  <c r="AB120" i="41" a="1"/>
  <c r="AB120" i="41" s="1"/>
  <c r="AA120" i="41" a="1"/>
  <c r="AA120" i="41" s="1"/>
  <c r="Z120" i="41" a="1"/>
  <c r="Z120" i="41" s="1"/>
  <c r="Y120" i="41" a="1"/>
  <c r="Y120" i="41" s="1"/>
  <c r="X120" i="41" a="1"/>
  <c r="X120" i="41" s="1"/>
  <c r="AU99" i="41" a="1"/>
  <c r="AU99" i="41" s="1"/>
  <c r="AT99" i="41" a="1"/>
  <c r="AT99" i="41" s="1"/>
  <c r="AS99" i="41" a="1"/>
  <c r="AS99" i="41" s="1"/>
  <c r="AR99" i="41" a="1"/>
  <c r="AR99" i="41" s="1"/>
  <c r="AQ99" i="41" a="1"/>
  <c r="AQ99" i="41" s="1"/>
  <c r="AP99" i="41" a="1"/>
  <c r="AP99" i="41" s="1"/>
  <c r="AO99" i="41" a="1"/>
  <c r="AO99" i="41" s="1"/>
  <c r="AN99" i="41" a="1"/>
  <c r="AN99" i="41" s="1"/>
  <c r="AM99" i="41" a="1"/>
  <c r="AM99" i="41" s="1"/>
  <c r="AL99" i="41" a="1"/>
  <c r="AL99" i="41" s="1"/>
  <c r="AK99" i="41" a="1"/>
  <c r="AK99" i="41" s="1"/>
  <c r="AJ99" i="41" a="1"/>
  <c r="AJ99" i="41" s="1"/>
  <c r="AI99" i="41" a="1"/>
  <c r="AI99" i="41" s="1"/>
  <c r="AH99" i="41" a="1"/>
  <c r="AH99" i="41" s="1"/>
  <c r="AG99" i="41" a="1"/>
  <c r="AG99" i="41" s="1"/>
  <c r="AF99" i="41" a="1"/>
  <c r="AF99" i="41" s="1"/>
  <c r="AE99" i="41" a="1"/>
  <c r="AE99" i="41" s="1"/>
  <c r="AD99" i="41" a="1"/>
  <c r="AD99" i="41" s="1"/>
  <c r="AC99" i="41" a="1"/>
  <c r="AC99" i="41" s="1"/>
  <c r="AB99" i="41" a="1"/>
  <c r="AB99" i="41" s="1"/>
  <c r="AA99" i="41" a="1"/>
  <c r="AA99" i="41" s="1"/>
  <c r="Z99" i="41" a="1"/>
  <c r="Z99" i="41" s="1"/>
  <c r="Y99" i="41" a="1"/>
  <c r="Y99" i="41" s="1"/>
  <c r="X99" i="41" a="1"/>
  <c r="X99" i="41" s="1"/>
  <c r="AU98" i="41" a="1"/>
  <c r="AU98" i="41" s="1"/>
  <c r="AT98" i="41" a="1"/>
  <c r="AT98" i="41" s="1"/>
  <c r="AS98" i="41" a="1"/>
  <c r="AS98" i="41" s="1"/>
  <c r="AR98" i="41" a="1"/>
  <c r="AR98" i="41" s="1"/>
  <c r="AQ98" i="41" a="1"/>
  <c r="AQ98" i="41" s="1"/>
  <c r="AP98" i="41" a="1"/>
  <c r="AP98" i="41" s="1"/>
  <c r="AO98" i="41" a="1"/>
  <c r="AO98" i="41" s="1"/>
  <c r="AN98" i="41" a="1"/>
  <c r="AN98" i="41" s="1"/>
  <c r="AM98" i="41" a="1"/>
  <c r="AM98" i="41" s="1"/>
  <c r="AL98" i="41" a="1"/>
  <c r="AL98" i="41" s="1"/>
  <c r="AK98" i="41" a="1"/>
  <c r="AK98" i="41" s="1"/>
  <c r="AJ98" i="41" a="1"/>
  <c r="AJ98" i="41" s="1"/>
  <c r="AI98" i="41" a="1"/>
  <c r="AI98" i="41" s="1"/>
  <c r="AH98" i="41" a="1"/>
  <c r="AH98" i="41" s="1"/>
  <c r="AG98" i="41" a="1"/>
  <c r="AG98" i="41" s="1"/>
  <c r="AF98" i="41" a="1"/>
  <c r="AF98" i="41" s="1"/>
  <c r="AE98" i="41" a="1"/>
  <c r="AE98" i="41" s="1"/>
  <c r="AD98" i="41" a="1"/>
  <c r="AD98" i="41" s="1"/>
  <c r="AC98" i="41" a="1"/>
  <c r="AC98" i="41" s="1"/>
  <c r="AB98" i="41" a="1"/>
  <c r="AB98" i="41" s="1"/>
  <c r="AA98" i="41" a="1"/>
  <c r="AA98" i="41" s="1"/>
  <c r="Z98" i="41" a="1"/>
  <c r="Z98" i="41" s="1"/>
  <c r="Y98" i="41" a="1"/>
  <c r="Y98" i="41" s="1"/>
  <c r="X98" i="41" a="1"/>
  <c r="X98" i="41" s="1"/>
  <c r="AU77" i="41" a="1"/>
  <c r="AU77" i="41" s="1"/>
  <c r="AT77" i="41" a="1"/>
  <c r="AT77" i="41" s="1"/>
  <c r="AS77" i="41" a="1"/>
  <c r="AS77" i="41" s="1"/>
  <c r="AR77" i="41" a="1"/>
  <c r="AR77" i="41" s="1"/>
  <c r="AQ77" i="41" a="1"/>
  <c r="AQ77" i="41" s="1"/>
  <c r="AP77" i="41" a="1"/>
  <c r="AP77" i="41" s="1"/>
  <c r="AO77" i="41" a="1"/>
  <c r="AO77" i="41" s="1"/>
  <c r="AN77" i="41" a="1"/>
  <c r="AN77" i="41" s="1"/>
  <c r="AM77" i="41" a="1"/>
  <c r="AM77" i="41" s="1"/>
  <c r="AL77" i="41" a="1"/>
  <c r="AL77" i="41" s="1"/>
  <c r="AK77" i="41" a="1"/>
  <c r="AK77" i="41" s="1"/>
  <c r="AJ77" i="41" a="1"/>
  <c r="AJ77" i="41" s="1"/>
  <c r="AI77" i="41" a="1"/>
  <c r="AI77" i="41" s="1"/>
  <c r="AH77" i="41" a="1"/>
  <c r="AH77" i="41" s="1"/>
  <c r="AG77" i="41" a="1"/>
  <c r="AG77" i="41" s="1"/>
  <c r="AF77" i="41" a="1"/>
  <c r="AF77" i="41" s="1"/>
  <c r="AE77" i="41" a="1"/>
  <c r="AE77" i="41" s="1"/>
  <c r="AD77" i="41" a="1"/>
  <c r="AD77" i="41" s="1"/>
  <c r="AC77" i="41" a="1"/>
  <c r="AC77" i="41" s="1"/>
  <c r="AB77" i="41" a="1"/>
  <c r="AB77" i="41" s="1"/>
  <c r="AA77" i="41" a="1"/>
  <c r="AA77" i="41" s="1"/>
  <c r="Z77" i="41" a="1"/>
  <c r="Z77" i="41" s="1"/>
  <c r="Y77" i="41" a="1"/>
  <c r="Y77" i="41" s="1"/>
  <c r="X77" i="41" a="1"/>
  <c r="X77" i="41" s="1"/>
  <c r="AU76" i="41" a="1"/>
  <c r="AU76" i="41" s="1"/>
  <c r="AT76" i="41" a="1"/>
  <c r="AT76" i="41" s="1"/>
  <c r="AS76" i="41" a="1"/>
  <c r="AS76" i="41" s="1"/>
  <c r="AR76" i="41" a="1"/>
  <c r="AR76" i="41" s="1"/>
  <c r="AQ76" i="41" a="1"/>
  <c r="AQ76" i="41" s="1"/>
  <c r="AP76" i="41" a="1"/>
  <c r="AP76" i="41" s="1"/>
  <c r="AO76" i="41" a="1"/>
  <c r="AO76" i="41" s="1"/>
  <c r="AN76" i="41" a="1"/>
  <c r="AN76" i="41" s="1"/>
  <c r="AM76" i="41" a="1"/>
  <c r="AM76" i="41" s="1"/>
  <c r="AL76" i="41" a="1"/>
  <c r="AL76" i="41" s="1"/>
  <c r="AK76" i="41" a="1"/>
  <c r="AK76" i="41" s="1"/>
  <c r="AJ76" i="41" a="1"/>
  <c r="AJ76" i="41" s="1"/>
  <c r="AI76" i="41" a="1"/>
  <c r="AI76" i="41" s="1"/>
  <c r="AH76" i="41" a="1"/>
  <c r="AH76" i="41" s="1"/>
  <c r="AG76" i="41" a="1"/>
  <c r="AG76" i="41" s="1"/>
  <c r="AF76" i="41" a="1"/>
  <c r="AF76" i="41" s="1"/>
  <c r="AE76" i="41" a="1"/>
  <c r="AE76" i="41" s="1"/>
  <c r="AD76" i="41" a="1"/>
  <c r="AD76" i="41" s="1"/>
  <c r="AC76" i="41" a="1"/>
  <c r="AC76" i="41" s="1"/>
  <c r="AB76" i="41" a="1"/>
  <c r="AB76" i="41" s="1"/>
  <c r="AA76" i="41" a="1"/>
  <c r="AA76" i="41" s="1"/>
  <c r="Z76" i="41" a="1"/>
  <c r="Z76" i="41" s="1"/>
  <c r="Y76" i="41" a="1"/>
  <c r="Y76" i="41" s="1"/>
  <c r="X76" i="41" a="1"/>
  <c r="X76" i="41" s="1"/>
  <c r="AU55" i="41" a="1"/>
  <c r="AU55" i="41" s="1"/>
  <c r="AT55" i="41" a="1"/>
  <c r="AT55" i="41" s="1"/>
  <c r="AS55" i="41" a="1"/>
  <c r="AS55" i="41" s="1"/>
  <c r="AR55" i="41" a="1"/>
  <c r="AR55" i="41" s="1"/>
  <c r="AQ55" i="41" a="1"/>
  <c r="AQ55" i="41" s="1"/>
  <c r="AP55" i="41" a="1"/>
  <c r="AP55" i="41" s="1"/>
  <c r="AO55" i="41" a="1"/>
  <c r="AO55" i="41" s="1"/>
  <c r="AN55" i="41" a="1"/>
  <c r="AN55" i="41" s="1"/>
  <c r="AM55" i="41" a="1"/>
  <c r="AM55" i="41" s="1"/>
  <c r="AL55" i="41" a="1"/>
  <c r="AL55" i="41" s="1"/>
  <c r="AK55" i="41" a="1"/>
  <c r="AK55" i="41" s="1"/>
  <c r="AJ55" i="41" a="1"/>
  <c r="AJ55" i="41" s="1"/>
  <c r="AI55" i="41" a="1"/>
  <c r="AI55" i="41" s="1"/>
  <c r="AH55" i="41" a="1"/>
  <c r="AH55" i="41" s="1"/>
  <c r="AG55" i="41" a="1"/>
  <c r="AG55" i="41" s="1"/>
  <c r="AF55" i="41" a="1"/>
  <c r="AF55" i="41" s="1"/>
  <c r="AE55" i="41" a="1"/>
  <c r="AE55" i="41" s="1"/>
  <c r="AD55" i="41" a="1"/>
  <c r="AD55" i="41" s="1"/>
  <c r="AC55" i="41" a="1"/>
  <c r="AC55" i="41" s="1"/>
  <c r="AB55" i="41" a="1"/>
  <c r="AB55" i="41" s="1"/>
  <c r="AA55" i="41" a="1"/>
  <c r="AA55" i="41" s="1"/>
  <c r="Z55" i="41" a="1"/>
  <c r="Z55" i="41" s="1"/>
  <c r="Y55" i="41" a="1"/>
  <c r="Y55" i="41" s="1"/>
  <c r="X55" i="41" a="1"/>
  <c r="X55" i="41" s="1"/>
  <c r="AU54" i="41" a="1"/>
  <c r="AU54" i="41" s="1"/>
  <c r="AT54" i="41" a="1"/>
  <c r="AT54" i="41" s="1"/>
  <c r="AS54" i="41" a="1"/>
  <c r="AS54" i="41" s="1"/>
  <c r="AR54" i="41" a="1"/>
  <c r="AR54" i="41" s="1"/>
  <c r="AQ54" i="41" a="1"/>
  <c r="AQ54" i="41" s="1"/>
  <c r="AP54" i="41" a="1"/>
  <c r="AP54" i="41" s="1"/>
  <c r="AO54" i="41" a="1"/>
  <c r="AO54" i="41" s="1"/>
  <c r="AN54" i="41" a="1"/>
  <c r="AN54" i="41" s="1"/>
  <c r="AM54" i="41" a="1"/>
  <c r="AM54" i="41" s="1"/>
  <c r="AL54" i="41" a="1"/>
  <c r="AL54" i="41" s="1"/>
  <c r="AK54" i="41" a="1"/>
  <c r="AK54" i="41" s="1"/>
  <c r="AJ54" i="41" a="1"/>
  <c r="AJ54" i="41" s="1"/>
  <c r="AI54" i="41" a="1"/>
  <c r="AI54" i="41" s="1"/>
  <c r="AH54" i="41" a="1"/>
  <c r="AH54" i="41" s="1"/>
  <c r="AG54" i="41" a="1"/>
  <c r="AG54" i="41" s="1"/>
  <c r="AF54" i="41" a="1"/>
  <c r="AF54" i="41" s="1"/>
  <c r="AE54" i="41" a="1"/>
  <c r="AE54" i="41" s="1"/>
  <c r="AD54" i="41" a="1"/>
  <c r="AD54" i="41" s="1"/>
  <c r="AC54" i="41" a="1"/>
  <c r="AC54" i="41" s="1"/>
  <c r="AB54" i="41" a="1"/>
  <c r="AB54" i="41" s="1"/>
  <c r="AA54" i="41" a="1"/>
  <c r="AA54" i="41" s="1"/>
  <c r="Z54" i="41" a="1"/>
  <c r="Z54" i="41" s="1"/>
  <c r="Y54" i="41" a="1"/>
  <c r="Y54" i="41" s="1"/>
  <c r="X54" i="41" a="1"/>
  <c r="X54" i="41" s="1"/>
  <c r="AU33" i="41" a="1"/>
  <c r="AU33" i="41" s="1"/>
  <c r="AT33" i="41" a="1"/>
  <c r="AT33" i="41" s="1"/>
  <c r="AS33" i="41" a="1"/>
  <c r="AS33" i="41" s="1"/>
  <c r="AR33" i="41" a="1"/>
  <c r="AR33" i="41" s="1"/>
  <c r="AQ33" i="41" a="1"/>
  <c r="AQ33" i="41" s="1"/>
  <c r="AP33" i="41" a="1"/>
  <c r="AP33" i="41" s="1"/>
  <c r="AO33" i="41" a="1"/>
  <c r="AO33" i="41" s="1"/>
  <c r="AN33" i="41" a="1"/>
  <c r="AN33" i="41" s="1"/>
  <c r="AM33" i="41" a="1"/>
  <c r="AM33" i="41" s="1"/>
  <c r="AL33" i="41" a="1"/>
  <c r="AL33" i="41" s="1"/>
  <c r="AK33" i="41" a="1"/>
  <c r="AK33" i="41" s="1"/>
  <c r="AJ33" i="41" a="1"/>
  <c r="AJ33" i="41" s="1"/>
  <c r="AI33" i="41" a="1"/>
  <c r="AI33" i="41" s="1"/>
  <c r="AH33" i="41" a="1"/>
  <c r="AH33" i="41" s="1"/>
  <c r="AG33" i="41" a="1"/>
  <c r="AG33" i="41" s="1"/>
  <c r="AF33" i="41" a="1"/>
  <c r="AF33" i="41" s="1"/>
  <c r="AE33" i="41" a="1"/>
  <c r="AE33" i="41" s="1"/>
  <c r="AD33" i="41" a="1"/>
  <c r="AD33" i="41" s="1"/>
  <c r="AC33" i="41" a="1"/>
  <c r="AC33" i="41" s="1"/>
  <c r="AB33" i="41" a="1"/>
  <c r="AB33" i="41" s="1"/>
  <c r="AA33" i="41" a="1"/>
  <c r="AA33" i="41" s="1"/>
  <c r="Z33" i="41" a="1"/>
  <c r="Z33" i="41" s="1"/>
  <c r="Y33" i="41" a="1"/>
  <c r="Y33" i="41" s="1"/>
  <c r="X33" i="41" a="1"/>
  <c r="X33" i="41" s="1"/>
  <c r="AU32" i="41" a="1"/>
  <c r="AU32" i="41" s="1"/>
  <c r="AT32" i="41" a="1"/>
  <c r="AT32" i="41" s="1"/>
  <c r="AS32" i="41" a="1"/>
  <c r="AS32" i="41" s="1"/>
  <c r="AR32" i="41" a="1"/>
  <c r="AR32" i="41" s="1"/>
  <c r="AQ32" i="41" a="1"/>
  <c r="AQ32" i="41" s="1"/>
  <c r="AP32" i="41" a="1"/>
  <c r="AP32" i="41" s="1"/>
  <c r="AO32" i="41" a="1"/>
  <c r="AO32" i="41" s="1"/>
  <c r="AN32" i="41" a="1"/>
  <c r="AN32" i="41" s="1"/>
  <c r="AM32" i="41" a="1"/>
  <c r="AM32" i="41" s="1"/>
  <c r="AL32" i="41" a="1"/>
  <c r="AL32" i="41" s="1"/>
  <c r="AK32" i="41" a="1"/>
  <c r="AK32" i="41" s="1"/>
  <c r="AJ32" i="41" a="1"/>
  <c r="AJ32" i="41" s="1"/>
  <c r="AI32" i="41" a="1"/>
  <c r="AI32" i="41" s="1"/>
  <c r="AH32" i="41" a="1"/>
  <c r="AH32" i="41" s="1"/>
  <c r="AG32" i="41" a="1"/>
  <c r="AG32" i="41" s="1"/>
  <c r="AF32" i="41" a="1"/>
  <c r="AF32" i="41" s="1"/>
  <c r="AE32" i="41" a="1"/>
  <c r="AE32" i="41" s="1"/>
  <c r="AD32" i="41" a="1"/>
  <c r="AD32" i="41" s="1"/>
  <c r="AC32" i="41" a="1"/>
  <c r="AC32" i="41" s="1"/>
  <c r="AB32" i="41" a="1"/>
  <c r="AB32" i="41" s="1"/>
  <c r="AA32" i="41" a="1"/>
  <c r="AA32" i="41" s="1"/>
  <c r="Z32" i="41" a="1"/>
  <c r="Z32" i="41" s="1"/>
  <c r="Y32" i="41" a="1"/>
  <c r="Y32" i="41" s="1"/>
  <c r="X32" i="41" a="1"/>
  <c r="X32" i="41" s="1"/>
  <c r="AU206" i="41"/>
  <c r="AT206" i="41"/>
  <c r="AS206" i="41"/>
  <c r="AR206" i="41"/>
  <c r="AQ206" i="41"/>
  <c r="AP206" i="41"/>
  <c r="AO206" i="41"/>
  <c r="AN206" i="41"/>
  <c r="AM206" i="41"/>
  <c r="AL206" i="41"/>
  <c r="AK206" i="41"/>
  <c r="AJ206" i="41"/>
  <c r="AI206" i="41"/>
  <c r="AH206" i="41"/>
  <c r="AG206" i="41"/>
  <c r="AF206" i="41"/>
  <c r="AE206" i="41"/>
  <c r="AD206" i="41"/>
  <c r="AC206" i="41"/>
  <c r="AB206" i="41"/>
  <c r="AA206" i="41"/>
  <c r="Z206" i="41"/>
  <c r="Y206" i="41"/>
  <c r="X206" i="41"/>
  <c r="AU184" i="41"/>
  <c r="AT184" i="41"/>
  <c r="AS184" i="41"/>
  <c r="AR184" i="41"/>
  <c r="AQ184" i="41"/>
  <c r="AP184" i="41"/>
  <c r="AO184" i="41"/>
  <c r="AN184" i="41"/>
  <c r="AM184" i="41"/>
  <c r="AL184" i="41"/>
  <c r="AK184" i="41"/>
  <c r="AJ184" i="41"/>
  <c r="AI184" i="41"/>
  <c r="AH184" i="41"/>
  <c r="AG184" i="41"/>
  <c r="AF184" i="41"/>
  <c r="AE184" i="41"/>
  <c r="AD184" i="41"/>
  <c r="AC184" i="41"/>
  <c r="AB184" i="41"/>
  <c r="AA184" i="41"/>
  <c r="Z184" i="41"/>
  <c r="Y184" i="41"/>
  <c r="X184" i="41"/>
  <c r="AU162" i="41"/>
  <c r="AT162" i="41"/>
  <c r="AS162" i="41"/>
  <c r="AR162" i="41"/>
  <c r="AQ162" i="41"/>
  <c r="AP162" i="41"/>
  <c r="AO162" i="41"/>
  <c r="AN162" i="41"/>
  <c r="AM162" i="41"/>
  <c r="AL162" i="41"/>
  <c r="AK162" i="41"/>
  <c r="AJ162" i="41"/>
  <c r="AI162" i="41"/>
  <c r="AH162" i="41"/>
  <c r="AG162" i="41"/>
  <c r="AF162" i="41"/>
  <c r="AE162" i="41"/>
  <c r="AD162" i="41"/>
  <c r="AC162" i="41"/>
  <c r="AB162" i="41"/>
  <c r="AA162" i="41"/>
  <c r="Z162" i="41"/>
  <c r="Y162" i="41"/>
  <c r="X162" i="41"/>
  <c r="AU140" i="41"/>
  <c r="AT140" i="41"/>
  <c r="AS140" i="41"/>
  <c r="AR140" i="41"/>
  <c r="AQ140" i="41"/>
  <c r="AP140" i="41"/>
  <c r="AO140" i="41"/>
  <c r="AN140" i="41"/>
  <c r="AM140" i="41"/>
  <c r="AL140" i="41"/>
  <c r="AK140" i="41"/>
  <c r="AJ140" i="41"/>
  <c r="AI140" i="41"/>
  <c r="AH140" i="41"/>
  <c r="AG140" i="41"/>
  <c r="AF140" i="41"/>
  <c r="AE140" i="41"/>
  <c r="AD140" i="41"/>
  <c r="AC140" i="41"/>
  <c r="AB140" i="41"/>
  <c r="AA140" i="41"/>
  <c r="Z140" i="41"/>
  <c r="Y140" i="41"/>
  <c r="X140" i="41"/>
  <c r="AU118" i="41"/>
  <c r="AT118" i="41"/>
  <c r="AS118" i="41"/>
  <c r="AR118" i="41"/>
  <c r="AQ118" i="41"/>
  <c r="AP118" i="41"/>
  <c r="AO118" i="41"/>
  <c r="AN118" i="41"/>
  <c r="AM118" i="41"/>
  <c r="AL118" i="41"/>
  <c r="AK118" i="41"/>
  <c r="AJ118" i="41"/>
  <c r="AI118" i="41"/>
  <c r="AH118" i="41"/>
  <c r="AG118" i="41"/>
  <c r="AF118" i="41"/>
  <c r="AE118" i="41"/>
  <c r="AD118" i="41"/>
  <c r="AC118" i="41"/>
  <c r="AB118" i="41"/>
  <c r="AA118" i="41"/>
  <c r="Z118" i="41"/>
  <c r="Y118" i="41"/>
  <c r="X118" i="41"/>
  <c r="AU96" i="41"/>
  <c r="AT96" i="41"/>
  <c r="AS96" i="41"/>
  <c r="AR96" i="41"/>
  <c r="AQ96" i="41"/>
  <c r="AP96" i="41"/>
  <c r="AO96" i="41"/>
  <c r="AN96" i="41"/>
  <c r="AM96" i="41"/>
  <c r="AL96" i="41"/>
  <c r="AK96" i="41"/>
  <c r="AJ96" i="41"/>
  <c r="AI96" i="41"/>
  <c r="AH96" i="41"/>
  <c r="AG96" i="41"/>
  <c r="AF96" i="41"/>
  <c r="AE96" i="41"/>
  <c r="AD96" i="41"/>
  <c r="AC96" i="41"/>
  <c r="AB96" i="41"/>
  <c r="AA96" i="41"/>
  <c r="Z96" i="41"/>
  <c r="Y96" i="41"/>
  <c r="X96" i="41"/>
  <c r="AU74" i="41"/>
  <c r="AT74" i="41"/>
  <c r="AS74" i="41"/>
  <c r="AR74" i="41"/>
  <c r="AQ74" i="41"/>
  <c r="AP74" i="41"/>
  <c r="AO74" i="41"/>
  <c r="AN74" i="41"/>
  <c r="AM74" i="41"/>
  <c r="AL74" i="41"/>
  <c r="AK74" i="41"/>
  <c r="AJ74" i="41"/>
  <c r="AI74" i="41"/>
  <c r="AH74" i="41"/>
  <c r="AG74" i="41"/>
  <c r="AF74" i="41"/>
  <c r="AE74" i="41"/>
  <c r="AD74" i="41"/>
  <c r="AC74" i="41"/>
  <c r="AB74" i="41"/>
  <c r="AA74" i="41"/>
  <c r="Z74" i="41"/>
  <c r="Y74" i="41"/>
  <c r="X74" i="41"/>
  <c r="AU52" i="41"/>
  <c r="AT52" i="41"/>
  <c r="AS52" i="41"/>
  <c r="AR52" i="41"/>
  <c r="AQ52" i="41"/>
  <c r="AP52" i="41"/>
  <c r="AO52" i="41"/>
  <c r="AN52" i="41"/>
  <c r="AM52" i="41"/>
  <c r="AL52" i="41"/>
  <c r="AK52" i="41"/>
  <c r="AJ52" i="41"/>
  <c r="AI52" i="41"/>
  <c r="AH52" i="41"/>
  <c r="AG52" i="41"/>
  <c r="AF52" i="41"/>
  <c r="AE52" i="41"/>
  <c r="AD52" i="41"/>
  <c r="AC52" i="41"/>
  <c r="AB52" i="41"/>
  <c r="AA52" i="41"/>
  <c r="Z52" i="41"/>
  <c r="Y52" i="41"/>
  <c r="X52" i="41"/>
  <c r="Y30" i="41"/>
  <c r="Z30" i="41"/>
  <c r="AA30" i="41"/>
  <c r="AB30" i="41"/>
  <c r="AC30" i="41"/>
  <c r="AD30" i="41"/>
  <c r="AE30" i="41"/>
  <c r="AF30" i="41"/>
  <c r="AG30" i="41"/>
  <c r="AH30" i="41"/>
  <c r="AI30" i="41"/>
  <c r="AJ30" i="41"/>
  <c r="AK30" i="41"/>
  <c r="AL30" i="41"/>
  <c r="AM30" i="41"/>
  <c r="AN30" i="41"/>
  <c r="AO30" i="41"/>
  <c r="AP30" i="41"/>
  <c r="AQ30" i="41"/>
  <c r="AR30" i="41"/>
  <c r="AS30" i="41"/>
  <c r="AT30" i="41"/>
  <c r="AU30" i="41"/>
  <c r="X30" i="41"/>
  <c r="AI10" i="41" a="1"/>
  <c r="AI10" i="41" s="1"/>
  <c r="AH10" i="41" a="1"/>
  <c r="AH10" i="41" s="1"/>
  <c r="AG10" i="41" a="1"/>
  <c r="AG10" i="41" s="1"/>
  <c r="AF10" i="41" a="1"/>
  <c r="AF10" i="41" s="1"/>
  <c r="AE10" i="41" a="1"/>
  <c r="AE10" i="41" s="1"/>
  <c r="AD10" i="41" a="1"/>
  <c r="AD10" i="41" s="1"/>
  <c r="AC10" i="41" a="1"/>
  <c r="AC10" i="41" s="1"/>
  <c r="AB10" i="41" a="1"/>
  <c r="AB10" i="41" s="1"/>
  <c r="AA10" i="41" a="1"/>
  <c r="AA10" i="41" s="1"/>
  <c r="Z10" i="41" a="1"/>
  <c r="Z10" i="41" s="1"/>
  <c r="Y10" i="41" a="1"/>
  <c r="Y10" i="41" s="1"/>
  <c r="X10" i="41" a="1"/>
  <c r="X10" i="41" s="1"/>
  <c r="AK10" i="41" a="1"/>
  <c r="AK10" i="41" s="1"/>
  <c r="AL10" i="41" a="1"/>
  <c r="AL10" i="41" s="1"/>
  <c r="AM10" i="41" a="1"/>
  <c r="AM10" i="41" s="1"/>
  <c r="AN10" i="41" a="1"/>
  <c r="AN10" i="41" s="1"/>
  <c r="AO10" i="41" a="1"/>
  <c r="AO10" i="41"/>
  <c r="AP10" i="41" a="1"/>
  <c r="AP10" i="41" s="1"/>
  <c r="AQ10" i="41" a="1"/>
  <c r="AQ10" i="41" s="1"/>
  <c r="AR10" i="41" a="1"/>
  <c r="AR10" i="41" s="1"/>
  <c r="AS10" i="41" a="1"/>
  <c r="AS10" i="41" s="1"/>
  <c r="AT10" i="41" a="1"/>
  <c r="AT10" i="41" s="1"/>
  <c r="AU10" i="41" a="1"/>
  <c r="AU10" i="41" s="1"/>
  <c r="AJ10" i="41" a="1"/>
  <c r="AJ10" i="41" s="1"/>
  <c r="E173" i="63"/>
  <c r="E154" i="63" s="1"/>
  <c r="F173" i="63"/>
  <c r="F154" i="63" s="1"/>
  <c r="G173" i="63"/>
  <c r="G154" i="63" s="1"/>
  <c r="H173" i="63"/>
  <c r="H154" i="63" s="1"/>
  <c r="I173" i="63"/>
  <c r="I154" i="63" s="1"/>
  <c r="J173" i="63"/>
  <c r="K173" i="63"/>
  <c r="L173" i="63"/>
  <c r="M173" i="63"/>
  <c r="N173" i="63"/>
  <c r="O173" i="63"/>
  <c r="P173" i="63"/>
  <c r="D152" i="63"/>
  <c r="E171" i="63"/>
  <c r="E152" i="63" s="1"/>
  <c r="F171" i="63"/>
  <c r="F152" i="63" s="1"/>
  <c r="G171" i="63"/>
  <c r="G152" i="63" s="1"/>
  <c r="H171" i="63"/>
  <c r="H152" i="63" s="1"/>
  <c r="I171" i="63"/>
  <c r="I152" i="63" s="1"/>
  <c r="J171" i="63"/>
  <c r="J152" i="63" s="1"/>
  <c r="K171" i="63"/>
  <c r="K152" i="63" s="1"/>
  <c r="L171" i="63"/>
  <c r="L152" i="63" s="1"/>
  <c r="M171" i="63"/>
  <c r="M152" i="63" s="1"/>
  <c r="N171" i="63"/>
  <c r="N152" i="63" s="1"/>
  <c r="O171" i="63"/>
  <c r="O152" i="63" s="1"/>
  <c r="P171" i="63"/>
  <c r="P152" i="63" s="1"/>
  <c r="E168" i="63"/>
  <c r="E149" i="63" s="1"/>
  <c r="F168" i="63"/>
  <c r="F149" i="63" s="1"/>
  <c r="G168" i="63"/>
  <c r="G149" i="63" s="1"/>
  <c r="H168" i="63"/>
  <c r="H149" i="63" s="1"/>
  <c r="I168" i="63"/>
  <c r="I149" i="63" s="1"/>
  <c r="J168" i="63"/>
  <c r="J149" i="63" s="1"/>
  <c r="K168" i="63"/>
  <c r="K149" i="63" s="1"/>
  <c r="L168" i="63"/>
  <c r="L149" i="63" s="1"/>
  <c r="M168" i="63"/>
  <c r="M149" i="63" s="1"/>
  <c r="N168" i="63"/>
  <c r="N149" i="63" s="1"/>
  <c r="O168" i="63"/>
  <c r="O149" i="63" s="1"/>
  <c r="P168" i="63"/>
  <c r="P149" i="63" s="1"/>
  <c r="D143" i="63"/>
  <c r="E162" i="63"/>
  <c r="E143" i="63" s="1"/>
  <c r="F162" i="63"/>
  <c r="F143" i="63" s="1"/>
  <c r="G162" i="63"/>
  <c r="G143" i="63" s="1"/>
  <c r="H162" i="63"/>
  <c r="H143" i="63" s="1"/>
  <c r="I162" i="63"/>
  <c r="I143" i="63" s="1"/>
  <c r="J162" i="63"/>
  <c r="J143" i="63" s="1"/>
  <c r="K162" i="63"/>
  <c r="K143" i="63" s="1"/>
  <c r="L162" i="63"/>
  <c r="M162" i="63"/>
  <c r="N162" i="63"/>
  <c r="O162" i="63"/>
  <c r="P162" i="63"/>
  <c r="P174" i="63"/>
  <c r="O174" i="63"/>
  <c r="N174" i="63"/>
  <c r="M174" i="63"/>
  <c r="L174" i="63"/>
  <c r="K174" i="63"/>
  <c r="J174" i="63"/>
  <c r="I174" i="63"/>
  <c r="H174" i="63"/>
  <c r="G174" i="63"/>
  <c r="F174" i="63"/>
  <c r="E174" i="63"/>
  <c r="P172" i="63"/>
  <c r="P153" i="63" s="1"/>
  <c r="O172" i="63"/>
  <c r="O153" i="63" s="1"/>
  <c r="N172" i="63"/>
  <c r="N153" i="63" s="1"/>
  <c r="M172" i="63"/>
  <c r="M153" i="63" s="1"/>
  <c r="L172" i="63"/>
  <c r="L153" i="63" s="1"/>
  <c r="K172" i="63"/>
  <c r="K153" i="63" s="1"/>
  <c r="J172" i="63"/>
  <c r="J153" i="63" s="1"/>
  <c r="I172" i="63"/>
  <c r="I153" i="63" s="1"/>
  <c r="H172" i="63"/>
  <c r="H153" i="63" s="1"/>
  <c r="G172" i="63"/>
  <c r="G153" i="63" s="1"/>
  <c r="F172" i="63"/>
  <c r="F153" i="63" s="1"/>
  <c r="E172" i="63"/>
  <c r="E153" i="63" s="1"/>
  <c r="D153" i="63"/>
  <c r="P170" i="63"/>
  <c r="O170" i="63"/>
  <c r="N170" i="63"/>
  <c r="M170" i="63"/>
  <c r="M151" i="63" s="1"/>
  <c r="L170" i="63"/>
  <c r="L151" i="63" s="1"/>
  <c r="K170" i="63"/>
  <c r="K151" i="63" s="1"/>
  <c r="J170" i="63"/>
  <c r="J151" i="63" s="1"/>
  <c r="I170" i="63"/>
  <c r="I151" i="63" s="1"/>
  <c r="H170" i="63"/>
  <c r="H151" i="63" s="1"/>
  <c r="G170" i="63"/>
  <c r="G151" i="63" s="1"/>
  <c r="F170" i="63"/>
  <c r="F151" i="63" s="1"/>
  <c r="E170" i="63"/>
  <c r="E151" i="63" s="1"/>
  <c r="D151" i="63"/>
  <c r="P169" i="63"/>
  <c r="P150" i="63" s="1"/>
  <c r="O169" i="63"/>
  <c r="O150" i="63" s="1"/>
  <c r="N169" i="63"/>
  <c r="N150" i="63" s="1"/>
  <c r="M169" i="63"/>
  <c r="M150" i="63" s="1"/>
  <c r="L169" i="63"/>
  <c r="L150" i="63" s="1"/>
  <c r="K169" i="63"/>
  <c r="K150" i="63" s="1"/>
  <c r="J169" i="63"/>
  <c r="J150" i="63" s="1"/>
  <c r="I169" i="63"/>
  <c r="I150" i="63" s="1"/>
  <c r="H169" i="63"/>
  <c r="H150" i="63" s="1"/>
  <c r="G169" i="63"/>
  <c r="G150" i="63" s="1"/>
  <c r="F169" i="63"/>
  <c r="F150" i="63" s="1"/>
  <c r="E169" i="63"/>
  <c r="E150" i="63" s="1"/>
  <c r="D150" i="63"/>
  <c r="P167" i="63"/>
  <c r="P148" i="63" s="1"/>
  <c r="O167" i="63"/>
  <c r="O148" i="63" s="1"/>
  <c r="N167" i="63"/>
  <c r="N148" i="63" s="1"/>
  <c r="M167" i="63"/>
  <c r="M148" i="63" s="1"/>
  <c r="L167" i="63"/>
  <c r="L148" i="63" s="1"/>
  <c r="K167" i="63"/>
  <c r="K148" i="63" s="1"/>
  <c r="J167" i="63"/>
  <c r="J148" i="63" s="1"/>
  <c r="I167" i="63"/>
  <c r="I148" i="63" s="1"/>
  <c r="H167" i="63"/>
  <c r="H148" i="63" s="1"/>
  <c r="G167" i="63"/>
  <c r="G148" i="63" s="1"/>
  <c r="F167" i="63"/>
  <c r="F148" i="63" s="1"/>
  <c r="E167" i="63"/>
  <c r="E148" i="63" s="1"/>
  <c r="D148" i="63"/>
  <c r="P166" i="63"/>
  <c r="O166" i="63"/>
  <c r="N166" i="63"/>
  <c r="M166" i="63"/>
  <c r="L166" i="63"/>
  <c r="K166" i="63"/>
  <c r="K147" i="63" s="1"/>
  <c r="J166" i="63"/>
  <c r="J147" i="63" s="1"/>
  <c r="I166" i="63"/>
  <c r="I147" i="63" s="1"/>
  <c r="H166" i="63"/>
  <c r="H147" i="63" s="1"/>
  <c r="G166" i="63"/>
  <c r="G147" i="63" s="1"/>
  <c r="F166" i="63"/>
  <c r="F147" i="63" s="1"/>
  <c r="E166" i="63"/>
  <c r="E147" i="63" s="1"/>
  <c r="D147" i="63"/>
  <c r="P165" i="63"/>
  <c r="P146" i="63" s="1"/>
  <c r="O165" i="63"/>
  <c r="O146" i="63" s="1"/>
  <c r="N165" i="63"/>
  <c r="N146" i="63" s="1"/>
  <c r="M165" i="63"/>
  <c r="M146" i="63" s="1"/>
  <c r="L165" i="63"/>
  <c r="L146" i="63" s="1"/>
  <c r="K165" i="63"/>
  <c r="K146" i="63" s="1"/>
  <c r="J165" i="63"/>
  <c r="J146" i="63" s="1"/>
  <c r="I165" i="63"/>
  <c r="I146" i="63" s="1"/>
  <c r="H165" i="63"/>
  <c r="H146" i="63" s="1"/>
  <c r="G165" i="63"/>
  <c r="G146" i="63" s="1"/>
  <c r="F165" i="63"/>
  <c r="F146" i="63" s="1"/>
  <c r="E165" i="63"/>
  <c r="E146" i="63" s="1"/>
  <c r="D146" i="63"/>
  <c r="P164" i="63"/>
  <c r="P145" i="63" s="1"/>
  <c r="O164" i="63"/>
  <c r="O145" i="63" s="1"/>
  <c r="N164" i="63"/>
  <c r="N145" i="63" s="1"/>
  <c r="M164" i="63"/>
  <c r="M145" i="63" s="1"/>
  <c r="L164" i="63"/>
  <c r="L145" i="63" s="1"/>
  <c r="K164" i="63"/>
  <c r="K145" i="63" s="1"/>
  <c r="J164" i="63"/>
  <c r="J145" i="63" s="1"/>
  <c r="I164" i="63"/>
  <c r="I145" i="63" s="1"/>
  <c r="H164" i="63"/>
  <c r="H145" i="63" s="1"/>
  <c r="G164" i="63"/>
  <c r="G145" i="63" s="1"/>
  <c r="F164" i="63"/>
  <c r="F145" i="63" s="1"/>
  <c r="E164" i="63"/>
  <c r="E145" i="63" s="1"/>
  <c r="D145" i="63"/>
  <c r="P163" i="63"/>
  <c r="P144" i="63" s="1"/>
  <c r="O163" i="63"/>
  <c r="O144" i="63" s="1"/>
  <c r="N163" i="63"/>
  <c r="N144" i="63" s="1"/>
  <c r="M163" i="63"/>
  <c r="M144" i="63" s="1"/>
  <c r="L163" i="63"/>
  <c r="L144" i="63" s="1"/>
  <c r="K163" i="63"/>
  <c r="K144" i="63" s="1"/>
  <c r="J163" i="63"/>
  <c r="J144" i="63" s="1"/>
  <c r="I163" i="63"/>
  <c r="I144" i="63" s="1"/>
  <c r="H163" i="63"/>
  <c r="H144" i="63" s="1"/>
  <c r="G163" i="63"/>
  <c r="G144" i="63" s="1"/>
  <c r="F163" i="63"/>
  <c r="F144" i="63" s="1"/>
  <c r="E163" i="63"/>
  <c r="E144" i="63" s="1"/>
  <c r="D144" i="63"/>
  <c r="P161" i="63"/>
  <c r="O161" i="63"/>
  <c r="N161" i="63"/>
  <c r="M161" i="63"/>
  <c r="L161" i="63"/>
  <c r="K161" i="63"/>
  <c r="K142" i="63" s="1"/>
  <c r="J161" i="63"/>
  <c r="J142" i="63" s="1"/>
  <c r="I161" i="63"/>
  <c r="I142" i="63" s="1"/>
  <c r="H161" i="63"/>
  <c r="H142" i="63" s="1"/>
  <c r="G161" i="63"/>
  <c r="G142" i="63" s="1"/>
  <c r="F161" i="63"/>
  <c r="F142" i="63" s="1"/>
  <c r="E161" i="63"/>
  <c r="E142" i="63" s="1"/>
  <c r="D142" i="63"/>
  <c r="F75" i="41"/>
  <c r="E206" i="31"/>
  <c r="F206" i="31"/>
  <c r="G206" i="31"/>
  <c r="H206" i="31"/>
  <c r="I206" i="31"/>
  <c r="J206" i="31"/>
  <c r="K206" i="31"/>
  <c r="L206" i="31"/>
  <c r="M206" i="31"/>
  <c r="N206" i="31"/>
  <c r="O206" i="31"/>
  <c r="P206" i="31"/>
  <c r="E197" i="31"/>
  <c r="F197" i="31"/>
  <c r="G197" i="31"/>
  <c r="H197" i="31"/>
  <c r="I197" i="31"/>
  <c r="J197" i="31"/>
  <c r="K197" i="31"/>
  <c r="L197" i="31"/>
  <c r="M197" i="31"/>
  <c r="N197" i="31"/>
  <c r="O197" i="31"/>
  <c r="P197" i="31"/>
  <c r="E183" i="31"/>
  <c r="E147" i="31" s="1"/>
  <c r="F183" i="31"/>
  <c r="F147" i="31" s="1"/>
  <c r="G183" i="31"/>
  <c r="G147" i="31" s="1"/>
  <c r="H183" i="31"/>
  <c r="H147" i="31" s="1"/>
  <c r="I183" i="31"/>
  <c r="I147" i="31" s="1"/>
  <c r="J183" i="31"/>
  <c r="J147" i="31" s="1"/>
  <c r="K183" i="31"/>
  <c r="K147" i="31" s="1"/>
  <c r="L183" i="31"/>
  <c r="L147" i="31" s="1"/>
  <c r="M183" i="31"/>
  <c r="M147" i="31" s="1"/>
  <c r="N183" i="31"/>
  <c r="N147" i="31" s="1"/>
  <c r="O183" i="31"/>
  <c r="O147" i="31" s="1"/>
  <c r="P183" i="31"/>
  <c r="P147" i="31" s="1"/>
  <c r="E184" i="31"/>
  <c r="E148" i="31" s="1"/>
  <c r="F184" i="31"/>
  <c r="F148" i="31" s="1"/>
  <c r="G184" i="31"/>
  <c r="G148" i="31" s="1"/>
  <c r="H184" i="31"/>
  <c r="H148" i="31" s="1"/>
  <c r="I184" i="31"/>
  <c r="I148" i="31" s="1"/>
  <c r="J184" i="31"/>
  <c r="J148" i="31" s="1"/>
  <c r="K184" i="31"/>
  <c r="K148" i="31" s="1"/>
  <c r="L184" i="31"/>
  <c r="L148" i="31" s="1"/>
  <c r="M184" i="31"/>
  <c r="M148" i="31" s="1"/>
  <c r="N184" i="31"/>
  <c r="N148" i="31" s="1"/>
  <c r="O184" i="31"/>
  <c r="O148" i="31" s="1"/>
  <c r="P184" i="31"/>
  <c r="P148" i="31" s="1"/>
  <c r="E185" i="31"/>
  <c r="E149" i="31" s="1"/>
  <c r="F185" i="31"/>
  <c r="F149" i="31" s="1"/>
  <c r="G185" i="31"/>
  <c r="G149" i="31" s="1"/>
  <c r="H185" i="31"/>
  <c r="H149" i="31" s="1"/>
  <c r="I185" i="31"/>
  <c r="I149" i="31" s="1"/>
  <c r="J185" i="31"/>
  <c r="J149" i="31" s="1"/>
  <c r="K185" i="31"/>
  <c r="K149" i="31" s="1"/>
  <c r="L185" i="31"/>
  <c r="L149" i="31" s="1"/>
  <c r="M185" i="31"/>
  <c r="M149" i="31" s="1"/>
  <c r="N185" i="31"/>
  <c r="N149" i="31" s="1"/>
  <c r="O185" i="31"/>
  <c r="O149" i="31" s="1"/>
  <c r="P185" i="31"/>
  <c r="P149" i="31" s="1"/>
  <c r="E186" i="31"/>
  <c r="E150" i="31" s="1"/>
  <c r="F186" i="31"/>
  <c r="F150" i="31" s="1"/>
  <c r="G186" i="31"/>
  <c r="G150" i="31" s="1"/>
  <c r="H186" i="31"/>
  <c r="H150" i="31" s="1"/>
  <c r="I186" i="31"/>
  <c r="I150" i="31" s="1"/>
  <c r="J186" i="31"/>
  <c r="J150" i="31" s="1"/>
  <c r="K186" i="31"/>
  <c r="K150" i="31" s="1"/>
  <c r="L186" i="31"/>
  <c r="L150" i="31" s="1"/>
  <c r="M186" i="31"/>
  <c r="M150" i="31" s="1"/>
  <c r="N186" i="31"/>
  <c r="N150" i="31" s="1"/>
  <c r="O186" i="31"/>
  <c r="O150" i="31" s="1"/>
  <c r="P186" i="31"/>
  <c r="P150" i="31" s="1"/>
  <c r="E187" i="31"/>
  <c r="E151" i="31" s="1"/>
  <c r="F187" i="31"/>
  <c r="F151" i="31" s="1"/>
  <c r="G187" i="31"/>
  <c r="G151" i="31" s="1"/>
  <c r="H187" i="31"/>
  <c r="H151" i="31" s="1"/>
  <c r="I187" i="31"/>
  <c r="I151" i="31" s="1"/>
  <c r="J187" i="31"/>
  <c r="J151" i="31" s="1"/>
  <c r="K187" i="31"/>
  <c r="K151" i="31" s="1"/>
  <c r="L187" i="31"/>
  <c r="L151" i="31" s="1"/>
  <c r="M187" i="31"/>
  <c r="M151" i="31" s="1"/>
  <c r="N187" i="31"/>
  <c r="N151" i="31" s="1"/>
  <c r="O187" i="31"/>
  <c r="O151" i="31" s="1"/>
  <c r="P187" i="31"/>
  <c r="P151" i="31" s="1"/>
  <c r="E188" i="31"/>
  <c r="E152" i="31" s="1"/>
  <c r="F188" i="31"/>
  <c r="F152" i="31" s="1"/>
  <c r="G188" i="31"/>
  <c r="G152" i="31" s="1"/>
  <c r="H188" i="31"/>
  <c r="H152" i="31" s="1"/>
  <c r="I188" i="31"/>
  <c r="I152" i="31" s="1"/>
  <c r="J188" i="31"/>
  <c r="J152" i="31" s="1"/>
  <c r="K188" i="31"/>
  <c r="K152" i="31" s="1"/>
  <c r="L188" i="31"/>
  <c r="L152" i="31" s="1"/>
  <c r="M188" i="31"/>
  <c r="M152" i="31" s="1"/>
  <c r="N188" i="31"/>
  <c r="N152" i="31" s="1"/>
  <c r="O188" i="31"/>
  <c r="O152" i="31" s="1"/>
  <c r="P188" i="31"/>
  <c r="P152" i="31" s="1"/>
  <c r="E189" i="31"/>
  <c r="E153" i="31" s="1"/>
  <c r="F189" i="31"/>
  <c r="F153" i="31" s="1"/>
  <c r="G189" i="31"/>
  <c r="G153" i="31" s="1"/>
  <c r="H189" i="31"/>
  <c r="H153" i="31" s="1"/>
  <c r="I189" i="31"/>
  <c r="I153" i="31" s="1"/>
  <c r="J189" i="31"/>
  <c r="J153" i="31" s="1"/>
  <c r="K189" i="31"/>
  <c r="K153" i="31" s="1"/>
  <c r="L189" i="31"/>
  <c r="L153" i="31" s="1"/>
  <c r="M189" i="31"/>
  <c r="M153" i="31" s="1"/>
  <c r="N189" i="31"/>
  <c r="N153" i="31" s="1"/>
  <c r="O189" i="31"/>
  <c r="O153" i="31" s="1"/>
  <c r="P189" i="31"/>
  <c r="P153" i="31" s="1"/>
  <c r="E191" i="31"/>
  <c r="E155" i="31" s="1"/>
  <c r="F191" i="31"/>
  <c r="F155" i="31" s="1"/>
  <c r="G191" i="31"/>
  <c r="G155" i="31" s="1"/>
  <c r="H191" i="31"/>
  <c r="H155" i="31" s="1"/>
  <c r="I191" i="31"/>
  <c r="I155" i="31" s="1"/>
  <c r="J191" i="31"/>
  <c r="J155" i="31" s="1"/>
  <c r="K191" i="31"/>
  <c r="K155" i="31" s="1"/>
  <c r="L191" i="31"/>
  <c r="L155" i="31" s="1"/>
  <c r="M191" i="31"/>
  <c r="M155" i="31" s="1"/>
  <c r="N191" i="31"/>
  <c r="N155" i="31" s="1"/>
  <c r="O191" i="31"/>
  <c r="O155" i="31" s="1"/>
  <c r="P191" i="31"/>
  <c r="P155" i="31" s="1"/>
  <c r="E192" i="31"/>
  <c r="E156" i="31" s="1"/>
  <c r="F192" i="31"/>
  <c r="F156" i="31" s="1"/>
  <c r="G192" i="31"/>
  <c r="G156" i="31" s="1"/>
  <c r="H192" i="31"/>
  <c r="H156" i="31" s="1"/>
  <c r="I192" i="31"/>
  <c r="I156" i="31" s="1"/>
  <c r="J192" i="31"/>
  <c r="J156" i="31" s="1"/>
  <c r="K192" i="31"/>
  <c r="K156" i="31" s="1"/>
  <c r="L192" i="31"/>
  <c r="L156" i="31" s="1"/>
  <c r="M192" i="31"/>
  <c r="M156" i="31" s="1"/>
  <c r="N192" i="31"/>
  <c r="N156" i="31" s="1"/>
  <c r="O192" i="31"/>
  <c r="O156" i="31" s="1"/>
  <c r="P192" i="31"/>
  <c r="P156" i="31" s="1"/>
  <c r="E193" i="31"/>
  <c r="E157" i="31" s="1"/>
  <c r="F193" i="31"/>
  <c r="F157" i="31" s="1"/>
  <c r="G193" i="31"/>
  <c r="G157" i="31" s="1"/>
  <c r="H193" i="31"/>
  <c r="H157" i="31" s="1"/>
  <c r="I193" i="31"/>
  <c r="I157" i="31" s="1"/>
  <c r="J193" i="31"/>
  <c r="J157" i="31" s="1"/>
  <c r="K193" i="31"/>
  <c r="K157" i="31" s="1"/>
  <c r="L193" i="31"/>
  <c r="L157" i="31" s="1"/>
  <c r="M193" i="31"/>
  <c r="M157" i="31" s="1"/>
  <c r="N193" i="31"/>
  <c r="N157" i="31" s="1"/>
  <c r="O193" i="31"/>
  <c r="O157" i="31" s="1"/>
  <c r="P193" i="31"/>
  <c r="P157" i="31" s="1"/>
  <c r="E194" i="31"/>
  <c r="E158" i="31" s="1"/>
  <c r="F194" i="31"/>
  <c r="F158" i="31" s="1"/>
  <c r="G194" i="31"/>
  <c r="G158" i="31" s="1"/>
  <c r="H194" i="31"/>
  <c r="H158" i="31" s="1"/>
  <c r="I194" i="31"/>
  <c r="I158" i="31" s="1"/>
  <c r="J194" i="31"/>
  <c r="J158" i="31" s="1"/>
  <c r="K194" i="31"/>
  <c r="K158" i="31" s="1"/>
  <c r="L194" i="31"/>
  <c r="L158" i="31" s="1"/>
  <c r="M194" i="31"/>
  <c r="M158" i="31" s="1"/>
  <c r="N194" i="31"/>
  <c r="N158" i="31" s="1"/>
  <c r="O194" i="31"/>
  <c r="O158" i="31" s="1"/>
  <c r="P194" i="31"/>
  <c r="P158" i="31" s="1"/>
  <c r="E195" i="31"/>
  <c r="E159" i="31" s="1"/>
  <c r="F195" i="31"/>
  <c r="F159" i="31" s="1"/>
  <c r="G195" i="31"/>
  <c r="G159" i="31" s="1"/>
  <c r="H195" i="31"/>
  <c r="H159" i="31" s="1"/>
  <c r="I195" i="31"/>
  <c r="I159" i="31" s="1"/>
  <c r="J195" i="31"/>
  <c r="J159" i="31" s="1"/>
  <c r="K195" i="31"/>
  <c r="K159" i="31" s="1"/>
  <c r="L195" i="31"/>
  <c r="L159" i="31" s="1"/>
  <c r="M195" i="31"/>
  <c r="M159" i="31" s="1"/>
  <c r="N195" i="31"/>
  <c r="N159" i="31" s="1"/>
  <c r="O195" i="31"/>
  <c r="O159" i="31" s="1"/>
  <c r="P195" i="31"/>
  <c r="P159" i="31" s="1"/>
  <c r="E196" i="31"/>
  <c r="E160" i="31" s="1"/>
  <c r="F196" i="31"/>
  <c r="F160" i="31" s="1"/>
  <c r="G196" i="31"/>
  <c r="G160" i="31" s="1"/>
  <c r="H196" i="31"/>
  <c r="H160" i="31" s="1"/>
  <c r="I196" i="31"/>
  <c r="I160" i="31" s="1"/>
  <c r="J196" i="31"/>
  <c r="J160" i="31" s="1"/>
  <c r="K196" i="31"/>
  <c r="K160" i="31" s="1"/>
  <c r="L196" i="31"/>
  <c r="L160" i="31" s="1"/>
  <c r="M196" i="31"/>
  <c r="M160" i="31" s="1"/>
  <c r="N196" i="31"/>
  <c r="N160" i="31" s="1"/>
  <c r="O196" i="31"/>
  <c r="O160" i="31" s="1"/>
  <c r="P196" i="31"/>
  <c r="P160" i="31" s="1"/>
  <c r="E198" i="31"/>
  <c r="E162" i="31" s="1"/>
  <c r="F198" i="31"/>
  <c r="F162" i="31" s="1"/>
  <c r="G198" i="31"/>
  <c r="G162" i="31" s="1"/>
  <c r="H198" i="31"/>
  <c r="H162" i="31" s="1"/>
  <c r="I198" i="31"/>
  <c r="I162" i="31" s="1"/>
  <c r="J198" i="31"/>
  <c r="J162" i="31" s="1"/>
  <c r="K198" i="31"/>
  <c r="K162" i="31" s="1"/>
  <c r="L198" i="31"/>
  <c r="L162" i="31" s="1"/>
  <c r="M198" i="31"/>
  <c r="M162" i="31" s="1"/>
  <c r="N198" i="31"/>
  <c r="N162" i="31" s="1"/>
  <c r="O198" i="31"/>
  <c r="O162" i="31" s="1"/>
  <c r="P198" i="31"/>
  <c r="P162" i="31" s="1"/>
  <c r="E199" i="31"/>
  <c r="E163" i="31" s="1"/>
  <c r="F199" i="31"/>
  <c r="F163" i="31" s="1"/>
  <c r="G199" i="31"/>
  <c r="G163" i="31" s="1"/>
  <c r="H199" i="31"/>
  <c r="H163" i="31" s="1"/>
  <c r="I199" i="31"/>
  <c r="I163" i="31" s="1"/>
  <c r="J199" i="31"/>
  <c r="J163" i="31" s="1"/>
  <c r="K199" i="31"/>
  <c r="K163" i="31" s="1"/>
  <c r="L199" i="31"/>
  <c r="L163" i="31" s="1"/>
  <c r="M199" i="31"/>
  <c r="M163" i="31" s="1"/>
  <c r="N199" i="31"/>
  <c r="N163" i="31" s="1"/>
  <c r="O199" i="31"/>
  <c r="O163" i="31" s="1"/>
  <c r="P199" i="31"/>
  <c r="P163" i="31" s="1"/>
  <c r="E200" i="31"/>
  <c r="E164" i="31" s="1"/>
  <c r="F200" i="31"/>
  <c r="F164" i="31" s="1"/>
  <c r="G200" i="31"/>
  <c r="G164" i="31" s="1"/>
  <c r="H200" i="31"/>
  <c r="H164" i="31" s="1"/>
  <c r="I200" i="31"/>
  <c r="I164" i="31" s="1"/>
  <c r="J200" i="31"/>
  <c r="J164" i="31" s="1"/>
  <c r="K200" i="31"/>
  <c r="K164" i="31" s="1"/>
  <c r="L200" i="31"/>
  <c r="L164" i="31" s="1"/>
  <c r="M200" i="31"/>
  <c r="M164" i="31" s="1"/>
  <c r="N200" i="31"/>
  <c r="N164" i="31" s="1"/>
  <c r="O200" i="31"/>
  <c r="O164" i="31" s="1"/>
  <c r="P200" i="31"/>
  <c r="P164" i="31" s="1"/>
  <c r="E201" i="31"/>
  <c r="E165" i="31" s="1"/>
  <c r="F201" i="31"/>
  <c r="F165" i="31" s="1"/>
  <c r="G201" i="31"/>
  <c r="G165" i="31" s="1"/>
  <c r="H201" i="31"/>
  <c r="H165" i="31" s="1"/>
  <c r="I201" i="31"/>
  <c r="I165" i="31" s="1"/>
  <c r="J201" i="31"/>
  <c r="J165" i="31" s="1"/>
  <c r="K201" i="31"/>
  <c r="K165" i="31" s="1"/>
  <c r="L201" i="31"/>
  <c r="L165" i="31" s="1"/>
  <c r="M201" i="31"/>
  <c r="M165" i="31" s="1"/>
  <c r="N201" i="31"/>
  <c r="O201" i="31"/>
  <c r="P201" i="31"/>
  <c r="E202" i="31"/>
  <c r="E166" i="31" s="1"/>
  <c r="F202" i="31"/>
  <c r="F166" i="31" s="1"/>
  <c r="G202" i="31"/>
  <c r="G166" i="31" s="1"/>
  <c r="H202" i="31"/>
  <c r="H166" i="31" s="1"/>
  <c r="I202" i="31"/>
  <c r="I166" i="31" s="1"/>
  <c r="J202" i="31"/>
  <c r="J166" i="31" s="1"/>
  <c r="K202" i="31"/>
  <c r="K166" i="31" s="1"/>
  <c r="L202" i="31"/>
  <c r="L166" i="31" s="1"/>
  <c r="M202" i="31"/>
  <c r="N202" i="31"/>
  <c r="O202" i="31"/>
  <c r="P202" i="31"/>
  <c r="E203" i="31"/>
  <c r="E167" i="31" s="1"/>
  <c r="F203" i="31"/>
  <c r="F167" i="31" s="1"/>
  <c r="G203" i="31"/>
  <c r="G167" i="31" s="1"/>
  <c r="H203" i="31"/>
  <c r="H167" i="31" s="1"/>
  <c r="I203" i="31"/>
  <c r="I167" i="31" s="1"/>
  <c r="J203" i="31"/>
  <c r="J167" i="31" s="1"/>
  <c r="K203" i="31"/>
  <c r="K167" i="31" s="1"/>
  <c r="L203" i="31"/>
  <c r="L167" i="31" s="1"/>
  <c r="M203" i="31"/>
  <c r="M167" i="31" s="1"/>
  <c r="N203" i="31"/>
  <c r="N167" i="31" s="1"/>
  <c r="O203" i="31"/>
  <c r="O167" i="31" s="1"/>
  <c r="P203" i="31"/>
  <c r="P167" i="31" s="1"/>
  <c r="E204" i="31"/>
  <c r="E168" i="31" s="1"/>
  <c r="F204" i="31"/>
  <c r="F168" i="31" s="1"/>
  <c r="G204" i="31"/>
  <c r="G168" i="31" s="1"/>
  <c r="H204" i="31"/>
  <c r="H168" i="31" s="1"/>
  <c r="I204" i="31"/>
  <c r="I168" i="31" s="1"/>
  <c r="J204" i="31"/>
  <c r="J168" i="31" s="1"/>
  <c r="K204" i="31"/>
  <c r="K168" i="31" s="1"/>
  <c r="L204" i="31"/>
  <c r="L168" i="31" s="1"/>
  <c r="M204" i="31"/>
  <c r="M168" i="31" s="1"/>
  <c r="N204" i="31"/>
  <c r="N168" i="31" s="1"/>
  <c r="O204" i="31"/>
  <c r="O168" i="31" s="1"/>
  <c r="P204" i="31"/>
  <c r="P168" i="31" s="1"/>
  <c r="E205" i="31"/>
  <c r="E169" i="31" s="1"/>
  <c r="F205" i="31"/>
  <c r="F169" i="31" s="1"/>
  <c r="G205" i="31"/>
  <c r="G169" i="31" s="1"/>
  <c r="H205" i="31"/>
  <c r="H169" i="31" s="1"/>
  <c r="I205" i="31"/>
  <c r="I169" i="31" s="1"/>
  <c r="J205" i="31"/>
  <c r="J169" i="31" s="1"/>
  <c r="K205" i="31"/>
  <c r="K169" i="31" s="1"/>
  <c r="L205" i="31"/>
  <c r="L169" i="31" s="1"/>
  <c r="M205" i="31"/>
  <c r="M169" i="31" s="1"/>
  <c r="N205" i="31"/>
  <c r="N169" i="31" s="1"/>
  <c r="O205" i="31"/>
  <c r="O169" i="31" s="1"/>
  <c r="P205" i="31"/>
  <c r="P169" i="31" s="1"/>
  <c r="E207" i="31"/>
  <c r="E171" i="31" s="1"/>
  <c r="F207" i="31"/>
  <c r="F171" i="31" s="1"/>
  <c r="G207" i="31"/>
  <c r="G171" i="31" s="1"/>
  <c r="H207" i="31"/>
  <c r="H171" i="31" s="1"/>
  <c r="I207" i="31"/>
  <c r="I171" i="31" s="1"/>
  <c r="J207" i="31"/>
  <c r="J171" i="31" s="1"/>
  <c r="K207" i="31"/>
  <c r="K171" i="31" s="1"/>
  <c r="L207" i="31"/>
  <c r="M207" i="31"/>
  <c r="N207" i="31"/>
  <c r="O207" i="31"/>
  <c r="P207" i="31"/>
  <c r="E208" i="31"/>
  <c r="E172" i="31" s="1"/>
  <c r="F208" i="31"/>
  <c r="F172" i="31" s="1"/>
  <c r="G208" i="31"/>
  <c r="G172" i="31" s="1"/>
  <c r="H208" i="31"/>
  <c r="H172" i="31" s="1"/>
  <c r="I208" i="31"/>
  <c r="I172" i="31" s="1"/>
  <c r="J208" i="31"/>
  <c r="J172" i="31" s="1"/>
  <c r="K208" i="31"/>
  <c r="K172" i="31" s="1"/>
  <c r="L208" i="31"/>
  <c r="L172" i="31" s="1"/>
  <c r="M208" i="31"/>
  <c r="M172" i="31" s="1"/>
  <c r="N208" i="31"/>
  <c r="N172" i="31" s="1"/>
  <c r="O208" i="31"/>
  <c r="O172" i="31" s="1"/>
  <c r="P208" i="31"/>
  <c r="P172" i="31" s="1"/>
  <c r="E209" i="31"/>
  <c r="E173" i="31" s="1"/>
  <c r="F209" i="31"/>
  <c r="F173" i="31" s="1"/>
  <c r="G209" i="31"/>
  <c r="G173" i="31" s="1"/>
  <c r="H209" i="31"/>
  <c r="H173" i="31" s="1"/>
  <c r="I209" i="31"/>
  <c r="I173" i="31" s="1"/>
  <c r="J209" i="31"/>
  <c r="J173" i="31" s="1"/>
  <c r="K209" i="31"/>
  <c r="K173" i="31" s="1"/>
  <c r="L209" i="31"/>
  <c r="L173" i="31" s="1"/>
  <c r="M209" i="31"/>
  <c r="M173" i="31" s="1"/>
  <c r="N209" i="31"/>
  <c r="N173" i="31" s="1"/>
  <c r="O209" i="31"/>
  <c r="O173" i="31" s="1"/>
  <c r="P209" i="31"/>
  <c r="P173" i="31" s="1"/>
  <c r="E190" i="31"/>
  <c r="E154" i="31" s="1"/>
  <c r="F190" i="31"/>
  <c r="F154" i="31" s="1"/>
  <c r="G190" i="31"/>
  <c r="G154" i="31" s="1"/>
  <c r="H190" i="31"/>
  <c r="H154" i="31" s="1"/>
  <c r="I190" i="31"/>
  <c r="I154" i="31" s="1"/>
  <c r="J190" i="31"/>
  <c r="J154" i="31" s="1"/>
  <c r="K190" i="31"/>
  <c r="K154" i="31" s="1"/>
  <c r="L190" i="31"/>
  <c r="L154" i="31" s="1"/>
  <c r="M190" i="31"/>
  <c r="N190" i="31"/>
  <c r="O190" i="31"/>
  <c r="P190" i="31"/>
  <c r="P211" i="31"/>
  <c r="O211" i="31"/>
  <c r="N211" i="31"/>
  <c r="M211" i="31"/>
  <c r="L211" i="31"/>
  <c r="K211" i="31"/>
  <c r="K175" i="31" s="1"/>
  <c r="J211" i="31"/>
  <c r="J175" i="31" s="1"/>
  <c r="I211" i="31"/>
  <c r="I175" i="31" s="1"/>
  <c r="H211" i="31"/>
  <c r="H175" i="31" s="1"/>
  <c r="G211" i="31"/>
  <c r="G175" i="31" s="1"/>
  <c r="F211" i="31"/>
  <c r="F175" i="31" s="1"/>
  <c r="E211" i="31"/>
  <c r="E175" i="31" s="1"/>
  <c r="P210" i="31"/>
  <c r="O210" i="31"/>
  <c r="N210" i="31"/>
  <c r="M210" i="31"/>
  <c r="L210" i="31"/>
  <c r="K210" i="31"/>
  <c r="J210" i="31"/>
  <c r="I210" i="31"/>
  <c r="H210" i="31"/>
  <c r="G210" i="31"/>
  <c r="G174" i="31" s="1"/>
  <c r="F210" i="31"/>
  <c r="F174" i="31" s="1"/>
  <c r="E210" i="31"/>
  <c r="E174" i="31" s="1"/>
  <c r="P182" i="31"/>
  <c r="O182" i="31"/>
  <c r="N182" i="31"/>
  <c r="M182" i="31"/>
  <c r="M146" i="31" s="1"/>
  <c r="L182" i="31"/>
  <c r="L146" i="31" s="1"/>
  <c r="K182" i="31"/>
  <c r="K146" i="31" s="1"/>
  <c r="J182" i="31"/>
  <c r="J146" i="31" s="1"/>
  <c r="I182" i="31"/>
  <c r="I146" i="31" s="1"/>
  <c r="H182" i="31"/>
  <c r="H146" i="31" s="1"/>
  <c r="G182" i="31"/>
  <c r="G146" i="31" s="1"/>
  <c r="F182" i="31"/>
  <c r="F146" i="31" s="1"/>
  <c r="E182" i="31"/>
  <c r="E146" i="31" s="1"/>
  <c r="P181" i="31"/>
  <c r="O181" i="31"/>
  <c r="N181" i="31"/>
  <c r="M181" i="31"/>
  <c r="L181" i="31"/>
  <c r="K181" i="31"/>
  <c r="J181" i="31"/>
  <c r="J145" i="31" s="1"/>
  <c r="I181" i="31"/>
  <c r="I145" i="31" s="1"/>
  <c r="H181" i="31"/>
  <c r="H145" i="31" s="1"/>
  <c r="G181" i="31"/>
  <c r="G145" i="31" s="1"/>
  <c r="F181" i="31"/>
  <c r="F145" i="31" s="1"/>
  <c r="E181" i="31"/>
  <c r="E145" i="31" s="1"/>
  <c r="F160" i="8"/>
  <c r="G160" i="8"/>
  <c r="H160" i="8"/>
  <c r="I160" i="8"/>
  <c r="J160" i="8"/>
  <c r="K160" i="8"/>
  <c r="L160" i="8"/>
  <c r="M160" i="8"/>
  <c r="N160" i="8"/>
  <c r="O160" i="8"/>
  <c r="P160" i="8"/>
  <c r="F161" i="8"/>
  <c r="G161" i="8"/>
  <c r="H161" i="8"/>
  <c r="I161" i="8"/>
  <c r="J161" i="8"/>
  <c r="K161" i="8"/>
  <c r="L161" i="8"/>
  <c r="M161" i="8"/>
  <c r="N161" i="8"/>
  <c r="O161" i="8"/>
  <c r="P161" i="8"/>
  <c r="F162" i="8"/>
  <c r="G162" i="8"/>
  <c r="H162" i="8"/>
  <c r="I162" i="8"/>
  <c r="J162" i="8"/>
  <c r="K162" i="8"/>
  <c r="L162" i="8"/>
  <c r="M162" i="8"/>
  <c r="N162" i="8"/>
  <c r="O162" i="8"/>
  <c r="P162" i="8"/>
  <c r="F163" i="8"/>
  <c r="G163" i="8"/>
  <c r="H163" i="8"/>
  <c r="I163" i="8"/>
  <c r="J163" i="8"/>
  <c r="K163" i="8"/>
  <c r="L163" i="8"/>
  <c r="M163" i="8"/>
  <c r="N163" i="8"/>
  <c r="O163" i="8"/>
  <c r="P163" i="8"/>
  <c r="F164" i="8"/>
  <c r="G164" i="8"/>
  <c r="H164" i="8"/>
  <c r="I164" i="8"/>
  <c r="J164" i="8"/>
  <c r="K164" i="8"/>
  <c r="L164" i="8"/>
  <c r="M164" i="8"/>
  <c r="N164" i="8"/>
  <c r="O164" i="8"/>
  <c r="P164" i="8"/>
  <c r="F165" i="8"/>
  <c r="G165" i="8"/>
  <c r="H165" i="8"/>
  <c r="I165" i="8"/>
  <c r="J165" i="8"/>
  <c r="K165" i="8"/>
  <c r="L165" i="8"/>
  <c r="M165" i="8"/>
  <c r="N165" i="8"/>
  <c r="O165" i="8"/>
  <c r="P165" i="8"/>
  <c r="F166" i="8"/>
  <c r="G166" i="8"/>
  <c r="H166" i="8"/>
  <c r="I166" i="8"/>
  <c r="J166" i="8"/>
  <c r="K166" i="8"/>
  <c r="L166" i="8"/>
  <c r="M166" i="8"/>
  <c r="N166" i="8"/>
  <c r="O166" i="8"/>
  <c r="P166" i="8"/>
  <c r="F167" i="8"/>
  <c r="G167" i="8"/>
  <c r="H167" i="8"/>
  <c r="I167" i="8"/>
  <c r="J167" i="8"/>
  <c r="K167" i="8"/>
  <c r="L167" i="8"/>
  <c r="M167" i="8"/>
  <c r="N167" i="8"/>
  <c r="O167" i="8"/>
  <c r="P167" i="8"/>
  <c r="F168" i="8"/>
  <c r="G168" i="8"/>
  <c r="H168" i="8"/>
  <c r="I168" i="8"/>
  <c r="J168" i="8"/>
  <c r="K168" i="8"/>
  <c r="L168" i="8"/>
  <c r="M168" i="8"/>
  <c r="N168" i="8"/>
  <c r="O168" i="8"/>
  <c r="P168" i="8"/>
  <c r="F169" i="8"/>
  <c r="G169" i="8"/>
  <c r="H169" i="8"/>
  <c r="I169" i="8"/>
  <c r="J169" i="8"/>
  <c r="K169" i="8"/>
  <c r="L169" i="8"/>
  <c r="M169" i="8"/>
  <c r="N169" i="8"/>
  <c r="O169" i="8"/>
  <c r="P169" i="8"/>
  <c r="F170" i="8"/>
  <c r="G170" i="8"/>
  <c r="H170" i="8"/>
  <c r="I170" i="8"/>
  <c r="J170" i="8"/>
  <c r="K170" i="8"/>
  <c r="L170" i="8"/>
  <c r="M170" i="8"/>
  <c r="N170" i="8"/>
  <c r="O170" i="8"/>
  <c r="P170" i="8"/>
  <c r="F171" i="8"/>
  <c r="G171" i="8"/>
  <c r="H171" i="8"/>
  <c r="I171" i="8"/>
  <c r="J171" i="8"/>
  <c r="K171" i="8"/>
  <c r="L171" i="8"/>
  <c r="M171" i="8"/>
  <c r="N171" i="8"/>
  <c r="O171" i="8"/>
  <c r="P171" i="8"/>
  <c r="F172" i="8"/>
  <c r="G172" i="8"/>
  <c r="H172" i="8"/>
  <c r="I172" i="8"/>
  <c r="J172" i="8"/>
  <c r="K172" i="8"/>
  <c r="L172" i="8"/>
  <c r="M172" i="8"/>
  <c r="N172" i="8"/>
  <c r="O172" i="8"/>
  <c r="P172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53" i="6"/>
  <c r="F153" i="6"/>
  <c r="F143" i="6" s="1"/>
  <c r="G153" i="6"/>
  <c r="G143" i="6" s="1"/>
  <c r="H153" i="6"/>
  <c r="H143" i="6" s="1"/>
  <c r="I153" i="6"/>
  <c r="I143" i="6" s="1"/>
  <c r="J153" i="6"/>
  <c r="K153" i="6"/>
  <c r="L153" i="6"/>
  <c r="M153" i="6"/>
  <c r="O153" i="6"/>
  <c r="P153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E155" i="6"/>
  <c r="F155" i="6"/>
  <c r="G155" i="6"/>
  <c r="H155" i="6"/>
  <c r="I155" i="6"/>
  <c r="J155" i="6"/>
  <c r="L155" i="6"/>
  <c r="M155" i="6"/>
  <c r="N155" i="6"/>
  <c r="O155" i="6"/>
  <c r="P155" i="6"/>
  <c r="E156" i="6"/>
  <c r="E146" i="6" s="1"/>
  <c r="F156" i="6"/>
  <c r="F146" i="6" s="1"/>
  <c r="G156" i="6"/>
  <c r="G146" i="6" s="1"/>
  <c r="H156" i="6"/>
  <c r="H146" i="6" s="1"/>
  <c r="I156" i="6"/>
  <c r="I146" i="6" s="1"/>
  <c r="J156" i="6"/>
  <c r="J146" i="6" s="1"/>
  <c r="K156" i="6"/>
  <c r="K146" i="6" s="1"/>
  <c r="L156" i="6"/>
  <c r="L146" i="6" s="1"/>
  <c r="M156" i="6"/>
  <c r="M146" i="6" s="1"/>
  <c r="N156" i="6"/>
  <c r="N146" i="6" s="1"/>
  <c r="O156" i="6"/>
  <c r="O146" i="6" s="1"/>
  <c r="P156" i="6"/>
  <c r="P146" i="6" s="1"/>
  <c r="F152" i="6"/>
  <c r="F142" i="6" s="1"/>
  <c r="G152" i="6"/>
  <c r="G142" i="6" s="1"/>
  <c r="H152" i="6"/>
  <c r="H142" i="6" s="1"/>
  <c r="I152" i="6"/>
  <c r="I142" i="6" s="1"/>
  <c r="J152" i="6"/>
  <c r="J142" i="6" s="1"/>
  <c r="K152" i="6"/>
  <c r="K142" i="6" s="1"/>
  <c r="L152" i="6"/>
  <c r="L142" i="6" s="1"/>
  <c r="M152" i="6"/>
  <c r="N152" i="6"/>
  <c r="N142" i="6" s="1"/>
  <c r="O152" i="6"/>
  <c r="O142" i="6" s="1"/>
  <c r="P152" i="6"/>
  <c r="P142" i="6" s="1"/>
  <c r="E152" i="6"/>
  <c r="E142" i="6" s="1"/>
  <c r="D161" i="8"/>
  <c r="D143" i="8" s="1"/>
  <c r="D162" i="8"/>
  <c r="D144" i="8" s="1"/>
  <c r="D163" i="8"/>
  <c r="D145" i="8" s="1"/>
  <c r="D164" i="8"/>
  <c r="D146" i="8" s="1"/>
  <c r="D165" i="8"/>
  <c r="D147" i="8" s="1"/>
  <c r="D166" i="8"/>
  <c r="D148" i="8" s="1"/>
  <c r="D167" i="8"/>
  <c r="D149" i="8" s="1"/>
  <c r="D168" i="8"/>
  <c r="D150" i="8" s="1"/>
  <c r="D169" i="8"/>
  <c r="D151" i="8" s="1"/>
  <c r="D170" i="8"/>
  <c r="D152" i="8" s="1"/>
  <c r="D171" i="8"/>
  <c r="D153" i="8" s="1"/>
  <c r="D172" i="8"/>
  <c r="D154" i="8" s="1"/>
  <c r="D160" i="8"/>
  <c r="D142" i="8" s="1"/>
  <c r="E204" i="41" a="1"/>
  <c r="E204" i="41" s="1"/>
  <c r="P10" i="22"/>
  <c r="O10" i="22"/>
  <c r="N10" i="22"/>
  <c r="M10" i="22"/>
  <c r="L10" i="22"/>
  <c r="K10" i="22"/>
  <c r="J10" i="22"/>
  <c r="I10" i="22"/>
  <c r="H10" i="22"/>
  <c r="G10" i="22"/>
  <c r="F10" i="22"/>
  <c r="E10" i="22"/>
  <c r="P10" i="6"/>
  <c r="O10" i="6"/>
  <c r="N10" i="6"/>
  <c r="M10" i="6"/>
  <c r="L10" i="6"/>
  <c r="K10" i="6"/>
  <c r="J10" i="6"/>
  <c r="I10" i="6"/>
  <c r="H10" i="6"/>
  <c r="G10" i="6"/>
  <c r="F10" i="6"/>
  <c r="E10" i="6"/>
  <c r="P247" i="31" l="1"/>
  <c r="L247" i="31"/>
  <c r="M247" i="31"/>
  <c r="M175" i="31" s="1"/>
  <c r="O247" i="31"/>
  <c r="O175" i="31" s="1"/>
  <c r="N247" i="31"/>
  <c r="L180" i="63"/>
  <c r="N180" i="63"/>
  <c r="N142" i="63" s="1"/>
  <c r="M180" i="63"/>
  <c r="M142" i="63" s="1"/>
  <c r="P180" i="63"/>
  <c r="P142" i="63" s="1"/>
  <c r="O180" i="63"/>
  <c r="O142" i="63" s="1"/>
  <c r="N175" i="31"/>
  <c r="L246" i="31"/>
  <c r="L174" i="31" s="1"/>
  <c r="O246" i="31"/>
  <c r="O174" i="31" s="1"/>
  <c r="M246" i="31"/>
  <c r="M174" i="31" s="1"/>
  <c r="H246" i="31"/>
  <c r="P246" i="31"/>
  <c r="P174" i="31" s="1"/>
  <c r="J246" i="31"/>
  <c r="J174" i="31" s="1"/>
  <c r="K246" i="31"/>
  <c r="K174" i="31" s="1"/>
  <c r="I246" i="31"/>
  <c r="I174" i="31" s="1"/>
  <c r="N246" i="31"/>
  <c r="N174" i="31" s="1"/>
  <c r="N164" i="6"/>
  <c r="N144" i="6" s="1"/>
  <c r="G164" i="6"/>
  <c r="G144" i="6" s="1"/>
  <c r="M164" i="6"/>
  <c r="M144" i="6" s="1"/>
  <c r="F164" i="6"/>
  <c r="F144" i="6" s="1"/>
  <c r="E164" i="6"/>
  <c r="E144" i="6" s="1"/>
  <c r="O164" i="6"/>
  <c r="O144" i="6" s="1"/>
  <c r="K164" i="6"/>
  <c r="K144" i="6" s="1"/>
  <c r="I164" i="6"/>
  <c r="J164" i="6"/>
  <c r="P164" i="6"/>
  <c r="P144" i="6" s="1"/>
  <c r="L164" i="6"/>
  <c r="L144" i="6" s="1"/>
  <c r="H164" i="6"/>
  <c r="H144" i="6" s="1"/>
  <c r="O181" i="63"/>
  <c r="O143" i="63" s="1"/>
  <c r="M181" i="63"/>
  <c r="M143" i="63" s="1"/>
  <c r="P181" i="63"/>
  <c r="P143" i="63" s="1"/>
  <c r="N181" i="63"/>
  <c r="N143" i="63" s="1"/>
  <c r="L181" i="63"/>
  <c r="L143" i="63" s="1"/>
  <c r="O243" i="31"/>
  <c r="O171" i="31" s="1"/>
  <c r="N243" i="31"/>
  <c r="N171" i="31" s="1"/>
  <c r="P243" i="31"/>
  <c r="P171" i="31" s="1"/>
  <c r="L243" i="31"/>
  <c r="M243" i="31"/>
  <c r="M171" i="31" s="1"/>
  <c r="H165" i="6"/>
  <c r="H145" i="6" s="1"/>
  <c r="M165" i="6"/>
  <c r="M145" i="6" s="1"/>
  <c r="O165" i="6"/>
  <c r="O145" i="6" s="1"/>
  <c r="I165" i="6"/>
  <c r="I145" i="6" s="1"/>
  <c r="G165" i="6"/>
  <c r="G145" i="6" s="1"/>
  <c r="E165" i="6"/>
  <c r="E145" i="6" s="1"/>
  <c r="K165" i="6"/>
  <c r="K145" i="6" s="1"/>
  <c r="F165" i="6"/>
  <c r="F145" i="6" s="1"/>
  <c r="J165" i="6"/>
  <c r="J145" i="6" s="1"/>
  <c r="N165" i="6"/>
  <c r="N145" i="6" s="1"/>
  <c r="P165" i="6"/>
  <c r="P145" i="6" s="1"/>
  <c r="L165" i="6"/>
  <c r="L145" i="6" s="1"/>
  <c r="G242" i="31"/>
  <c r="G170" i="31" s="1"/>
  <c r="I242" i="31"/>
  <c r="I170" i="31" s="1"/>
  <c r="M242" i="31"/>
  <c r="M170" i="31" s="1"/>
  <c r="H242" i="31"/>
  <c r="H170" i="31" s="1"/>
  <c r="O242" i="31"/>
  <c r="O170" i="31" s="1"/>
  <c r="J242" i="31"/>
  <c r="J170" i="31" s="1"/>
  <c r="K242" i="31"/>
  <c r="K170" i="31" s="1"/>
  <c r="L242" i="31"/>
  <c r="L170" i="31" s="1"/>
  <c r="F242" i="31"/>
  <c r="F170" i="31" s="1"/>
  <c r="E242" i="31"/>
  <c r="P242" i="31"/>
  <c r="P170" i="31" s="1"/>
  <c r="N242" i="31"/>
  <c r="N170" i="31" s="1"/>
  <c r="P175" i="31"/>
  <c r="P238" i="31"/>
  <c r="P166" i="31" s="1"/>
  <c r="M238" i="31"/>
  <c r="N238" i="31"/>
  <c r="N166" i="31" s="1"/>
  <c r="O238" i="31"/>
  <c r="O166" i="31" s="1"/>
  <c r="L175" i="31"/>
  <c r="N237" i="31"/>
  <c r="O237" i="31"/>
  <c r="O165" i="31" s="1"/>
  <c r="P237" i="31"/>
  <c r="P165" i="31" s="1"/>
  <c r="L233" i="31"/>
  <c r="L161" i="31" s="1"/>
  <c r="H233" i="31"/>
  <c r="H161" i="31" s="1"/>
  <c r="J233" i="31"/>
  <c r="J161" i="31" s="1"/>
  <c r="F233" i="31"/>
  <c r="F161" i="31" s="1"/>
  <c r="E233" i="31"/>
  <c r="P233" i="31"/>
  <c r="P161" i="31" s="1"/>
  <c r="O233" i="31"/>
  <c r="O161" i="31" s="1"/>
  <c r="M233" i="31"/>
  <c r="M161" i="31" s="1"/>
  <c r="K233" i="31"/>
  <c r="K161" i="31" s="1"/>
  <c r="N233" i="31"/>
  <c r="N161" i="31" s="1"/>
  <c r="G233" i="31"/>
  <c r="G161" i="31" s="1"/>
  <c r="I233" i="31"/>
  <c r="M185" i="63"/>
  <c r="M147" i="63" s="1"/>
  <c r="O185" i="63"/>
  <c r="O147" i="63" s="1"/>
  <c r="L185" i="63"/>
  <c r="L147" i="63" s="1"/>
  <c r="N185" i="63"/>
  <c r="N147" i="63" s="1"/>
  <c r="P185" i="63"/>
  <c r="P147" i="63" s="1"/>
  <c r="N163" i="6"/>
  <c r="N143" i="6" s="1"/>
  <c r="K163" i="6"/>
  <c r="K143" i="6" s="1"/>
  <c r="M163" i="6"/>
  <c r="M143" i="6" s="1"/>
  <c r="L163" i="6"/>
  <c r="L143" i="6" s="1"/>
  <c r="O163" i="6"/>
  <c r="O143" i="6" s="1"/>
  <c r="P163" i="6"/>
  <c r="P143" i="6" s="1"/>
  <c r="J163" i="6"/>
  <c r="J143" i="6" s="1"/>
  <c r="P226" i="31"/>
  <c r="P154" i="31" s="1"/>
  <c r="N226" i="31"/>
  <c r="N154" i="31" s="1"/>
  <c r="M226" i="31"/>
  <c r="O226" i="31"/>
  <c r="O154" i="31" s="1"/>
  <c r="N189" i="63"/>
  <c r="P189" i="63"/>
  <c r="P151" i="63" s="1"/>
  <c r="O189" i="63"/>
  <c r="O151" i="63" s="1"/>
  <c r="J144" i="6"/>
  <c r="M217" i="31"/>
  <c r="P217" i="31"/>
  <c r="O217" i="31"/>
  <c r="O145" i="31" s="1"/>
  <c r="K217" i="31"/>
  <c r="N217" i="31"/>
  <c r="N145" i="31" s="1"/>
  <c r="L217" i="31"/>
  <c r="P218" i="31"/>
  <c r="P146" i="31" s="1"/>
  <c r="O218" i="31"/>
  <c r="O146" i="31" s="1"/>
  <c r="N218" i="31"/>
  <c r="I144" i="6"/>
  <c r="H174" i="31"/>
  <c r="M192" i="63"/>
  <c r="K192" i="63"/>
  <c r="P192" i="63"/>
  <c r="N192" i="63"/>
  <c r="N154" i="63" s="1"/>
  <c r="L192" i="63"/>
  <c r="J192" i="63"/>
  <c r="O192" i="63"/>
  <c r="D183" i="8"/>
  <c r="D179" i="8"/>
  <c r="D178" i="8"/>
  <c r="D186" i="8"/>
  <c r="D185" i="8"/>
  <c r="D184" i="8"/>
  <c r="D182" i="8"/>
  <c r="D181" i="8"/>
  <c r="D180" i="8"/>
  <c r="D190" i="8"/>
  <c r="D189" i="8"/>
  <c r="D188" i="8"/>
  <c r="Q172" i="31"/>
  <c r="Q164" i="31"/>
  <c r="Q156" i="31"/>
  <c r="Q148" i="31"/>
  <c r="Q158" i="31"/>
  <c r="Q157" i="31"/>
  <c r="Q168" i="31"/>
  <c r="Q160" i="31"/>
  <c r="Q152" i="31"/>
  <c r="Q150" i="31"/>
  <c r="Q173" i="31"/>
  <c r="Q167" i="31"/>
  <c r="Q169" i="31"/>
  <c r="Q162" i="31"/>
  <c r="Q153" i="31"/>
  <c r="Q151" i="31"/>
  <c r="Q149" i="31"/>
  <c r="Q163" i="31"/>
  <c r="Q155" i="31"/>
  <c r="Q147" i="31"/>
  <c r="Q159" i="31"/>
  <c r="Q146" i="6"/>
  <c r="Q153" i="6"/>
  <c r="E143" i="6"/>
  <c r="M157" i="6"/>
  <c r="M158" i="6" s="1"/>
  <c r="M142" i="6"/>
  <c r="Q149" i="63"/>
  <c r="Q150" i="63"/>
  <c r="Q148" i="63"/>
  <c r="Q153" i="63"/>
  <c r="Q152" i="63"/>
  <c r="Q145" i="63"/>
  <c r="Q146" i="63"/>
  <c r="Q144" i="63"/>
  <c r="J173" i="8"/>
  <c r="F179" i="8"/>
  <c r="F143" i="8" s="1"/>
  <c r="G179" i="8"/>
  <c r="G143" i="8" s="1"/>
  <c r="H179" i="8"/>
  <c r="H143" i="8" s="1"/>
  <c r="I179" i="8"/>
  <c r="I143" i="8" s="1"/>
  <c r="J179" i="8"/>
  <c r="J143" i="8" s="1"/>
  <c r="K179" i="8"/>
  <c r="K143" i="8" s="1"/>
  <c r="L179" i="8"/>
  <c r="L143" i="8" s="1"/>
  <c r="E179" i="8"/>
  <c r="E143" i="8" s="1"/>
  <c r="M179" i="8"/>
  <c r="M143" i="8" s="1"/>
  <c r="N179" i="8"/>
  <c r="N143" i="8" s="1"/>
  <c r="O179" i="8"/>
  <c r="O143" i="8" s="1"/>
  <c r="P179" i="8"/>
  <c r="P143" i="8" s="1"/>
  <c r="F178" i="8"/>
  <c r="F142" i="8" s="1"/>
  <c r="G178" i="8"/>
  <c r="G142" i="8" s="1"/>
  <c r="H178" i="8"/>
  <c r="H142" i="8" s="1"/>
  <c r="E178" i="8"/>
  <c r="E142" i="8" s="1"/>
  <c r="N178" i="8"/>
  <c r="N142" i="8" s="1"/>
  <c r="I178" i="8"/>
  <c r="I142" i="8" s="1"/>
  <c r="O178" i="8"/>
  <c r="O142" i="8" s="1"/>
  <c r="P178" i="8"/>
  <c r="P142" i="8" s="1"/>
  <c r="J178" i="8"/>
  <c r="J142" i="8" s="1"/>
  <c r="K178" i="8"/>
  <c r="K142" i="8" s="1"/>
  <c r="L178" i="8"/>
  <c r="L142" i="8" s="1"/>
  <c r="M178" i="8"/>
  <c r="M142" i="8" s="1"/>
  <c r="N190" i="8"/>
  <c r="N154" i="8" s="1"/>
  <c r="O190" i="8"/>
  <c r="O154" i="8" s="1"/>
  <c r="P190" i="8"/>
  <c r="P154" i="8" s="1"/>
  <c r="E190" i="8"/>
  <c r="E154" i="8" s="1"/>
  <c r="F190" i="8"/>
  <c r="F154" i="8" s="1"/>
  <c r="G190" i="8"/>
  <c r="G154" i="8" s="1"/>
  <c r="H190" i="8"/>
  <c r="H154" i="8" s="1"/>
  <c r="I190" i="8"/>
  <c r="I154" i="8" s="1"/>
  <c r="J190" i="8"/>
  <c r="J154" i="8" s="1"/>
  <c r="K190" i="8"/>
  <c r="K154" i="8" s="1"/>
  <c r="L190" i="8"/>
  <c r="L154" i="8" s="1"/>
  <c r="M190" i="8"/>
  <c r="M154" i="8" s="1"/>
  <c r="E185" i="8"/>
  <c r="E149" i="8" s="1"/>
  <c r="F185" i="8"/>
  <c r="F149" i="8" s="1"/>
  <c r="G185" i="8"/>
  <c r="G149" i="8" s="1"/>
  <c r="H185" i="8"/>
  <c r="H149" i="8" s="1"/>
  <c r="I185" i="8"/>
  <c r="I149" i="8" s="1"/>
  <c r="M185" i="8"/>
  <c r="M149" i="8" s="1"/>
  <c r="K185" i="8"/>
  <c r="K149" i="8" s="1"/>
  <c r="N185" i="8"/>
  <c r="N149" i="8" s="1"/>
  <c r="O185" i="8"/>
  <c r="O149" i="8" s="1"/>
  <c r="P185" i="8"/>
  <c r="P149" i="8" s="1"/>
  <c r="L185" i="8"/>
  <c r="L149" i="8" s="1"/>
  <c r="J185" i="8"/>
  <c r="J149" i="8" s="1"/>
  <c r="Q167" i="8"/>
  <c r="L173" i="8"/>
  <c r="J181" i="8"/>
  <c r="J145" i="8" s="1"/>
  <c r="K181" i="8"/>
  <c r="K145" i="8" s="1"/>
  <c r="L181" i="8"/>
  <c r="L145" i="8" s="1"/>
  <c r="M181" i="8"/>
  <c r="M145" i="8" s="1"/>
  <c r="N181" i="8"/>
  <c r="N145" i="8" s="1"/>
  <c r="O181" i="8"/>
  <c r="O145" i="8" s="1"/>
  <c r="P181" i="8"/>
  <c r="P145" i="8" s="1"/>
  <c r="H181" i="8"/>
  <c r="H145" i="8" s="1"/>
  <c r="I181" i="8"/>
  <c r="I145" i="8" s="1"/>
  <c r="E181" i="8"/>
  <c r="E145" i="8" s="1"/>
  <c r="F181" i="8"/>
  <c r="F145" i="8" s="1"/>
  <c r="G181" i="8"/>
  <c r="G145" i="8" s="1"/>
  <c r="Q169" i="8"/>
  <c r="Q165" i="8"/>
  <c r="L189" i="8"/>
  <c r="L153" i="8" s="1"/>
  <c r="M189" i="8"/>
  <c r="M153" i="8" s="1"/>
  <c r="N189" i="8"/>
  <c r="N153" i="8" s="1"/>
  <c r="O189" i="8"/>
  <c r="O153" i="8" s="1"/>
  <c r="P189" i="8"/>
  <c r="P153" i="8" s="1"/>
  <c r="K189" i="8"/>
  <c r="K153" i="8" s="1"/>
  <c r="H189" i="8"/>
  <c r="H153" i="8" s="1"/>
  <c r="E189" i="8"/>
  <c r="E153" i="8" s="1"/>
  <c r="F189" i="8"/>
  <c r="F153" i="8" s="1"/>
  <c r="G189" i="8"/>
  <c r="G153" i="8" s="1"/>
  <c r="J189" i="8"/>
  <c r="J153" i="8" s="1"/>
  <c r="I189" i="8"/>
  <c r="I153" i="8" s="1"/>
  <c r="J188" i="8"/>
  <c r="J152" i="8" s="1"/>
  <c r="K188" i="8"/>
  <c r="K152" i="8" s="1"/>
  <c r="L188" i="8"/>
  <c r="L152" i="8" s="1"/>
  <c r="M188" i="8"/>
  <c r="M152" i="8" s="1"/>
  <c r="N188" i="8"/>
  <c r="N152" i="8" s="1"/>
  <c r="O188" i="8"/>
  <c r="O152" i="8" s="1"/>
  <c r="E188" i="8"/>
  <c r="E152" i="8" s="1"/>
  <c r="F188" i="8"/>
  <c r="F152" i="8" s="1"/>
  <c r="G188" i="8"/>
  <c r="G152" i="8" s="1"/>
  <c r="H188" i="8"/>
  <c r="H152" i="8" s="1"/>
  <c r="I188" i="8"/>
  <c r="I152" i="8" s="1"/>
  <c r="P188" i="8"/>
  <c r="P152" i="8" s="1"/>
  <c r="F186" i="8"/>
  <c r="F150" i="8" s="1"/>
  <c r="G186" i="8"/>
  <c r="G150" i="8" s="1"/>
  <c r="H186" i="8"/>
  <c r="H150" i="8" s="1"/>
  <c r="I186" i="8"/>
  <c r="I150" i="8" s="1"/>
  <c r="J186" i="8"/>
  <c r="J150" i="8" s="1"/>
  <c r="K186" i="8"/>
  <c r="K150" i="8" s="1"/>
  <c r="N186" i="8"/>
  <c r="N150" i="8" s="1"/>
  <c r="E186" i="8"/>
  <c r="E150" i="8" s="1"/>
  <c r="L186" i="8"/>
  <c r="L150" i="8" s="1"/>
  <c r="M186" i="8"/>
  <c r="M150" i="8" s="1"/>
  <c r="O186" i="8"/>
  <c r="O150" i="8" s="1"/>
  <c r="P186" i="8"/>
  <c r="P150" i="8" s="1"/>
  <c r="Q168" i="8"/>
  <c r="P184" i="8"/>
  <c r="P148" i="8" s="1"/>
  <c r="E184" i="8"/>
  <c r="E148" i="8" s="1"/>
  <c r="F184" i="8"/>
  <c r="F148" i="8" s="1"/>
  <c r="G184" i="8"/>
  <c r="G148" i="8" s="1"/>
  <c r="H184" i="8"/>
  <c r="H148" i="8" s="1"/>
  <c r="I184" i="8"/>
  <c r="I148" i="8" s="1"/>
  <c r="J184" i="8"/>
  <c r="J148" i="8" s="1"/>
  <c r="K184" i="8"/>
  <c r="K148" i="8" s="1"/>
  <c r="L184" i="8"/>
  <c r="L148" i="8" s="1"/>
  <c r="M184" i="8"/>
  <c r="M148" i="8" s="1"/>
  <c r="O184" i="8"/>
  <c r="O148" i="8" s="1"/>
  <c r="N184" i="8"/>
  <c r="N148" i="8" s="1"/>
  <c r="N183" i="8"/>
  <c r="N147" i="8" s="1"/>
  <c r="O183" i="8"/>
  <c r="O147" i="8" s="1"/>
  <c r="P183" i="8"/>
  <c r="P147" i="8" s="1"/>
  <c r="E183" i="8"/>
  <c r="E147" i="8" s="1"/>
  <c r="K183" i="8"/>
  <c r="K147" i="8" s="1"/>
  <c r="L183" i="8"/>
  <c r="L147" i="8" s="1"/>
  <c r="G183" i="8"/>
  <c r="G147" i="8" s="1"/>
  <c r="M183" i="8"/>
  <c r="M147" i="8" s="1"/>
  <c r="F183" i="8"/>
  <c r="F147" i="8" s="1"/>
  <c r="H183" i="8"/>
  <c r="H147" i="8" s="1"/>
  <c r="I183" i="8"/>
  <c r="I147" i="8" s="1"/>
  <c r="J183" i="8"/>
  <c r="J147" i="8" s="1"/>
  <c r="L182" i="8"/>
  <c r="L146" i="8" s="1"/>
  <c r="M182" i="8"/>
  <c r="M146" i="8" s="1"/>
  <c r="N182" i="8"/>
  <c r="N146" i="8" s="1"/>
  <c r="O182" i="8"/>
  <c r="O146" i="8" s="1"/>
  <c r="P182" i="8"/>
  <c r="P146" i="8" s="1"/>
  <c r="G182" i="8"/>
  <c r="G146" i="8" s="1"/>
  <c r="E182" i="8"/>
  <c r="E146" i="8" s="1"/>
  <c r="F182" i="8"/>
  <c r="F146" i="8" s="1"/>
  <c r="H182" i="8"/>
  <c r="H146" i="8" s="1"/>
  <c r="I182" i="8"/>
  <c r="I146" i="8" s="1"/>
  <c r="K182" i="8"/>
  <c r="K146" i="8" s="1"/>
  <c r="J182" i="8"/>
  <c r="J146" i="8" s="1"/>
  <c r="H180" i="8"/>
  <c r="I180" i="8"/>
  <c r="I144" i="8" s="1"/>
  <c r="J180" i="8"/>
  <c r="J144" i="8" s="1"/>
  <c r="K180" i="8"/>
  <c r="K144" i="8" s="1"/>
  <c r="L180" i="8"/>
  <c r="L144" i="8" s="1"/>
  <c r="M180" i="8"/>
  <c r="M144" i="8" s="1"/>
  <c r="N180" i="8"/>
  <c r="N144" i="8" s="1"/>
  <c r="E180" i="8"/>
  <c r="E144" i="8" s="1"/>
  <c r="F180" i="8"/>
  <c r="F144" i="8" s="1"/>
  <c r="G180" i="8"/>
  <c r="G144" i="8" s="1"/>
  <c r="O180" i="8"/>
  <c r="O144" i="8" s="1"/>
  <c r="P180" i="8"/>
  <c r="P144" i="8" s="1"/>
  <c r="H187" i="8"/>
  <c r="H151" i="8" s="1"/>
  <c r="I187" i="8"/>
  <c r="I151" i="8" s="1"/>
  <c r="J187" i="8"/>
  <c r="J151" i="8" s="1"/>
  <c r="K187" i="8"/>
  <c r="K151" i="8" s="1"/>
  <c r="L187" i="8"/>
  <c r="L151" i="8" s="1"/>
  <c r="M187" i="8"/>
  <c r="M151" i="8" s="1"/>
  <c r="O187" i="8"/>
  <c r="O151" i="8" s="1"/>
  <c r="P187" i="8"/>
  <c r="P151" i="8" s="1"/>
  <c r="G187" i="8"/>
  <c r="G151" i="8" s="1"/>
  <c r="E187" i="8"/>
  <c r="E151" i="8" s="1"/>
  <c r="F187" i="8"/>
  <c r="F151" i="8" s="1"/>
  <c r="N187" i="8"/>
  <c r="N151" i="8" s="1"/>
  <c r="I157" i="6"/>
  <c r="I158" i="6" s="1"/>
  <c r="H157" i="6"/>
  <c r="H158" i="6" s="1"/>
  <c r="F157" i="6"/>
  <c r="F158" i="6" s="1"/>
  <c r="G157" i="6"/>
  <c r="G158" i="6" s="1"/>
  <c r="L157" i="6"/>
  <c r="L158" i="6" s="1"/>
  <c r="J182" i="9"/>
  <c r="Q173" i="63"/>
  <c r="Q171" i="63"/>
  <c r="Q168" i="63"/>
  <c r="Q162" i="63"/>
  <c r="Q174" i="63"/>
  <c r="F175" i="63"/>
  <c r="L175" i="63"/>
  <c r="M175" i="63"/>
  <c r="J175" i="63"/>
  <c r="N175" i="63"/>
  <c r="H175" i="63"/>
  <c r="Q172" i="63"/>
  <c r="Q170" i="63"/>
  <c r="Q169" i="63"/>
  <c r="K175" i="63"/>
  <c r="Q167" i="63"/>
  <c r="O175" i="63"/>
  <c r="Q166" i="63"/>
  <c r="P175" i="63"/>
  <c r="Q165" i="63"/>
  <c r="I175" i="63"/>
  <c r="Q164" i="63"/>
  <c r="Q163" i="63"/>
  <c r="E175" i="63"/>
  <c r="G175" i="63"/>
  <c r="Q161" i="63"/>
  <c r="Q206" i="31"/>
  <c r="Q197" i="31"/>
  <c r="Q185" i="31"/>
  <c r="Q186" i="31"/>
  <c r="Q189" i="31"/>
  <c r="Q188" i="31"/>
  <c r="Q187" i="31"/>
  <c r="Q184" i="31"/>
  <c r="Q183" i="31"/>
  <c r="Q200" i="31"/>
  <c r="Q207" i="31"/>
  <c r="Q191" i="31"/>
  <c r="Q208" i="31"/>
  <c r="Q209" i="31"/>
  <c r="Q193" i="31"/>
  <c r="Q201" i="31"/>
  <c r="Q190" i="31"/>
  <c r="Q194" i="31"/>
  <c r="Q195" i="31"/>
  <c r="Q205" i="31"/>
  <c r="Q196" i="31"/>
  <c r="Q198" i="31"/>
  <c r="Q199" i="31"/>
  <c r="Q202" i="31"/>
  <c r="Q203" i="31"/>
  <c r="Q204" i="31"/>
  <c r="Q192" i="31"/>
  <c r="I212" i="31"/>
  <c r="H212" i="31"/>
  <c r="K212" i="31"/>
  <c r="M212" i="31"/>
  <c r="N212" i="31"/>
  <c r="P212" i="31"/>
  <c r="Q210" i="31"/>
  <c r="J212" i="31"/>
  <c r="L212" i="31"/>
  <c r="Q182" i="31"/>
  <c r="E212" i="31"/>
  <c r="Q211" i="31"/>
  <c r="F212" i="31"/>
  <c r="O212" i="31"/>
  <c r="G212" i="31"/>
  <c r="Q181" i="31"/>
  <c r="Q162" i="8"/>
  <c r="Q172" i="8"/>
  <c r="Q171" i="8"/>
  <c r="Q161" i="8"/>
  <c r="Q166" i="8"/>
  <c r="Q154" i="6"/>
  <c r="Q156" i="6"/>
  <c r="Q155" i="6"/>
  <c r="E157" i="6"/>
  <c r="E158" i="6" s="1"/>
  <c r="O157" i="6"/>
  <c r="O158" i="6" s="1"/>
  <c r="J157" i="6"/>
  <c r="J158" i="6" s="1"/>
  <c r="K157" i="6"/>
  <c r="N157" i="6"/>
  <c r="P157" i="6"/>
  <c r="P158" i="6" s="1"/>
  <c r="Q152" i="6"/>
  <c r="Q163" i="8"/>
  <c r="F173" i="8"/>
  <c r="Q164" i="8"/>
  <c r="M173" i="8"/>
  <c r="I173" i="8"/>
  <c r="Q170" i="8"/>
  <c r="P173" i="8"/>
  <c r="K173" i="8"/>
  <c r="H173" i="8"/>
  <c r="G173" i="8"/>
  <c r="O173" i="8"/>
  <c r="N173" i="8"/>
  <c r="E173" i="8"/>
  <c r="Q160" i="8"/>
  <c r="H147" i="6" l="1"/>
  <c r="G147" i="6"/>
  <c r="O147" i="6"/>
  <c r="I147" i="6"/>
  <c r="H176" i="31"/>
  <c r="J147" i="6"/>
  <c r="L147" i="6"/>
  <c r="F176" i="31"/>
  <c r="P248" i="31"/>
  <c r="F248" i="31"/>
  <c r="I248" i="31"/>
  <c r="P147" i="6"/>
  <c r="Q174" i="31"/>
  <c r="G176" i="31"/>
  <c r="J176" i="31"/>
  <c r="K147" i="6"/>
  <c r="Q243" i="31"/>
  <c r="Q226" i="31"/>
  <c r="L248" i="31"/>
  <c r="N147" i="6"/>
  <c r="Q144" i="6"/>
  <c r="Q145" i="6"/>
  <c r="Q143" i="63"/>
  <c r="Q175" i="31"/>
  <c r="O176" i="31"/>
  <c r="F147" i="6"/>
  <c r="N248" i="31"/>
  <c r="I161" i="31"/>
  <c r="I176" i="31" s="1"/>
  <c r="Q238" i="31"/>
  <c r="Q233" i="31"/>
  <c r="E248" i="31"/>
  <c r="Q242" i="31"/>
  <c r="K248" i="31"/>
  <c r="J248" i="31"/>
  <c r="Q246" i="31"/>
  <c r="O248" i="31"/>
  <c r="H248" i="31"/>
  <c r="Q189" i="63"/>
  <c r="Q185" i="63"/>
  <c r="P145" i="31"/>
  <c r="P176" i="31" s="1"/>
  <c r="M248" i="31"/>
  <c r="M145" i="31"/>
  <c r="Q237" i="31"/>
  <c r="L171" i="31"/>
  <c r="Q171" i="31" s="1"/>
  <c r="Q180" i="63"/>
  <c r="M147" i="6"/>
  <c r="G248" i="31"/>
  <c r="L145" i="31"/>
  <c r="E170" i="31"/>
  <c r="Q170" i="31" s="1"/>
  <c r="Q181" i="63"/>
  <c r="L142" i="63"/>
  <c r="Q142" i="63" s="1"/>
  <c r="Q218" i="31"/>
  <c r="M166" i="31"/>
  <c r="Q166" i="31" s="1"/>
  <c r="N165" i="31"/>
  <c r="Q165" i="31" s="1"/>
  <c r="Q247" i="31"/>
  <c r="E161" i="31"/>
  <c r="M154" i="31"/>
  <c r="Q154" i="31" s="1"/>
  <c r="Q143" i="6"/>
  <c r="N151" i="63"/>
  <c r="Q151" i="63" s="1"/>
  <c r="K145" i="31"/>
  <c r="N146" i="31"/>
  <c r="Q192" i="63"/>
  <c r="K154" i="63"/>
  <c r="M154" i="63"/>
  <c r="O154" i="63"/>
  <c r="J154" i="63"/>
  <c r="L154" i="63"/>
  <c r="P154" i="63"/>
  <c r="Q142" i="6"/>
  <c r="E147" i="6"/>
  <c r="Q147" i="63"/>
  <c r="H191" i="8"/>
  <c r="Q150" i="8"/>
  <c r="Q153" i="8"/>
  <c r="Q146" i="8"/>
  <c r="Q145" i="8"/>
  <c r="Q154" i="8"/>
  <c r="Q143" i="8"/>
  <c r="Q152" i="8"/>
  <c r="Q147" i="8"/>
  <c r="Q151" i="8"/>
  <c r="Q149" i="8"/>
  <c r="G191" i="8"/>
  <c r="Q148" i="8"/>
  <c r="H144" i="8"/>
  <c r="Q144" i="8" s="1"/>
  <c r="N191" i="8"/>
  <c r="J191" i="8"/>
  <c r="M191" i="8"/>
  <c r="I191" i="8"/>
  <c r="K191" i="8"/>
  <c r="O191" i="8"/>
  <c r="L191" i="8"/>
  <c r="E191" i="8"/>
  <c r="N158" i="6"/>
  <c r="Q157" i="6"/>
  <c r="K158" i="6"/>
  <c r="Q174" i="9"/>
  <c r="Q182" i="9" s="1"/>
  <c r="I182" i="9"/>
  <c r="Q175" i="63"/>
  <c r="Q212" i="31"/>
  <c r="Q173" i="8"/>
  <c r="J233" i="63"/>
  <c r="R211" i="41"/>
  <c r="S211" i="41" s="1"/>
  <c r="Q147" i="6" l="1"/>
  <c r="Q154" i="63"/>
  <c r="Q145" i="31"/>
  <c r="K176" i="31"/>
  <c r="Q161" i="31"/>
  <c r="E176" i="31"/>
  <c r="Q146" i="31"/>
  <c r="N176" i="31"/>
  <c r="L176" i="31"/>
  <c r="M176" i="31"/>
  <c r="M193" i="63"/>
  <c r="K193" i="63"/>
  <c r="H193" i="63"/>
  <c r="P193" i="63"/>
  <c r="O193" i="63"/>
  <c r="L193" i="63"/>
  <c r="G193" i="63"/>
  <c r="E193" i="63"/>
  <c r="N193" i="63"/>
  <c r="F193" i="63"/>
  <c r="J193" i="63"/>
  <c r="I193" i="63"/>
  <c r="F155" i="8"/>
  <c r="P155" i="8"/>
  <c r="K155" i="8"/>
  <c r="O155" i="8"/>
  <c r="M155" i="8"/>
  <c r="J155" i="8"/>
  <c r="H155" i="8"/>
  <c r="G155" i="8"/>
  <c r="N155" i="8"/>
  <c r="I155" i="8"/>
  <c r="Q142" i="8"/>
  <c r="E155" i="8"/>
  <c r="L155" i="8"/>
  <c r="Q158" i="6"/>
  <c r="AM208" i="41" a="1"/>
  <c r="AM208" i="41" s="1"/>
  <c r="Y208" i="41" a="1"/>
  <c r="Y208" i="41" s="1"/>
  <c r="AI208" i="41" a="1"/>
  <c r="AI208" i="41" s="1"/>
  <c r="AT208" i="41" a="1"/>
  <c r="AT208" i="41" s="1"/>
  <c r="AQ208" i="41" a="1"/>
  <c r="AQ208" i="41" s="1"/>
  <c r="AC208" i="41" a="1"/>
  <c r="AC208" i="41" s="1"/>
  <c r="AP208" i="41" a="1"/>
  <c r="AP208" i="41" s="1"/>
  <c r="AB208" i="41" a="1"/>
  <c r="AB208" i="41" s="1"/>
  <c r="AL208" i="41" a="1"/>
  <c r="AL208" i="41" s="1"/>
  <c r="X208" i="41" a="1"/>
  <c r="X208" i="41" s="1"/>
  <c r="AK208" i="41" a="1"/>
  <c r="AK208" i="41" s="1"/>
  <c r="AJ208" i="41" a="1"/>
  <c r="AJ208" i="41" s="1"/>
  <c r="AF208" i="41" a="1"/>
  <c r="AF208" i="41" s="1"/>
  <c r="AH208" i="41" a="1"/>
  <c r="AH208" i="41" s="1"/>
  <c r="AU208" i="41" a="1"/>
  <c r="AU208" i="41" s="1"/>
  <c r="AG208" i="41" a="1"/>
  <c r="AG208" i="41" s="1"/>
  <c r="AS208" i="41" a="1"/>
  <c r="AS208" i="41" s="1"/>
  <c r="AE208" i="41" a="1"/>
  <c r="AE208" i="41" s="1"/>
  <c r="AR208" i="41" a="1"/>
  <c r="AR208" i="41" s="1"/>
  <c r="AD208" i="41" a="1"/>
  <c r="AD208" i="41" s="1"/>
  <c r="AA208" i="41" a="1"/>
  <c r="AA208" i="41" s="1"/>
  <c r="Z208" i="41" a="1"/>
  <c r="Z208" i="41" s="1"/>
  <c r="AN208" i="41" a="1"/>
  <c r="AN208" i="41" s="1"/>
  <c r="AO208" i="41" a="1"/>
  <c r="AO208" i="41" s="1"/>
  <c r="N155" i="63" l="1"/>
  <c r="N156" i="63" s="1"/>
  <c r="N194" i="63"/>
  <c r="E194" i="63"/>
  <c r="E155" i="63"/>
  <c r="G194" i="63"/>
  <c r="G155" i="63"/>
  <c r="G156" i="63" s="1"/>
  <c r="F194" i="63"/>
  <c r="F155" i="63"/>
  <c r="F156" i="63" s="1"/>
  <c r="O155" i="63"/>
  <c r="O156" i="63" s="1"/>
  <c r="O194" i="63"/>
  <c r="Q176" i="31"/>
  <c r="J155" i="63"/>
  <c r="J156" i="63" s="1"/>
  <c r="J194" i="63"/>
  <c r="P155" i="63"/>
  <c r="P156" i="63" s="1"/>
  <c r="P194" i="63"/>
  <c r="H194" i="63"/>
  <c r="H155" i="63"/>
  <c r="H156" i="63" s="1"/>
  <c r="K155" i="63"/>
  <c r="K156" i="63" s="1"/>
  <c r="K194" i="63"/>
  <c r="I194" i="63"/>
  <c r="I155" i="63"/>
  <c r="I156" i="63" s="1"/>
  <c r="M155" i="63"/>
  <c r="M156" i="63" s="1"/>
  <c r="M194" i="63"/>
  <c r="L155" i="63"/>
  <c r="L156" i="63" s="1"/>
  <c r="L194" i="63"/>
  <c r="Q193" i="63"/>
  <c r="Q194" i="63" s="1"/>
  <c r="Q155" i="8"/>
  <c r="E21" i="9"/>
  <c r="E193" i="9" s="1"/>
  <c r="Q193" i="9" s="1"/>
  <c r="Q87" i="43"/>
  <c r="Q85" i="43"/>
  <c r="Q84" i="43"/>
  <c r="Q81" i="43"/>
  <c r="E156" i="63" l="1"/>
  <c r="Q155" i="63"/>
  <c r="Q156" i="63" s="1"/>
  <c r="H94" i="9"/>
  <c r="H215" i="9" s="1"/>
  <c r="Q215" i="9" s="1"/>
  <c r="F86" i="6"/>
  <c r="G86" i="6"/>
  <c r="H86" i="6"/>
  <c r="I86" i="6"/>
  <c r="J86" i="6"/>
  <c r="K86" i="6"/>
  <c r="L86" i="6"/>
  <c r="M86" i="6"/>
  <c r="N86" i="6"/>
  <c r="O86" i="6"/>
  <c r="P86" i="6"/>
  <c r="E86" i="6"/>
  <c r="C9" i="64"/>
  <c r="Q1" i="27"/>
  <c r="A3" i="67" s="1"/>
  <c r="Q1" i="44" l="1"/>
  <c r="Q1" i="43"/>
  <c r="O1" i="64"/>
  <c r="S131" i="63"/>
  <c r="S105" i="63"/>
  <c r="T91" i="63"/>
  <c r="S71" i="63"/>
  <c r="S22" i="63"/>
  <c r="S15" i="63"/>
  <c r="S131" i="62"/>
  <c r="S105" i="62"/>
  <c r="T91" i="62"/>
  <c r="S71" i="62"/>
  <c r="S22" i="62"/>
  <c r="S15" i="62"/>
  <c r="S131" i="61"/>
  <c r="S105" i="61"/>
  <c r="T91" i="61"/>
  <c r="S71" i="61"/>
  <c r="S22" i="61"/>
  <c r="S15" i="61"/>
  <c r="S24" i="61" s="1"/>
  <c r="S131" i="32"/>
  <c r="S105" i="32"/>
  <c r="T91" i="32"/>
  <c r="S71" i="32"/>
  <c r="S22" i="32"/>
  <c r="S15" i="32"/>
  <c r="S134" i="31"/>
  <c r="S108" i="31"/>
  <c r="S74" i="31"/>
  <c r="T57" i="31"/>
  <c r="S22" i="31"/>
  <c r="S15" i="31"/>
  <c r="S131" i="10"/>
  <c r="S105" i="10"/>
  <c r="T91" i="10"/>
  <c r="S71" i="10"/>
  <c r="S22" i="10"/>
  <c r="S15" i="10"/>
  <c r="S24" i="62" l="1"/>
  <c r="S24" i="63"/>
  <c r="S108" i="63"/>
  <c r="S108" i="62"/>
  <c r="S111" i="62" s="1"/>
  <c r="S125" i="62" s="1"/>
  <c r="S134" i="62" s="1"/>
  <c r="S108" i="61"/>
  <c r="S111" i="61" s="1"/>
  <c r="S125" i="61" s="1"/>
  <c r="S134" i="61" s="1"/>
  <c r="S108" i="32"/>
  <c r="S24" i="32"/>
  <c r="S111" i="31"/>
  <c r="S24" i="31"/>
  <c r="S24" i="10"/>
  <c r="S108" i="10"/>
  <c r="T91" i="9"/>
  <c r="S15" i="9"/>
  <c r="S131" i="9"/>
  <c r="S105" i="9"/>
  <c r="S71" i="9"/>
  <c r="S22" i="9"/>
  <c r="S131" i="8"/>
  <c r="T91" i="8"/>
  <c r="S105" i="8"/>
  <c r="S71" i="8"/>
  <c r="S22" i="8"/>
  <c r="S15" i="8"/>
  <c r="S111" i="63" l="1"/>
  <c r="S125" i="63" s="1"/>
  <c r="S134" i="63" s="1"/>
  <c r="S111" i="32"/>
  <c r="S114" i="31"/>
  <c r="S111" i="10"/>
  <c r="S125" i="10" s="1"/>
  <c r="S134" i="10" s="1"/>
  <c r="S108" i="9"/>
  <c r="S24" i="9"/>
  <c r="S24" i="8"/>
  <c r="S108" i="8"/>
  <c r="S125" i="32" l="1"/>
  <c r="S128" i="31"/>
  <c r="S111" i="9"/>
  <c r="S111" i="8"/>
  <c r="S125" i="8" s="1"/>
  <c r="S134" i="8" s="1"/>
  <c r="S134" i="32" l="1"/>
  <c r="S137" i="31"/>
  <c r="S125" i="9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1" i="6"/>
  <c r="A180" i="6"/>
  <c r="A179" i="6"/>
  <c r="A178" i="6"/>
  <c r="A177" i="6"/>
  <c r="A176" i="6"/>
  <c r="A175" i="6"/>
  <c r="A174" i="6"/>
  <c r="A172" i="6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4" i="8"/>
  <c r="A203" i="8"/>
  <c r="A202" i="8"/>
  <c r="A201" i="8"/>
  <c r="A200" i="8"/>
  <c r="A199" i="8"/>
  <c r="A198" i="8"/>
  <c r="A197" i="8"/>
  <c r="A196" i="8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08" i="9"/>
  <c r="A207" i="9"/>
  <c r="A206" i="9"/>
  <c r="A205" i="9"/>
  <c r="A204" i="9"/>
  <c r="A203" i="9"/>
  <c r="A202" i="9"/>
  <c r="A201" i="9"/>
  <c r="A200" i="9"/>
  <c r="A199" i="9"/>
  <c r="A197" i="9"/>
  <c r="A196" i="9"/>
  <c r="A195" i="9"/>
  <c r="A194" i="9"/>
  <c r="A193" i="9"/>
  <c r="A192" i="9"/>
  <c r="A191" i="9"/>
  <c r="A190" i="9"/>
  <c r="A187" i="9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5" i="10"/>
  <c r="A154" i="10"/>
  <c r="A153" i="10"/>
  <c r="A152" i="10"/>
  <c r="A151" i="10"/>
  <c r="A150" i="10"/>
  <c r="A149" i="10"/>
  <c r="A148" i="10"/>
  <c r="A147" i="10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3" i="31"/>
  <c r="A272" i="31"/>
  <c r="A271" i="31"/>
  <c r="A270" i="31"/>
  <c r="A269" i="31"/>
  <c r="A268" i="31"/>
  <c r="A267" i="31"/>
  <c r="A266" i="31"/>
  <c r="A265" i="31"/>
  <c r="A264" i="31"/>
  <c r="A262" i="31"/>
  <c r="A261" i="31"/>
  <c r="A259" i="31"/>
  <c r="A258" i="31"/>
  <c r="A257" i="31"/>
  <c r="A256" i="31"/>
  <c r="A255" i="31"/>
  <c r="A253" i="31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6" i="32"/>
  <c r="A155" i="32"/>
  <c r="A154" i="32"/>
  <c r="A153" i="32"/>
  <c r="A152" i="32"/>
  <c r="A151" i="32"/>
  <c r="A150" i="32"/>
  <c r="A149" i="32"/>
  <c r="A147" i="32"/>
  <c r="A182" i="61"/>
  <c r="A181" i="61"/>
  <c r="A180" i="61"/>
  <c r="A179" i="61"/>
  <c r="A178" i="61"/>
  <c r="A177" i="61"/>
  <c r="A176" i="61"/>
  <c r="A175" i="61"/>
  <c r="A174" i="61"/>
  <c r="A173" i="61"/>
  <c r="A172" i="61"/>
  <c r="A171" i="61"/>
  <c r="A170" i="61"/>
  <c r="A169" i="61"/>
  <c r="A168" i="61"/>
  <c r="A167" i="61"/>
  <c r="A166" i="61"/>
  <c r="A165" i="61"/>
  <c r="A164" i="61"/>
  <c r="A163" i="61"/>
  <c r="A162" i="61"/>
  <c r="A161" i="61"/>
  <c r="A160" i="61"/>
  <c r="A159" i="61"/>
  <c r="A158" i="61"/>
  <c r="A156" i="61"/>
  <c r="A155" i="61"/>
  <c r="A154" i="61"/>
  <c r="A153" i="61"/>
  <c r="A152" i="61"/>
  <c r="A151" i="61"/>
  <c r="A150" i="61"/>
  <c r="A149" i="61"/>
  <c r="A147" i="61"/>
  <c r="A182" i="62"/>
  <c r="A181" i="62"/>
  <c r="A180" i="62"/>
  <c r="A179" i="62"/>
  <c r="A178" i="62"/>
  <c r="A177" i="62"/>
  <c r="A176" i="62"/>
  <c r="A175" i="62"/>
  <c r="A174" i="62"/>
  <c r="A173" i="62"/>
  <c r="A172" i="62"/>
  <c r="A171" i="62"/>
  <c r="A170" i="62"/>
  <c r="A169" i="62"/>
  <c r="A168" i="62"/>
  <c r="A167" i="62"/>
  <c r="A166" i="62"/>
  <c r="A165" i="62"/>
  <c r="A164" i="62"/>
  <c r="A163" i="62"/>
  <c r="A162" i="62"/>
  <c r="A161" i="62"/>
  <c r="A160" i="62"/>
  <c r="A159" i="62"/>
  <c r="A158" i="62"/>
  <c r="A156" i="62"/>
  <c r="A155" i="62"/>
  <c r="A154" i="62"/>
  <c r="A153" i="62"/>
  <c r="A152" i="62"/>
  <c r="A151" i="62"/>
  <c r="A150" i="62"/>
  <c r="A149" i="62"/>
  <c r="A147" i="62"/>
  <c r="A236" i="63"/>
  <c r="A234" i="63"/>
  <c r="A233" i="63"/>
  <c r="A232" i="63"/>
  <c r="A231" i="63"/>
  <c r="A230" i="63"/>
  <c r="A229" i="63"/>
  <c r="A224" i="63"/>
  <c r="A220" i="63"/>
  <c r="A202" i="63"/>
  <c r="A203" i="63"/>
  <c r="A204" i="63"/>
  <c r="A205" i="63"/>
  <c r="A206" i="63"/>
  <c r="A207" i="63"/>
  <c r="A208" i="63"/>
  <c r="A209" i="63"/>
  <c r="A211" i="63"/>
  <c r="A212" i="63"/>
  <c r="A213" i="63"/>
  <c r="A214" i="63"/>
  <c r="A215" i="63"/>
  <c r="A216" i="63"/>
  <c r="A217" i="63"/>
  <c r="A218" i="63"/>
  <c r="A219" i="63"/>
  <c r="A225" i="63"/>
  <c r="A226" i="63"/>
  <c r="A227" i="63"/>
  <c r="A228" i="63"/>
  <c r="A235" i="63"/>
  <c r="A237" i="63"/>
  <c r="A238" i="63"/>
  <c r="A199" i="63"/>
  <c r="B15" i="66"/>
  <c r="B14" i="66"/>
  <c r="B13" i="66"/>
  <c r="B12" i="66"/>
  <c r="B11" i="66"/>
  <c r="B10" i="66"/>
  <c r="B9" i="66"/>
  <c r="B8" i="66"/>
  <c r="B7" i="66"/>
  <c r="B6" i="66"/>
  <c r="C2" i="66"/>
  <c r="S134" i="9" l="1"/>
  <c r="M58" i="64" l="1"/>
  <c r="G58" i="64"/>
  <c r="L33" i="10" l="1"/>
  <c r="O33" i="10"/>
  <c r="P33" i="10"/>
  <c r="H33" i="8"/>
  <c r="J33" i="8"/>
  <c r="F33" i="22"/>
  <c r="H33" i="22"/>
  <c r="I33" i="22"/>
  <c r="J33" i="22"/>
  <c r="P34" i="22"/>
  <c r="F33" i="6"/>
  <c r="K33" i="6"/>
  <c r="O33" i="6"/>
  <c r="G34" i="9"/>
  <c r="H34" i="9"/>
  <c r="E34" i="9"/>
  <c r="P33" i="9"/>
  <c r="E33" i="9"/>
  <c r="C21" i="64"/>
  <c r="E33" i="22" s="1"/>
  <c r="D21" i="64"/>
  <c r="E21" i="64"/>
  <c r="G33" i="22" s="1"/>
  <c r="F21" i="64"/>
  <c r="G21" i="64"/>
  <c r="H21" i="64"/>
  <c r="I21" i="64"/>
  <c r="K33" i="22" s="1"/>
  <c r="J21" i="64"/>
  <c r="L33" i="22" s="1"/>
  <c r="K21" i="64"/>
  <c r="M33" i="22" s="1"/>
  <c r="L21" i="64"/>
  <c r="N33" i="22" s="1"/>
  <c r="M21" i="64"/>
  <c r="O33" i="22" s="1"/>
  <c r="N21" i="64"/>
  <c r="P33" i="22" s="1"/>
  <c r="C22" i="64"/>
  <c r="E33" i="8" s="1"/>
  <c r="D22" i="64"/>
  <c r="F33" i="8" s="1"/>
  <c r="E22" i="64"/>
  <c r="G33" i="8" s="1"/>
  <c r="F22" i="64"/>
  <c r="G22" i="64"/>
  <c r="I33" i="8" s="1"/>
  <c r="H22" i="64"/>
  <c r="I22" i="64"/>
  <c r="K33" i="8" s="1"/>
  <c r="J22" i="64"/>
  <c r="L33" i="8" s="1"/>
  <c r="K22" i="64"/>
  <c r="M33" i="8" s="1"/>
  <c r="L22" i="64"/>
  <c r="N33" i="8" s="1"/>
  <c r="M22" i="64"/>
  <c r="O33" i="8" s="1"/>
  <c r="N22" i="64"/>
  <c r="P33" i="8" s="1"/>
  <c r="C23" i="64"/>
  <c r="D23" i="64"/>
  <c r="F33" i="9" s="1"/>
  <c r="E23" i="64"/>
  <c r="G33" i="9" s="1"/>
  <c r="F23" i="64"/>
  <c r="H33" i="9" s="1"/>
  <c r="G23" i="64"/>
  <c r="I33" i="9" s="1"/>
  <c r="H23" i="64"/>
  <c r="J33" i="9" s="1"/>
  <c r="I23" i="64"/>
  <c r="K33" i="9" s="1"/>
  <c r="J23" i="64"/>
  <c r="L33" i="9" s="1"/>
  <c r="K23" i="64"/>
  <c r="M33" i="9" s="1"/>
  <c r="L23" i="64"/>
  <c r="N33" i="9" s="1"/>
  <c r="M23" i="64"/>
  <c r="O33" i="9" s="1"/>
  <c r="N23" i="64"/>
  <c r="C24" i="64"/>
  <c r="E33" i="10" s="1"/>
  <c r="D24" i="64"/>
  <c r="F33" i="10" s="1"/>
  <c r="E24" i="64"/>
  <c r="G33" i="10" s="1"/>
  <c r="F24" i="64"/>
  <c r="H33" i="10" s="1"/>
  <c r="G24" i="64"/>
  <c r="I33" i="10" s="1"/>
  <c r="H24" i="64"/>
  <c r="J33" i="10" s="1"/>
  <c r="I24" i="64"/>
  <c r="K33" i="10" s="1"/>
  <c r="J24" i="64"/>
  <c r="K24" i="64"/>
  <c r="M33" i="10" s="1"/>
  <c r="L24" i="64"/>
  <c r="N33" i="10" s="1"/>
  <c r="M24" i="64"/>
  <c r="N24" i="64"/>
  <c r="C25" i="64"/>
  <c r="D25" i="64"/>
  <c r="E25" i="64"/>
  <c r="F25" i="64"/>
  <c r="G25" i="64"/>
  <c r="H25" i="64"/>
  <c r="I25" i="64"/>
  <c r="J25" i="64"/>
  <c r="K25" i="64"/>
  <c r="L25" i="64"/>
  <c r="M25" i="64"/>
  <c r="N25" i="64"/>
  <c r="C26" i="64"/>
  <c r="E33" i="32" s="1"/>
  <c r="D26" i="64"/>
  <c r="F33" i="32" s="1"/>
  <c r="E26" i="64"/>
  <c r="G33" i="32" s="1"/>
  <c r="F26" i="64"/>
  <c r="H33" i="32" s="1"/>
  <c r="G26" i="64"/>
  <c r="I33" i="32" s="1"/>
  <c r="H26" i="64"/>
  <c r="J33" i="32" s="1"/>
  <c r="I26" i="64"/>
  <c r="K33" i="32" s="1"/>
  <c r="J26" i="64"/>
  <c r="L33" i="32" s="1"/>
  <c r="K26" i="64"/>
  <c r="M33" i="32" s="1"/>
  <c r="L26" i="64"/>
  <c r="N33" i="32" s="1"/>
  <c r="M26" i="64"/>
  <c r="O33" i="32" s="1"/>
  <c r="N26" i="64"/>
  <c r="P33" i="32" s="1"/>
  <c r="C27" i="64"/>
  <c r="E33" i="61" s="1"/>
  <c r="D27" i="64"/>
  <c r="F33" i="61" s="1"/>
  <c r="E27" i="64"/>
  <c r="G33" i="61" s="1"/>
  <c r="F27" i="64"/>
  <c r="H33" i="61" s="1"/>
  <c r="G27" i="64"/>
  <c r="I33" i="61" s="1"/>
  <c r="H27" i="64"/>
  <c r="J33" i="61" s="1"/>
  <c r="I27" i="64"/>
  <c r="K33" i="61" s="1"/>
  <c r="J27" i="64"/>
  <c r="L33" i="61" s="1"/>
  <c r="K27" i="64"/>
  <c r="M33" i="61" s="1"/>
  <c r="L27" i="64"/>
  <c r="N33" i="61" s="1"/>
  <c r="M27" i="64"/>
  <c r="O33" i="61" s="1"/>
  <c r="N27" i="64"/>
  <c r="P33" i="61" s="1"/>
  <c r="C28" i="64"/>
  <c r="E33" i="62" s="1"/>
  <c r="D28" i="64"/>
  <c r="F33" i="62" s="1"/>
  <c r="E28" i="64"/>
  <c r="G33" i="62" s="1"/>
  <c r="F28" i="64"/>
  <c r="H33" i="62" s="1"/>
  <c r="G28" i="64"/>
  <c r="I33" i="62" s="1"/>
  <c r="H28" i="64"/>
  <c r="J33" i="62" s="1"/>
  <c r="I28" i="64"/>
  <c r="K33" i="62" s="1"/>
  <c r="J28" i="64"/>
  <c r="L33" i="62" s="1"/>
  <c r="K28" i="64"/>
  <c r="M33" i="62" s="1"/>
  <c r="L28" i="64"/>
  <c r="N33" i="62" s="1"/>
  <c r="M28" i="64"/>
  <c r="O33" i="62" s="1"/>
  <c r="N28" i="64"/>
  <c r="P33" i="62" s="1"/>
  <c r="C29" i="64"/>
  <c r="E33" i="63" s="1"/>
  <c r="D29" i="64"/>
  <c r="F33" i="63" s="1"/>
  <c r="E29" i="64"/>
  <c r="G33" i="63" s="1"/>
  <c r="F29" i="64"/>
  <c r="H33" i="63" s="1"/>
  <c r="G29" i="64"/>
  <c r="I33" i="63" s="1"/>
  <c r="H29" i="64"/>
  <c r="J33" i="63" s="1"/>
  <c r="I29" i="64"/>
  <c r="K33" i="63" s="1"/>
  <c r="J29" i="64"/>
  <c r="L33" i="63" s="1"/>
  <c r="K29" i="64"/>
  <c r="M33" i="63" s="1"/>
  <c r="L29" i="64"/>
  <c r="N33" i="63" s="1"/>
  <c r="M29" i="64"/>
  <c r="O33" i="63" s="1"/>
  <c r="N29" i="64"/>
  <c r="P33" i="63" s="1"/>
  <c r="D20" i="64"/>
  <c r="E20" i="64"/>
  <c r="G33" i="6" s="1"/>
  <c r="F20" i="64"/>
  <c r="H33" i="6" s="1"/>
  <c r="G20" i="64"/>
  <c r="I33" i="6" s="1"/>
  <c r="H20" i="64"/>
  <c r="J33" i="6" s="1"/>
  <c r="I20" i="64"/>
  <c r="J20" i="64"/>
  <c r="L33" i="6" s="1"/>
  <c r="K20" i="64"/>
  <c r="M33" i="6" s="1"/>
  <c r="L20" i="64"/>
  <c r="N33" i="6" s="1"/>
  <c r="M20" i="64"/>
  <c r="N20" i="64"/>
  <c r="P33" i="6" s="1"/>
  <c r="C20" i="64"/>
  <c r="C7" i="64"/>
  <c r="E34" i="22" s="1"/>
  <c r="D7" i="64"/>
  <c r="F34" i="22" s="1"/>
  <c r="E7" i="64"/>
  <c r="G34" i="22" s="1"/>
  <c r="F7" i="64"/>
  <c r="H34" i="22" s="1"/>
  <c r="G7" i="64"/>
  <c r="I34" i="22" s="1"/>
  <c r="H7" i="64"/>
  <c r="J34" i="22" s="1"/>
  <c r="I7" i="64"/>
  <c r="K34" i="22" s="1"/>
  <c r="J7" i="64"/>
  <c r="L34" i="22" s="1"/>
  <c r="K7" i="64"/>
  <c r="M34" i="22" s="1"/>
  <c r="L7" i="64"/>
  <c r="N34" i="22" s="1"/>
  <c r="M7" i="64"/>
  <c r="O34" i="22" s="1"/>
  <c r="N7" i="64"/>
  <c r="C8" i="64"/>
  <c r="E34" i="8" s="1"/>
  <c r="D8" i="64"/>
  <c r="F34" i="8" s="1"/>
  <c r="E8" i="64"/>
  <c r="G34" i="8" s="1"/>
  <c r="F8" i="64"/>
  <c r="H34" i="8" s="1"/>
  <c r="G8" i="64"/>
  <c r="I34" i="8" s="1"/>
  <c r="H8" i="64"/>
  <c r="J34" i="8" s="1"/>
  <c r="I8" i="64"/>
  <c r="K34" i="8" s="1"/>
  <c r="J8" i="64"/>
  <c r="L34" i="8" s="1"/>
  <c r="K8" i="64"/>
  <c r="M34" i="8" s="1"/>
  <c r="L8" i="64"/>
  <c r="N34" i="8" s="1"/>
  <c r="M8" i="64"/>
  <c r="O34" i="8" s="1"/>
  <c r="N8" i="64"/>
  <c r="P34" i="8" s="1"/>
  <c r="D9" i="64"/>
  <c r="F34" i="9" s="1"/>
  <c r="E9" i="64"/>
  <c r="F9" i="64"/>
  <c r="G9" i="64"/>
  <c r="I34" i="9" s="1"/>
  <c r="H9" i="64"/>
  <c r="J34" i="9" s="1"/>
  <c r="I9" i="64"/>
  <c r="K34" i="9" s="1"/>
  <c r="J9" i="64"/>
  <c r="L34" i="9" s="1"/>
  <c r="K9" i="64"/>
  <c r="M34" i="9" s="1"/>
  <c r="L9" i="64"/>
  <c r="N34" i="9" s="1"/>
  <c r="M9" i="64"/>
  <c r="O34" i="9" s="1"/>
  <c r="N9" i="64"/>
  <c r="P34" i="9" s="1"/>
  <c r="C10" i="64"/>
  <c r="E34" i="10" s="1"/>
  <c r="D10" i="64"/>
  <c r="F34" i="10" s="1"/>
  <c r="E10" i="64"/>
  <c r="G34" i="10" s="1"/>
  <c r="F10" i="64"/>
  <c r="H34" i="10" s="1"/>
  <c r="G10" i="64"/>
  <c r="I34" i="10" s="1"/>
  <c r="H10" i="64"/>
  <c r="J34" i="10" s="1"/>
  <c r="I10" i="64"/>
  <c r="K34" i="10" s="1"/>
  <c r="J10" i="64"/>
  <c r="L34" i="10" s="1"/>
  <c r="K10" i="64"/>
  <c r="M34" i="10" s="1"/>
  <c r="L10" i="64"/>
  <c r="N34" i="10" s="1"/>
  <c r="M10" i="64"/>
  <c r="O34" i="10" s="1"/>
  <c r="N10" i="64"/>
  <c r="P34" i="10" s="1"/>
  <c r="C11" i="64"/>
  <c r="D11" i="64"/>
  <c r="E11" i="64"/>
  <c r="F11" i="64"/>
  <c r="G11" i="64"/>
  <c r="H11" i="64"/>
  <c r="I11" i="64"/>
  <c r="J11" i="64"/>
  <c r="K11" i="64"/>
  <c r="L11" i="64"/>
  <c r="M11" i="64"/>
  <c r="N11" i="64"/>
  <c r="C12" i="64"/>
  <c r="E34" i="32" s="1"/>
  <c r="D12" i="64"/>
  <c r="F34" i="32" s="1"/>
  <c r="E12" i="64"/>
  <c r="G34" i="32" s="1"/>
  <c r="F12" i="64"/>
  <c r="H34" i="32" s="1"/>
  <c r="G12" i="64"/>
  <c r="I34" i="32" s="1"/>
  <c r="H12" i="64"/>
  <c r="J34" i="32" s="1"/>
  <c r="I12" i="64"/>
  <c r="K34" i="32" s="1"/>
  <c r="J12" i="64"/>
  <c r="L34" i="32" s="1"/>
  <c r="K12" i="64"/>
  <c r="M34" i="32" s="1"/>
  <c r="L12" i="64"/>
  <c r="N34" i="32" s="1"/>
  <c r="M12" i="64"/>
  <c r="O34" i="32" s="1"/>
  <c r="N12" i="64"/>
  <c r="P34" i="32" s="1"/>
  <c r="C13" i="64"/>
  <c r="E34" i="61" s="1"/>
  <c r="D13" i="64"/>
  <c r="F34" i="61" s="1"/>
  <c r="E13" i="64"/>
  <c r="G34" i="61" s="1"/>
  <c r="F13" i="64"/>
  <c r="H34" i="61" s="1"/>
  <c r="G13" i="64"/>
  <c r="I34" i="61" s="1"/>
  <c r="H13" i="64"/>
  <c r="J34" i="61" s="1"/>
  <c r="I13" i="64"/>
  <c r="K34" i="61" s="1"/>
  <c r="J13" i="64"/>
  <c r="L34" i="61" s="1"/>
  <c r="K13" i="64"/>
  <c r="M34" i="61" s="1"/>
  <c r="L13" i="64"/>
  <c r="N34" i="61" s="1"/>
  <c r="M13" i="64"/>
  <c r="O34" i="61" s="1"/>
  <c r="N13" i="64"/>
  <c r="P34" i="61" s="1"/>
  <c r="C14" i="64"/>
  <c r="E34" i="62" s="1"/>
  <c r="D14" i="64"/>
  <c r="F34" i="62" s="1"/>
  <c r="E14" i="64"/>
  <c r="G34" i="62" s="1"/>
  <c r="F14" i="64"/>
  <c r="H34" i="62" s="1"/>
  <c r="G14" i="64"/>
  <c r="I34" i="62" s="1"/>
  <c r="H14" i="64"/>
  <c r="J34" i="62" s="1"/>
  <c r="I14" i="64"/>
  <c r="K34" i="62" s="1"/>
  <c r="J14" i="64"/>
  <c r="L34" i="62" s="1"/>
  <c r="K14" i="64"/>
  <c r="M34" i="62" s="1"/>
  <c r="L14" i="64"/>
  <c r="N34" i="62" s="1"/>
  <c r="M14" i="64"/>
  <c r="O34" i="62" s="1"/>
  <c r="N14" i="64"/>
  <c r="P34" i="62" s="1"/>
  <c r="C15" i="64"/>
  <c r="E34" i="63" s="1"/>
  <c r="D15" i="64"/>
  <c r="F34" i="63" s="1"/>
  <c r="E15" i="64"/>
  <c r="G34" i="63" s="1"/>
  <c r="F15" i="64"/>
  <c r="H34" i="63" s="1"/>
  <c r="G15" i="64"/>
  <c r="I34" i="63" s="1"/>
  <c r="H15" i="64"/>
  <c r="J34" i="63" s="1"/>
  <c r="I15" i="64"/>
  <c r="K34" i="63" s="1"/>
  <c r="J15" i="64"/>
  <c r="L34" i="63" s="1"/>
  <c r="K15" i="64"/>
  <c r="M34" i="63" s="1"/>
  <c r="L15" i="64"/>
  <c r="N34" i="63" s="1"/>
  <c r="M15" i="64"/>
  <c r="O34" i="63" s="1"/>
  <c r="N15" i="64"/>
  <c r="P34" i="63" s="1"/>
  <c r="D6" i="64"/>
  <c r="F34" i="6" s="1"/>
  <c r="E6" i="64"/>
  <c r="G34" i="6" s="1"/>
  <c r="F6" i="64"/>
  <c r="H34" i="6" s="1"/>
  <c r="G6" i="64"/>
  <c r="I34" i="6" s="1"/>
  <c r="H6" i="64"/>
  <c r="J34" i="6" s="1"/>
  <c r="I6" i="64"/>
  <c r="K34" i="6" s="1"/>
  <c r="J6" i="64"/>
  <c r="L34" i="6" s="1"/>
  <c r="K6" i="64"/>
  <c r="M34" i="6" s="1"/>
  <c r="L6" i="64"/>
  <c r="N34" i="6" s="1"/>
  <c r="M6" i="64"/>
  <c r="O34" i="6" s="1"/>
  <c r="N6" i="64"/>
  <c r="P34" i="6" s="1"/>
  <c r="C6" i="64"/>
  <c r="E34" i="6" s="1"/>
  <c r="N129" i="64"/>
  <c r="M129" i="64"/>
  <c r="L129" i="64"/>
  <c r="K129" i="64"/>
  <c r="J129" i="64"/>
  <c r="I129" i="64"/>
  <c r="H129" i="64"/>
  <c r="G129" i="64"/>
  <c r="F129" i="64"/>
  <c r="E129" i="64"/>
  <c r="D129" i="64"/>
  <c r="C129" i="64"/>
  <c r="O128" i="64"/>
  <c r="B128" i="64"/>
  <c r="O127" i="64"/>
  <c r="B127" i="64"/>
  <c r="O126" i="64"/>
  <c r="B126" i="64"/>
  <c r="O125" i="64"/>
  <c r="B125" i="64"/>
  <c r="O124" i="64"/>
  <c r="B124" i="64"/>
  <c r="O123" i="64"/>
  <c r="B123" i="64"/>
  <c r="O122" i="64"/>
  <c r="B122" i="64"/>
  <c r="O121" i="64"/>
  <c r="B121" i="64"/>
  <c r="O120" i="64"/>
  <c r="B120" i="64"/>
  <c r="O119" i="64"/>
  <c r="B119" i="64"/>
  <c r="N115" i="64"/>
  <c r="M115" i="64"/>
  <c r="L115" i="64"/>
  <c r="K115" i="64"/>
  <c r="J115" i="64"/>
  <c r="I115" i="64"/>
  <c r="H115" i="64"/>
  <c r="G115" i="64"/>
  <c r="F115" i="64"/>
  <c r="E115" i="64"/>
  <c r="D115" i="64"/>
  <c r="C115" i="64"/>
  <c r="O114" i="64"/>
  <c r="B114" i="64"/>
  <c r="O113" i="64"/>
  <c r="B113" i="64"/>
  <c r="O112" i="64"/>
  <c r="B112" i="64"/>
  <c r="O111" i="64"/>
  <c r="B111" i="64"/>
  <c r="O110" i="64"/>
  <c r="B110" i="64"/>
  <c r="O109" i="64"/>
  <c r="B109" i="64"/>
  <c r="O108" i="64"/>
  <c r="B108" i="64"/>
  <c r="O107" i="64"/>
  <c r="B107" i="64"/>
  <c r="O106" i="64"/>
  <c r="B106" i="64"/>
  <c r="O105" i="64"/>
  <c r="B105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O100" i="64"/>
  <c r="B100" i="64"/>
  <c r="O99" i="64"/>
  <c r="B99" i="64"/>
  <c r="O98" i="64"/>
  <c r="B98" i="64"/>
  <c r="O97" i="64"/>
  <c r="B97" i="64"/>
  <c r="O96" i="64"/>
  <c r="B96" i="64"/>
  <c r="O95" i="64"/>
  <c r="B95" i="64"/>
  <c r="O94" i="64"/>
  <c r="B94" i="64"/>
  <c r="O93" i="64"/>
  <c r="B93" i="64"/>
  <c r="O92" i="64"/>
  <c r="B92" i="64"/>
  <c r="O91" i="64"/>
  <c r="B91" i="64"/>
  <c r="N87" i="64"/>
  <c r="M87" i="64"/>
  <c r="L87" i="64"/>
  <c r="K87" i="64"/>
  <c r="J87" i="64"/>
  <c r="I87" i="64"/>
  <c r="H87" i="64"/>
  <c r="G87" i="64"/>
  <c r="F87" i="64"/>
  <c r="E87" i="64"/>
  <c r="D87" i="64"/>
  <c r="C87" i="64"/>
  <c r="O86" i="64"/>
  <c r="B86" i="64"/>
  <c r="O85" i="64"/>
  <c r="B85" i="64"/>
  <c r="O84" i="64"/>
  <c r="B84" i="64"/>
  <c r="O83" i="64"/>
  <c r="B83" i="64"/>
  <c r="O82" i="64"/>
  <c r="B82" i="64"/>
  <c r="O81" i="64"/>
  <c r="B81" i="64"/>
  <c r="O80" i="64"/>
  <c r="B80" i="64"/>
  <c r="O79" i="64"/>
  <c r="B79" i="64"/>
  <c r="O78" i="64"/>
  <c r="B78" i="64"/>
  <c r="O77" i="64"/>
  <c r="B77" i="64"/>
  <c r="N73" i="64"/>
  <c r="M73" i="64"/>
  <c r="L73" i="64"/>
  <c r="K73" i="64"/>
  <c r="J73" i="64"/>
  <c r="I73" i="64"/>
  <c r="H73" i="64"/>
  <c r="G73" i="64"/>
  <c r="F73" i="64"/>
  <c r="E73" i="64"/>
  <c r="D73" i="64"/>
  <c r="C73" i="64"/>
  <c r="O72" i="64"/>
  <c r="B72" i="64"/>
  <c r="O71" i="64"/>
  <c r="B71" i="64"/>
  <c r="O70" i="64"/>
  <c r="B70" i="64"/>
  <c r="O69" i="64"/>
  <c r="B69" i="64"/>
  <c r="O68" i="64"/>
  <c r="B68" i="64"/>
  <c r="O67" i="64"/>
  <c r="B67" i="64"/>
  <c r="O66" i="64"/>
  <c r="B66" i="64"/>
  <c r="O65" i="64"/>
  <c r="B65" i="64"/>
  <c r="O64" i="64"/>
  <c r="B64" i="64"/>
  <c r="O63" i="64"/>
  <c r="B63" i="64"/>
  <c r="N59" i="64"/>
  <c r="M59" i="64"/>
  <c r="L59" i="64"/>
  <c r="K59" i="64"/>
  <c r="J59" i="64"/>
  <c r="I59" i="64"/>
  <c r="H59" i="64"/>
  <c r="G59" i="64"/>
  <c r="F59" i="64"/>
  <c r="E59" i="64"/>
  <c r="D59" i="64"/>
  <c r="C59" i="64"/>
  <c r="O58" i="64"/>
  <c r="B58" i="64"/>
  <c r="O57" i="64"/>
  <c r="B57" i="64"/>
  <c r="O56" i="64"/>
  <c r="B56" i="64"/>
  <c r="O55" i="64"/>
  <c r="B55" i="64"/>
  <c r="O54" i="64"/>
  <c r="B54" i="64"/>
  <c r="O53" i="64"/>
  <c r="B53" i="64"/>
  <c r="O52" i="64"/>
  <c r="B52" i="64"/>
  <c r="O51" i="64"/>
  <c r="B51" i="64"/>
  <c r="O50" i="64"/>
  <c r="B50" i="64"/>
  <c r="O49" i="64"/>
  <c r="B49" i="64"/>
  <c r="N45" i="64"/>
  <c r="M45" i="64"/>
  <c r="L45" i="64"/>
  <c r="K45" i="64"/>
  <c r="J45" i="64"/>
  <c r="I45" i="64"/>
  <c r="H45" i="64"/>
  <c r="G45" i="64"/>
  <c r="F45" i="64"/>
  <c r="E45" i="64"/>
  <c r="D45" i="64"/>
  <c r="C45" i="64"/>
  <c r="O44" i="64"/>
  <c r="B44" i="64"/>
  <c r="O43" i="64"/>
  <c r="B43" i="64"/>
  <c r="O42" i="64"/>
  <c r="B42" i="64"/>
  <c r="O41" i="64"/>
  <c r="B41" i="64"/>
  <c r="O40" i="64"/>
  <c r="B40" i="64"/>
  <c r="O39" i="64"/>
  <c r="B39" i="64"/>
  <c r="O38" i="64"/>
  <c r="B38" i="64"/>
  <c r="O37" i="64"/>
  <c r="B37" i="64"/>
  <c r="O36" i="64"/>
  <c r="B36" i="64"/>
  <c r="O35" i="64"/>
  <c r="B35" i="64"/>
  <c r="B29" i="64"/>
  <c r="B28" i="64"/>
  <c r="B27" i="64"/>
  <c r="B26" i="64"/>
  <c r="B25" i="64"/>
  <c r="B24" i="64"/>
  <c r="B23" i="64"/>
  <c r="B22" i="64"/>
  <c r="B21" i="64"/>
  <c r="B20" i="64"/>
  <c r="C2" i="64"/>
  <c r="B15" i="64"/>
  <c r="B14" i="64"/>
  <c r="B13" i="64"/>
  <c r="B12" i="64"/>
  <c r="B11" i="64"/>
  <c r="B10" i="64"/>
  <c r="B9" i="64"/>
  <c r="B8" i="64"/>
  <c r="B7" i="64"/>
  <c r="B6" i="64"/>
  <c r="C30" i="64" l="1"/>
  <c r="E33" i="6"/>
  <c r="O29" i="64"/>
  <c r="O13" i="64"/>
  <c r="O12" i="64"/>
  <c r="O8" i="64"/>
  <c r="O22" i="64"/>
  <c r="F30" i="64"/>
  <c r="E30" i="64"/>
  <c r="H30" i="64"/>
  <c r="O20" i="64"/>
  <c r="J30" i="64"/>
  <c r="I30" i="64"/>
  <c r="O26" i="64"/>
  <c r="O21" i="64"/>
  <c r="M30" i="64"/>
  <c r="L30" i="64"/>
  <c r="O6" i="64"/>
  <c r="O27" i="64"/>
  <c r="O14" i="64"/>
  <c r="O28" i="64"/>
  <c r="G30" i="64"/>
  <c r="O24" i="64"/>
  <c r="O23" i="64"/>
  <c r="O25" i="64"/>
  <c r="O11" i="64"/>
  <c r="O10" i="64"/>
  <c r="O9" i="64"/>
  <c r="D30" i="64"/>
  <c r="K30" i="64"/>
  <c r="N30" i="64"/>
  <c r="O73" i="64"/>
  <c r="O129" i="64"/>
  <c r="O45" i="64"/>
  <c r="O87" i="64"/>
  <c r="O101" i="64"/>
  <c r="O59" i="64"/>
  <c r="O115" i="64"/>
  <c r="M16" i="64"/>
  <c r="O30" i="64" l="1"/>
  <c r="F16" i="64"/>
  <c r="E16" i="64"/>
  <c r="L16" i="64"/>
  <c r="J16" i="64"/>
  <c r="D16" i="64"/>
  <c r="I16" i="64"/>
  <c r="O7" i="64"/>
  <c r="H16" i="64"/>
  <c r="K16" i="64"/>
  <c r="N16" i="64"/>
  <c r="C16" i="64"/>
  <c r="O15" i="64"/>
  <c r="G16" i="64"/>
  <c r="O16" i="64" l="1"/>
  <c r="B207" i="41" l="1"/>
  <c r="D187" i="63" s="1"/>
  <c r="D168" i="63" s="1"/>
  <c r="D149" i="63" s="1"/>
  <c r="B208" i="41"/>
  <c r="D192" i="63" s="1"/>
  <c r="D173" i="63" s="1"/>
  <c r="D154" i="63" s="1"/>
  <c r="C222" i="41"/>
  <c r="Q53" i="41"/>
  <c r="Q54" i="41"/>
  <c r="P1" i="46"/>
  <c r="F26" i="46"/>
  <c r="F122" i="27" l="1"/>
  <c r="G122" i="27"/>
  <c r="H122" i="27"/>
  <c r="I122" i="27"/>
  <c r="J122" i="27"/>
  <c r="K122" i="27"/>
  <c r="L122" i="27"/>
  <c r="M122" i="27"/>
  <c r="N122" i="27"/>
  <c r="O122" i="27"/>
  <c r="P122" i="27"/>
  <c r="E122" i="27"/>
  <c r="F114" i="27"/>
  <c r="G114" i="27"/>
  <c r="H114" i="27"/>
  <c r="I114" i="27"/>
  <c r="J114" i="27"/>
  <c r="K114" i="27"/>
  <c r="L114" i="27"/>
  <c r="M114" i="27"/>
  <c r="N114" i="27"/>
  <c r="O114" i="27"/>
  <c r="P114" i="27"/>
  <c r="F115" i="27"/>
  <c r="G115" i="27"/>
  <c r="I115" i="27"/>
  <c r="L115" i="27"/>
  <c r="M115" i="27"/>
  <c r="N115" i="27"/>
  <c r="O115" i="27"/>
  <c r="P115" i="27"/>
  <c r="F116" i="27"/>
  <c r="G116" i="27"/>
  <c r="H116" i="27"/>
  <c r="I116" i="27"/>
  <c r="J116" i="27"/>
  <c r="K116" i="27"/>
  <c r="L116" i="27"/>
  <c r="M116" i="27"/>
  <c r="N116" i="27"/>
  <c r="O116" i="27"/>
  <c r="P116" i="27"/>
  <c r="F117" i="27"/>
  <c r="G117" i="27"/>
  <c r="H117" i="27"/>
  <c r="I117" i="27"/>
  <c r="J117" i="27"/>
  <c r="K117" i="27"/>
  <c r="L117" i="27"/>
  <c r="M117" i="27"/>
  <c r="N117" i="27"/>
  <c r="O117" i="27"/>
  <c r="P117" i="27"/>
  <c r="E115" i="27"/>
  <c r="E116" i="27"/>
  <c r="E117" i="27"/>
  <c r="E114" i="27"/>
  <c r="F95" i="27"/>
  <c r="G95" i="27"/>
  <c r="I95" i="27"/>
  <c r="J95" i="27"/>
  <c r="K95" i="27"/>
  <c r="L95" i="27"/>
  <c r="M95" i="27"/>
  <c r="N95" i="27"/>
  <c r="O95" i="27"/>
  <c r="P95" i="27"/>
  <c r="E95" i="27"/>
  <c r="E88" i="27"/>
  <c r="F88" i="27"/>
  <c r="G88" i="27"/>
  <c r="H88" i="27"/>
  <c r="I88" i="27"/>
  <c r="J88" i="27"/>
  <c r="K88" i="27"/>
  <c r="L88" i="27"/>
  <c r="M88" i="27"/>
  <c r="N88" i="27"/>
  <c r="O88" i="27"/>
  <c r="P88" i="27"/>
  <c r="F76" i="27"/>
  <c r="G76" i="27"/>
  <c r="H76" i="27"/>
  <c r="I76" i="27"/>
  <c r="J76" i="27"/>
  <c r="K76" i="27"/>
  <c r="L76" i="27"/>
  <c r="M76" i="27"/>
  <c r="N76" i="27"/>
  <c r="O76" i="27"/>
  <c r="P76" i="27"/>
  <c r="E76" i="27"/>
  <c r="F70" i="27"/>
  <c r="G70" i="27"/>
  <c r="H70" i="27"/>
  <c r="I70" i="27"/>
  <c r="J70" i="27"/>
  <c r="K70" i="27"/>
  <c r="L70" i="27"/>
  <c r="M70" i="27"/>
  <c r="N70" i="27"/>
  <c r="O70" i="27"/>
  <c r="P70" i="27"/>
  <c r="E70" i="27"/>
  <c r="F66" i="27"/>
  <c r="G66" i="27"/>
  <c r="H66" i="27"/>
  <c r="I66" i="27"/>
  <c r="J66" i="27"/>
  <c r="K66" i="27"/>
  <c r="L66" i="27"/>
  <c r="M66" i="27"/>
  <c r="N66" i="27"/>
  <c r="O66" i="27"/>
  <c r="P66" i="27"/>
  <c r="E66" i="27"/>
  <c r="F48" i="27"/>
  <c r="O48" i="27"/>
  <c r="P48" i="27"/>
  <c r="F49" i="27"/>
  <c r="O49" i="27"/>
  <c r="P49" i="27"/>
  <c r="F50" i="27"/>
  <c r="G50" i="27"/>
  <c r="H50" i="27"/>
  <c r="J50" i="27"/>
  <c r="K50" i="27"/>
  <c r="N50" i="27"/>
  <c r="O50" i="27"/>
  <c r="P50" i="27"/>
  <c r="E49" i="27"/>
  <c r="E50" i="27"/>
  <c r="E48" i="27"/>
  <c r="H46" i="27"/>
  <c r="I46" i="27"/>
  <c r="J46" i="27"/>
  <c r="K46" i="27"/>
  <c r="L46" i="27"/>
  <c r="M46" i="27"/>
  <c r="F41" i="27"/>
  <c r="G41" i="27"/>
  <c r="H41" i="27"/>
  <c r="I41" i="27"/>
  <c r="J41" i="27"/>
  <c r="K41" i="27"/>
  <c r="L41" i="27"/>
  <c r="M41" i="27"/>
  <c r="N41" i="27"/>
  <c r="O41" i="27"/>
  <c r="P41" i="27"/>
  <c r="F43" i="27"/>
  <c r="I43" i="27"/>
  <c r="K43" i="27"/>
  <c r="L43" i="27"/>
  <c r="O43" i="27"/>
  <c r="P43" i="27"/>
  <c r="E43" i="27"/>
  <c r="E41" i="27"/>
  <c r="F36" i="27" l="1"/>
  <c r="I36" i="27"/>
  <c r="L36" i="27"/>
  <c r="N36" i="27"/>
  <c r="P36" i="27"/>
  <c r="E36" i="27"/>
  <c r="F33" i="27"/>
  <c r="G33" i="27"/>
  <c r="J33" i="27"/>
  <c r="L33" i="27"/>
  <c r="O33" i="27"/>
  <c r="P33" i="27"/>
  <c r="F21" i="27"/>
  <c r="G21" i="27"/>
  <c r="H21" i="27"/>
  <c r="I21" i="27"/>
  <c r="J21" i="27"/>
  <c r="K21" i="27"/>
  <c r="L21" i="27"/>
  <c r="M21" i="27"/>
  <c r="N21" i="27"/>
  <c r="O21" i="27"/>
  <c r="P21" i="27"/>
  <c r="E21" i="27"/>
  <c r="F12" i="27"/>
  <c r="G12" i="27"/>
  <c r="H12" i="27"/>
  <c r="I12" i="27"/>
  <c r="J12" i="27"/>
  <c r="K12" i="27"/>
  <c r="L12" i="27"/>
  <c r="M12" i="27"/>
  <c r="N12" i="27"/>
  <c r="O12" i="27"/>
  <c r="E12" i="27"/>
  <c r="N56" i="9" l="1"/>
  <c r="N204" i="9" s="1"/>
  <c r="K56" i="9"/>
  <c r="K204" i="9" s="1"/>
  <c r="H56" i="9"/>
  <c r="H204" i="9" s="1"/>
  <c r="E56" i="9"/>
  <c r="E204" i="9" s="1"/>
  <c r="F52" i="8"/>
  <c r="F209" i="8" s="1"/>
  <c r="G52" i="8"/>
  <c r="G209" i="8" s="1"/>
  <c r="H52" i="8"/>
  <c r="H209" i="8" s="1"/>
  <c r="I52" i="8"/>
  <c r="I209" i="8" s="1"/>
  <c r="J52" i="8"/>
  <c r="J209" i="8" s="1"/>
  <c r="K52" i="8"/>
  <c r="K209" i="8" s="1"/>
  <c r="L52" i="8"/>
  <c r="L209" i="8" s="1"/>
  <c r="M52" i="8"/>
  <c r="M209" i="8" s="1"/>
  <c r="N52" i="8"/>
  <c r="N209" i="8" s="1"/>
  <c r="O52" i="8"/>
  <c r="O209" i="8" s="1"/>
  <c r="P52" i="8"/>
  <c r="P209" i="8" s="1"/>
  <c r="E52" i="8"/>
  <c r="E209" i="8" s="1"/>
  <c r="Q115" i="8" l="1"/>
  <c r="Q116" i="8"/>
  <c r="Q113" i="8"/>
  <c r="Q116" i="9"/>
  <c r="Q115" i="9"/>
  <c r="Q113" i="9"/>
  <c r="D126" i="44"/>
  <c r="G126" i="44" s="1"/>
  <c r="D125" i="44"/>
  <c r="P125" i="44" s="1"/>
  <c r="D124" i="44"/>
  <c r="H124" i="44" s="1"/>
  <c r="D123" i="44"/>
  <c r="O123" i="44" s="1"/>
  <c r="D122" i="44"/>
  <c r="J122" i="44" s="1"/>
  <c r="D121" i="44"/>
  <c r="E121" i="44" s="1"/>
  <c r="D120" i="44"/>
  <c r="F120" i="44" s="1"/>
  <c r="D119" i="44"/>
  <c r="G119" i="44" s="1"/>
  <c r="D118" i="44"/>
  <c r="N118" i="44" s="1"/>
  <c r="P127" i="44"/>
  <c r="O127" i="44"/>
  <c r="N127" i="44"/>
  <c r="M127" i="44"/>
  <c r="L127" i="44"/>
  <c r="K127" i="44"/>
  <c r="J127" i="44"/>
  <c r="I127" i="44"/>
  <c r="H127" i="44"/>
  <c r="G127" i="44"/>
  <c r="F127" i="44"/>
  <c r="E127" i="44"/>
  <c r="Q127" i="44" s="1"/>
  <c r="I126" i="44"/>
  <c r="P118" i="44"/>
  <c r="O118" i="44"/>
  <c r="D83" i="44"/>
  <c r="D81" i="44"/>
  <c r="D78" i="44"/>
  <c r="H80" i="44"/>
  <c r="G80" i="44"/>
  <c r="F80" i="44"/>
  <c r="E80" i="44"/>
  <c r="H77" i="44"/>
  <c r="G77" i="44"/>
  <c r="F77" i="44"/>
  <c r="D71" i="44"/>
  <c r="K71" i="44" s="1"/>
  <c r="D70" i="44"/>
  <c r="D69" i="44"/>
  <c r="D68" i="44"/>
  <c r="D67" i="44"/>
  <c r="D66" i="44"/>
  <c r="D65" i="44"/>
  <c r="F65" i="44" s="1"/>
  <c r="D64" i="44"/>
  <c r="F64" i="44" s="1"/>
  <c r="D63" i="44"/>
  <c r="D62" i="44"/>
  <c r="Q94" i="63"/>
  <c r="H94" i="62"/>
  <c r="H94" i="61"/>
  <c r="H94" i="32"/>
  <c r="H97" i="31"/>
  <c r="H94" i="10"/>
  <c r="H94" i="8"/>
  <c r="H94" i="22"/>
  <c r="H94" i="6"/>
  <c r="H196" i="6" s="1"/>
  <c r="F57" i="44"/>
  <c r="G57" i="44"/>
  <c r="H57" i="44"/>
  <c r="I57" i="44"/>
  <c r="J57" i="44"/>
  <c r="K57" i="44"/>
  <c r="L57" i="44"/>
  <c r="M57" i="44"/>
  <c r="N57" i="44"/>
  <c r="O57" i="44"/>
  <c r="P57" i="44"/>
  <c r="E57" i="44"/>
  <c r="D56" i="44"/>
  <c r="N56" i="44" s="1"/>
  <c r="D55" i="44"/>
  <c r="K55" i="44" s="1"/>
  <c r="D54" i="44"/>
  <c r="H54" i="44" s="1"/>
  <c r="D53" i="44"/>
  <c r="F53" i="44" s="1"/>
  <c r="D52" i="44"/>
  <c r="P52" i="44" s="1"/>
  <c r="D51" i="44"/>
  <c r="M51" i="44" s="1"/>
  <c r="D50" i="44"/>
  <c r="J50" i="44" s="1"/>
  <c r="D49" i="44"/>
  <c r="G49" i="44" s="1"/>
  <c r="D48" i="44"/>
  <c r="H48" i="44" s="1"/>
  <c r="C141" i="44"/>
  <c r="B141" i="44"/>
  <c r="C140" i="44"/>
  <c r="B140" i="44"/>
  <c r="C139" i="44"/>
  <c r="B139" i="44"/>
  <c r="C138" i="44"/>
  <c r="B138" i="44"/>
  <c r="C137" i="44"/>
  <c r="B137" i="44"/>
  <c r="C136" i="44"/>
  <c r="B136" i="44"/>
  <c r="C135" i="44"/>
  <c r="B135" i="44"/>
  <c r="C134" i="44"/>
  <c r="B134" i="44"/>
  <c r="C133" i="44"/>
  <c r="B133" i="44"/>
  <c r="C132" i="44"/>
  <c r="B132" i="44"/>
  <c r="C113" i="44"/>
  <c r="B113" i="44"/>
  <c r="C112" i="44"/>
  <c r="B112" i="44"/>
  <c r="C111" i="44"/>
  <c r="B111" i="44"/>
  <c r="C110" i="44"/>
  <c r="B110" i="44"/>
  <c r="C109" i="44"/>
  <c r="B109" i="44"/>
  <c r="C108" i="44"/>
  <c r="B108" i="44"/>
  <c r="C107" i="44"/>
  <c r="B107" i="44"/>
  <c r="C106" i="44"/>
  <c r="B106" i="44"/>
  <c r="C105" i="44"/>
  <c r="B105" i="44"/>
  <c r="C104" i="44"/>
  <c r="B104" i="44"/>
  <c r="C99" i="44"/>
  <c r="B99" i="44"/>
  <c r="C98" i="44"/>
  <c r="B98" i="44"/>
  <c r="C97" i="44"/>
  <c r="B97" i="44"/>
  <c r="C96" i="44"/>
  <c r="B96" i="44"/>
  <c r="C95" i="44"/>
  <c r="B95" i="44"/>
  <c r="C94" i="44"/>
  <c r="B94" i="44"/>
  <c r="C93" i="44"/>
  <c r="B93" i="44"/>
  <c r="C92" i="44"/>
  <c r="B92" i="44"/>
  <c r="C91" i="44"/>
  <c r="B91" i="44"/>
  <c r="C90" i="44"/>
  <c r="B90" i="44"/>
  <c r="C127" i="44"/>
  <c r="B127" i="44"/>
  <c r="C126" i="44"/>
  <c r="B126" i="44"/>
  <c r="C125" i="44"/>
  <c r="B125" i="44"/>
  <c r="C124" i="44"/>
  <c r="B124" i="44"/>
  <c r="C123" i="44"/>
  <c r="B123" i="44"/>
  <c r="C122" i="44"/>
  <c r="B122" i="44"/>
  <c r="C121" i="44"/>
  <c r="B121" i="44"/>
  <c r="C120" i="44"/>
  <c r="B120" i="44"/>
  <c r="C119" i="44"/>
  <c r="B119" i="44"/>
  <c r="C118" i="44"/>
  <c r="B118" i="44"/>
  <c r="C85" i="44"/>
  <c r="B85" i="44"/>
  <c r="C84" i="44"/>
  <c r="B84" i="44"/>
  <c r="C83" i="44"/>
  <c r="B83" i="44"/>
  <c r="C82" i="44"/>
  <c r="B82" i="44"/>
  <c r="C81" i="44"/>
  <c r="B81" i="44"/>
  <c r="C80" i="44"/>
  <c r="B80" i="44"/>
  <c r="C79" i="44"/>
  <c r="B79" i="44"/>
  <c r="C78" i="44"/>
  <c r="B78" i="44"/>
  <c r="C77" i="44"/>
  <c r="B77" i="44"/>
  <c r="C76" i="44"/>
  <c r="B76" i="44"/>
  <c r="C71" i="44"/>
  <c r="B71" i="44"/>
  <c r="C70" i="44"/>
  <c r="B70" i="44"/>
  <c r="C69" i="44"/>
  <c r="B69" i="44"/>
  <c r="C68" i="44"/>
  <c r="B68" i="44"/>
  <c r="C67" i="44"/>
  <c r="B67" i="44"/>
  <c r="C66" i="44"/>
  <c r="B66" i="44"/>
  <c r="C65" i="44"/>
  <c r="B65" i="44"/>
  <c r="C64" i="44"/>
  <c r="B64" i="44"/>
  <c r="C63" i="44"/>
  <c r="B63" i="44"/>
  <c r="C62" i="44"/>
  <c r="B62" i="44"/>
  <c r="C43" i="44"/>
  <c r="B43" i="44"/>
  <c r="C42" i="44"/>
  <c r="B42" i="44"/>
  <c r="C41" i="44"/>
  <c r="B41" i="44"/>
  <c r="C40" i="44"/>
  <c r="B40" i="44"/>
  <c r="C39" i="44"/>
  <c r="B39" i="44"/>
  <c r="C38" i="44"/>
  <c r="B38" i="44"/>
  <c r="C37" i="44"/>
  <c r="B37" i="44"/>
  <c r="C36" i="44"/>
  <c r="B36" i="44"/>
  <c r="C35" i="44"/>
  <c r="B35" i="44"/>
  <c r="C34" i="44"/>
  <c r="B34" i="44"/>
  <c r="C57" i="44"/>
  <c r="B57" i="44"/>
  <c r="C56" i="44"/>
  <c r="B56" i="44"/>
  <c r="C55" i="44"/>
  <c r="B55" i="44"/>
  <c r="C54" i="44"/>
  <c r="B54" i="44"/>
  <c r="C53" i="44"/>
  <c r="B53" i="44"/>
  <c r="C52" i="44"/>
  <c r="B52" i="44"/>
  <c r="C51" i="44"/>
  <c r="B51" i="44"/>
  <c r="C50" i="44"/>
  <c r="B50" i="44"/>
  <c r="C49" i="44"/>
  <c r="B49" i="44"/>
  <c r="C48" i="44"/>
  <c r="B48" i="44"/>
  <c r="C29" i="44"/>
  <c r="B29" i="44"/>
  <c r="C28" i="44"/>
  <c r="B28" i="44"/>
  <c r="C27" i="44"/>
  <c r="B27" i="44"/>
  <c r="C26" i="44"/>
  <c r="B26" i="44"/>
  <c r="C25" i="44"/>
  <c r="B25" i="44"/>
  <c r="C24" i="44"/>
  <c r="B24" i="44"/>
  <c r="C23" i="44"/>
  <c r="B23" i="44"/>
  <c r="C22" i="44"/>
  <c r="B22" i="44"/>
  <c r="C21" i="44"/>
  <c r="B21" i="44"/>
  <c r="C20" i="44"/>
  <c r="B20" i="44"/>
  <c r="C15" i="44"/>
  <c r="C14" i="44"/>
  <c r="C13" i="44"/>
  <c r="C12" i="44"/>
  <c r="C11" i="44"/>
  <c r="C10" i="44"/>
  <c r="C9" i="44"/>
  <c r="C8" i="44"/>
  <c r="B15" i="44"/>
  <c r="B14" i="44"/>
  <c r="B13" i="44"/>
  <c r="B12" i="44"/>
  <c r="B11" i="44"/>
  <c r="B10" i="44"/>
  <c r="B9" i="44"/>
  <c r="B8" i="44"/>
  <c r="C7" i="44"/>
  <c r="B7" i="44"/>
  <c r="C6" i="44"/>
  <c r="B6" i="44"/>
  <c r="P27" i="46"/>
  <c r="P26" i="46"/>
  <c r="O27" i="46"/>
  <c r="E20" i="63" s="1"/>
  <c r="O26" i="46"/>
  <c r="E19" i="63" s="1"/>
  <c r="O4" i="46"/>
  <c r="N4" i="46"/>
  <c r="M4" i="46"/>
  <c r="M26" i="46"/>
  <c r="E19" i="61" s="1"/>
  <c r="M27" i="46"/>
  <c r="E20" i="61" s="1"/>
  <c r="N26" i="46"/>
  <c r="E19" i="62" s="1"/>
  <c r="E150" i="62" s="1"/>
  <c r="N27" i="46"/>
  <c r="E20" i="62" s="1"/>
  <c r="E151" i="62" s="1"/>
  <c r="P12" i="63"/>
  <c r="H625" i="38"/>
  <c r="H626" i="38"/>
  <c r="H627" i="38"/>
  <c r="H628" i="38"/>
  <c r="H629" i="38"/>
  <c r="H630" i="38"/>
  <c r="Q94" i="62" l="1"/>
  <c r="H171" i="62"/>
  <c r="F20" i="61"/>
  <c r="E151" i="61"/>
  <c r="F19" i="61"/>
  <c r="E150" i="61"/>
  <c r="P12" i="27"/>
  <c r="P201" i="63"/>
  <c r="Q201" i="63" s="1"/>
  <c r="Q94" i="10"/>
  <c r="H170" i="10"/>
  <c r="Q94" i="22"/>
  <c r="R94" i="22" s="1"/>
  <c r="H170" i="22"/>
  <c r="O20" i="63"/>
  <c r="O204" i="63" s="1"/>
  <c r="E204" i="63"/>
  <c r="O19" i="63"/>
  <c r="O203" i="63" s="1"/>
  <c r="E203" i="63"/>
  <c r="Q94" i="61"/>
  <c r="H171" i="61"/>
  <c r="Q94" i="32"/>
  <c r="H171" i="32"/>
  <c r="R94" i="32"/>
  <c r="T94" i="32"/>
  <c r="Q97" i="31"/>
  <c r="R97" i="31" s="1"/>
  <c r="H280" i="31"/>
  <c r="C44" i="44"/>
  <c r="D41" i="44" s="1"/>
  <c r="Q94" i="8"/>
  <c r="R94" i="8" s="1"/>
  <c r="H219" i="8"/>
  <c r="L71" i="44"/>
  <c r="L96" i="63" s="1"/>
  <c r="L228" i="63" s="1"/>
  <c r="M124" i="44"/>
  <c r="N124" i="44"/>
  <c r="H119" i="44"/>
  <c r="K121" i="44"/>
  <c r="M71" i="44"/>
  <c r="L121" i="44"/>
  <c r="L102" i="9" s="1"/>
  <c r="L219" i="9" s="1"/>
  <c r="N71" i="44"/>
  <c r="O71" i="44"/>
  <c r="O96" i="63" s="1"/>
  <c r="O228" i="63" s="1"/>
  <c r="K122" i="44"/>
  <c r="M121" i="44"/>
  <c r="O124" i="44"/>
  <c r="O102" i="32" s="1"/>
  <c r="O175" i="32" s="1"/>
  <c r="G48" i="44"/>
  <c r="P71" i="44"/>
  <c r="P96" i="63" s="1"/>
  <c r="P228" i="63" s="1"/>
  <c r="E126" i="44"/>
  <c r="E102" i="62" s="1"/>
  <c r="E175" i="62" s="1"/>
  <c r="T94" i="8"/>
  <c r="N121" i="44"/>
  <c r="L119" i="44"/>
  <c r="L102" i="22" s="1"/>
  <c r="L174" i="22" s="1"/>
  <c r="O121" i="44"/>
  <c r="F126" i="44"/>
  <c r="F102" i="62" s="1"/>
  <c r="F175" i="62" s="1"/>
  <c r="K119" i="44"/>
  <c r="M119" i="44"/>
  <c r="P121" i="44"/>
  <c r="P102" i="9" s="1"/>
  <c r="P219" i="9" s="1"/>
  <c r="H126" i="44"/>
  <c r="H102" i="62" s="1"/>
  <c r="H175" i="62" s="1"/>
  <c r="N96" i="63"/>
  <c r="N228" i="63" s="1"/>
  <c r="M96" i="63"/>
  <c r="M228" i="63" s="1"/>
  <c r="K96" i="63"/>
  <c r="K228" i="63" s="1"/>
  <c r="F96" i="8"/>
  <c r="F220" i="8" s="1"/>
  <c r="F96" i="9"/>
  <c r="F216" i="9" s="1"/>
  <c r="H98" i="22"/>
  <c r="H172" i="22" s="1"/>
  <c r="H98" i="10"/>
  <c r="H172" i="10" s="1"/>
  <c r="G98" i="22"/>
  <c r="G172" i="22" s="1"/>
  <c r="F98" i="22"/>
  <c r="F172" i="22" s="1"/>
  <c r="G98" i="10"/>
  <c r="G172" i="10" s="1"/>
  <c r="F98" i="10"/>
  <c r="F172" i="10" s="1"/>
  <c r="E98" i="10"/>
  <c r="E172" i="10" s="1"/>
  <c r="P119" i="44"/>
  <c r="P102" i="22" s="1"/>
  <c r="P174" i="22" s="1"/>
  <c r="M122" i="44"/>
  <c r="M102" i="10" s="1"/>
  <c r="M174" i="10" s="1"/>
  <c r="K126" i="44"/>
  <c r="K102" i="62" s="1"/>
  <c r="K175" i="62" s="1"/>
  <c r="I119" i="44"/>
  <c r="I102" i="22" s="1"/>
  <c r="I174" i="22" s="1"/>
  <c r="N119" i="44"/>
  <c r="N102" i="22" s="1"/>
  <c r="N174" i="22" s="1"/>
  <c r="F121" i="44"/>
  <c r="F102" i="9" s="1"/>
  <c r="F219" i="9" s="1"/>
  <c r="N122" i="44"/>
  <c r="N102" i="10" s="1"/>
  <c r="N174" i="10" s="1"/>
  <c r="L126" i="44"/>
  <c r="J119" i="44"/>
  <c r="J102" i="22" s="1"/>
  <c r="J174" i="22" s="1"/>
  <c r="J126" i="44"/>
  <c r="J102" i="62" s="1"/>
  <c r="J175" i="62" s="1"/>
  <c r="M48" i="44"/>
  <c r="G121" i="44"/>
  <c r="G102" i="9" s="1"/>
  <c r="G219" i="9" s="1"/>
  <c r="I124" i="44"/>
  <c r="I102" i="32" s="1"/>
  <c r="I175" i="32" s="1"/>
  <c r="M126" i="44"/>
  <c r="M102" i="62" s="1"/>
  <c r="M175" i="62" s="1"/>
  <c r="L122" i="44"/>
  <c r="L102" i="10" s="1"/>
  <c r="L174" i="10" s="1"/>
  <c r="E48" i="44"/>
  <c r="L48" i="44"/>
  <c r="E119" i="44"/>
  <c r="H121" i="44"/>
  <c r="H102" i="9" s="1"/>
  <c r="H219" i="9" s="1"/>
  <c r="J124" i="44"/>
  <c r="J102" i="32" s="1"/>
  <c r="J175" i="32" s="1"/>
  <c r="N126" i="44"/>
  <c r="N102" i="62" s="1"/>
  <c r="N175" i="62" s="1"/>
  <c r="O119" i="44"/>
  <c r="O102" i="22" s="1"/>
  <c r="O174" i="22" s="1"/>
  <c r="P102" i="63"/>
  <c r="P231" i="63" s="1"/>
  <c r="N102" i="32"/>
  <c r="N175" i="32" s="1"/>
  <c r="O102" i="63"/>
  <c r="O231" i="63" s="1"/>
  <c r="M102" i="32"/>
  <c r="M175" i="32" s="1"/>
  <c r="K102" i="9"/>
  <c r="K219" i="9" s="1"/>
  <c r="N102" i="63"/>
  <c r="N231" i="63" s="1"/>
  <c r="M102" i="63"/>
  <c r="M231" i="63" s="1"/>
  <c r="O105" i="31"/>
  <c r="O284" i="31" s="1"/>
  <c r="L102" i="63"/>
  <c r="L231" i="63" s="1"/>
  <c r="K102" i="63"/>
  <c r="K231" i="63" s="1"/>
  <c r="J102" i="63"/>
  <c r="J231" i="63" s="1"/>
  <c r="H102" i="32"/>
  <c r="H175" i="32" s="1"/>
  <c r="I102" i="63"/>
  <c r="I231" i="63" s="1"/>
  <c r="E102" i="9"/>
  <c r="E219" i="9" s="1"/>
  <c r="M102" i="22"/>
  <c r="M174" i="22" s="1"/>
  <c r="H102" i="63"/>
  <c r="H231" i="63" s="1"/>
  <c r="L102" i="62"/>
  <c r="L175" i="62" s="1"/>
  <c r="P102" i="61"/>
  <c r="P175" i="61" s="1"/>
  <c r="P102" i="6"/>
  <c r="P200" i="6" s="1"/>
  <c r="G102" i="63"/>
  <c r="G231" i="63" s="1"/>
  <c r="K102" i="22"/>
  <c r="K174" i="22" s="1"/>
  <c r="O102" i="6"/>
  <c r="O200" i="6" s="1"/>
  <c r="F102" i="63"/>
  <c r="F231" i="63" s="1"/>
  <c r="F102" i="8"/>
  <c r="F223" i="8" s="1"/>
  <c r="N102" i="6"/>
  <c r="N200" i="6" s="1"/>
  <c r="E102" i="63"/>
  <c r="E231" i="63" s="1"/>
  <c r="I102" i="62"/>
  <c r="I175" i="62" s="1"/>
  <c r="K102" i="10"/>
  <c r="K174" i="10" s="1"/>
  <c r="O102" i="9"/>
  <c r="O219" i="9" s="1"/>
  <c r="J102" i="10"/>
  <c r="J174" i="10" s="1"/>
  <c r="N102" i="9"/>
  <c r="N219" i="9" s="1"/>
  <c r="H102" i="22"/>
  <c r="H174" i="22" s="1"/>
  <c r="G102" i="62"/>
  <c r="G175" i="62" s="1"/>
  <c r="M102" i="9"/>
  <c r="M219" i="9" s="1"/>
  <c r="G102" i="22"/>
  <c r="G174" i="22" s="1"/>
  <c r="Q57" i="44"/>
  <c r="K48" i="44"/>
  <c r="F119" i="44"/>
  <c r="F102" i="22" s="1"/>
  <c r="F174" i="22" s="1"/>
  <c r="I121" i="44"/>
  <c r="I102" i="9" s="1"/>
  <c r="I219" i="9" s="1"/>
  <c r="K124" i="44"/>
  <c r="K102" i="32" s="1"/>
  <c r="K175" i="32" s="1"/>
  <c r="O126" i="44"/>
  <c r="O102" i="62" s="1"/>
  <c r="O175" i="62" s="1"/>
  <c r="I48" i="44"/>
  <c r="J121" i="44"/>
  <c r="J102" i="9" s="1"/>
  <c r="J219" i="9" s="1"/>
  <c r="L124" i="44"/>
  <c r="L102" i="32" s="1"/>
  <c r="L175" i="32" s="1"/>
  <c r="P126" i="44"/>
  <c r="P102" i="62" s="1"/>
  <c r="P175" i="62" s="1"/>
  <c r="R94" i="63"/>
  <c r="T94" i="63"/>
  <c r="R94" i="62"/>
  <c r="T94" i="62"/>
  <c r="R94" i="61"/>
  <c r="T94" i="61"/>
  <c r="R94" i="10"/>
  <c r="T94" i="10"/>
  <c r="Q94" i="9"/>
  <c r="T94" i="9" s="1"/>
  <c r="H95" i="27"/>
  <c r="D24" i="46"/>
  <c r="I19" i="63"/>
  <c r="I203" i="63" s="1"/>
  <c r="I20" i="63"/>
  <c r="I204" i="63" s="1"/>
  <c r="L19" i="63"/>
  <c r="L203" i="63" s="1"/>
  <c r="L20" i="63"/>
  <c r="L204" i="63" s="1"/>
  <c r="N125" i="44"/>
  <c r="N102" i="61" s="1"/>
  <c r="N175" i="61" s="1"/>
  <c r="H125" i="44"/>
  <c r="H102" i="61" s="1"/>
  <c r="H175" i="61" s="1"/>
  <c r="I125" i="44"/>
  <c r="I102" i="61" s="1"/>
  <c r="I175" i="61" s="1"/>
  <c r="O125" i="44"/>
  <c r="O102" i="61" s="1"/>
  <c r="O175" i="61" s="1"/>
  <c r="P124" i="44"/>
  <c r="P102" i="32" s="1"/>
  <c r="P175" i="32" s="1"/>
  <c r="E124" i="44"/>
  <c r="E102" i="32" s="1"/>
  <c r="E175" i="32" s="1"/>
  <c r="F124" i="44"/>
  <c r="F102" i="32" s="1"/>
  <c r="F175" i="32" s="1"/>
  <c r="G124" i="44"/>
  <c r="G102" i="32" s="1"/>
  <c r="G175" i="32" s="1"/>
  <c r="M123" i="44"/>
  <c r="M105" i="31" s="1"/>
  <c r="M284" i="31" s="1"/>
  <c r="G123" i="44"/>
  <c r="G105" i="31" s="1"/>
  <c r="G284" i="31" s="1"/>
  <c r="H123" i="44"/>
  <c r="H105" i="31" s="1"/>
  <c r="H284" i="31" s="1"/>
  <c r="I123" i="44"/>
  <c r="I105" i="31" s="1"/>
  <c r="I284" i="31" s="1"/>
  <c r="N123" i="44"/>
  <c r="N105" i="31" s="1"/>
  <c r="N284" i="31" s="1"/>
  <c r="P123" i="44"/>
  <c r="P105" i="31" s="1"/>
  <c r="P284" i="31" s="1"/>
  <c r="O122" i="44"/>
  <c r="O102" i="10" s="1"/>
  <c r="O174" i="10" s="1"/>
  <c r="P122" i="44"/>
  <c r="P102" i="10" s="1"/>
  <c r="P174" i="10" s="1"/>
  <c r="E122" i="44"/>
  <c r="E102" i="10" s="1"/>
  <c r="E174" i="10" s="1"/>
  <c r="F122" i="44"/>
  <c r="F102" i="10" s="1"/>
  <c r="F174" i="10" s="1"/>
  <c r="G122" i="44"/>
  <c r="G102" i="10" s="1"/>
  <c r="G174" i="10" s="1"/>
  <c r="H122" i="44"/>
  <c r="I122" i="44"/>
  <c r="I102" i="10" s="1"/>
  <c r="I174" i="10" s="1"/>
  <c r="N120" i="44"/>
  <c r="N102" i="8" s="1"/>
  <c r="N223" i="8" s="1"/>
  <c r="G120" i="44"/>
  <c r="G102" i="8" s="1"/>
  <c r="G223" i="8" s="1"/>
  <c r="H120" i="44"/>
  <c r="H102" i="8" s="1"/>
  <c r="H223" i="8" s="1"/>
  <c r="I120" i="44"/>
  <c r="I102" i="8" s="1"/>
  <c r="I223" i="8" s="1"/>
  <c r="L120" i="44"/>
  <c r="L102" i="8" s="1"/>
  <c r="L223" i="8" s="1"/>
  <c r="M120" i="44"/>
  <c r="M102" i="8" s="1"/>
  <c r="M223" i="8" s="1"/>
  <c r="O120" i="44"/>
  <c r="O102" i="8" s="1"/>
  <c r="O223" i="8" s="1"/>
  <c r="P120" i="44"/>
  <c r="P102" i="8" s="1"/>
  <c r="P223" i="8" s="1"/>
  <c r="K120" i="44"/>
  <c r="K102" i="8" s="1"/>
  <c r="K223" i="8" s="1"/>
  <c r="D128" i="44"/>
  <c r="E120" i="44"/>
  <c r="E102" i="8" s="1"/>
  <c r="E223" i="8" s="1"/>
  <c r="E118" i="44"/>
  <c r="E102" i="6" s="1"/>
  <c r="E200" i="6" s="1"/>
  <c r="F118" i="44"/>
  <c r="F102" i="6" s="1"/>
  <c r="F200" i="6" s="1"/>
  <c r="G118" i="44"/>
  <c r="G102" i="6" s="1"/>
  <c r="G200" i="6" s="1"/>
  <c r="H118" i="44"/>
  <c r="H102" i="6" s="1"/>
  <c r="H200" i="6" s="1"/>
  <c r="I118" i="44"/>
  <c r="I102" i="6" s="1"/>
  <c r="I200" i="6" s="1"/>
  <c r="J118" i="44"/>
  <c r="J102" i="6" s="1"/>
  <c r="J200" i="6" s="1"/>
  <c r="K118" i="44"/>
  <c r="K102" i="6" s="1"/>
  <c r="K200" i="6" s="1"/>
  <c r="L118" i="44"/>
  <c r="L102" i="6" s="1"/>
  <c r="L200" i="6" s="1"/>
  <c r="M118" i="44"/>
  <c r="M102" i="6" s="1"/>
  <c r="M200" i="6" s="1"/>
  <c r="E125" i="44"/>
  <c r="E102" i="61" s="1"/>
  <c r="E175" i="61" s="1"/>
  <c r="E123" i="44"/>
  <c r="E105" i="31" s="1"/>
  <c r="E284" i="31" s="1"/>
  <c r="F125" i="44"/>
  <c r="F102" i="61" s="1"/>
  <c r="F175" i="61" s="1"/>
  <c r="F123" i="44"/>
  <c r="F105" i="31" s="1"/>
  <c r="F284" i="31" s="1"/>
  <c r="G125" i="44"/>
  <c r="J125" i="44"/>
  <c r="J102" i="61" s="1"/>
  <c r="J175" i="61" s="1"/>
  <c r="J123" i="44"/>
  <c r="J105" i="31" s="1"/>
  <c r="J284" i="31" s="1"/>
  <c r="K125" i="44"/>
  <c r="K102" i="61" s="1"/>
  <c r="K175" i="61" s="1"/>
  <c r="K123" i="44"/>
  <c r="K105" i="31" s="1"/>
  <c r="K284" i="31" s="1"/>
  <c r="J120" i="44"/>
  <c r="J102" i="8" s="1"/>
  <c r="J223" i="8" s="1"/>
  <c r="L123" i="44"/>
  <c r="L105" i="31" s="1"/>
  <c r="L284" i="31" s="1"/>
  <c r="M125" i="44"/>
  <c r="M102" i="61" s="1"/>
  <c r="M175" i="61" s="1"/>
  <c r="L125" i="44"/>
  <c r="L102" i="61" s="1"/>
  <c r="L175" i="61" s="1"/>
  <c r="O52" i="44"/>
  <c r="N52" i="44"/>
  <c r="G54" i="44"/>
  <c r="I51" i="44"/>
  <c r="F71" i="44"/>
  <c r="F96" i="63" s="1"/>
  <c r="F228" i="63" s="1"/>
  <c r="P48" i="44"/>
  <c r="G71" i="44"/>
  <c r="G96" i="63" s="1"/>
  <c r="G228" i="63" s="1"/>
  <c r="E71" i="44"/>
  <c r="E96" i="63" s="1"/>
  <c r="E228" i="63" s="1"/>
  <c r="O48" i="44"/>
  <c r="H71" i="44"/>
  <c r="H96" i="63" s="1"/>
  <c r="H228" i="63" s="1"/>
  <c r="K51" i="44"/>
  <c r="N48" i="44"/>
  <c r="J71" i="44"/>
  <c r="J96" i="63" s="1"/>
  <c r="J228" i="63" s="1"/>
  <c r="P83" i="44"/>
  <c r="P98" i="61" s="1"/>
  <c r="P173" i="61" s="1"/>
  <c r="O83" i="44"/>
  <c r="O98" i="61" s="1"/>
  <c r="O173" i="61" s="1"/>
  <c r="N83" i="44"/>
  <c r="N98" i="61" s="1"/>
  <c r="N173" i="61" s="1"/>
  <c r="M83" i="44"/>
  <c r="M98" i="61" s="1"/>
  <c r="M173" i="61" s="1"/>
  <c r="L83" i="44"/>
  <c r="L98" i="61" s="1"/>
  <c r="L173" i="61" s="1"/>
  <c r="K83" i="44"/>
  <c r="K98" i="61" s="1"/>
  <c r="K173" i="61" s="1"/>
  <c r="J83" i="44"/>
  <c r="J98" i="61" s="1"/>
  <c r="J173" i="61" s="1"/>
  <c r="I83" i="44"/>
  <c r="I98" i="61" s="1"/>
  <c r="I173" i="61" s="1"/>
  <c r="H83" i="44"/>
  <c r="H98" i="61" s="1"/>
  <c r="H173" i="61" s="1"/>
  <c r="E83" i="44"/>
  <c r="E98" i="61" s="1"/>
  <c r="E173" i="61" s="1"/>
  <c r="F83" i="44"/>
  <c r="F98" i="61" s="1"/>
  <c r="F173" i="61" s="1"/>
  <c r="P78" i="44"/>
  <c r="P98" i="8" s="1"/>
  <c r="P221" i="8" s="1"/>
  <c r="O78" i="44"/>
  <c r="O98" i="8" s="1"/>
  <c r="O221" i="8" s="1"/>
  <c r="N78" i="44"/>
  <c r="N98" i="8" s="1"/>
  <c r="N221" i="8" s="1"/>
  <c r="M78" i="44"/>
  <c r="M98" i="8" s="1"/>
  <c r="M221" i="8" s="1"/>
  <c r="L78" i="44"/>
  <c r="L98" i="8" s="1"/>
  <c r="L221" i="8" s="1"/>
  <c r="K78" i="44"/>
  <c r="K98" i="8" s="1"/>
  <c r="K221" i="8" s="1"/>
  <c r="J78" i="44"/>
  <c r="J98" i="8" s="1"/>
  <c r="J221" i="8" s="1"/>
  <c r="I78" i="44"/>
  <c r="I98" i="8" s="1"/>
  <c r="I221" i="8" s="1"/>
  <c r="G83" i="44"/>
  <c r="G98" i="61" s="1"/>
  <c r="G173" i="61" s="1"/>
  <c r="E78" i="44"/>
  <c r="E98" i="8" s="1"/>
  <c r="E221" i="8" s="1"/>
  <c r="M81" i="44"/>
  <c r="M101" i="31" s="1"/>
  <c r="M282" i="31" s="1"/>
  <c r="P81" i="44"/>
  <c r="P101" i="31" s="1"/>
  <c r="P282" i="31" s="1"/>
  <c r="O81" i="44"/>
  <c r="O101" i="31" s="1"/>
  <c r="O282" i="31" s="1"/>
  <c r="N81" i="44"/>
  <c r="N101" i="31" s="1"/>
  <c r="N282" i="31" s="1"/>
  <c r="L81" i="44"/>
  <c r="L101" i="31" s="1"/>
  <c r="L282" i="31" s="1"/>
  <c r="K81" i="44"/>
  <c r="K101" i="31" s="1"/>
  <c r="K282" i="31" s="1"/>
  <c r="J81" i="44"/>
  <c r="J101" i="31" s="1"/>
  <c r="J282" i="31" s="1"/>
  <c r="I81" i="44"/>
  <c r="I101" i="31" s="1"/>
  <c r="I282" i="31" s="1"/>
  <c r="P84" i="44"/>
  <c r="P98" i="62" s="1"/>
  <c r="P173" i="62" s="1"/>
  <c r="O84" i="44"/>
  <c r="O98" i="62" s="1"/>
  <c r="O173" i="62" s="1"/>
  <c r="N84" i="44"/>
  <c r="N98" i="62" s="1"/>
  <c r="N173" i="62" s="1"/>
  <c r="M84" i="44"/>
  <c r="M98" i="62" s="1"/>
  <c r="M173" i="62" s="1"/>
  <c r="L84" i="44"/>
  <c r="L98" i="62" s="1"/>
  <c r="L173" i="62" s="1"/>
  <c r="K84" i="44"/>
  <c r="K98" i="62" s="1"/>
  <c r="K173" i="62" s="1"/>
  <c r="J84" i="44"/>
  <c r="J98" i="62" s="1"/>
  <c r="J173" i="62" s="1"/>
  <c r="I84" i="44"/>
  <c r="I98" i="62" s="1"/>
  <c r="I173" i="62" s="1"/>
  <c r="H84" i="44"/>
  <c r="H98" i="62" s="1"/>
  <c r="H173" i="62" s="1"/>
  <c r="F78" i="44"/>
  <c r="F98" i="8" s="1"/>
  <c r="F221" i="8" s="1"/>
  <c r="E81" i="44"/>
  <c r="E101" i="31" s="1"/>
  <c r="E282" i="31" s="1"/>
  <c r="E84" i="44"/>
  <c r="E98" i="62" s="1"/>
  <c r="E173" i="62" s="1"/>
  <c r="G78" i="44"/>
  <c r="G98" i="8" s="1"/>
  <c r="G221" i="8" s="1"/>
  <c r="F81" i="44"/>
  <c r="F101" i="31" s="1"/>
  <c r="F282" i="31" s="1"/>
  <c r="F84" i="44"/>
  <c r="F98" i="62" s="1"/>
  <c r="F173" i="62" s="1"/>
  <c r="P76" i="44"/>
  <c r="P98" i="6" s="1"/>
  <c r="P198" i="6" s="1"/>
  <c r="O76" i="44"/>
  <c r="O98" i="6" s="1"/>
  <c r="O198" i="6" s="1"/>
  <c r="N76" i="44"/>
  <c r="N98" i="6" s="1"/>
  <c r="N198" i="6" s="1"/>
  <c r="M76" i="44"/>
  <c r="M98" i="6" s="1"/>
  <c r="M198" i="6" s="1"/>
  <c r="L76" i="44"/>
  <c r="L98" i="6" s="1"/>
  <c r="L198" i="6" s="1"/>
  <c r="K76" i="44"/>
  <c r="K98" i="6" s="1"/>
  <c r="K198" i="6" s="1"/>
  <c r="J76" i="44"/>
  <c r="J98" i="6" s="1"/>
  <c r="J198" i="6" s="1"/>
  <c r="I76" i="44"/>
  <c r="I98" i="6" s="1"/>
  <c r="I198" i="6" s="1"/>
  <c r="H78" i="44"/>
  <c r="H98" i="8" s="1"/>
  <c r="H221" i="8" s="1"/>
  <c r="G81" i="44"/>
  <c r="G101" i="31" s="1"/>
  <c r="G282" i="31" s="1"/>
  <c r="G84" i="44"/>
  <c r="G98" i="62" s="1"/>
  <c r="G173" i="62" s="1"/>
  <c r="E76" i="44"/>
  <c r="E98" i="6" s="1"/>
  <c r="E198" i="6" s="1"/>
  <c r="I79" i="44"/>
  <c r="I98" i="9" s="1"/>
  <c r="I217" i="9" s="1"/>
  <c r="P79" i="44"/>
  <c r="P98" i="9" s="1"/>
  <c r="P217" i="9" s="1"/>
  <c r="O79" i="44"/>
  <c r="O98" i="9" s="1"/>
  <c r="O217" i="9" s="1"/>
  <c r="N79" i="44"/>
  <c r="N98" i="9" s="1"/>
  <c r="N217" i="9" s="1"/>
  <c r="M79" i="44"/>
  <c r="M98" i="9" s="1"/>
  <c r="M217" i="9" s="1"/>
  <c r="L79" i="44"/>
  <c r="L98" i="9" s="1"/>
  <c r="L217" i="9" s="1"/>
  <c r="K79" i="44"/>
  <c r="K98" i="9" s="1"/>
  <c r="K217" i="9" s="1"/>
  <c r="J79" i="44"/>
  <c r="J98" i="9" s="1"/>
  <c r="J217" i="9" s="1"/>
  <c r="H81" i="44"/>
  <c r="H101" i="31" s="1"/>
  <c r="H282" i="31" s="1"/>
  <c r="O85" i="44"/>
  <c r="O98" i="63" s="1"/>
  <c r="O229" i="63" s="1"/>
  <c r="N85" i="44"/>
  <c r="N98" i="63" s="1"/>
  <c r="N229" i="63" s="1"/>
  <c r="K85" i="44"/>
  <c r="K98" i="63" s="1"/>
  <c r="K229" i="63" s="1"/>
  <c r="P85" i="44"/>
  <c r="P98" i="63" s="1"/>
  <c r="P229" i="63" s="1"/>
  <c r="M85" i="44"/>
  <c r="M98" i="63" s="1"/>
  <c r="M229" i="63" s="1"/>
  <c r="L85" i="44"/>
  <c r="L98" i="63" s="1"/>
  <c r="L229" i="63" s="1"/>
  <c r="J85" i="44"/>
  <c r="J98" i="63" s="1"/>
  <c r="J229" i="63" s="1"/>
  <c r="I85" i="44"/>
  <c r="I98" i="63" s="1"/>
  <c r="I229" i="63" s="1"/>
  <c r="H85" i="44"/>
  <c r="H98" i="63" s="1"/>
  <c r="H229" i="63" s="1"/>
  <c r="F76" i="44"/>
  <c r="F98" i="6" s="1"/>
  <c r="F198" i="6" s="1"/>
  <c r="E79" i="44"/>
  <c r="E98" i="9" s="1"/>
  <c r="E217" i="9" s="1"/>
  <c r="J82" i="44"/>
  <c r="J98" i="32" s="1"/>
  <c r="J173" i="32" s="1"/>
  <c r="P82" i="44"/>
  <c r="P98" i="32" s="1"/>
  <c r="P173" i="32" s="1"/>
  <c r="O82" i="44"/>
  <c r="O98" i="32" s="1"/>
  <c r="O173" i="32" s="1"/>
  <c r="N82" i="44"/>
  <c r="N98" i="32" s="1"/>
  <c r="N173" i="32" s="1"/>
  <c r="M82" i="44"/>
  <c r="M98" i="32" s="1"/>
  <c r="M173" i="32" s="1"/>
  <c r="L82" i="44"/>
  <c r="L98" i="32" s="1"/>
  <c r="L173" i="32" s="1"/>
  <c r="K82" i="44"/>
  <c r="K98" i="32" s="1"/>
  <c r="K173" i="32" s="1"/>
  <c r="I82" i="44"/>
  <c r="I98" i="32" s="1"/>
  <c r="I173" i="32" s="1"/>
  <c r="E85" i="44"/>
  <c r="E98" i="63" s="1"/>
  <c r="E229" i="63" s="1"/>
  <c r="G76" i="44"/>
  <c r="G98" i="6" s="1"/>
  <c r="G198" i="6" s="1"/>
  <c r="F79" i="44"/>
  <c r="F98" i="9" s="1"/>
  <c r="F217" i="9" s="1"/>
  <c r="E82" i="44"/>
  <c r="E98" i="32" s="1"/>
  <c r="E173" i="32" s="1"/>
  <c r="F85" i="44"/>
  <c r="F98" i="63" s="1"/>
  <c r="F229" i="63" s="1"/>
  <c r="H76" i="44"/>
  <c r="H98" i="6" s="1"/>
  <c r="H198" i="6" s="1"/>
  <c r="G79" i="44"/>
  <c r="G98" i="9" s="1"/>
  <c r="G217" i="9" s="1"/>
  <c r="F82" i="44"/>
  <c r="F98" i="32" s="1"/>
  <c r="F173" i="32" s="1"/>
  <c r="G85" i="44"/>
  <c r="G98" i="63" s="1"/>
  <c r="G229" i="63" s="1"/>
  <c r="P77" i="44"/>
  <c r="P98" i="22" s="1"/>
  <c r="P172" i="22" s="1"/>
  <c r="O77" i="44"/>
  <c r="O98" i="22" s="1"/>
  <c r="O172" i="22" s="1"/>
  <c r="N77" i="44"/>
  <c r="N98" i="22" s="1"/>
  <c r="N172" i="22" s="1"/>
  <c r="M77" i="44"/>
  <c r="M98" i="22" s="1"/>
  <c r="M172" i="22" s="1"/>
  <c r="L77" i="44"/>
  <c r="L98" i="22" s="1"/>
  <c r="L172" i="22" s="1"/>
  <c r="K77" i="44"/>
  <c r="K98" i="22" s="1"/>
  <c r="K172" i="22" s="1"/>
  <c r="J77" i="44"/>
  <c r="J98" i="22" s="1"/>
  <c r="J172" i="22" s="1"/>
  <c r="I77" i="44"/>
  <c r="I98" i="22" s="1"/>
  <c r="I172" i="22" s="1"/>
  <c r="H79" i="44"/>
  <c r="H98" i="9" s="1"/>
  <c r="H217" i="9" s="1"/>
  <c r="G82" i="44"/>
  <c r="G98" i="32" s="1"/>
  <c r="G173" i="32" s="1"/>
  <c r="D86" i="44"/>
  <c r="E77" i="44"/>
  <c r="E98" i="22" s="1"/>
  <c r="E172" i="22" s="1"/>
  <c r="P80" i="44"/>
  <c r="P98" i="10" s="1"/>
  <c r="P172" i="10" s="1"/>
  <c r="O80" i="44"/>
  <c r="O98" i="10" s="1"/>
  <c r="O172" i="10" s="1"/>
  <c r="N80" i="44"/>
  <c r="N98" i="10" s="1"/>
  <c r="N172" i="10" s="1"/>
  <c r="M80" i="44"/>
  <c r="M98" i="10" s="1"/>
  <c r="M172" i="10" s="1"/>
  <c r="L80" i="44"/>
  <c r="L98" i="10" s="1"/>
  <c r="L172" i="10" s="1"/>
  <c r="K80" i="44"/>
  <c r="K98" i="10" s="1"/>
  <c r="K172" i="10" s="1"/>
  <c r="J80" i="44"/>
  <c r="J98" i="10" s="1"/>
  <c r="J172" i="10" s="1"/>
  <c r="I80" i="44"/>
  <c r="I98" i="10" s="1"/>
  <c r="I172" i="10" s="1"/>
  <c r="H82" i="44"/>
  <c r="H98" i="32" s="1"/>
  <c r="H173" i="32" s="1"/>
  <c r="I71" i="44"/>
  <c r="I96" i="63" s="1"/>
  <c r="I228" i="63" s="1"/>
  <c r="D72" i="44"/>
  <c r="P68" i="44"/>
  <c r="P96" i="32" s="1"/>
  <c r="P172" i="32" s="1"/>
  <c r="K68" i="44"/>
  <c r="K96" i="32" s="1"/>
  <c r="K172" i="32" s="1"/>
  <c r="O68" i="44"/>
  <c r="O96" i="32" s="1"/>
  <c r="O172" i="32" s="1"/>
  <c r="N68" i="44"/>
  <c r="N96" i="32" s="1"/>
  <c r="N172" i="32" s="1"/>
  <c r="M68" i="44"/>
  <c r="M96" i="32" s="1"/>
  <c r="M172" i="32" s="1"/>
  <c r="L68" i="44"/>
  <c r="L96" i="32" s="1"/>
  <c r="L172" i="32" s="1"/>
  <c r="J68" i="44"/>
  <c r="J96" i="32" s="1"/>
  <c r="J172" i="32" s="1"/>
  <c r="I68" i="44"/>
  <c r="I96" i="32" s="1"/>
  <c r="I172" i="32" s="1"/>
  <c r="H68" i="44"/>
  <c r="H96" i="32" s="1"/>
  <c r="H172" i="32" s="1"/>
  <c r="G68" i="44"/>
  <c r="G96" i="32" s="1"/>
  <c r="G172" i="32" s="1"/>
  <c r="E65" i="44"/>
  <c r="E96" i="9" s="1"/>
  <c r="E216" i="9" s="1"/>
  <c r="P66" i="44"/>
  <c r="P96" i="10" s="1"/>
  <c r="P171" i="10" s="1"/>
  <c r="O66" i="44"/>
  <c r="O96" i="10" s="1"/>
  <c r="O171" i="10" s="1"/>
  <c r="N66" i="44"/>
  <c r="N96" i="10" s="1"/>
  <c r="N171" i="10" s="1"/>
  <c r="M66" i="44"/>
  <c r="M96" i="10" s="1"/>
  <c r="M171" i="10" s="1"/>
  <c r="L66" i="44"/>
  <c r="L96" i="10" s="1"/>
  <c r="L171" i="10" s="1"/>
  <c r="K66" i="44"/>
  <c r="K96" i="10" s="1"/>
  <c r="K171" i="10" s="1"/>
  <c r="J66" i="44"/>
  <c r="J96" i="10" s="1"/>
  <c r="J171" i="10" s="1"/>
  <c r="I66" i="44"/>
  <c r="I96" i="10" s="1"/>
  <c r="I171" i="10" s="1"/>
  <c r="H66" i="44"/>
  <c r="H96" i="10" s="1"/>
  <c r="H171" i="10" s="1"/>
  <c r="G66" i="44"/>
  <c r="G96" i="10" s="1"/>
  <c r="G171" i="10" s="1"/>
  <c r="E68" i="44"/>
  <c r="F68" i="44"/>
  <c r="F96" i="32" s="1"/>
  <c r="F172" i="32" s="1"/>
  <c r="P62" i="44"/>
  <c r="P96" i="6" s="1"/>
  <c r="P197" i="6" s="1"/>
  <c r="O62" i="44"/>
  <c r="O96" i="6" s="1"/>
  <c r="O197" i="6" s="1"/>
  <c r="N62" i="44"/>
  <c r="N96" i="6" s="1"/>
  <c r="N197" i="6" s="1"/>
  <c r="M62" i="44"/>
  <c r="M96" i="6" s="1"/>
  <c r="M197" i="6" s="1"/>
  <c r="L62" i="44"/>
  <c r="L96" i="6" s="1"/>
  <c r="L197" i="6" s="1"/>
  <c r="K62" i="44"/>
  <c r="K96" i="6" s="1"/>
  <c r="K197" i="6" s="1"/>
  <c r="J62" i="44"/>
  <c r="J96" i="6" s="1"/>
  <c r="J197" i="6" s="1"/>
  <c r="I62" i="44"/>
  <c r="I96" i="6" s="1"/>
  <c r="I197" i="6" s="1"/>
  <c r="H62" i="44"/>
  <c r="H96" i="6" s="1"/>
  <c r="H197" i="6" s="1"/>
  <c r="G62" i="44"/>
  <c r="G96" i="6" s="1"/>
  <c r="G197" i="6" s="1"/>
  <c r="E62" i="44"/>
  <c r="E96" i="6" s="1"/>
  <c r="E197" i="6" s="1"/>
  <c r="F62" i="44"/>
  <c r="F96" i="6" s="1"/>
  <c r="F197" i="6" s="1"/>
  <c r="P63" i="44"/>
  <c r="P96" i="22" s="1"/>
  <c r="P171" i="22" s="1"/>
  <c r="L63" i="44"/>
  <c r="L96" i="22" s="1"/>
  <c r="L171" i="22" s="1"/>
  <c r="O63" i="44"/>
  <c r="O96" i="22" s="1"/>
  <c r="O171" i="22" s="1"/>
  <c r="N63" i="44"/>
  <c r="N96" i="22" s="1"/>
  <c r="N171" i="22" s="1"/>
  <c r="M63" i="44"/>
  <c r="M96" i="22" s="1"/>
  <c r="M171" i="22" s="1"/>
  <c r="K63" i="44"/>
  <c r="K96" i="22" s="1"/>
  <c r="K171" i="22" s="1"/>
  <c r="J63" i="44"/>
  <c r="J96" i="22" s="1"/>
  <c r="J171" i="22" s="1"/>
  <c r="I63" i="44"/>
  <c r="I96" i="22" s="1"/>
  <c r="I171" i="22" s="1"/>
  <c r="H63" i="44"/>
  <c r="H96" i="22" s="1"/>
  <c r="H171" i="22" s="1"/>
  <c r="E66" i="44"/>
  <c r="E96" i="10" s="1"/>
  <c r="E171" i="10" s="1"/>
  <c r="E63" i="44"/>
  <c r="E96" i="22" s="1"/>
  <c r="E171" i="22" s="1"/>
  <c r="F66" i="44"/>
  <c r="F96" i="10" s="1"/>
  <c r="F171" i="10" s="1"/>
  <c r="P65" i="44"/>
  <c r="P96" i="9" s="1"/>
  <c r="P216" i="9" s="1"/>
  <c r="O65" i="44"/>
  <c r="O96" i="9" s="1"/>
  <c r="O216" i="9" s="1"/>
  <c r="N65" i="44"/>
  <c r="N96" i="9" s="1"/>
  <c r="N216" i="9" s="1"/>
  <c r="M65" i="44"/>
  <c r="M96" i="9" s="1"/>
  <c r="M216" i="9" s="1"/>
  <c r="L65" i="44"/>
  <c r="L96" i="9" s="1"/>
  <c r="L216" i="9" s="1"/>
  <c r="K65" i="44"/>
  <c r="K96" i="9" s="1"/>
  <c r="K216" i="9" s="1"/>
  <c r="J65" i="44"/>
  <c r="J96" i="9" s="1"/>
  <c r="J216" i="9" s="1"/>
  <c r="I65" i="44"/>
  <c r="I96" i="9" s="1"/>
  <c r="I216" i="9" s="1"/>
  <c r="H65" i="44"/>
  <c r="H96" i="9" s="1"/>
  <c r="H216" i="9" s="1"/>
  <c r="G65" i="44"/>
  <c r="G96" i="9" s="1"/>
  <c r="G216" i="9" s="1"/>
  <c r="P69" i="44"/>
  <c r="P96" i="61" s="1"/>
  <c r="P172" i="61" s="1"/>
  <c r="M69" i="44"/>
  <c r="M96" i="61" s="1"/>
  <c r="M172" i="61" s="1"/>
  <c r="J69" i="44"/>
  <c r="J96" i="61" s="1"/>
  <c r="J172" i="61" s="1"/>
  <c r="O69" i="44"/>
  <c r="O96" i="61" s="1"/>
  <c r="O172" i="61" s="1"/>
  <c r="N69" i="44"/>
  <c r="N96" i="61" s="1"/>
  <c r="N172" i="61" s="1"/>
  <c r="L69" i="44"/>
  <c r="L96" i="61" s="1"/>
  <c r="L172" i="61" s="1"/>
  <c r="K69" i="44"/>
  <c r="K96" i="61" s="1"/>
  <c r="K172" i="61" s="1"/>
  <c r="I69" i="44"/>
  <c r="I96" i="61" s="1"/>
  <c r="I172" i="61" s="1"/>
  <c r="H69" i="44"/>
  <c r="H96" i="61" s="1"/>
  <c r="H172" i="61" s="1"/>
  <c r="G69" i="44"/>
  <c r="G96" i="61" s="1"/>
  <c r="G172" i="61" s="1"/>
  <c r="E69" i="44"/>
  <c r="E96" i="61" s="1"/>
  <c r="E172" i="61" s="1"/>
  <c r="F69" i="44"/>
  <c r="F96" i="61" s="1"/>
  <c r="F172" i="61" s="1"/>
  <c r="P70" i="44"/>
  <c r="P96" i="62" s="1"/>
  <c r="P172" i="62" s="1"/>
  <c r="O70" i="44"/>
  <c r="O96" i="62" s="1"/>
  <c r="O172" i="62" s="1"/>
  <c r="N70" i="44"/>
  <c r="N96" i="62" s="1"/>
  <c r="N172" i="62" s="1"/>
  <c r="M70" i="44"/>
  <c r="M96" i="62" s="1"/>
  <c r="M172" i="62" s="1"/>
  <c r="L70" i="44"/>
  <c r="L96" i="62" s="1"/>
  <c r="L172" i="62" s="1"/>
  <c r="K70" i="44"/>
  <c r="K96" i="62" s="1"/>
  <c r="K172" i="62" s="1"/>
  <c r="J70" i="44"/>
  <c r="J96" i="62" s="1"/>
  <c r="J172" i="62" s="1"/>
  <c r="I70" i="44"/>
  <c r="I96" i="62" s="1"/>
  <c r="I172" i="62" s="1"/>
  <c r="H70" i="44"/>
  <c r="H96" i="62" s="1"/>
  <c r="H172" i="62" s="1"/>
  <c r="G70" i="44"/>
  <c r="G96" i="62" s="1"/>
  <c r="G172" i="62" s="1"/>
  <c r="F63" i="44"/>
  <c r="F96" i="22" s="1"/>
  <c r="F171" i="22" s="1"/>
  <c r="E70" i="44"/>
  <c r="G63" i="44"/>
  <c r="G96" i="22" s="1"/>
  <c r="G171" i="22" s="1"/>
  <c r="P67" i="44"/>
  <c r="P99" i="31" s="1"/>
  <c r="P281" i="31" s="1"/>
  <c r="O67" i="44"/>
  <c r="O99" i="31" s="1"/>
  <c r="O281" i="31" s="1"/>
  <c r="N67" i="44"/>
  <c r="N99" i="31" s="1"/>
  <c r="N281" i="31" s="1"/>
  <c r="M67" i="44"/>
  <c r="M99" i="31" s="1"/>
  <c r="M281" i="31" s="1"/>
  <c r="L67" i="44"/>
  <c r="L99" i="31" s="1"/>
  <c r="L281" i="31" s="1"/>
  <c r="K67" i="44"/>
  <c r="K99" i="31" s="1"/>
  <c r="K281" i="31" s="1"/>
  <c r="J67" i="44"/>
  <c r="J99" i="31" s="1"/>
  <c r="J281" i="31" s="1"/>
  <c r="I67" i="44"/>
  <c r="I99" i="31" s="1"/>
  <c r="I281" i="31" s="1"/>
  <c r="H67" i="44"/>
  <c r="H99" i="31" s="1"/>
  <c r="H281" i="31" s="1"/>
  <c r="G67" i="44"/>
  <c r="G99" i="31" s="1"/>
  <c r="G281" i="31" s="1"/>
  <c r="F70" i="44"/>
  <c r="F96" i="62" s="1"/>
  <c r="F172" i="62" s="1"/>
  <c r="E67" i="44"/>
  <c r="E99" i="31" s="1"/>
  <c r="E281" i="31" s="1"/>
  <c r="P64" i="44"/>
  <c r="P96" i="8" s="1"/>
  <c r="P220" i="8" s="1"/>
  <c r="O64" i="44"/>
  <c r="O96" i="8" s="1"/>
  <c r="O220" i="8" s="1"/>
  <c r="N64" i="44"/>
  <c r="N96" i="8" s="1"/>
  <c r="N220" i="8" s="1"/>
  <c r="M64" i="44"/>
  <c r="M96" i="8" s="1"/>
  <c r="M220" i="8" s="1"/>
  <c r="L64" i="44"/>
  <c r="L96" i="8" s="1"/>
  <c r="L220" i="8" s="1"/>
  <c r="K64" i="44"/>
  <c r="K96" i="8" s="1"/>
  <c r="K220" i="8" s="1"/>
  <c r="J64" i="44"/>
  <c r="J96" i="8" s="1"/>
  <c r="J220" i="8" s="1"/>
  <c r="I64" i="44"/>
  <c r="I96" i="8" s="1"/>
  <c r="I220" i="8" s="1"/>
  <c r="H64" i="44"/>
  <c r="H96" i="8" s="1"/>
  <c r="H220" i="8" s="1"/>
  <c r="G64" i="44"/>
  <c r="G96" i="8" s="1"/>
  <c r="G220" i="8" s="1"/>
  <c r="F67" i="44"/>
  <c r="F99" i="31" s="1"/>
  <c r="F281" i="31" s="1"/>
  <c r="E64" i="44"/>
  <c r="E96" i="8" s="1"/>
  <c r="E220" i="8" s="1"/>
  <c r="M49" i="44"/>
  <c r="J51" i="44"/>
  <c r="F49" i="44"/>
  <c r="I52" i="44"/>
  <c r="M50" i="44"/>
  <c r="P50" i="44"/>
  <c r="H52" i="44"/>
  <c r="I50" i="44"/>
  <c r="J48" i="44"/>
  <c r="G51" i="44"/>
  <c r="M56" i="44"/>
  <c r="G52" i="44"/>
  <c r="H50" i="44"/>
  <c r="H51" i="44"/>
  <c r="F51" i="44"/>
  <c r="J52" i="44"/>
  <c r="E52" i="44"/>
  <c r="L56" i="44"/>
  <c r="F52" i="44"/>
  <c r="G50" i="44"/>
  <c r="E51" i="44"/>
  <c r="K56" i="44"/>
  <c r="P51" i="44"/>
  <c r="F50" i="44"/>
  <c r="F48" i="44"/>
  <c r="L52" i="44"/>
  <c r="J55" i="44"/>
  <c r="O51" i="44"/>
  <c r="P49" i="44"/>
  <c r="M52" i="44"/>
  <c r="K52" i="44"/>
  <c r="I55" i="44"/>
  <c r="L51" i="44"/>
  <c r="N49" i="44"/>
  <c r="I56" i="44"/>
  <c r="F55" i="44"/>
  <c r="N53" i="44"/>
  <c r="H56" i="44"/>
  <c r="P54" i="44"/>
  <c r="M53" i="44"/>
  <c r="O49" i="44"/>
  <c r="G56" i="44"/>
  <c r="E54" i="44"/>
  <c r="P55" i="44"/>
  <c r="M54" i="44"/>
  <c r="J53" i="44"/>
  <c r="O50" i="44"/>
  <c r="L49" i="44"/>
  <c r="E55" i="44"/>
  <c r="F56" i="44"/>
  <c r="N54" i="44"/>
  <c r="K53" i="44"/>
  <c r="E53" i="44"/>
  <c r="O55" i="44"/>
  <c r="L54" i="44"/>
  <c r="I53" i="44"/>
  <c r="N50" i="44"/>
  <c r="K49" i="44"/>
  <c r="F54" i="44"/>
  <c r="H55" i="44"/>
  <c r="P53" i="44"/>
  <c r="J56" i="44"/>
  <c r="O53" i="44"/>
  <c r="E56" i="44"/>
  <c r="O54" i="44"/>
  <c r="L53" i="44"/>
  <c r="N55" i="44"/>
  <c r="K54" i="44"/>
  <c r="H53" i="44"/>
  <c r="J49" i="44"/>
  <c r="P56" i="44"/>
  <c r="M55" i="44"/>
  <c r="J54" i="44"/>
  <c r="G53" i="44"/>
  <c r="L50" i="44"/>
  <c r="I49" i="44"/>
  <c r="E50" i="44"/>
  <c r="O56" i="44"/>
  <c r="L55" i="44"/>
  <c r="I54" i="44"/>
  <c r="N51" i="44"/>
  <c r="K50" i="44"/>
  <c r="H49" i="44"/>
  <c r="G55" i="44"/>
  <c r="E49" i="44"/>
  <c r="D58" i="44"/>
  <c r="C128" i="44"/>
  <c r="P19" i="63"/>
  <c r="P203" i="63" s="1"/>
  <c r="J115" i="27"/>
  <c r="F86" i="63"/>
  <c r="G86" i="63"/>
  <c r="G88" i="63" s="1"/>
  <c r="G225" i="63" s="1"/>
  <c r="H86" i="63"/>
  <c r="I86" i="63"/>
  <c r="I88" i="63" s="1"/>
  <c r="I225" i="63" s="1"/>
  <c r="J86" i="63"/>
  <c r="J88" i="63" s="1"/>
  <c r="J225" i="63" s="1"/>
  <c r="K86" i="63"/>
  <c r="K88" i="63" s="1"/>
  <c r="K225" i="63" s="1"/>
  <c r="L86" i="63"/>
  <c r="L88" i="63" s="1"/>
  <c r="L225" i="63" s="1"/>
  <c r="M86" i="63"/>
  <c r="N86" i="63"/>
  <c r="O86" i="63"/>
  <c r="P86" i="63"/>
  <c r="E86" i="63"/>
  <c r="P83" i="63"/>
  <c r="P223" i="63" s="1"/>
  <c r="O83" i="63"/>
  <c r="O223" i="63" s="1"/>
  <c r="N83" i="63"/>
  <c r="N223" i="63" s="1"/>
  <c r="M83" i="63"/>
  <c r="M223" i="63" s="1"/>
  <c r="L83" i="63"/>
  <c r="L223" i="63" s="1"/>
  <c r="K83" i="63"/>
  <c r="K223" i="63" s="1"/>
  <c r="J83" i="63"/>
  <c r="J223" i="63" s="1"/>
  <c r="I83" i="63"/>
  <c r="I223" i="63" s="1"/>
  <c r="H83" i="63"/>
  <c r="H223" i="63" s="1"/>
  <c r="G83" i="63"/>
  <c r="G223" i="63" s="1"/>
  <c r="F83" i="63"/>
  <c r="F223" i="63" s="1"/>
  <c r="E83" i="63"/>
  <c r="E223" i="63" s="1"/>
  <c r="P82" i="63"/>
  <c r="P222" i="63" s="1"/>
  <c r="O82" i="63"/>
  <c r="O222" i="63" s="1"/>
  <c r="N82" i="63"/>
  <c r="N222" i="63" s="1"/>
  <c r="M82" i="63"/>
  <c r="M222" i="63" s="1"/>
  <c r="L82" i="63"/>
  <c r="L222" i="63" s="1"/>
  <c r="K82" i="63"/>
  <c r="K222" i="63" s="1"/>
  <c r="J82" i="63"/>
  <c r="J222" i="63" s="1"/>
  <c r="I82" i="63"/>
  <c r="I222" i="63" s="1"/>
  <c r="H82" i="63"/>
  <c r="H222" i="63" s="1"/>
  <c r="G82" i="63"/>
  <c r="G222" i="63" s="1"/>
  <c r="F82" i="63"/>
  <c r="F222" i="63" s="1"/>
  <c r="E82" i="63"/>
  <c r="E222" i="63" s="1"/>
  <c r="F56" i="63"/>
  <c r="F216" i="63" s="1"/>
  <c r="G56" i="63"/>
  <c r="G216" i="63" s="1"/>
  <c r="H56" i="63"/>
  <c r="H216" i="63" s="1"/>
  <c r="I56" i="63"/>
  <c r="I216" i="63" s="1"/>
  <c r="J56" i="63"/>
  <c r="J216" i="63" s="1"/>
  <c r="K56" i="63"/>
  <c r="K216" i="63" s="1"/>
  <c r="L56" i="63"/>
  <c r="L216" i="63" s="1"/>
  <c r="M56" i="63"/>
  <c r="M216" i="63" s="1"/>
  <c r="N56" i="63"/>
  <c r="N216" i="63" s="1"/>
  <c r="O56" i="63"/>
  <c r="O216" i="63" s="1"/>
  <c r="P56" i="63"/>
  <c r="P216" i="63" s="1"/>
  <c r="E56" i="63"/>
  <c r="E216" i="63" s="1"/>
  <c r="M52" i="63"/>
  <c r="M214" i="63" s="1"/>
  <c r="P52" i="63"/>
  <c r="P214" i="63" s="1"/>
  <c r="O52" i="63"/>
  <c r="O214" i="63" s="1"/>
  <c r="N52" i="63"/>
  <c r="N214" i="63" s="1"/>
  <c r="L52" i="63"/>
  <c r="L214" i="63" s="1"/>
  <c r="K52" i="63"/>
  <c r="K214" i="63" s="1"/>
  <c r="J52" i="63"/>
  <c r="J214" i="63" s="1"/>
  <c r="I52" i="63"/>
  <c r="I214" i="63" s="1"/>
  <c r="H52" i="63"/>
  <c r="H214" i="63" s="1"/>
  <c r="G52" i="63"/>
  <c r="G214" i="63" s="1"/>
  <c r="F52" i="63"/>
  <c r="F214" i="63" s="1"/>
  <c r="E52" i="63"/>
  <c r="E214" i="63" s="1"/>
  <c r="I49" i="63"/>
  <c r="M49" i="63"/>
  <c r="I48" i="63"/>
  <c r="J48" i="63"/>
  <c r="J50" i="63" s="1"/>
  <c r="J213" i="63" s="1"/>
  <c r="K48" i="63"/>
  <c r="K50" i="63" s="1"/>
  <c r="K213" i="63" s="1"/>
  <c r="L48" i="63"/>
  <c r="L50" i="63" s="1"/>
  <c r="L213" i="63" s="1"/>
  <c r="M48" i="63"/>
  <c r="N48" i="63"/>
  <c r="N50" i="63" s="1"/>
  <c r="N213" i="63" s="1"/>
  <c r="H48" i="63"/>
  <c r="H50" i="63" s="1"/>
  <c r="H213" i="63" s="1"/>
  <c r="P45" i="63"/>
  <c r="P212" i="63" s="1"/>
  <c r="O45" i="63"/>
  <c r="O212" i="63" s="1"/>
  <c r="N45" i="63"/>
  <c r="G45" i="63"/>
  <c r="G212" i="63" s="1"/>
  <c r="F45" i="63"/>
  <c r="F212" i="63" s="1"/>
  <c r="E45" i="63"/>
  <c r="E212" i="63" s="1"/>
  <c r="H42" i="63"/>
  <c r="M42" i="63"/>
  <c r="P41" i="63"/>
  <c r="P43" i="63" s="1"/>
  <c r="P211" i="63" s="1"/>
  <c r="O41" i="63"/>
  <c r="O43" i="63" s="1"/>
  <c r="O211" i="63" s="1"/>
  <c r="N41" i="63"/>
  <c r="N43" i="63" s="1"/>
  <c r="N211" i="63" s="1"/>
  <c r="M41" i="63"/>
  <c r="L41" i="63"/>
  <c r="L43" i="63" s="1"/>
  <c r="L211" i="63" s="1"/>
  <c r="K41" i="63"/>
  <c r="K43" i="63" s="1"/>
  <c r="K211" i="63" s="1"/>
  <c r="J41" i="63"/>
  <c r="J43" i="63" s="1"/>
  <c r="J211" i="63" s="1"/>
  <c r="I41" i="63"/>
  <c r="I43" i="63" s="1"/>
  <c r="I211" i="63" s="1"/>
  <c r="H41" i="63"/>
  <c r="G41" i="63"/>
  <c r="G43" i="63" s="1"/>
  <c r="G211" i="63" s="1"/>
  <c r="F41" i="63"/>
  <c r="F43" i="63" s="1"/>
  <c r="F211" i="63" s="1"/>
  <c r="E41" i="63"/>
  <c r="E43" i="63" s="1"/>
  <c r="E211" i="63" s="1"/>
  <c r="P38" i="63"/>
  <c r="P210" i="63" s="1"/>
  <c r="F38" i="63"/>
  <c r="F210" i="63" s="1"/>
  <c r="G38" i="63"/>
  <c r="G210" i="63" s="1"/>
  <c r="H38" i="63"/>
  <c r="H210" i="63" s="1"/>
  <c r="I38" i="63"/>
  <c r="I210" i="63" s="1"/>
  <c r="J38" i="63"/>
  <c r="J210" i="63" s="1"/>
  <c r="K38" i="63"/>
  <c r="K210" i="63" s="1"/>
  <c r="L38" i="63"/>
  <c r="L210" i="63" s="1"/>
  <c r="M38" i="63"/>
  <c r="M210" i="63" s="1"/>
  <c r="N38" i="63"/>
  <c r="N210" i="63" s="1"/>
  <c r="O38" i="63"/>
  <c r="O210" i="63" s="1"/>
  <c r="E38" i="63"/>
  <c r="E210" i="63" s="1"/>
  <c r="M35" i="63"/>
  <c r="M36" i="63" s="1"/>
  <c r="M209" i="63" s="1"/>
  <c r="H35" i="63"/>
  <c r="H36" i="27" s="1"/>
  <c r="Q34" i="63"/>
  <c r="R34" i="63" s="1"/>
  <c r="J36" i="63"/>
  <c r="J209" i="63" s="1"/>
  <c r="P29" i="63"/>
  <c r="P207" i="63" s="1"/>
  <c r="O29" i="63"/>
  <c r="O207" i="63" s="1"/>
  <c r="N29" i="63"/>
  <c r="N207" i="63" s="1"/>
  <c r="M29" i="63"/>
  <c r="M207" i="63" s="1"/>
  <c r="L29" i="63"/>
  <c r="L207" i="63" s="1"/>
  <c r="K29" i="63"/>
  <c r="K207" i="63" s="1"/>
  <c r="J29" i="63"/>
  <c r="J207" i="63" s="1"/>
  <c r="I29" i="63"/>
  <c r="I207" i="63" s="1"/>
  <c r="H29" i="63"/>
  <c r="H207" i="63" s="1"/>
  <c r="G29" i="63"/>
  <c r="G207" i="63" s="1"/>
  <c r="F29" i="63"/>
  <c r="F207" i="63" s="1"/>
  <c r="E29" i="63"/>
  <c r="E207" i="63" s="1"/>
  <c r="P14" i="63"/>
  <c r="P200" i="63" s="1"/>
  <c r="O14" i="63"/>
  <c r="O200" i="63" s="1"/>
  <c r="N14" i="63"/>
  <c r="N200" i="63" s="1"/>
  <c r="M14" i="63"/>
  <c r="M200" i="63" s="1"/>
  <c r="L14" i="63"/>
  <c r="L200" i="63" s="1"/>
  <c r="K14" i="63"/>
  <c r="K200" i="63" s="1"/>
  <c r="J14" i="63"/>
  <c r="J200" i="63" s="1"/>
  <c r="I14" i="63"/>
  <c r="I200" i="63" s="1"/>
  <c r="H14" i="63"/>
  <c r="H200" i="63" s="1"/>
  <c r="G14" i="63"/>
  <c r="G200" i="63" s="1"/>
  <c r="F14" i="63"/>
  <c r="F200" i="63" s="1"/>
  <c r="E14" i="63"/>
  <c r="E200" i="63" s="1"/>
  <c r="F14" i="62"/>
  <c r="F148" i="62" s="1"/>
  <c r="G14" i="62"/>
  <c r="G148" i="62" s="1"/>
  <c r="H14" i="62"/>
  <c r="H148" i="62" s="1"/>
  <c r="I14" i="62"/>
  <c r="I148" i="62" s="1"/>
  <c r="J14" i="62"/>
  <c r="J148" i="62" s="1"/>
  <c r="K14" i="62"/>
  <c r="K148" i="62" s="1"/>
  <c r="L14" i="62"/>
  <c r="L148" i="62" s="1"/>
  <c r="M14" i="62"/>
  <c r="M148" i="62" s="1"/>
  <c r="N14" i="62"/>
  <c r="N148" i="62" s="1"/>
  <c r="O14" i="62"/>
  <c r="O148" i="62" s="1"/>
  <c r="P14" i="62"/>
  <c r="P148" i="62" s="1"/>
  <c r="E14" i="62"/>
  <c r="E148" i="62" s="1"/>
  <c r="F14" i="61"/>
  <c r="F148" i="61" s="1"/>
  <c r="G14" i="61"/>
  <c r="G148" i="61" s="1"/>
  <c r="H14" i="61"/>
  <c r="H148" i="61" s="1"/>
  <c r="I14" i="61"/>
  <c r="I148" i="61" s="1"/>
  <c r="J14" i="61"/>
  <c r="J148" i="61" s="1"/>
  <c r="K14" i="61"/>
  <c r="K148" i="61" s="1"/>
  <c r="L14" i="61"/>
  <c r="L148" i="61" s="1"/>
  <c r="M14" i="61"/>
  <c r="M148" i="61" s="1"/>
  <c r="N14" i="61"/>
  <c r="N148" i="61" s="1"/>
  <c r="O14" i="61"/>
  <c r="O148" i="61" s="1"/>
  <c r="P14" i="61"/>
  <c r="P148" i="61" s="1"/>
  <c r="E14" i="61"/>
  <c r="E148" i="61" s="1"/>
  <c r="F14" i="32"/>
  <c r="F148" i="32" s="1"/>
  <c r="G14" i="32"/>
  <c r="G148" i="32" s="1"/>
  <c r="H14" i="32"/>
  <c r="H148" i="32" s="1"/>
  <c r="I14" i="32"/>
  <c r="I148" i="32" s="1"/>
  <c r="J14" i="32"/>
  <c r="J148" i="32" s="1"/>
  <c r="K14" i="32"/>
  <c r="K148" i="32" s="1"/>
  <c r="L14" i="32"/>
  <c r="L148" i="32" s="1"/>
  <c r="M14" i="32"/>
  <c r="M148" i="32" s="1"/>
  <c r="N14" i="32"/>
  <c r="N148" i="32" s="1"/>
  <c r="O14" i="32"/>
  <c r="O148" i="32" s="1"/>
  <c r="P14" i="32"/>
  <c r="P148" i="32" s="1"/>
  <c r="E14" i="32"/>
  <c r="E148" i="32" s="1"/>
  <c r="F89" i="31"/>
  <c r="G89" i="31"/>
  <c r="H89" i="31"/>
  <c r="I89" i="31"/>
  <c r="J89" i="31"/>
  <c r="K89" i="31"/>
  <c r="L89" i="31"/>
  <c r="M89" i="31"/>
  <c r="N89" i="31"/>
  <c r="O89" i="31"/>
  <c r="P89" i="31"/>
  <c r="E89" i="31"/>
  <c r="P86" i="31"/>
  <c r="P276" i="31" s="1"/>
  <c r="O86" i="31"/>
  <c r="O276" i="31" s="1"/>
  <c r="N86" i="31"/>
  <c r="N276" i="31" s="1"/>
  <c r="M86" i="31"/>
  <c r="M276" i="31" s="1"/>
  <c r="L86" i="31"/>
  <c r="L276" i="31" s="1"/>
  <c r="K86" i="31"/>
  <c r="K276" i="31" s="1"/>
  <c r="J86" i="31"/>
  <c r="J276" i="31" s="1"/>
  <c r="I86" i="31"/>
  <c r="I276" i="31" s="1"/>
  <c r="H86" i="31"/>
  <c r="H276" i="31" s="1"/>
  <c r="G86" i="31"/>
  <c r="G276" i="31" s="1"/>
  <c r="F86" i="31"/>
  <c r="F276" i="31" s="1"/>
  <c r="E86" i="31"/>
  <c r="E276" i="31" s="1"/>
  <c r="F59" i="31"/>
  <c r="F269" i="31" s="1"/>
  <c r="G59" i="31"/>
  <c r="G269" i="31" s="1"/>
  <c r="H59" i="31"/>
  <c r="H269" i="31" s="1"/>
  <c r="I59" i="31"/>
  <c r="I269" i="31" s="1"/>
  <c r="J59" i="31"/>
  <c r="J269" i="31" s="1"/>
  <c r="K59" i="31"/>
  <c r="K269" i="31" s="1"/>
  <c r="L59" i="31"/>
  <c r="L269" i="31" s="1"/>
  <c r="M59" i="31"/>
  <c r="M269" i="31" s="1"/>
  <c r="N59" i="31"/>
  <c r="N269" i="31" s="1"/>
  <c r="O59" i="31"/>
  <c r="O269" i="31" s="1"/>
  <c r="P59" i="31"/>
  <c r="P269" i="31" s="1"/>
  <c r="E59" i="31"/>
  <c r="E269" i="31" s="1"/>
  <c r="I52" i="31"/>
  <c r="I51" i="31"/>
  <c r="J51" i="31"/>
  <c r="K51" i="31"/>
  <c r="L51" i="31"/>
  <c r="M51" i="31"/>
  <c r="N51" i="31"/>
  <c r="H51" i="31"/>
  <c r="I50" i="31"/>
  <c r="J50" i="31"/>
  <c r="K50" i="31"/>
  <c r="L50" i="31"/>
  <c r="M50" i="31"/>
  <c r="N50" i="31"/>
  <c r="H50" i="31"/>
  <c r="P48" i="31"/>
  <c r="P265" i="31" s="1"/>
  <c r="O48" i="31"/>
  <c r="O265" i="31" s="1"/>
  <c r="G48" i="31"/>
  <c r="G265" i="31" s="1"/>
  <c r="F48" i="31"/>
  <c r="F265" i="31" s="1"/>
  <c r="E48" i="31"/>
  <c r="E265" i="31" s="1"/>
  <c r="G45" i="31"/>
  <c r="J45" i="31"/>
  <c r="J43" i="27" s="1"/>
  <c r="N45" i="31"/>
  <c r="N43" i="27" s="1"/>
  <c r="M44" i="31"/>
  <c r="P44" i="31"/>
  <c r="O44" i="31"/>
  <c r="N44" i="31"/>
  <c r="F44" i="31"/>
  <c r="G44" i="31"/>
  <c r="H44" i="31"/>
  <c r="I44" i="31"/>
  <c r="J44" i="31"/>
  <c r="K44" i="31"/>
  <c r="L44" i="31"/>
  <c r="E44" i="31"/>
  <c r="G41" i="31"/>
  <c r="G263" i="31" s="1"/>
  <c r="K41" i="31"/>
  <c r="K263" i="31" s="1"/>
  <c r="O41" i="31"/>
  <c r="O263" i="31" s="1"/>
  <c r="P41" i="31"/>
  <c r="P263" i="31" s="1"/>
  <c r="N41" i="31"/>
  <c r="N263" i="31" s="1"/>
  <c r="M41" i="31"/>
  <c r="M263" i="31" s="1"/>
  <c r="L41" i="31"/>
  <c r="L263" i="31" s="1"/>
  <c r="J41" i="31"/>
  <c r="J263" i="31" s="1"/>
  <c r="I41" i="31"/>
  <c r="I263" i="31" s="1"/>
  <c r="H41" i="31"/>
  <c r="H263" i="31" s="1"/>
  <c r="F41" i="31"/>
  <c r="F263" i="31" s="1"/>
  <c r="E41" i="31"/>
  <c r="E263" i="31" s="1"/>
  <c r="G38" i="31"/>
  <c r="J36" i="27"/>
  <c r="M38" i="31"/>
  <c r="P37" i="31"/>
  <c r="P35" i="27" s="1"/>
  <c r="O37" i="31"/>
  <c r="O35" i="27" s="1"/>
  <c r="N37" i="31"/>
  <c r="N35" i="27" s="1"/>
  <c r="M37" i="31"/>
  <c r="M35" i="27" s="1"/>
  <c r="L37" i="31"/>
  <c r="L35" i="27" s="1"/>
  <c r="K37" i="31"/>
  <c r="K35" i="27" s="1"/>
  <c r="J37" i="31"/>
  <c r="J35" i="27" s="1"/>
  <c r="I37" i="31"/>
  <c r="I35" i="27" s="1"/>
  <c r="H37" i="31"/>
  <c r="H35" i="27" s="1"/>
  <c r="G37" i="31"/>
  <c r="G35" i="27" s="1"/>
  <c r="F37" i="31"/>
  <c r="F35" i="27" s="1"/>
  <c r="E37" i="31"/>
  <c r="M36" i="31"/>
  <c r="M34" i="27" s="1"/>
  <c r="P36" i="31"/>
  <c r="P34" i="27" s="1"/>
  <c r="O36" i="31"/>
  <c r="O34" i="27" s="1"/>
  <c r="N36" i="31"/>
  <c r="N34" i="27" s="1"/>
  <c r="L36" i="31"/>
  <c r="L34" i="27" s="1"/>
  <c r="K36" i="31"/>
  <c r="K34" i="27" s="1"/>
  <c r="J36" i="31"/>
  <c r="J34" i="27" s="1"/>
  <c r="I36" i="31"/>
  <c r="I34" i="27" s="1"/>
  <c r="H36" i="31"/>
  <c r="H34" i="27" s="1"/>
  <c r="G36" i="31"/>
  <c r="G34" i="27" s="1"/>
  <c r="F36" i="31"/>
  <c r="F34" i="27" s="1"/>
  <c r="E36" i="31"/>
  <c r="E34" i="27" s="1"/>
  <c r="N35" i="31"/>
  <c r="N33" i="27" s="1"/>
  <c r="M35" i="31"/>
  <c r="M33" i="27" s="1"/>
  <c r="K35" i="31"/>
  <c r="K33" i="27" s="1"/>
  <c r="I35" i="31"/>
  <c r="I33" i="27" s="1"/>
  <c r="H35" i="31"/>
  <c r="H33" i="27" s="1"/>
  <c r="E35" i="31"/>
  <c r="E33" i="27" s="1"/>
  <c r="F69" i="31"/>
  <c r="F67" i="27" s="1"/>
  <c r="G69" i="31"/>
  <c r="G67" i="27" s="1"/>
  <c r="H69" i="31"/>
  <c r="H67" i="27" s="1"/>
  <c r="I69" i="31"/>
  <c r="I67" i="27" s="1"/>
  <c r="J69" i="31"/>
  <c r="J67" i="27" s="1"/>
  <c r="K69" i="31"/>
  <c r="K67" i="27" s="1"/>
  <c r="L69" i="31"/>
  <c r="L67" i="27" s="1"/>
  <c r="M69" i="31"/>
  <c r="M67" i="27" s="1"/>
  <c r="N69" i="31"/>
  <c r="N67" i="27" s="1"/>
  <c r="O69" i="31"/>
  <c r="O67" i="27" s="1"/>
  <c r="P69" i="31"/>
  <c r="P67" i="27" s="1"/>
  <c r="E69" i="31"/>
  <c r="E67" i="27" s="1"/>
  <c r="P33" i="31"/>
  <c r="P261" i="31" s="1"/>
  <c r="O33" i="31"/>
  <c r="O261" i="31" s="1"/>
  <c r="N33" i="31"/>
  <c r="N261" i="31" s="1"/>
  <c r="M33" i="31"/>
  <c r="M261" i="31" s="1"/>
  <c r="L33" i="31"/>
  <c r="L261" i="31" s="1"/>
  <c r="K33" i="31"/>
  <c r="K261" i="31" s="1"/>
  <c r="J33" i="31"/>
  <c r="J261" i="31" s="1"/>
  <c r="I33" i="31"/>
  <c r="I261" i="31" s="1"/>
  <c r="H33" i="31"/>
  <c r="H261" i="31" s="1"/>
  <c r="G33" i="31"/>
  <c r="G261" i="31" s="1"/>
  <c r="F33" i="31"/>
  <c r="F261" i="31" s="1"/>
  <c r="E33" i="31"/>
  <c r="E261" i="31" s="1"/>
  <c r="F14" i="31"/>
  <c r="F254" i="31" s="1"/>
  <c r="G14" i="31"/>
  <c r="G254" i="31" s="1"/>
  <c r="H14" i="31"/>
  <c r="H254" i="31" s="1"/>
  <c r="I14" i="31"/>
  <c r="I254" i="31" s="1"/>
  <c r="J14" i="31"/>
  <c r="J254" i="31" s="1"/>
  <c r="K14" i="31"/>
  <c r="K254" i="31" s="1"/>
  <c r="L14" i="31"/>
  <c r="L254" i="31" s="1"/>
  <c r="M14" i="31"/>
  <c r="M254" i="31" s="1"/>
  <c r="N14" i="31"/>
  <c r="N254" i="31" s="1"/>
  <c r="O14" i="31"/>
  <c r="O254" i="31" s="1"/>
  <c r="P14" i="31"/>
  <c r="P254" i="31" s="1"/>
  <c r="E14" i="31"/>
  <c r="E254" i="31" s="1"/>
  <c r="K114" i="9"/>
  <c r="K221" i="9" s="1"/>
  <c r="Q221" i="9" s="1"/>
  <c r="F83" i="9"/>
  <c r="F211" i="9" s="1"/>
  <c r="G83" i="9"/>
  <c r="G211" i="9" s="1"/>
  <c r="H83" i="9"/>
  <c r="H211" i="9" s="1"/>
  <c r="I83" i="9"/>
  <c r="I211" i="9" s="1"/>
  <c r="J83" i="9"/>
  <c r="J211" i="9" s="1"/>
  <c r="K83" i="9"/>
  <c r="K211" i="9" s="1"/>
  <c r="L83" i="9"/>
  <c r="L211" i="9" s="1"/>
  <c r="M83" i="9"/>
  <c r="M211" i="9" s="1"/>
  <c r="N83" i="9"/>
  <c r="N211" i="9" s="1"/>
  <c r="O83" i="9"/>
  <c r="O211" i="9" s="1"/>
  <c r="P83" i="9"/>
  <c r="P211" i="9" s="1"/>
  <c r="E83" i="9"/>
  <c r="E211" i="9" s="1"/>
  <c r="P82" i="9"/>
  <c r="P210" i="9" s="1"/>
  <c r="O82" i="9"/>
  <c r="O210" i="9" s="1"/>
  <c r="N82" i="9"/>
  <c r="N210" i="9" s="1"/>
  <c r="M82" i="9"/>
  <c r="M210" i="9" s="1"/>
  <c r="L82" i="9"/>
  <c r="L210" i="9" s="1"/>
  <c r="K82" i="9"/>
  <c r="K210" i="9" s="1"/>
  <c r="J82" i="9"/>
  <c r="J210" i="9" s="1"/>
  <c r="I82" i="9"/>
  <c r="I210" i="9" s="1"/>
  <c r="H82" i="9"/>
  <c r="H210" i="9" s="1"/>
  <c r="G82" i="9"/>
  <c r="G210" i="9" s="1"/>
  <c r="F82" i="9"/>
  <c r="F210" i="9" s="1"/>
  <c r="E82" i="9"/>
  <c r="E210" i="9" s="1"/>
  <c r="E81" i="9"/>
  <c r="P81" i="9"/>
  <c r="O81" i="9"/>
  <c r="N81" i="9"/>
  <c r="M81" i="9"/>
  <c r="L81" i="9"/>
  <c r="K81" i="9"/>
  <c r="J81" i="9"/>
  <c r="I81" i="9"/>
  <c r="H81" i="9"/>
  <c r="G81" i="9"/>
  <c r="F81" i="9"/>
  <c r="F56" i="9"/>
  <c r="F204" i="9" s="1"/>
  <c r="G56" i="9"/>
  <c r="G204" i="9" s="1"/>
  <c r="I56" i="9"/>
  <c r="I204" i="9" s="1"/>
  <c r="J56" i="9"/>
  <c r="J204" i="9" s="1"/>
  <c r="L56" i="9"/>
  <c r="L204" i="9" s="1"/>
  <c r="M56" i="9"/>
  <c r="M204" i="9" s="1"/>
  <c r="O56" i="9"/>
  <c r="O204" i="9" s="1"/>
  <c r="P56" i="9"/>
  <c r="P204" i="9" s="1"/>
  <c r="I52" i="9"/>
  <c r="I202" i="9" s="1"/>
  <c r="O52" i="9"/>
  <c r="O202" i="9" s="1"/>
  <c r="P52" i="9"/>
  <c r="P202" i="9" s="1"/>
  <c r="N52" i="9"/>
  <c r="N202" i="9" s="1"/>
  <c r="M52" i="9"/>
  <c r="M202" i="9" s="1"/>
  <c r="L52" i="9"/>
  <c r="L202" i="9" s="1"/>
  <c r="K52" i="9"/>
  <c r="K202" i="9" s="1"/>
  <c r="J52" i="9"/>
  <c r="J202" i="9" s="1"/>
  <c r="H52" i="9"/>
  <c r="H202" i="9" s="1"/>
  <c r="G52" i="9"/>
  <c r="G202" i="9" s="1"/>
  <c r="F52" i="9"/>
  <c r="F202" i="9" s="1"/>
  <c r="E52" i="9"/>
  <c r="E202" i="9" s="1"/>
  <c r="M49" i="9"/>
  <c r="I49" i="9"/>
  <c r="H48" i="9"/>
  <c r="I48" i="9"/>
  <c r="J48" i="9"/>
  <c r="K48" i="9"/>
  <c r="L48" i="9"/>
  <c r="M48" i="9"/>
  <c r="N48" i="9"/>
  <c r="G48" i="9"/>
  <c r="G49" i="27" s="1"/>
  <c r="H47" i="9"/>
  <c r="I47" i="9"/>
  <c r="J47" i="9"/>
  <c r="K47" i="9"/>
  <c r="L47" i="9"/>
  <c r="M47" i="9"/>
  <c r="N47" i="9"/>
  <c r="G47" i="9"/>
  <c r="G48" i="27" s="1"/>
  <c r="P45" i="9"/>
  <c r="P200" i="9" s="1"/>
  <c r="O45" i="9"/>
  <c r="O200" i="9" s="1"/>
  <c r="G45" i="9"/>
  <c r="G200" i="9" s="1"/>
  <c r="F45" i="9"/>
  <c r="F200" i="9" s="1"/>
  <c r="E45" i="9"/>
  <c r="E200" i="9" s="1"/>
  <c r="P41" i="9"/>
  <c r="O41" i="9"/>
  <c r="N41" i="9"/>
  <c r="M41" i="9"/>
  <c r="L41" i="9"/>
  <c r="K41" i="9"/>
  <c r="J41" i="9"/>
  <c r="I41" i="9"/>
  <c r="H41" i="9"/>
  <c r="G41" i="9"/>
  <c r="F41" i="9"/>
  <c r="E41" i="9"/>
  <c r="P38" i="9"/>
  <c r="P198" i="9" s="1"/>
  <c r="O38" i="9"/>
  <c r="O198" i="9" s="1"/>
  <c r="N38" i="9"/>
  <c r="N198" i="9" s="1"/>
  <c r="M38" i="9"/>
  <c r="M198" i="9" s="1"/>
  <c r="L38" i="9"/>
  <c r="L198" i="9" s="1"/>
  <c r="K38" i="9"/>
  <c r="K198" i="9" s="1"/>
  <c r="J38" i="9"/>
  <c r="J198" i="9" s="1"/>
  <c r="I38" i="9"/>
  <c r="I198" i="9" s="1"/>
  <c r="H38" i="9"/>
  <c r="H198" i="9" s="1"/>
  <c r="G38" i="9"/>
  <c r="G198" i="9" s="1"/>
  <c r="F38" i="9"/>
  <c r="F198" i="9" s="1"/>
  <c r="E38" i="9"/>
  <c r="E198" i="9" s="1"/>
  <c r="O36" i="27"/>
  <c r="K36" i="27"/>
  <c r="F31" i="9"/>
  <c r="F196" i="9" s="1"/>
  <c r="G31" i="9"/>
  <c r="G196" i="9" s="1"/>
  <c r="H31" i="9"/>
  <c r="H196" i="9" s="1"/>
  <c r="I31" i="9"/>
  <c r="I196" i="9" s="1"/>
  <c r="J31" i="9"/>
  <c r="J196" i="9" s="1"/>
  <c r="K31" i="9"/>
  <c r="K196" i="9" s="1"/>
  <c r="L31" i="9"/>
  <c r="L196" i="9" s="1"/>
  <c r="M31" i="9"/>
  <c r="M196" i="9" s="1"/>
  <c r="N31" i="9"/>
  <c r="N196" i="9" s="1"/>
  <c r="O31" i="9"/>
  <c r="O196" i="9" s="1"/>
  <c r="P31" i="9"/>
  <c r="P196" i="9" s="1"/>
  <c r="E31" i="9"/>
  <c r="E196" i="9" s="1"/>
  <c r="P29" i="9"/>
  <c r="P195" i="9" s="1"/>
  <c r="O29" i="9"/>
  <c r="O195" i="9" s="1"/>
  <c r="N29" i="9"/>
  <c r="N195" i="9" s="1"/>
  <c r="M29" i="9"/>
  <c r="M195" i="9" s="1"/>
  <c r="L29" i="9"/>
  <c r="L195" i="9" s="1"/>
  <c r="K29" i="9"/>
  <c r="K195" i="9" s="1"/>
  <c r="J29" i="9"/>
  <c r="J195" i="9" s="1"/>
  <c r="I29" i="9"/>
  <c r="I195" i="9" s="1"/>
  <c r="H29" i="9"/>
  <c r="H195" i="9" s="1"/>
  <c r="G29" i="9"/>
  <c r="G195" i="9" s="1"/>
  <c r="F29" i="9"/>
  <c r="F195" i="9" s="1"/>
  <c r="E29" i="9"/>
  <c r="E195" i="9" s="1"/>
  <c r="P14" i="9"/>
  <c r="P189" i="9" s="1"/>
  <c r="O14" i="9"/>
  <c r="O189" i="9" s="1"/>
  <c r="N14" i="9"/>
  <c r="N189" i="9" s="1"/>
  <c r="M14" i="9"/>
  <c r="M189" i="9" s="1"/>
  <c r="L14" i="9"/>
  <c r="L189" i="9" s="1"/>
  <c r="K14" i="9"/>
  <c r="K189" i="9" s="1"/>
  <c r="J14" i="9"/>
  <c r="J189" i="9" s="1"/>
  <c r="I14" i="9"/>
  <c r="I189" i="9" s="1"/>
  <c r="H14" i="9"/>
  <c r="H189" i="9" s="1"/>
  <c r="G14" i="9"/>
  <c r="G189" i="9" s="1"/>
  <c r="F14" i="9"/>
  <c r="F189" i="9" s="1"/>
  <c r="P13" i="9"/>
  <c r="O13" i="9"/>
  <c r="N13" i="9"/>
  <c r="M13" i="9"/>
  <c r="L13" i="9"/>
  <c r="K13" i="9"/>
  <c r="J13" i="9"/>
  <c r="I13" i="9"/>
  <c r="H13" i="9"/>
  <c r="G13" i="9"/>
  <c r="F13" i="9"/>
  <c r="E14" i="9"/>
  <c r="E189" i="9" s="1"/>
  <c r="E13" i="9"/>
  <c r="P86" i="8"/>
  <c r="O86" i="8"/>
  <c r="N86" i="8"/>
  <c r="M86" i="8"/>
  <c r="L86" i="8"/>
  <c r="K86" i="8"/>
  <c r="J86" i="8"/>
  <c r="I86" i="8"/>
  <c r="H86" i="8"/>
  <c r="G86" i="8"/>
  <c r="F86" i="8"/>
  <c r="E86" i="8"/>
  <c r="P56" i="8"/>
  <c r="P211" i="8" s="1"/>
  <c r="O56" i="8"/>
  <c r="O211" i="8" s="1"/>
  <c r="N56" i="8"/>
  <c r="N211" i="8" s="1"/>
  <c r="M56" i="8"/>
  <c r="M211" i="8" s="1"/>
  <c r="L56" i="8"/>
  <c r="L211" i="8" s="1"/>
  <c r="K56" i="8"/>
  <c r="K211" i="8" s="1"/>
  <c r="J56" i="8"/>
  <c r="J211" i="8" s="1"/>
  <c r="I56" i="8"/>
  <c r="I211" i="8" s="1"/>
  <c r="H56" i="8"/>
  <c r="H211" i="8" s="1"/>
  <c r="G56" i="8"/>
  <c r="G211" i="8" s="1"/>
  <c r="F56" i="8"/>
  <c r="F211" i="8" s="1"/>
  <c r="E56" i="8"/>
  <c r="E211" i="8" s="1"/>
  <c r="N48" i="8"/>
  <c r="M48" i="8"/>
  <c r="L48" i="8"/>
  <c r="K48" i="8"/>
  <c r="J48" i="8"/>
  <c r="I48" i="8"/>
  <c r="H48" i="8"/>
  <c r="N47" i="8"/>
  <c r="M47" i="8"/>
  <c r="L47" i="8"/>
  <c r="K47" i="8"/>
  <c r="J47" i="8"/>
  <c r="I47" i="8"/>
  <c r="H47" i="8"/>
  <c r="O45" i="8"/>
  <c r="O207" i="8" s="1"/>
  <c r="G45" i="8"/>
  <c r="G207" i="8" s="1"/>
  <c r="P45" i="8"/>
  <c r="P207" i="8" s="1"/>
  <c r="F45" i="8"/>
  <c r="F207" i="8" s="1"/>
  <c r="E45" i="8"/>
  <c r="E207" i="8" s="1"/>
  <c r="M42" i="8"/>
  <c r="G42" i="8"/>
  <c r="P41" i="8"/>
  <c r="O41" i="8"/>
  <c r="N41" i="8"/>
  <c r="M41" i="8"/>
  <c r="L41" i="8"/>
  <c r="K41" i="8"/>
  <c r="J41" i="8"/>
  <c r="I41" i="8"/>
  <c r="H41" i="8"/>
  <c r="G41" i="8"/>
  <c r="F41" i="8"/>
  <c r="E41" i="8"/>
  <c r="M38" i="8"/>
  <c r="M205" i="8" s="1"/>
  <c r="P38" i="8"/>
  <c r="P205" i="8" s="1"/>
  <c r="O38" i="8"/>
  <c r="O205" i="8" s="1"/>
  <c r="N38" i="8"/>
  <c r="N205" i="8" s="1"/>
  <c r="L38" i="8"/>
  <c r="L205" i="8" s="1"/>
  <c r="K38" i="8"/>
  <c r="K205" i="8" s="1"/>
  <c r="J38" i="8"/>
  <c r="J205" i="8" s="1"/>
  <c r="I38" i="8"/>
  <c r="I205" i="8" s="1"/>
  <c r="H38" i="8"/>
  <c r="H205" i="8" s="1"/>
  <c r="G38" i="8"/>
  <c r="G205" i="8" s="1"/>
  <c r="F38" i="8"/>
  <c r="F205" i="8" s="1"/>
  <c r="E38" i="8"/>
  <c r="E205" i="8" s="1"/>
  <c r="P29" i="8"/>
  <c r="P202" i="8" s="1"/>
  <c r="O29" i="8"/>
  <c r="O202" i="8" s="1"/>
  <c r="N29" i="8"/>
  <c r="N202" i="8" s="1"/>
  <c r="M29" i="8"/>
  <c r="M202" i="8" s="1"/>
  <c r="L29" i="8"/>
  <c r="L202" i="8" s="1"/>
  <c r="K29" i="8"/>
  <c r="K202" i="8" s="1"/>
  <c r="J29" i="8"/>
  <c r="J202" i="8" s="1"/>
  <c r="I29" i="8"/>
  <c r="I202" i="8" s="1"/>
  <c r="H29" i="8"/>
  <c r="H202" i="8" s="1"/>
  <c r="G29" i="8"/>
  <c r="G202" i="8" s="1"/>
  <c r="F29" i="8"/>
  <c r="F202" i="8" s="1"/>
  <c r="E29" i="8"/>
  <c r="E202" i="8" s="1"/>
  <c r="F82" i="22"/>
  <c r="F166" i="22" s="1"/>
  <c r="E82" i="22"/>
  <c r="E166" i="22" s="1"/>
  <c r="H114" i="6"/>
  <c r="P52" i="6"/>
  <c r="P186" i="6" s="1"/>
  <c r="O52" i="6"/>
  <c r="O186" i="6" s="1"/>
  <c r="N52" i="6"/>
  <c r="N186" i="6" s="1"/>
  <c r="M52" i="6"/>
  <c r="M186" i="6" s="1"/>
  <c r="L52" i="6"/>
  <c r="L186" i="6" s="1"/>
  <c r="K52" i="6"/>
  <c r="K186" i="6" s="1"/>
  <c r="J52" i="6"/>
  <c r="J186" i="6" s="1"/>
  <c r="I52" i="6"/>
  <c r="I186" i="6" s="1"/>
  <c r="H52" i="6"/>
  <c r="H186" i="6" s="1"/>
  <c r="G52" i="6"/>
  <c r="G186" i="6" s="1"/>
  <c r="F52" i="6"/>
  <c r="F186" i="6" s="1"/>
  <c r="E52" i="6"/>
  <c r="E186" i="6" s="1"/>
  <c r="L50" i="27"/>
  <c r="N48" i="6"/>
  <c r="M48" i="6"/>
  <c r="L48" i="6"/>
  <c r="K48" i="6"/>
  <c r="J48" i="6"/>
  <c r="I48" i="6"/>
  <c r="H48" i="6"/>
  <c r="P45" i="6"/>
  <c r="P184" i="6" s="1"/>
  <c r="O45" i="6"/>
  <c r="O184" i="6" s="1"/>
  <c r="G45" i="6"/>
  <c r="G184" i="6" s="1"/>
  <c r="F45" i="6"/>
  <c r="F184" i="6" s="1"/>
  <c r="E45" i="6"/>
  <c r="E184" i="6" s="1"/>
  <c r="P29" i="6"/>
  <c r="P179" i="6" s="1"/>
  <c r="O29" i="6"/>
  <c r="O179" i="6" s="1"/>
  <c r="N29" i="6"/>
  <c r="N179" i="6" s="1"/>
  <c r="M29" i="6"/>
  <c r="M179" i="6" s="1"/>
  <c r="L29" i="6"/>
  <c r="L179" i="6" s="1"/>
  <c r="K29" i="6"/>
  <c r="K179" i="6" s="1"/>
  <c r="J29" i="6"/>
  <c r="J179" i="6" s="1"/>
  <c r="I29" i="6"/>
  <c r="I179" i="6" s="1"/>
  <c r="H29" i="6"/>
  <c r="H179" i="6" s="1"/>
  <c r="G29" i="6"/>
  <c r="G179" i="6" s="1"/>
  <c r="F29" i="6"/>
  <c r="F179" i="6" s="1"/>
  <c r="E29" i="6"/>
  <c r="E179" i="6" s="1"/>
  <c r="F14" i="6"/>
  <c r="F173" i="6" s="1"/>
  <c r="G14" i="6"/>
  <c r="G173" i="6" s="1"/>
  <c r="H14" i="6"/>
  <c r="H173" i="6" s="1"/>
  <c r="I14" i="6"/>
  <c r="I173" i="6" s="1"/>
  <c r="J14" i="6"/>
  <c r="J173" i="6" s="1"/>
  <c r="K14" i="6"/>
  <c r="K173" i="6" s="1"/>
  <c r="L14" i="6"/>
  <c r="L173" i="6" s="1"/>
  <c r="M14" i="6"/>
  <c r="M173" i="6" s="1"/>
  <c r="N14" i="6"/>
  <c r="N173" i="6" s="1"/>
  <c r="O14" i="6"/>
  <c r="O173" i="6" s="1"/>
  <c r="P14" i="6"/>
  <c r="P173" i="6" s="1"/>
  <c r="E14" i="6"/>
  <c r="E173" i="6" s="1"/>
  <c r="Q92" i="43"/>
  <c r="E92" i="43" s="1"/>
  <c r="Q90" i="43"/>
  <c r="E90" i="43" s="1"/>
  <c r="F90" i="43" s="1"/>
  <c r="Q89" i="43"/>
  <c r="E89" i="43" s="1"/>
  <c r="Q88" i="43"/>
  <c r="Q86" i="43"/>
  <c r="Q82" i="43"/>
  <c r="E85" i="43"/>
  <c r="F85" i="43" s="1"/>
  <c r="G85" i="43" s="1"/>
  <c r="H85" i="43" s="1"/>
  <c r="I85" i="43" s="1"/>
  <c r="J85" i="43" s="1"/>
  <c r="K85" i="43" s="1"/>
  <c r="L85" i="43" s="1"/>
  <c r="M85" i="43" s="1"/>
  <c r="N85" i="43" s="1"/>
  <c r="O85" i="43" s="1"/>
  <c r="P85" i="43" s="1"/>
  <c r="E91" i="43"/>
  <c r="F91" i="43" s="1"/>
  <c r="G91" i="43" s="1"/>
  <c r="H91" i="43" s="1"/>
  <c r="I91" i="43" s="1"/>
  <c r="J91" i="43" s="1"/>
  <c r="K91" i="43" s="1"/>
  <c r="L91" i="43" s="1"/>
  <c r="M91" i="43" s="1"/>
  <c r="N91" i="43" s="1"/>
  <c r="O91" i="43" s="1"/>
  <c r="P91" i="43" s="1"/>
  <c r="D72" i="43"/>
  <c r="E72" i="43" s="1"/>
  <c r="F72" i="43" s="1"/>
  <c r="F61" i="63" s="1"/>
  <c r="D70" i="43"/>
  <c r="E70" i="43" s="1"/>
  <c r="F70" i="43" s="1"/>
  <c r="D69" i="43"/>
  <c r="E69" i="43" s="1"/>
  <c r="F69" i="43" s="1"/>
  <c r="D65" i="43"/>
  <c r="E65" i="43" s="1"/>
  <c r="F65" i="43" s="1"/>
  <c r="G65" i="43" s="1"/>
  <c r="H65" i="43" s="1"/>
  <c r="I65" i="43" s="1"/>
  <c r="J65" i="43" s="1"/>
  <c r="K65" i="43" s="1"/>
  <c r="L65" i="43" s="1"/>
  <c r="M65" i="43" s="1"/>
  <c r="N65" i="43" s="1"/>
  <c r="O65" i="43" s="1"/>
  <c r="P65" i="43" s="1"/>
  <c r="P61" i="62" s="1"/>
  <c r="D63" i="43"/>
  <c r="E63" i="43" s="1"/>
  <c r="F63" i="43" s="1"/>
  <c r="D62" i="43"/>
  <c r="D58" i="43"/>
  <c r="E58" i="43" s="1"/>
  <c r="E61" i="61" s="1"/>
  <c r="D56" i="43"/>
  <c r="E56" i="43" s="1"/>
  <c r="D55" i="43"/>
  <c r="E55" i="43" s="1"/>
  <c r="B69" i="43"/>
  <c r="C92" i="43" s="1"/>
  <c r="C107" i="43" s="1"/>
  <c r="C122" i="43" s="1"/>
  <c r="E73" i="43"/>
  <c r="E62" i="63" s="1"/>
  <c r="B62" i="43"/>
  <c r="C90" i="43" s="1"/>
  <c r="E66" i="43"/>
  <c r="E62" i="62" s="1"/>
  <c r="B55" i="43"/>
  <c r="C89" i="43" s="1"/>
  <c r="C105" i="43" s="1"/>
  <c r="C120" i="43" s="1"/>
  <c r="E59" i="43"/>
  <c r="E62" i="61" s="1"/>
  <c r="D51" i="43"/>
  <c r="D49" i="43"/>
  <c r="D48" i="43"/>
  <c r="D44" i="43"/>
  <c r="D42" i="43"/>
  <c r="D41" i="43"/>
  <c r="D37" i="43"/>
  <c r="D35" i="43"/>
  <c r="D34" i="43"/>
  <c r="D30" i="43"/>
  <c r="D28" i="43"/>
  <c r="D23" i="43"/>
  <c r="D21" i="43"/>
  <c r="D20" i="43"/>
  <c r="D16" i="43"/>
  <c r="D14" i="43"/>
  <c r="D13" i="43"/>
  <c r="D9" i="43"/>
  <c r="D7" i="43"/>
  <c r="D6" i="43"/>
  <c r="A204" i="41"/>
  <c r="B204" i="41" s="1"/>
  <c r="A182" i="41"/>
  <c r="X185" i="41" s="1" a="1"/>
  <c r="X185" i="41" s="1"/>
  <c r="A160" i="41"/>
  <c r="X163" i="41" s="1" a="1"/>
  <c r="X163" i="41" s="1"/>
  <c r="A203" i="41"/>
  <c r="D204" i="41" s="1"/>
  <c r="A181" i="41"/>
  <c r="W183" i="41" s="1"/>
  <c r="A159" i="41"/>
  <c r="O160" i="41" s="1"/>
  <c r="DY221" i="41"/>
  <c r="DX221" i="41"/>
  <c r="DW221" i="41"/>
  <c r="DV221" i="41"/>
  <c r="DU221" i="41"/>
  <c r="DT221" i="41"/>
  <c r="DS221" i="41"/>
  <c r="DR221" i="41"/>
  <c r="DQ221" i="41"/>
  <c r="DP221" i="41"/>
  <c r="DO221" i="41"/>
  <c r="DN221" i="41"/>
  <c r="DM221" i="41"/>
  <c r="DL221" i="41"/>
  <c r="DK221" i="41"/>
  <c r="DJ221" i="41"/>
  <c r="DI221" i="41"/>
  <c r="DH221" i="41"/>
  <c r="DG221" i="41"/>
  <c r="DF221" i="41"/>
  <c r="DE221" i="41"/>
  <c r="DD221" i="41"/>
  <c r="DC221" i="41"/>
  <c r="DB221" i="41"/>
  <c r="Q221" i="41"/>
  <c r="F221" i="41"/>
  <c r="B221" i="41"/>
  <c r="DY220" i="41"/>
  <c r="DX220" i="41"/>
  <c r="DW220" i="41"/>
  <c r="DV220" i="41"/>
  <c r="DU220" i="41"/>
  <c r="DT220" i="41"/>
  <c r="DS220" i="41"/>
  <c r="DR220" i="41"/>
  <c r="DQ220" i="41"/>
  <c r="DP220" i="41"/>
  <c r="DO220" i="41"/>
  <c r="DN220" i="41"/>
  <c r="DM220" i="41"/>
  <c r="DL220" i="41"/>
  <c r="DK220" i="41"/>
  <c r="DJ220" i="41"/>
  <c r="DI220" i="41"/>
  <c r="DH220" i="41"/>
  <c r="DG220" i="41"/>
  <c r="DF220" i="41"/>
  <c r="DE220" i="41"/>
  <c r="DD220" i="41"/>
  <c r="DC220" i="41"/>
  <c r="DB220" i="41"/>
  <c r="Q220" i="41"/>
  <c r="F220" i="41"/>
  <c r="B220" i="41"/>
  <c r="DY219" i="41"/>
  <c r="DX219" i="41"/>
  <c r="DW219" i="41"/>
  <c r="DV219" i="41"/>
  <c r="DU219" i="41"/>
  <c r="DT219" i="41"/>
  <c r="DS219" i="41"/>
  <c r="DR219" i="41"/>
  <c r="DQ219" i="41"/>
  <c r="DP219" i="41"/>
  <c r="DO219" i="41"/>
  <c r="DN219" i="41"/>
  <c r="DM219" i="41"/>
  <c r="DL219" i="41"/>
  <c r="DK219" i="41"/>
  <c r="DJ219" i="41"/>
  <c r="DI219" i="41"/>
  <c r="DH219" i="41"/>
  <c r="DG219" i="41"/>
  <c r="DF219" i="41"/>
  <c r="DE219" i="41"/>
  <c r="DD219" i="41"/>
  <c r="DC219" i="41"/>
  <c r="DB219" i="41"/>
  <c r="Q219" i="41"/>
  <c r="F219" i="41"/>
  <c r="B219" i="41"/>
  <c r="DY218" i="41"/>
  <c r="DX218" i="41"/>
  <c r="DW218" i="41"/>
  <c r="DV218" i="41"/>
  <c r="DU218" i="41"/>
  <c r="DT218" i="41"/>
  <c r="DS218" i="41"/>
  <c r="DR218" i="41"/>
  <c r="DQ218" i="41"/>
  <c r="DP218" i="41"/>
  <c r="DO218" i="41"/>
  <c r="DN218" i="41"/>
  <c r="DM218" i="41"/>
  <c r="DL218" i="41"/>
  <c r="DK218" i="41"/>
  <c r="DJ218" i="41"/>
  <c r="DI218" i="41"/>
  <c r="DH218" i="41"/>
  <c r="DG218" i="41"/>
  <c r="DF218" i="41"/>
  <c r="DE218" i="41"/>
  <c r="DD218" i="41"/>
  <c r="DC218" i="41"/>
  <c r="DB218" i="41"/>
  <c r="Q218" i="41"/>
  <c r="F218" i="41"/>
  <c r="B218" i="41"/>
  <c r="DY217" i="41"/>
  <c r="DX217" i="41"/>
  <c r="DW217" i="41"/>
  <c r="DV217" i="41"/>
  <c r="DU217" i="41"/>
  <c r="DT217" i="41"/>
  <c r="DS217" i="41"/>
  <c r="DR217" i="41"/>
  <c r="DQ217" i="41"/>
  <c r="DP217" i="41"/>
  <c r="DO217" i="41"/>
  <c r="DN217" i="41"/>
  <c r="DM217" i="41"/>
  <c r="DL217" i="41"/>
  <c r="DK217" i="41"/>
  <c r="DJ217" i="41"/>
  <c r="DI217" i="41"/>
  <c r="DH217" i="41"/>
  <c r="DG217" i="41"/>
  <c r="DF217" i="41"/>
  <c r="DE217" i="41"/>
  <c r="DD217" i="41"/>
  <c r="DC217" i="41"/>
  <c r="DB217" i="41"/>
  <c r="Q217" i="41"/>
  <c r="F217" i="41"/>
  <c r="B217" i="41"/>
  <c r="DY216" i="41"/>
  <c r="DX216" i="41"/>
  <c r="DW216" i="41"/>
  <c r="DV216" i="41"/>
  <c r="DU216" i="41"/>
  <c r="DT216" i="41"/>
  <c r="DS216" i="41"/>
  <c r="DR216" i="41"/>
  <c r="DQ216" i="41"/>
  <c r="DP216" i="41"/>
  <c r="DO216" i="41"/>
  <c r="DN216" i="41"/>
  <c r="DM216" i="41"/>
  <c r="DL216" i="41"/>
  <c r="DK216" i="41"/>
  <c r="DJ216" i="41"/>
  <c r="DI216" i="41"/>
  <c r="DH216" i="41"/>
  <c r="DG216" i="41"/>
  <c r="DF216" i="41"/>
  <c r="DE216" i="41"/>
  <c r="DD216" i="41"/>
  <c r="DC216" i="41"/>
  <c r="DB216" i="41"/>
  <c r="Q216" i="41"/>
  <c r="F216" i="41"/>
  <c r="B216" i="41"/>
  <c r="DY215" i="41"/>
  <c r="DX215" i="41"/>
  <c r="DW215" i="41"/>
  <c r="DV215" i="41"/>
  <c r="DU215" i="41"/>
  <c r="DT215" i="41"/>
  <c r="DS215" i="41"/>
  <c r="DR215" i="41"/>
  <c r="DQ215" i="41"/>
  <c r="DP215" i="41"/>
  <c r="DO215" i="41"/>
  <c r="DN215" i="41"/>
  <c r="DM215" i="41"/>
  <c r="DL215" i="41"/>
  <c r="DK215" i="41"/>
  <c r="DJ215" i="41"/>
  <c r="DI215" i="41"/>
  <c r="DH215" i="41"/>
  <c r="DG215" i="41"/>
  <c r="DF215" i="41"/>
  <c r="DE215" i="41"/>
  <c r="DD215" i="41"/>
  <c r="DC215" i="41"/>
  <c r="DB215" i="41"/>
  <c r="Q215" i="41"/>
  <c r="F215" i="41"/>
  <c r="DY214" i="41"/>
  <c r="DX214" i="41"/>
  <c r="DW214" i="41"/>
  <c r="DV214" i="41"/>
  <c r="DU214" i="41"/>
  <c r="DT214" i="41"/>
  <c r="DS214" i="41"/>
  <c r="DR214" i="41"/>
  <c r="DQ214" i="41"/>
  <c r="DP214" i="41"/>
  <c r="DO214" i="41"/>
  <c r="DN214" i="41"/>
  <c r="DM214" i="41"/>
  <c r="DL214" i="41"/>
  <c r="DK214" i="41"/>
  <c r="DJ214" i="41"/>
  <c r="DI214" i="41"/>
  <c r="DH214" i="41"/>
  <c r="DG214" i="41"/>
  <c r="DF214" i="41"/>
  <c r="DE214" i="41"/>
  <c r="DD214" i="41"/>
  <c r="DC214" i="41"/>
  <c r="DB214" i="41"/>
  <c r="Q214" i="41"/>
  <c r="DY213" i="41"/>
  <c r="DX213" i="41"/>
  <c r="DW213" i="41"/>
  <c r="DV213" i="41"/>
  <c r="DU213" i="41"/>
  <c r="DT213" i="41"/>
  <c r="DS213" i="41"/>
  <c r="DR213" i="41"/>
  <c r="DQ213" i="41"/>
  <c r="DP213" i="41"/>
  <c r="DO213" i="41"/>
  <c r="DN213" i="41"/>
  <c r="DM213" i="41"/>
  <c r="DL213" i="41"/>
  <c r="DK213" i="41"/>
  <c r="DJ213" i="41"/>
  <c r="DI213" i="41"/>
  <c r="DH213" i="41"/>
  <c r="DG213" i="41"/>
  <c r="DF213" i="41"/>
  <c r="DE213" i="41"/>
  <c r="DD213" i="41"/>
  <c r="DC213" i="41"/>
  <c r="DB213" i="41"/>
  <c r="Q213" i="41"/>
  <c r="DY212" i="41"/>
  <c r="DX212" i="41"/>
  <c r="DW212" i="41"/>
  <c r="DV212" i="41"/>
  <c r="DU212" i="41"/>
  <c r="DT212" i="41"/>
  <c r="DS212" i="41"/>
  <c r="DR212" i="41"/>
  <c r="DQ212" i="41"/>
  <c r="DP212" i="41"/>
  <c r="DO212" i="41"/>
  <c r="DN212" i="41"/>
  <c r="DM212" i="41"/>
  <c r="DL212" i="41"/>
  <c r="DK212" i="41"/>
  <c r="DJ212" i="41"/>
  <c r="DI212" i="41"/>
  <c r="DH212" i="41"/>
  <c r="DG212" i="41"/>
  <c r="DF212" i="41"/>
  <c r="DE212" i="41"/>
  <c r="DD212" i="41"/>
  <c r="DC212" i="41"/>
  <c r="DB212" i="41"/>
  <c r="Q212" i="41"/>
  <c r="DY211" i="41"/>
  <c r="DX211" i="41"/>
  <c r="DW211" i="41"/>
  <c r="DV211" i="41"/>
  <c r="DU211" i="41"/>
  <c r="DT211" i="41"/>
  <c r="DS211" i="41"/>
  <c r="DR211" i="41"/>
  <c r="DQ211" i="41"/>
  <c r="DP211" i="41"/>
  <c r="DO211" i="41"/>
  <c r="DN211" i="41"/>
  <c r="DM211" i="41"/>
  <c r="DL211" i="41"/>
  <c r="DK211" i="41"/>
  <c r="DJ211" i="41"/>
  <c r="DI211" i="41"/>
  <c r="DH211" i="41"/>
  <c r="DG211" i="41"/>
  <c r="DF211" i="41"/>
  <c r="DE211" i="41"/>
  <c r="DD211" i="41"/>
  <c r="DC211" i="41"/>
  <c r="DB211" i="41"/>
  <c r="Q211" i="41"/>
  <c r="DY210" i="41"/>
  <c r="DX210" i="41"/>
  <c r="DW210" i="41"/>
  <c r="DV210" i="41"/>
  <c r="DU210" i="41"/>
  <c r="DT210" i="41"/>
  <c r="DS210" i="41"/>
  <c r="DR210" i="41"/>
  <c r="DQ210" i="41"/>
  <c r="DP210" i="41"/>
  <c r="DO210" i="41"/>
  <c r="DN210" i="41"/>
  <c r="DM210" i="41"/>
  <c r="DL210" i="41"/>
  <c r="DK210" i="41"/>
  <c r="DJ210" i="41"/>
  <c r="DI210" i="41"/>
  <c r="DH210" i="41"/>
  <c r="DG210" i="41"/>
  <c r="DF210" i="41"/>
  <c r="DE210" i="41"/>
  <c r="DD210" i="41"/>
  <c r="DC210" i="41"/>
  <c r="DB210" i="41"/>
  <c r="Q210" i="41"/>
  <c r="DY209" i="41"/>
  <c r="DX209" i="41"/>
  <c r="DW209" i="41"/>
  <c r="DV209" i="41"/>
  <c r="DU209" i="41"/>
  <c r="DT209" i="41"/>
  <c r="DS209" i="41"/>
  <c r="DR209" i="41"/>
  <c r="DQ209" i="41"/>
  <c r="DP209" i="41"/>
  <c r="DO209" i="41"/>
  <c r="DN209" i="41"/>
  <c r="DM209" i="41"/>
  <c r="DL209" i="41"/>
  <c r="DK209" i="41"/>
  <c r="DJ209" i="41"/>
  <c r="DI209" i="41"/>
  <c r="DH209" i="41"/>
  <c r="DG209" i="41"/>
  <c r="DF209" i="41"/>
  <c r="DE209" i="41"/>
  <c r="DD209" i="41"/>
  <c r="DC209" i="41"/>
  <c r="DB209" i="41"/>
  <c r="Q209" i="41"/>
  <c r="DY208" i="41"/>
  <c r="DX208" i="41"/>
  <c r="DW208" i="41"/>
  <c r="DV208" i="41"/>
  <c r="DU208" i="41"/>
  <c r="DT208" i="41"/>
  <c r="DS208" i="41"/>
  <c r="DR208" i="41"/>
  <c r="DQ208" i="41"/>
  <c r="DP208" i="41"/>
  <c r="DO208" i="41"/>
  <c r="DN208" i="41"/>
  <c r="DM208" i="41"/>
  <c r="DL208" i="41"/>
  <c r="DK208" i="41"/>
  <c r="DJ208" i="41"/>
  <c r="DI208" i="41"/>
  <c r="DH208" i="41"/>
  <c r="DG208" i="41"/>
  <c r="DF208" i="41"/>
  <c r="DE208" i="41"/>
  <c r="DD208" i="41"/>
  <c r="DC208" i="41"/>
  <c r="DB208" i="41"/>
  <c r="J11" i="63"/>
  <c r="Q208" i="41"/>
  <c r="F208" i="41"/>
  <c r="Q207" i="41"/>
  <c r="F207" i="41"/>
  <c r="DY206" i="41"/>
  <c r="DY207" i="41" s="1"/>
  <c r="DX206" i="41"/>
  <c r="DX207" i="41" s="1"/>
  <c r="DW206" i="41"/>
  <c r="DW207" i="41" s="1"/>
  <c r="DV206" i="41"/>
  <c r="DV207" i="41" s="1"/>
  <c r="DU206" i="41"/>
  <c r="DU207" i="41" s="1"/>
  <c r="DT206" i="41"/>
  <c r="DT207" i="41" s="1"/>
  <c r="DS206" i="41"/>
  <c r="DS207" i="41" s="1"/>
  <c r="DR206" i="41"/>
  <c r="DR207" i="41" s="1"/>
  <c r="DQ206" i="41"/>
  <c r="DQ207" i="41" s="1"/>
  <c r="DP206" i="41"/>
  <c r="DP207" i="41" s="1"/>
  <c r="DO206" i="41"/>
  <c r="DO207" i="41" s="1"/>
  <c r="DN206" i="41"/>
  <c r="DN207" i="41" s="1"/>
  <c r="DM206" i="41"/>
  <c r="DM207" i="41" s="1"/>
  <c r="DL206" i="41"/>
  <c r="DL207" i="41" s="1"/>
  <c r="DK206" i="41"/>
  <c r="DK207" i="41" s="1"/>
  <c r="DJ206" i="41"/>
  <c r="DJ207" i="41" s="1"/>
  <c r="DI206" i="41"/>
  <c r="DI207" i="41" s="1"/>
  <c r="DH206" i="41"/>
  <c r="DH207" i="41" s="1"/>
  <c r="DG206" i="41"/>
  <c r="DG207" i="41" s="1"/>
  <c r="DF206" i="41"/>
  <c r="DF207" i="41" s="1"/>
  <c r="DE206" i="41"/>
  <c r="DE207" i="41" s="1"/>
  <c r="DD206" i="41"/>
  <c r="DD207" i="41" s="1"/>
  <c r="DC206" i="41"/>
  <c r="DC207" i="41" s="1"/>
  <c r="DB206" i="41"/>
  <c r="DB207" i="41" s="1"/>
  <c r="P11" i="63"/>
  <c r="O11" i="63"/>
  <c r="N11" i="63"/>
  <c r="M11" i="63"/>
  <c r="L11" i="63"/>
  <c r="K11" i="63"/>
  <c r="I11" i="63"/>
  <c r="H11" i="63"/>
  <c r="G11" i="63"/>
  <c r="F11" i="63"/>
  <c r="E11" i="63"/>
  <c r="DN205" i="41"/>
  <c r="DB205" i="41"/>
  <c r="AJ205" i="41"/>
  <c r="AV206" i="41" s="1"/>
  <c r="DY202" i="41"/>
  <c r="DX202" i="41"/>
  <c r="DW202" i="41"/>
  <c r="DV202" i="41"/>
  <c r="DU202" i="41"/>
  <c r="DT202" i="41"/>
  <c r="DS202" i="41"/>
  <c r="DR202" i="41"/>
  <c r="DQ202" i="41"/>
  <c r="DP202" i="41"/>
  <c r="DO202" i="41"/>
  <c r="DN202" i="41"/>
  <c r="DM202" i="41"/>
  <c r="DL202" i="41"/>
  <c r="DK202" i="41"/>
  <c r="DJ202" i="41"/>
  <c r="DI202" i="41"/>
  <c r="DH202" i="41"/>
  <c r="DG202" i="41"/>
  <c r="DF202" i="41"/>
  <c r="DE202" i="41"/>
  <c r="DD202" i="41"/>
  <c r="DC202" i="41"/>
  <c r="DB202" i="41"/>
  <c r="N200" i="41"/>
  <c r="C200" i="41"/>
  <c r="DY199" i="41"/>
  <c r="DX199" i="41"/>
  <c r="DW199" i="41"/>
  <c r="DV199" i="41"/>
  <c r="DU199" i="41"/>
  <c r="DT199" i="41"/>
  <c r="DS199" i="41"/>
  <c r="DR199" i="41"/>
  <c r="DQ199" i="41"/>
  <c r="DP199" i="41"/>
  <c r="DO199" i="41"/>
  <c r="DN199" i="41"/>
  <c r="DM199" i="41"/>
  <c r="DL199" i="41"/>
  <c r="DK199" i="41"/>
  <c r="DJ199" i="41"/>
  <c r="DI199" i="41"/>
  <c r="DH199" i="41"/>
  <c r="DG199" i="41"/>
  <c r="DF199" i="41"/>
  <c r="DE199" i="41"/>
  <c r="DD199" i="41"/>
  <c r="DC199" i="41"/>
  <c r="DB199" i="41"/>
  <c r="Q199" i="41"/>
  <c r="F199" i="41"/>
  <c r="B199" i="41"/>
  <c r="DY198" i="41"/>
  <c r="DX198" i="41"/>
  <c r="DW198" i="41"/>
  <c r="DV198" i="41"/>
  <c r="DU198" i="41"/>
  <c r="DT198" i="41"/>
  <c r="DS198" i="41"/>
  <c r="DR198" i="41"/>
  <c r="DQ198" i="41"/>
  <c r="DP198" i="41"/>
  <c r="DO198" i="41"/>
  <c r="DN198" i="41"/>
  <c r="DM198" i="41"/>
  <c r="DL198" i="41"/>
  <c r="DK198" i="41"/>
  <c r="DJ198" i="41"/>
  <c r="DI198" i="41"/>
  <c r="DH198" i="41"/>
  <c r="DG198" i="41"/>
  <c r="DF198" i="41"/>
  <c r="DE198" i="41"/>
  <c r="DD198" i="41"/>
  <c r="DC198" i="41"/>
  <c r="DB198" i="41"/>
  <c r="Q198" i="41"/>
  <c r="F198" i="41"/>
  <c r="B198" i="41"/>
  <c r="DY197" i="41"/>
  <c r="DX197" i="41"/>
  <c r="DW197" i="41"/>
  <c r="DV197" i="41"/>
  <c r="DU197" i="41"/>
  <c r="DT197" i="41"/>
  <c r="DS197" i="41"/>
  <c r="DR197" i="41"/>
  <c r="DQ197" i="41"/>
  <c r="DP197" i="41"/>
  <c r="DO197" i="41"/>
  <c r="DN197" i="41"/>
  <c r="DM197" i="41"/>
  <c r="DL197" i="41"/>
  <c r="DK197" i="41"/>
  <c r="DJ197" i="41"/>
  <c r="DI197" i="41"/>
  <c r="DH197" i="41"/>
  <c r="DG197" i="41"/>
  <c r="DF197" i="41"/>
  <c r="DE197" i="41"/>
  <c r="DD197" i="41"/>
  <c r="DC197" i="41"/>
  <c r="DB197" i="41"/>
  <c r="Q197" i="41"/>
  <c r="F197" i="41"/>
  <c r="B197" i="41"/>
  <c r="DY196" i="41"/>
  <c r="DX196" i="41"/>
  <c r="DW196" i="41"/>
  <c r="DV196" i="41"/>
  <c r="DU196" i="41"/>
  <c r="DT196" i="41"/>
  <c r="DS196" i="41"/>
  <c r="DR196" i="41"/>
  <c r="DQ196" i="41"/>
  <c r="DP196" i="41"/>
  <c r="DO196" i="41"/>
  <c r="DN196" i="41"/>
  <c r="DM196" i="41"/>
  <c r="DL196" i="41"/>
  <c r="DK196" i="41"/>
  <c r="DJ196" i="41"/>
  <c r="DI196" i="41"/>
  <c r="DH196" i="41"/>
  <c r="DG196" i="41"/>
  <c r="DF196" i="41"/>
  <c r="DE196" i="41"/>
  <c r="DD196" i="41"/>
  <c r="DC196" i="41"/>
  <c r="DB196" i="41"/>
  <c r="Q196" i="41"/>
  <c r="F196" i="41"/>
  <c r="B196" i="41"/>
  <c r="DY195" i="41"/>
  <c r="DX195" i="41"/>
  <c r="DW195" i="41"/>
  <c r="DV195" i="41"/>
  <c r="DU195" i="41"/>
  <c r="DT195" i="41"/>
  <c r="DS195" i="41"/>
  <c r="DR195" i="41"/>
  <c r="DQ195" i="41"/>
  <c r="DP195" i="41"/>
  <c r="DO195" i="41"/>
  <c r="DN195" i="41"/>
  <c r="DM195" i="41"/>
  <c r="DL195" i="41"/>
  <c r="DK195" i="41"/>
  <c r="DJ195" i="41"/>
  <c r="DI195" i="41"/>
  <c r="DH195" i="41"/>
  <c r="DG195" i="41"/>
  <c r="DF195" i="41"/>
  <c r="DE195" i="41"/>
  <c r="DD195" i="41"/>
  <c r="DC195" i="41"/>
  <c r="DB195" i="41"/>
  <c r="Q195" i="41"/>
  <c r="F195" i="41"/>
  <c r="B195" i="41"/>
  <c r="DY194" i="41"/>
  <c r="DX194" i="41"/>
  <c r="DW194" i="41"/>
  <c r="DV194" i="41"/>
  <c r="DU194" i="41"/>
  <c r="DT194" i="41"/>
  <c r="DS194" i="41"/>
  <c r="DR194" i="41"/>
  <c r="DQ194" i="41"/>
  <c r="DP194" i="41"/>
  <c r="DO194" i="41"/>
  <c r="DN194" i="41"/>
  <c r="DM194" i="41"/>
  <c r="DL194" i="41"/>
  <c r="DK194" i="41"/>
  <c r="DJ194" i="41"/>
  <c r="DI194" i="41"/>
  <c r="DH194" i="41"/>
  <c r="DG194" i="41"/>
  <c r="DF194" i="41"/>
  <c r="DE194" i="41"/>
  <c r="DD194" i="41"/>
  <c r="DC194" i="41"/>
  <c r="DB194" i="41"/>
  <c r="Q194" i="41"/>
  <c r="F194" i="41"/>
  <c r="B194" i="41"/>
  <c r="DY193" i="41"/>
  <c r="DX193" i="41"/>
  <c r="DW193" i="41"/>
  <c r="DV193" i="41"/>
  <c r="DU193" i="41"/>
  <c r="DT193" i="41"/>
  <c r="DS193" i="41"/>
  <c r="DR193" i="41"/>
  <c r="DQ193" i="41"/>
  <c r="DP193" i="41"/>
  <c r="DO193" i="41"/>
  <c r="DN193" i="41"/>
  <c r="DM193" i="41"/>
  <c r="DL193" i="41"/>
  <c r="DK193" i="41"/>
  <c r="DJ193" i="41"/>
  <c r="DI193" i="41"/>
  <c r="DH193" i="41"/>
  <c r="DG193" i="41"/>
  <c r="DF193" i="41"/>
  <c r="DE193" i="41"/>
  <c r="DD193" i="41"/>
  <c r="DC193" i="41"/>
  <c r="DB193" i="41"/>
  <c r="Q193" i="41"/>
  <c r="F193" i="41"/>
  <c r="B193" i="41"/>
  <c r="DY192" i="41"/>
  <c r="DX192" i="41"/>
  <c r="DW192" i="41"/>
  <c r="DV192" i="41"/>
  <c r="DU192" i="41"/>
  <c r="DT192" i="41"/>
  <c r="DS192" i="41"/>
  <c r="DR192" i="41"/>
  <c r="DQ192" i="41"/>
  <c r="DP192" i="41"/>
  <c r="DO192" i="41"/>
  <c r="DN192" i="41"/>
  <c r="DM192" i="41"/>
  <c r="DL192" i="41"/>
  <c r="DK192" i="41"/>
  <c r="DJ192" i="41"/>
  <c r="DI192" i="41"/>
  <c r="DH192" i="41"/>
  <c r="DG192" i="41"/>
  <c r="DF192" i="41"/>
  <c r="DE192" i="41"/>
  <c r="DD192" i="41"/>
  <c r="DC192" i="41"/>
  <c r="DB192" i="41"/>
  <c r="Q192" i="41"/>
  <c r="F192" i="41"/>
  <c r="B192" i="41"/>
  <c r="DY191" i="41"/>
  <c r="DX191" i="41"/>
  <c r="DW191" i="41"/>
  <c r="DV191" i="41"/>
  <c r="DU191" i="41"/>
  <c r="DT191" i="41"/>
  <c r="DS191" i="41"/>
  <c r="DR191" i="41"/>
  <c r="DQ191" i="41"/>
  <c r="DP191" i="41"/>
  <c r="DO191" i="41"/>
  <c r="DN191" i="41"/>
  <c r="DM191" i="41"/>
  <c r="DL191" i="41"/>
  <c r="DK191" i="41"/>
  <c r="DJ191" i="41"/>
  <c r="DI191" i="41"/>
  <c r="DH191" i="41"/>
  <c r="DG191" i="41"/>
  <c r="DF191" i="41"/>
  <c r="DE191" i="41"/>
  <c r="DD191" i="41"/>
  <c r="DC191" i="41"/>
  <c r="DB191" i="41"/>
  <c r="Q191" i="41"/>
  <c r="F191" i="41"/>
  <c r="B191" i="41"/>
  <c r="DY190" i="41"/>
  <c r="DX190" i="41"/>
  <c r="DW190" i="41"/>
  <c r="DV190" i="41"/>
  <c r="DU190" i="41"/>
  <c r="DT190" i="41"/>
  <c r="DS190" i="41"/>
  <c r="DR190" i="41"/>
  <c r="DQ190" i="41"/>
  <c r="DP190" i="41"/>
  <c r="DO190" i="41"/>
  <c r="DN190" i="41"/>
  <c r="DM190" i="41"/>
  <c r="DL190" i="41"/>
  <c r="DK190" i="41"/>
  <c r="DJ190" i="41"/>
  <c r="DI190" i="41"/>
  <c r="DH190" i="41"/>
  <c r="DG190" i="41"/>
  <c r="DF190" i="41"/>
  <c r="DE190" i="41"/>
  <c r="DD190" i="41"/>
  <c r="DC190" i="41"/>
  <c r="DB190" i="41"/>
  <c r="Q190" i="41"/>
  <c r="F190" i="41"/>
  <c r="B190" i="41"/>
  <c r="DY189" i="41"/>
  <c r="DX189" i="41"/>
  <c r="DW189" i="41"/>
  <c r="DV189" i="41"/>
  <c r="DU189" i="41"/>
  <c r="DT189" i="41"/>
  <c r="DS189" i="41"/>
  <c r="DR189" i="41"/>
  <c r="DQ189" i="41"/>
  <c r="DP189" i="41"/>
  <c r="DO189" i="41"/>
  <c r="DN189" i="41"/>
  <c r="DM189" i="41"/>
  <c r="DL189" i="41"/>
  <c r="DK189" i="41"/>
  <c r="DJ189" i="41"/>
  <c r="DI189" i="41"/>
  <c r="DH189" i="41"/>
  <c r="DG189" i="41"/>
  <c r="DF189" i="41"/>
  <c r="DE189" i="41"/>
  <c r="DD189" i="41"/>
  <c r="DC189" i="41"/>
  <c r="DB189" i="41"/>
  <c r="Q189" i="41"/>
  <c r="F189" i="41"/>
  <c r="B189" i="41"/>
  <c r="DY188" i="41"/>
  <c r="DX188" i="41"/>
  <c r="DW188" i="41"/>
  <c r="DV188" i="41"/>
  <c r="DU188" i="41"/>
  <c r="DT188" i="41"/>
  <c r="DS188" i="41"/>
  <c r="DR188" i="41"/>
  <c r="DQ188" i="41"/>
  <c r="DP188" i="41"/>
  <c r="DO188" i="41"/>
  <c r="DN188" i="41"/>
  <c r="DM188" i="41"/>
  <c r="DL188" i="41"/>
  <c r="DK188" i="41"/>
  <c r="DJ188" i="41"/>
  <c r="DI188" i="41"/>
  <c r="DH188" i="41"/>
  <c r="DG188" i="41"/>
  <c r="DF188" i="41"/>
  <c r="DE188" i="41"/>
  <c r="DD188" i="41"/>
  <c r="DC188" i="41"/>
  <c r="DB188" i="41"/>
  <c r="Q188" i="41"/>
  <c r="F188" i="41"/>
  <c r="B188" i="41"/>
  <c r="DY187" i="41"/>
  <c r="DX187" i="41"/>
  <c r="DW187" i="41"/>
  <c r="DV187" i="41"/>
  <c r="DU187" i="41"/>
  <c r="DT187" i="41"/>
  <c r="DS187" i="41"/>
  <c r="DR187" i="41"/>
  <c r="DQ187" i="41"/>
  <c r="DP187" i="41"/>
  <c r="DO187" i="41"/>
  <c r="DN187" i="41"/>
  <c r="DM187" i="41"/>
  <c r="DL187" i="41"/>
  <c r="DK187" i="41"/>
  <c r="DJ187" i="41"/>
  <c r="DI187" i="41"/>
  <c r="DH187" i="41"/>
  <c r="DG187" i="41"/>
  <c r="DF187" i="41"/>
  <c r="DE187" i="41"/>
  <c r="DD187" i="41"/>
  <c r="DC187" i="41"/>
  <c r="DB187" i="41"/>
  <c r="Q187" i="41"/>
  <c r="F187" i="41"/>
  <c r="B187" i="41"/>
  <c r="DY186" i="41"/>
  <c r="DX186" i="41"/>
  <c r="DW186" i="41"/>
  <c r="DV186" i="41"/>
  <c r="DU186" i="41"/>
  <c r="DT186" i="41"/>
  <c r="DS186" i="41"/>
  <c r="DR186" i="41"/>
  <c r="DQ186" i="41"/>
  <c r="DP186" i="41"/>
  <c r="DO186" i="41"/>
  <c r="DN186" i="41"/>
  <c r="DM186" i="41"/>
  <c r="DL186" i="41"/>
  <c r="DK186" i="41"/>
  <c r="DJ186" i="41"/>
  <c r="DI186" i="41"/>
  <c r="DH186" i="41"/>
  <c r="DG186" i="41"/>
  <c r="DF186" i="41"/>
  <c r="DE186" i="41"/>
  <c r="DD186" i="41"/>
  <c r="DC186" i="41"/>
  <c r="DB186" i="41"/>
  <c r="P11" i="62"/>
  <c r="O11" i="62"/>
  <c r="N11" i="62"/>
  <c r="M11" i="62"/>
  <c r="L11" i="62"/>
  <c r="K11" i="62"/>
  <c r="J11" i="62"/>
  <c r="I11" i="62"/>
  <c r="H11" i="62"/>
  <c r="G11" i="62"/>
  <c r="F11" i="62"/>
  <c r="E11" i="62"/>
  <c r="Q186" i="41"/>
  <c r="F186" i="41"/>
  <c r="B186" i="41"/>
  <c r="Q185" i="41"/>
  <c r="F185" i="41"/>
  <c r="B185" i="41"/>
  <c r="DY184" i="41"/>
  <c r="DY185" i="41" s="1"/>
  <c r="DX184" i="41"/>
  <c r="DX185" i="41" s="1"/>
  <c r="DW184" i="41"/>
  <c r="DW185" i="41" s="1"/>
  <c r="DV184" i="41"/>
  <c r="DV185" i="41" s="1"/>
  <c r="DU184" i="41"/>
  <c r="DU185" i="41" s="1"/>
  <c r="DT184" i="41"/>
  <c r="DT185" i="41" s="1"/>
  <c r="DS184" i="41"/>
  <c r="DS185" i="41" s="1"/>
  <c r="DR184" i="41"/>
  <c r="DR185" i="41" s="1"/>
  <c r="DQ184" i="41"/>
  <c r="DQ185" i="41" s="1"/>
  <c r="DP184" i="41"/>
  <c r="DP185" i="41" s="1"/>
  <c r="DO184" i="41"/>
  <c r="DO185" i="41" s="1"/>
  <c r="DN184" i="41"/>
  <c r="DN185" i="41" s="1"/>
  <c r="DM184" i="41"/>
  <c r="DM185" i="41" s="1"/>
  <c r="DL184" i="41"/>
  <c r="DL185" i="41" s="1"/>
  <c r="DK184" i="41"/>
  <c r="DK185" i="41" s="1"/>
  <c r="DJ184" i="41"/>
  <c r="DJ185" i="41" s="1"/>
  <c r="DI184" i="41"/>
  <c r="DI185" i="41" s="1"/>
  <c r="DH184" i="41"/>
  <c r="DH185" i="41" s="1"/>
  <c r="DG184" i="41"/>
  <c r="DG185" i="41" s="1"/>
  <c r="DF184" i="41"/>
  <c r="DF185" i="41" s="1"/>
  <c r="DE184" i="41"/>
  <c r="DE185" i="41" s="1"/>
  <c r="DD184" i="41"/>
  <c r="DD185" i="41" s="1"/>
  <c r="DC184" i="41"/>
  <c r="DC185" i="41" s="1"/>
  <c r="DB184" i="41"/>
  <c r="DB185" i="41" s="1"/>
  <c r="AJ185" i="41" a="1"/>
  <c r="AJ185" i="41" s="1"/>
  <c r="E6" i="62" s="1"/>
  <c r="DN183" i="41"/>
  <c r="DB183" i="41"/>
  <c r="AJ183" i="41"/>
  <c r="AV184" i="41" s="1"/>
  <c r="DY180" i="41"/>
  <c r="DX180" i="41"/>
  <c r="DW180" i="41"/>
  <c r="DV180" i="41"/>
  <c r="DU180" i="41"/>
  <c r="DT180" i="41"/>
  <c r="DS180" i="41"/>
  <c r="DR180" i="41"/>
  <c r="DQ180" i="41"/>
  <c r="DP180" i="41"/>
  <c r="DO180" i="41"/>
  <c r="DN180" i="41"/>
  <c r="DM180" i="41"/>
  <c r="DL180" i="41"/>
  <c r="DK180" i="41"/>
  <c r="DJ180" i="41"/>
  <c r="DI180" i="41"/>
  <c r="DH180" i="41"/>
  <c r="DG180" i="41"/>
  <c r="DF180" i="41"/>
  <c r="DE180" i="41"/>
  <c r="DD180" i="41"/>
  <c r="DC180" i="41"/>
  <c r="DB180" i="41"/>
  <c r="N178" i="41"/>
  <c r="C178" i="41"/>
  <c r="DY177" i="41"/>
  <c r="DX177" i="41"/>
  <c r="DW177" i="41"/>
  <c r="DV177" i="41"/>
  <c r="DU177" i="41"/>
  <c r="DT177" i="41"/>
  <c r="DS177" i="41"/>
  <c r="DR177" i="41"/>
  <c r="DQ177" i="41"/>
  <c r="DP177" i="41"/>
  <c r="DO177" i="41"/>
  <c r="DN177" i="41"/>
  <c r="DM177" i="41"/>
  <c r="DL177" i="41"/>
  <c r="DK177" i="41"/>
  <c r="DJ177" i="41"/>
  <c r="DI177" i="41"/>
  <c r="DH177" i="41"/>
  <c r="DG177" i="41"/>
  <c r="DF177" i="41"/>
  <c r="DE177" i="41"/>
  <c r="DD177" i="41"/>
  <c r="DC177" i="41"/>
  <c r="DB177" i="41"/>
  <c r="Q177" i="41"/>
  <c r="F177" i="41"/>
  <c r="B177" i="41"/>
  <c r="DY176" i="41"/>
  <c r="DX176" i="41"/>
  <c r="DW176" i="41"/>
  <c r="DV176" i="41"/>
  <c r="DU176" i="41"/>
  <c r="DT176" i="41"/>
  <c r="DS176" i="41"/>
  <c r="DR176" i="41"/>
  <c r="DQ176" i="41"/>
  <c r="DP176" i="41"/>
  <c r="DO176" i="41"/>
  <c r="DN176" i="41"/>
  <c r="DM176" i="41"/>
  <c r="DL176" i="41"/>
  <c r="DK176" i="41"/>
  <c r="DJ176" i="41"/>
  <c r="DI176" i="41"/>
  <c r="DH176" i="41"/>
  <c r="DG176" i="41"/>
  <c r="DF176" i="41"/>
  <c r="DE176" i="41"/>
  <c r="DD176" i="41"/>
  <c r="DC176" i="41"/>
  <c r="DB176" i="41"/>
  <c r="Q176" i="41"/>
  <c r="F176" i="41"/>
  <c r="B176" i="41"/>
  <c r="DY175" i="41"/>
  <c r="DX175" i="41"/>
  <c r="DW175" i="41"/>
  <c r="DV175" i="41"/>
  <c r="DU175" i="41"/>
  <c r="DT175" i="41"/>
  <c r="DS175" i="41"/>
  <c r="DR175" i="41"/>
  <c r="DQ175" i="41"/>
  <c r="DP175" i="41"/>
  <c r="DO175" i="41"/>
  <c r="DN175" i="41"/>
  <c r="DM175" i="41"/>
  <c r="DL175" i="41"/>
  <c r="DK175" i="41"/>
  <c r="DJ175" i="41"/>
  <c r="DI175" i="41"/>
  <c r="DH175" i="41"/>
  <c r="DG175" i="41"/>
  <c r="DF175" i="41"/>
  <c r="DE175" i="41"/>
  <c r="DD175" i="41"/>
  <c r="DC175" i="41"/>
  <c r="DB175" i="41"/>
  <c r="Q175" i="41"/>
  <c r="F175" i="41"/>
  <c r="B175" i="41"/>
  <c r="DY174" i="41"/>
  <c r="DX174" i="41"/>
  <c r="DW174" i="41"/>
  <c r="DV174" i="41"/>
  <c r="DU174" i="41"/>
  <c r="DT174" i="41"/>
  <c r="DS174" i="41"/>
  <c r="DR174" i="41"/>
  <c r="DQ174" i="41"/>
  <c r="DP174" i="41"/>
  <c r="DO174" i="41"/>
  <c r="DN174" i="41"/>
  <c r="DM174" i="41"/>
  <c r="DL174" i="41"/>
  <c r="DK174" i="41"/>
  <c r="DJ174" i="41"/>
  <c r="DI174" i="41"/>
  <c r="DH174" i="41"/>
  <c r="DG174" i="41"/>
  <c r="DF174" i="41"/>
  <c r="DE174" i="41"/>
  <c r="DD174" i="41"/>
  <c r="DC174" i="41"/>
  <c r="DB174" i="41"/>
  <c r="Q174" i="41"/>
  <c r="F174" i="41"/>
  <c r="B174" i="41"/>
  <c r="DY173" i="41"/>
  <c r="DX173" i="41"/>
  <c r="DW173" i="41"/>
  <c r="DV173" i="41"/>
  <c r="DU173" i="41"/>
  <c r="DT173" i="41"/>
  <c r="DS173" i="41"/>
  <c r="DR173" i="41"/>
  <c r="DQ173" i="41"/>
  <c r="DP173" i="41"/>
  <c r="DO173" i="41"/>
  <c r="DN173" i="41"/>
  <c r="DM173" i="41"/>
  <c r="DL173" i="41"/>
  <c r="DK173" i="41"/>
  <c r="DJ173" i="41"/>
  <c r="DI173" i="41"/>
  <c r="DH173" i="41"/>
  <c r="DG173" i="41"/>
  <c r="DF173" i="41"/>
  <c r="DE173" i="41"/>
  <c r="DD173" i="41"/>
  <c r="DC173" i="41"/>
  <c r="DB173" i="41"/>
  <c r="Q173" i="41"/>
  <c r="F173" i="41"/>
  <c r="B173" i="41"/>
  <c r="DY172" i="41"/>
  <c r="DX172" i="41"/>
  <c r="DW172" i="41"/>
  <c r="DV172" i="41"/>
  <c r="DU172" i="41"/>
  <c r="DT172" i="41"/>
  <c r="DS172" i="41"/>
  <c r="DR172" i="41"/>
  <c r="DQ172" i="41"/>
  <c r="DP172" i="41"/>
  <c r="DO172" i="41"/>
  <c r="DN172" i="41"/>
  <c r="DM172" i="41"/>
  <c r="DL172" i="41"/>
  <c r="DK172" i="41"/>
  <c r="DJ172" i="41"/>
  <c r="DI172" i="41"/>
  <c r="DH172" i="41"/>
  <c r="DG172" i="41"/>
  <c r="DF172" i="41"/>
  <c r="DE172" i="41"/>
  <c r="DD172" i="41"/>
  <c r="DC172" i="41"/>
  <c r="DB172" i="41"/>
  <c r="Q172" i="41"/>
  <c r="F172" i="41"/>
  <c r="B172" i="41"/>
  <c r="DY171" i="41"/>
  <c r="DX171" i="41"/>
  <c r="DW171" i="41"/>
  <c r="DV171" i="41"/>
  <c r="DU171" i="41"/>
  <c r="DT171" i="41"/>
  <c r="DS171" i="41"/>
  <c r="DR171" i="41"/>
  <c r="DQ171" i="41"/>
  <c r="DP171" i="41"/>
  <c r="DO171" i="41"/>
  <c r="DN171" i="41"/>
  <c r="DM171" i="41"/>
  <c r="DL171" i="41"/>
  <c r="DK171" i="41"/>
  <c r="DJ171" i="41"/>
  <c r="DI171" i="41"/>
  <c r="DH171" i="41"/>
  <c r="DG171" i="41"/>
  <c r="DF171" i="41"/>
  <c r="DE171" i="41"/>
  <c r="DD171" i="41"/>
  <c r="DC171" i="41"/>
  <c r="DB171" i="41"/>
  <c r="Q171" i="41"/>
  <c r="F171" i="41"/>
  <c r="B171" i="41"/>
  <c r="DY170" i="41"/>
  <c r="DX170" i="41"/>
  <c r="DW170" i="41"/>
  <c r="DV170" i="41"/>
  <c r="DU170" i="41"/>
  <c r="DT170" i="41"/>
  <c r="DS170" i="41"/>
  <c r="DR170" i="41"/>
  <c r="DQ170" i="41"/>
  <c r="DP170" i="41"/>
  <c r="DO170" i="41"/>
  <c r="DN170" i="41"/>
  <c r="DM170" i="41"/>
  <c r="DL170" i="41"/>
  <c r="DK170" i="41"/>
  <c r="DJ170" i="41"/>
  <c r="DI170" i="41"/>
  <c r="DH170" i="41"/>
  <c r="DG170" i="41"/>
  <c r="DF170" i="41"/>
  <c r="DE170" i="41"/>
  <c r="DD170" i="41"/>
  <c r="DC170" i="41"/>
  <c r="DB170" i="41"/>
  <c r="Q170" i="41"/>
  <c r="F170" i="41"/>
  <c r="B170" i="41"/>
  <c r="DY169" i="41"/>
  <c r="DX169" i="41"/>
  <c r="DW169" i="41"/>
  <c r="DV169" i="41"/>
  <c r="DU169" i="41"/>
  <c r="DT169" i="41"/>
  <c r="DS169" i="41"/>
  <c r="DR169" i="41"/>
  <c r="DQ169" i="41"/>
  <c r="DP169" i="41"/>
  <c r="DO169" i="41"/>
  <c r="DN169" i="41"/>
  <c r="DM169" i="41"/>
  <c r="DL169" i="41"/>
  <c r="DK169" i="41"/>
  <c r="DJ169" i="41"/>
  <c r="DI169" i="41"/>
  <c r="DH169" i="41"/>
  <c r="DG169" i="41"/>
  <c r="DF169" i="41"/>
  <c r="DE169" i="41"/>
  <c r="DD169" i="41"/>
  <c r="DC169" i="41"/>
  <c r="DB169" i="41"/>
  <c r="Q169" i="41"/>
  <c r="F169" i="41"/>
  <c r="B169" i="41"/>
  <c r="DY168" i="41"/>
  <c r="DX168" i="41"/>
  <c r="DW168" i="41"/>
  <c r="DV168" i="41"/>
  <c r="DU168" i="41"/>
  <c r="DT168" i="41"/>
  <c r="DS168" i="41"/>
  <c r="DR168" i="41"/>
  <c r="DQ168" i="41"/>
  <c r="DP168" i="41"/>
  <c r="DO168" i="41"/>
  <c r="DN168" i="41"/>
  <c r="DM168" i="41"/>
  <c r="DL168" i="41"/>
  <c r="DK168" i="41"/>
  <c r="DJ168" i="41"/>
  <c r="DI168" i="41"/>
  <c r="DH168" i="41"/>
  <c r="DG168" i="41"/>
  <c r="DF168" i="41"/>
  <c r="DE168" i="41"/>
  <c r="DD168" i="41"/>
  <c r="DC168" i="41"/>
  <c r="DB168" i="41"/>
  <c r="Q168" i="41"/>
  <c r="F168" i="41"/>
  <c r="B168" i="41"/>
  <c r="DY167" i="41"/>
  <c r="DX167" i="41"/>
  <c r="DW167" i="41"/>
  <c r="DV167" i="41"/>
  <c r="DU167" i="41"/>
  <c r="DT167" i="41"/>
  <c r="DS167" i="41"/>
  <c r="DR167" i="41"/>
  <c r="DQ167" i="41"/>
  <c r="DP167" i="41"/>
  <c r="DO167" i="41"/>
  <c r="DN167" i="41"/>
  <c r="DM167" i="41"/>
  <c r="DL167" i="41"/>
  <c r="DK167" i="41"/>
  <c r="DJ167" i="41"/>
  <c r="DI167" i="41"/>
  <c r="DH167" i="41"/>
  <c r="DG167" i="41"/>
  <c r="DF167" i="41"/>
  <c r="DE167" i="41"/>
  <c r="DD167" i="41"/>
  <c r="DC167" i="41"/>
  <c r="DB167" i="41"/>
  <c r="Q167" i="41"/>
  <c r="F167" i="41"/>
  <c r="B167" i="41"/>
  <c r="DY166" i="41"/>
  <c r="DX166" i="41"/>
  <c r="DW166" i="41"/>
  <c r="DV166" i="41"/>
  <c r="DU166" i="41"/>
  <c r="DT166" i="41"/>
  <c r="DS166" i="41"/>
  <c r="DR166" i="41"/>
  <c r="DQ166" i="41"/>
  <c r="DP166" i="41"/>
  <c r="DO166" i="41"/>
  <c r="DN166" i="41"/>
  <c r="DM166" i="41"/>
  <c r="DL166" i="41"/>
  <c r="DK166" i="41"/>
  <c r="DJ166" i="41"/>
  <c r="DI166" i="41"/>
  <c r="DH166" i="41"/>
  <c r="DG166" i="41"/>
  <c r="DF166" i="41"/>
  <c r="DE166" i="41"/>
  <c r="DD166" i="41"/>
  <c r="DC166" i="41"/>
  <c r="DB166" i="41"/>
  <c r="Q166" i="41"/>
  <c r="F166" i="41"/>
  <c r="B166" i="41"/>
  <c r="DY165" i="41"/>
  <c r="DX165" i="41"/>
  <c r="DW165" i="41"/>
  <c r="DV165" i="41"/>
  <c r="DU165" i="41"/>
  <c r="DT165" i="41"/>
  <c r="DS165" i="41"/>
  <c r="DR165" i="41"/>
  <c r="DQ165" i="41"/>
  <c r="DP165" i="41"/>
  <c r="DO165" i="41"/>
  <c r="DN165" i="41"/>
  <c r="DM165" i="41"/>
  <c r="DL165" i="41"/>
  <c r="DK165" i="41"/>
  <c r="DJ165" i="41"/>
  <c r="DI165" i="41"/>
  <c r="DH165" i="41"/>
  <c r="DG165" i="41"/>
  <c r="DF165" i="41"/>
  <c r="DE165" i="41"/>
  <c r="DD165" i="41"/>
  <c r="DC165" i="41"/>
  <c r="DB165" i="41"/>
  <c r="Q165" i="41"/>
  <c r="F165" i="41"/>
  <c r="B165" i="41"/>
  <c r="DY164" i="41"/>
  <c r="DX164" i="41"/>
  <c r="DW164" i="41"/>
  <c r="DV164" i="41"/>
  <c r="DU164" i="41"/>
  <c r="DT164" i="41"/>
  <c r="DS164" i="41"/>
  <c r="DR164" i="41"/>
  <c r="DQ164" i="41"/>
  <c r="DP164" i="41"/>
  <c r="DO164" i="41"/>
  <c r="DN164" i="41"/>
  <c r="DM164" i="41"/>
  <c r="DL164" i="41"/>
  <c r="DK164" i="41"/>
  <c r="DJ164" i="41"/>
  <c r="DI164" i="41"/>
  <c r="DH164" i="41"/>
  <c r="DG164" i="41"/>
  <c r="DF164" i="41"/>
  <c r="DE164" i="41"/>
  <c r="DD164" i="41"/>
  <c r="DC164" i="41"/>
  <c r="DB164" i="41"/>
  <c r="P11" i="61"/>
  <c r="O11" i="61"/>
  <c r="N11" i="61"/>
  <c r="M11" i="61"/>
  <c r="L11" i="61"/>
  <c r="K11" i="61"/>
  <c r="J11" i="61"/>
  <c r="I11" i="61"/>
  <c r="H11" i="61"/>
  <c r="F11" i="61"/>
  <c r="E11" i="61"/>
  <c r="Q164" i="41"/>
  <c r="F164" i="41"/>
  <c r="B164" i="41"/>
  <c r="Q163" i="41"/>
  <c r="F163" i="41"/>
  <c r="B163" i="41"/>
  <c r="DY162" i="41"/>
  <c r="DY163" i="41" s="1"/>
  <c r="DX162" i="41"/>
  <c r="DX163" i="41" s="1"/>
  <c r="DW162" i="41"/>
  <c r="DW163" i="41" s="1"/>
  <c r="DV162" i="41"/>
  <c r="DV163" i="41" s="1"/>
  <c r="DU162" i="41"/>
  <c r="DU163" i="41" s="1"/>
  <c r="DT162" i="41"/>
  <c r="DT163" i="41" s="1"/>
  <c r="DS162" i="41"/>
  <c r="DS163" i="41" s="1"/>
  <c r="DR162" i="41"/>
  <c r="DR163" i="41" s="1"/>
  <c r="DQ162" i="41"/>
  <c r="DQ163" i="41" s="1"/>
  <c r="DP162" i="41"/>
  <c r="DP163" i="41" s="1"/>
  <c r="DO162" i="41"/>
  <c r="DO163" i="41" s="1"/>
  <c r="DN162" i="41"/>
  <c r="DN163" i="41" s="1"/>
  <c r="DM162" i="41"/>
  <c r="DM163" i="41" s="1"/>
  <c r="DL162" i="41"/>
  <c r="DL163" i="41" s="1"/>
  <c r="DK162" i="41"/>
  <c r="DK163" i="41" s="1"/>
  <c r="DJ162" i="41"/>
  <c r="DJ163" i="41" s="1"/>
  <c r="DI162" i="41"/>
  <c r="DI163" i="41" s="1"/>
  <c r="DH162" i="41"/>
  <c r="DH163" i="41" s="1"/>
  <c r="DG162" i="41"/>
  <c r="DG163" i="41" s="1"/>
  <c r="DF162" i="41"/>
  <c r="DF163" i="41" s="1"/>
  <c r="DE162" i="41"/>
  <c r="DE163" i="41" s="1"/>
  <c r="DD162" i="41"/>
  <c r="DD163" i="41" s="1"/>
  <c r="DC162" i="41"/>
  <c r="DC163" i="41" s="1"/>
  <c r="DB162" i="41"/>
  <c r="DB163" i="41" s="1"/>
  <c r="DN161" i="41"/>
  <c r="DB161" i="41"/>
  <c r="AJ161" i="41"/>
  <c r="AV162" i="41" s="1"/>
  <c r="DY158" i="41"/>
  <c r="DX158" i="41"/>
  <c r="DW158" i="41"/>
  <c r="DV158" i="41"/>
  <c r="DU158" i="41"/>
  <c r="DT158" i="41"/>
  <c r="DS158" i="41"/>
  <c r="DR158" i="41"/>
  <c r="DQ158" i="41"/>
  <c r="DP158" i="41"/>
  <c r="DO158" i="41"/>
  <c r="DN158" i="41"/>
  <c r="DM158" i="41"/>
  <c r="DL158" i="41"/>
  <c r="DK158" i="41"/>
  <c r="DJ158" i="41"/>
  <c r="DI158" i="41"/>
  <c r="DH158" i="41"/>
  <c r="DG158" i="41"/>
  <c r="DF158" i="41"/>
  <c r="DE158" i="41"/>
  <c r="DD158" i="41"/>
  <c r="DC158" i="41"/>
  <c r="DB158" i="41"/>
  <c r="B155" i="41"/>
  <c r="B154" i="41"/>
  <c r="B153" i="41"/>
  <c r="B152" i="41"/>
  <c r="B151" i="41"/>
  <c r="B150" i="41"/>
  <c r="B149" i="41"/>
  <c r="B148" i="41"/>
  <c r="B147" i="41"/>
  <c r="B146" i="41"/>
  <c r="B145" i="41"/>
  <c r="B144" i="41"/>
  <c r="B143" i="41"/>
  <c r="B142" i="41"/>
  <c r="B141" i="41"/>
  <c r="B133" i="41"/>
  <c r="B132" i="41"/>
  <c r="B131" i="41"/>
  <c r="B130" i="41"/>
  <c r="B129" i="41"/>
  <c r="B128" i="41"/>
  <c r="B127" i="41"/>
  <c r="B126" i="41"/>
  <c r="B125" i="41"/>
  <c r="D225" i="31" s="1"/>
  <c r="D189" i="31" s="1"/>
  <c r="D153" i="31" s="1"/>
  <c r="B124" i="41"/>
  <c r="D224" i="31" s="1"/>
  <c r="D188" i="31" s="1"/>
  <c r="D152" i="31" s="1"/>
  <c r="B123" i="41"/>
  <c r="D223" i="31" s="1"/>
  <c r="D187" i="31" s="1"/>
  <c r="D151" i="31" s="1"/>
  <c r="B122" i="41"/>
  <c r="D222" i="31" s="1"/>
  <c r="D186" i="31" s="1"/>
  <c r="D150" i="31" s="1"/>
  <c r="B121" i="41"/>
  <c r="D221" i="31" s="1"/>
  <c r="D185" i="31" s="1"/>
  <c r="D149" i="31" s="1"/>
  <c r="B120" i="41"/>
  <c r="D220" i="31" s="1"/>
  <c r="D184" i="31" s="1"/>
  <c r="D148" i="31" s="1"/>
  <c r="B119" i="41"/>
  <c r="D219" i="31" s="1"/>
  <c r="D183" i="31" s="1"/>
  <c r="D147" i="31" s="1"/>
  <c r="B85" i="41"/>
  <c r="B197" i="63"/>
  <c r="Q130" i="63"/>
  <c r="R130" i="63" s="1"/>
  <c r="E123" i="63"/>
  <c r="Q121" i="63"/>
  <c r="R121" i="63" s="1"/>
  <c r="P117" i="63"/>
  <c r="O117" i="63"/>
  <c r="N117" i="63"/>
  <c r="M117" i="63"/>
  <c r="L117" i="63"/>
  <c r="K117" i="63"/>
  <c r="J117" i="63"/>
  <c r="I117" i="63"/>
  <c r="H117" i="63"/>
  <c r="G117" i="63"/>
  <c r="F117" i="63"/>
  <c r="E117" i="63"/>
  <c r="Q116" i="63"/>
  <c r="Q115" i="63"/>
  <c r="R115" i="63" s="1"/>
  <c r="Q114" i="63"/>
  <c r="R114" i="63" s="1"/>
  <c r="Q113" i="63"/>
  <c r="R113" i="63" s="1"/>
  <c r="Q87" i="63"/>
  <c r="R87" i="63" s="1"/>
  <c r="Q81" i="63"/>
  <c r="R81" i="63" s="1"/>
  <c r="Q75" i="63"/>
  <c r="R73" i="63"/>
  <c r="Q69" i="63"/>
  <c r="P67" i="63"/>
  <c r="P219" i="63" s="1"/>
  <c r="O67" i="63"/>
  <c r="O219" i="63" s="1"/>
  <c r="N67" i="63"/>
  <c r="N219" i="63" s="1"/>
  <c r="M67" i="63"/>
  <c r="M219" i="63" s="1"/>
  <c r="L67" i="63"/>
  <c r="L219" i="63" s="1"/>
  <c r="K67" i="63"/>
  <c r="K219" i="63" s="1"/>
  <c r="J67" i="63"/>
  <c r="J219" i="63" s="1"/>
  <c r="I67" i="63"/>
  <c r="I219" i="63" s="1"/>
  <c r="H67" i="63"/>
  <c r="H219" i="63" s="1"/>
  <c r="G67" i="63"/>
  <c r="G219" i="63" s="1"/>
  <c r="F67" i="63"/>
  <c r="F219" i="63" s="1"/>
  <c r="E67" i="63"/>
  <c r="E219" i="63" s="1"/>
  <c r="Q66" i="63"/>
  <c r="R66" i="63" s="1"/>
  <c r="Q65" i="63"/>
  <c r="P50" i="63"/>
  <c r="P213" i="63" s="1"/>
  <c r="O50" i="63"/>
  <c r="O213" i="63" s="1"/>
  <c r="G50" i="63"/>
  <c r="G213" i="63" s="1"/>
  <c r="F50" i="63"/>
  <c r="F213" i="63" s="1"/>
  <c r="E50" i="63"/>
  <c r="E213" i="63" s="1"/>
  <c r="Q47" i="63"/>
  <c r="Q40" i="63"/>
  <c r="P36" i="63"/>
  <c r="P209" i="63" s="1"/>
  <c r="O36" i="63"/>
  <c r="O209" i="63" s="1"/>
  <c r="N36" i="63"/>
  <c r="N209" i="63" s="1"/>
  <c r="L36" i="63"/>
  <c r="L209" i="63" s="1"/>
  <c r="K36" i="63"/>
  <c r="K209" i="63" s="1"/>
  <c r="G36" i="63"/>
  <c r="G209" i="63" s="1"/>
  <c r="F36" i="63"/>
  <c r="F209" i="63" s="1"/>
  <c r="E36" i="63"/>
  <c r="E209" i="63" s="1"/>
  <c r="Q31" i="63"/>
  <c r="R23" i="63"/>
  <c r="Q21" i="63"/>
  <c r="Q18" i="63"/>
  <c r="Q13" i="63"/>
  <c r="Q12" i="63"/>
  <c r="J2" i="63"/>
  <c r="D145" i="62"/>
  <c r="Q130" i="62"/>
  <c r="R130" i="62" s="1"/>
  <c r="E123" i="62"/>
  <c r="Q121" i="62"/>
  <c r="R121" i="62" s="1"/>
  <c r="P117" i="62"/>
  <c r="O117" i="62"/>
  <c r="N117" i="62"/>
  <c r="M117" i="62"/>
  <c r="L117" i="62"/>
  <c r="K117" i="62"/>
  <c r="J117" i="62"/>
  <c r="I117" i="62"/>
  <c r="H117" i="62"/>
  <c r="G117" i="62"/>
  <c r="F117" i="62"/>
  <c r="E117" i="62"/>
  <c r="Q116" i="62"/>
  <c r="R116" i="62" s="1"/>
  <c r="Q115" i="62"/>
  <c r="R115" i="62" s="1"/>
  <c r="Q114" i="62"/>
  <c r="Q113" i="62"/>
  <c r="R113" i="62" s="1"/>
  <c r="P88" i="62"/>
  <c r="P169" i="62" s="1"/>
  <c r="O88" i="62"/>
  <c r="O169" i="62" s="1"/>
  <c r="N88" i="62"/>
  <c r="N169" i="62" s="1"/>
  <c r="M88" i="62"/>
  <c r="M169" i="62" s="1"/>
  <c r="L88" i="62"/>
  <c r="L169" i="62" s="1"/>
  <c r="K88" i="62"/>
  <c r="K169" i="62" s="1"/>
  <c r="J88" i="62"/>
  <c r="J169" i="62" s="1"/>
  <c r="I88" i="62"/>
  <c r="I169" i="62" s="1"/>
  <c r="H88" i="62"/>
  <c r="H169" i="62" s="1"/>
  <c r="G88" i="62"/>
  <c r="G169" i="62" s="1"/>
  <c r="F88" i="62"/>
  <c r="F169" i="62" s="1"/>
  <c r="E88" i="62"/>
  <c r="E169" i="62" s="1"/>
  <c r="Q87" i="62"/>
  <c r="R87" i="62" s="1"/>
  <c r="Q86" i="62"/>
  <c r="P84" i="62"/>
  <c r="O84" i="62"/>
  <c r="N84" i="62"/>
  <c r="M84" i="62"/>
  <c r="L84" i="62"/>
  <c r="K84" i="62"/>
  <c r="J84" i="62"/>
  <c r="I84" i="62"/>
  <c r="H84" i="62"/>
  <c r="G84" i="62"/>
  <c r="F84" i="62"/>
  <c r="E84" i="62"/>
  <c r="Q83" i="62"/>
  <c r="R83" i="62" s="1"/>
  <c r="Q82" i="62"/>
  <c r="R82" i="62" s="1"/>
  <c r="Q81" i="62"/>
  <c r="R81" i="62" s="1"/>
  <c r="Q75" i="62"/>
  <c r="R73" i="62"/>
  <c r="Q69" i="62"/>
  <c r="P67" i="62"/>
  <c r="P166" i="62" s="1"/>
  <c r="O67" i="62"/>
  <c r="O166" i="62" s="1"/>
  <c r="N67" i="62"/>
  <c r="N166" i="62" s="1"/>
  <c r="M67" i="62"/>
  <c r="M166" i="62" s="1"/>
  <c r="L67" i="62"/>
  <c r="L166" i="62" s="1"/>
  <c r="K67" i="62"/>
  <c r="K166" i="62" s="1"/>
  <c r="J67" i="62"/>
  <c r="J166" i="62" s="1"/>
  <c r="I67" i="62"/>
  <c r="I166" i="62" s="1"/>
  <c r="H67" i="62"/>
  <c r="H166" i="62" s="1"/>
  <c r="G67" i="62"/>
  <c r="G166" i="62" s="1"/>
  <c r="F67" i="62"/>
  <c r="F166" i="62" s="1"/>
  <c r="E67" i="62"/>
  <c r="E166" i="62" s="1"/>
  <c r="Q66" i="62"/>
  <c r="R66" i="62" s="1"/>
  <c r="Q65" i="62"/>
  <c r="R65" i="62" s="1"/>
  <c r="Q56" i="62"/>
  <c r="T56" i="62" s="1"/>
  <c r="Q52" i="62"/>
  <c r="T52" i="62" s="1"/>
  <c r="P50" i="62"/>
  <c r="P160" i="62" s="1"/>
  <c r="O50" i="62"/>
  <c r="O160" i="62" s="1"/>
  <c r="N50" i="62"/>
  <c r="N160" i="62" s="1"/>
  <c r="M50" i="62"/>
  <c r="M160" i="62" s="1"/>
  <c r="L50" i="62"/>
  <c r="L160" i="62" s="1"/>
  <c r="K50" i="62"/>
  <c r="K160" i="62" s="1"/>
  <c r="J50" i="62"/>
  <c r="J160" i="62" s="1"/>
  <c r="I50" i="62"/>
  <c r="I160" i="62" s="1"/>
  <c r="H50" i="62"/>
  <c r="H160" i="62" s="1"/>
  <c r="G50" i="62"/>
  <c r="G160" i="62" s="1"/>
  <c r="F50" i="62"/>
  <c r="F160" i="62" s="1"/>
  <c r="E50" i="62"/>
  <c r="E160" i="62" s="1"/>
  <c r="Q49" i="62"/>
  <c r="R49" i="62" s="1"/>
  <c r="Q48" i="62"/>
  <c r="R48" i="62" s="1"/>
  <c r="Q47" i="62"/>
  <c r="Q45" i="62"/>
  <c r="T45" i="62" s="1"/>
  <c r="P43" i="62"/>
  <c r="P158" i="62" s="1"/>
  <c r="O43" i="62"/>
  <c r="O158" i="62" s="1"/>
  <c r="N43" i="62"/>
  <c r="N158" i="62" s="1"/>
  <c r="M43" i="62"/>
  <c r="M158" i="62" s="1"/>
  <c r="L43" i="62"/>
  <c r="L158" i="62" s="1"/>
  <c r="K43" i="62"/>
  <c r="K158" i="62" s="1"/>
  <c r="J43" i="62"/>
  <c r="J158" i="62" s="1"/>
  <c r="I43" i="62"/>
  <c r="I158" i="62" s="1"/>
  <c r="H43" i="62"/>
  <c r="H158" i="62" s="1"/>
  <c r="G43" i="62"/>
  <c r="G158" i="62" s="1"/>
  <c r="F43" i="62"/>
  <c r="F158" i="62" s="1"/>
  <c r="E43" i="62"/>
  <c r="E158" i="62" s="1"/>
  <c r="Q42" i="62"/>
  <c r="R42" i="62" s="1"/>
  <c r="Q41" i="62"/>
  <c r="R41" i="62" s="1"/>
  <c r="Q40" i="62"/>
  <c r="Q38" i="62"/>
  <c r="N9" i="46" s="1"/>
  <c r="P36" i="62"/>
  <c r="P156" i="62" s="1"/>
  <c r="O36" i="62"/>
  <c r="O156" i="62" s="1"/>
  <c r="N36" i="62"/>
  <c r="N156" i="62" s="1"/>
  <c r="M36" i="62"/>
  <c r="M156" i="62" s="1"/>
  <c r="L36" i="62"/>
  <c r="L156" i="62" s="1"/>
  <c r="K36" i="62"/>
  <c r="K156" i="62" s="1"/>
  <c r="J36" i="62"/>
  <c r="J156" i="62" s="1"/>
  <c r="I36" i="62"/>
  <c r="I156" i="62" s="1"/>
  <c r="H36" i="62"/>
  <c r="H156" i="62" s="1"/>
  <c r="G36" i="62"/>
  <c r="G156" i="62" s="1"/>
  <c r="F36" i="62"/>
  <c r="F156" i="62" s="1"/>
  <c r="E36" i="62"/>
  <c r="E156" i="62" s="1"/>
  <c r="Q35" i="62"/>
  <c r="R35" i="62" s="1"/>
  <c r="Q34" i="62"/>
  <c r="R34" i="62" s="1"/>
  <c r="Q33" i="62"/>
  <c r="Q31" i="62"/>
  <c r="Q29" i="62"/>
  <c r="N6" i="46" s="1"/>
  <c r="R23" i="62"/>
  <c r="Q21" i="62"/>
  <c r="P18" i="62"/>
  <c r="P149" i="62" s="1"/>
  <c r="O18" i="62"/>
  <c r="O149" i="62" s="1"/>
  <c r="N18" i="62"/>
  <c r="N149" i="62" s="1"/>
  <c r="M18" i="62"/>
  <c r="M149" i="62" s="1"/>
  <c r="L18" i="62"/>
  <c r="L149" i="62" s="1"/>
  <c r="K18" i="62"/>
  <c r="K149" i="62" s="1"/>
  <c r="J18" i="62"/>
  <c r="J149" i="62" s="1"/>
  <c r="I18" i="62"/>
  <c r="I149" i="62" s="1"/>
  <c r="H18" i="62"/>
  <c r="H149" i="62" s="1"/>
  <c r="G18" i="62"/>
  <c r="G149" i="62" s="1"/>
  <c r="F18" i="62"/>
  <c r="F149" i="62" s="1"/>
  <c r="E18" i="62"/>
  <c r="E149" i="62" s="1"/>
  <c r="Q13" i="62"/>
  <c r="Q12" i="62"/>
  <c r="J2" i="62"/>
  <c r="D145" i="61"/>
  <c r="Q130" i="61"/>
  <c r="R130" i="61" s="1"/>
  <c r="E123" i="61"/>
  <c r="Q121" i="61"/>
  <c r="R121" i="61" s="1"/>
  <c r="P117" i="61"/>
  <c r="O117" i="61"/>
  <c r="N117" i="61"/>
  <c r="M117" i="61"/>
  <c r="L117" i="61"/>
  <c r="K117" i="61"/>
  <c r="J117" i="61"/>
  <c r="I117" i="61"/>
  <c r="H117" i="61"/>
  <c r="G117" i="61"/>
  <c r="F117" i="61"/>
  <c r="E117" i="61"/>
  <c r="Q116" i="61"/>
  <c r="R116" i="61" s="1"/>
  <c r="Q115" i="61"/>
  <c r="R115" i="61" s="1"/>
  <c r="Q114" i="61"/>
  <c r="Q113" i="61"/>
  <c r="R113" i="61" s="1"/>
  <c r="P88" i="61"/>
  <c r="P169" i="61" s="1"/>
  <c r="O88" i="61"/>
  <c r="O169" i="61" s="1"/>
  <c r="N88" i="61"/>
  <c r="N169" i="61" s="1"/>
  <c r="M88" i="61"/>
  <c r="M169" i="61" s="1"/>
  <c r="L88" i="61"/>
  <c r="L169" i="61" s="1"/>
  <c r="K88" i="61"/>
  <c r="K169" i="61" s="1"/>
  <c r="J88" i="61"/>
  <c r="J169" i="61" s="1"/>
  <c r="I88" i="61"/>
  <c r="I169" i="61" s="1"/>
  <c r="H88" i="61"/>
  <c r="H169" i="61" s="1"/>
  <c r="G88" i="61"/>
  <c r="G169" i="61" s="1"/>
  <c r="F88" i="61"/>
  <c r="F169" i="61" s="1"/>
  <c r="E88" i="61"/>
  <c r="E169" i="61" s="1"/>
  <c r="Q87" i="61"/>
  <c r="R87" i="61" s="1"/>
  <c r="Q86" i="61"/>
  <c r="P84" i="61"/>
  <c r="O84" i="61"/>
  <c r="N84" i="61"/>
  <c r="M84" i="61"/>
  <c r="L84" i="61"/>
  <c r="K84" i="61"/>
  <c r="J84" i="61"/>
  <c r="I84" i="61"/>
  <c r="H84" i="61"/>
  <c r="G84" i="61"/>
  <c r="F84" i="61"/>
  <c r="E84" i="61"/>
  <c r="Q83" i="61"/>
  <c r="R83" i="61" s="1"/>
  <c r="Q82" i="61"/>
  <c r="Q81" i="61"/>
  <c r="R81" i="61" s="1"/>
  <c r="Q75" i="61"/>
  <c r="R73" i="61"/>
  <c r="Q69" i="61"/>
  <c r="P67" i="61"/>
  <c r="P166" i="61" s="1"/>
  <c r="O67" i="61"/>
  <c r="O166" i="61" s="1"/>
  <c r="N67" i="61"/>
  <c r="N166" i="61" s="1"/>
  <c r="M67" i="61"/>
  <c r="M166" i="61" s="1"/>
  <c r="L67" i="61"/>
  <c r="L166" i="61" s="1"/>
  <c r="K67" i="61"/>
  <c r="K166" i="61" s="1"/>
  <c r="J67" i="61"/>
  <c r="J166" i="61" s="1"/>
  <c r="I67" i="61"/>
  <c r="I166" i="61" s="1"/>
  <c r="H67" i="61"/>
  <c r="H166" i="61" s="1"/>
  <c r="G67" i="61"/>
  <c r="G166" i="61" s="1"/>
  <c r="F67" i="61"/>
  <c r="F166" i="61" s="1"/>
  <c r="E67" i="61"/>
  <c r="E166" i="61" s="1"/>
  <c r="Q66" i="61"/>
  <c r="R66" i="61" s="1"/>
  <c r="Q65" i="61"/>
  <c r="Q56" i="61"/>
  <c r="T56" i="61" s="1"/>
  <c r="Q52" i="61"/>
  <c r="P50" i="61"/>
  <c r="P160" i="61" s="1"/>
  <c r="O50" i="61"/>
  <c r="O160" i="61" s="1"/>
  <c r="N50" i="61"/>
  <c r="N160" i="61" s="1"/>
  <c r="M50" i="61"/>
  <c r="M160" i="61" s="1"/>
  <c r="L50" i="61"/>
  <c r="L160" i="61" s="1"/>
  <c r="K50" i="61"/>
  <c r="K160" i="61" s="1"/>
  <c r="J50" i="61"/>
  <c r="J160" i="61" s="1"/>
  <c r="I50" i="61"/>
  <c r="I160" i="61" s="1"/>
  <c r="H50" i="61"/>
  <c r="H160" i="61" s="1"/>
  <c r="G50" i="61"/>
  <c r="G160" i="61" s="1"/>
  <c r="F50" i="61"/>
  <c r="F160" i="61" s="1"/>
  <c r="E50" i="61"/>
  <c r="E160" i="61" s="1"/>
  <c r="Q49" i="61"/>
  <c r="R49" i="61" s="1"/>
  <c r="Q48" i="61"/>
  <c r="R48" i="61" s="1"/>
  <c r="Q47" i="61"/>
  <c r="Q45" i="61"/>
  <c r="P43" i="61"/>
  <c r="P158" i="61" s="1"/>
  <c r="O43" i="61"/>
  <c r="O158" i="61" s="1"/>
  <c r="N43" i="61"/>
  <c r="N158" i="61" s="1"/>
  <c r="M43" i="61"/>
  <c r="M158" i="61" s="1"/>
  <c r="L43" i="61"/>
  <c r="L158" i="61" s="1"/>
  <c r="K43" i="61"/>
  <c r="K158" i="61" s="1"/>
  <c r="J43" i="61"/>
  <c r="J158" i="61" s="1"/>
  <c r="I43" i="61"/>
  <c r="I158" i="61" s="1"/>
  <c r="H43" i="61"/>
  <c r="H158" i="61" s="1"/>
  <c r="G43" i="61"/>
  <c r="G158" i="61" s="1"/>
  <c r="F43" i="61"/>
  <c r="F158" i="61" s="1"/>
  <c r="E43" i="61"/>
  <c r="E158" i="61" s="1"/>
  <c r="Q42" i="61"/>
  <c r="Q41" i="61"/>
  <c r="R41" i="61" s="1"/>
  <c r="Q40" i="61"/>
  <c r="R40" i="61" s="1"/>
  <c r="Q38" i="61"/>
  <c r="M9" i="46" s="1"/>
  <c r="P36" i="61"/>
  <c r="P156" i="61" s="1"/>
  <c r="O36" i="61"/>
  <c r="O156" i="61" s="1"/>
  <c r="N36" i="61"/>
  <c r="N156" i="61" s="1"/>
  <c r="M36" i="61"/>
  <c r="M156" i="61" s="1"/>
  <c r="L36" i="61"/>
  <c r="L156" i="61" s="1"/>
  <c r="K36" i="61"/>
  <c r="K156" i="61" s="1"/>
  <c r="J36" i="61"/>
  <c r="J156" i="61" s="1"/>
  <c r="I36" i="61"/>
  <c r="I156" i="61" s="1"/>
  <c r="H36" i="61"/>
  <c r="H156" i="61" s="1"/>
  <c r="G36" i="61"/>
  <c r="G156" i="61" s="1"/>
  <c r="F36" i="61"/>
  <c r="F156" i="61" s="1"/>
  <c r="E36" i="61"/>
  <c r="E156" i="61" s="1"/>
  <c r="Q35" i="61"/>
  <c r="R35" i="61" s="1"/>
  <c r="Q34" i="61"/>
  <c r="R34" i="61" s="1"/>
  <c r="Q33" i="61"/>
  <c r="Q31" i="61"/>
  <c r="T31" i="61" s="1"/>
  <c r="Q29" i="61"/>
  <c r="M6" i="46" s="1"/>
  <c r="R23" i="61"/>
  <c r="Q21" i="61"/>
  <c r="P18" i="61"/>
  <c r="P149" i="61" s="1"/>
  <c r="O18" i="61"/>
  <c r="O149" i="61" s="1"/>
  <c r="N18" i="61"/>
  <c r="N149" i="61" s="1"/>
  <c r="M18" i="61"/>
  <c r="M149" i="61" s="1"/>
  <c r="L18" i="61"/>
  <c r="L149" i="61" s="1"/>
  <c r="K18" i="61"/>
  <c r="K149" i="61" s="1"/>
  <c r="J18" i="61"/>
  <c r="J149" i="61" s="1"/>
  <c r="I18" i="61"/>
  <c r="I149" i="61" s="1"/>
  <c r="H18" i="61"/>
  <c r="H149" i="61" s="1"/>
  <c r="G18" i="61"/>
  <c r="G149" i="61" s="1"/>
  <c r="F18" i="61"/>
  <c r="F149" i="61" s="1"/>
  <c r="E18" i="61"/>
  <c r="E149" i="61" s="1"/>
  <c r="Q13" i="61"/>
  <c r="Q12" i="61"/>
  <c r="J2" i="61"/>
  <c r="J2" i="32"/>
  <c r="J2" i="31"/>
  <c r="J2" i="10"/>
  <c r="J2" i="9"/>
  <c r="J2" i="8"/>
  <c r="J2" i="22"/>
  <c r="J2" i="6"/>
  <c r="Q166" i="22" l="1"/>
  <c r="Q205" i="8"/>
  <c r="Q211" i="9"/>
  <c r="Q210" i="9"/>
  <c r="P20" i="63"/>
  <c r="P204" i="63" s="1"/>
  <c r="H82" i="27"/>
  <c r="H209" i="9"/>
  <c r="I82" i="27"/>
  <c r="I209" i="9"/>
  <c r="Q148" i="62"/>
  <c r="J82" i="27"/>
  <c r="J209" i="9"/>
  <c r="K82" i="27"/>
  <c r="K209" i="9"/>
  <c r="Q148" i="61"/>
  <c r="L82" i="27"/>
  <c r="L209" i="9"/>
  <c r="M82" i="27"/>
  <c r="M209" i="9"/>
  <c r="Q148" i="32"/>
  <c r="N82" i="27"/>
  <c r="N209" i="9"/>
  <c r="H115" i="27"/>
  <c r="H118" i="27" s="1"/>
  <c r="H202" i="6"/>
  <c r="O82" i="27"/>
  <c r="O209" i="9"/>
  <c r="P82" i="27"/>
  <c r="P209" i="9"/>
  <c r="E82" i="27"/>
  <c r="E209" i="9"/>
  <c r="Q276" i="31"/>
  <c r="G19" i="61"/>
  <c r="F150" i="61"/>
  <c r="T97" i="31"/>
  <c r="G20" i="61"/>
  <c r="F151" i="61"/>
  <c r="F82" i="27"/>
  <c r="F209" i="9"/>
  <c r="G82" i="27"/>
  <c r="G209" i="9"/>
  <c r="Q223" i="63"/>
  <c r="Q222" i="63"/>
  <c r="Q200" i="63"/>
  <c r="N46" i="27"/>
  <c r="N212" i="63"/>
  <c r="Q212" i="63" s="1"/>
  <c r="D39" i="44"/>
  <c r="D38" i="44"/>
  <c r="D34" i="44"/>
  <c r="H43" i="27"/>
  <c r="Q210" i="63"/>
  <c r="D40" i="44"/>
  <c r="D42" i="44"/>
  <c r="D37" i="44"/>
  <c r="D36" i="44"/>
  <c r="D35" i="44"/>
  <c r="Q254" i="31"/>
  <c r="Q263" i="31"/>
  <c r="Q196" i="9"/>
  <c r="Q198" i="9"/>
  <c r="Q217" i="9"/>
  <c r="Q195" i="9"/>
  <c r="Q202" i="9"/>
  <c r="Q216" i="9"/>
  <c r="Q189" i="9"/>
  <c r="Q219" i="9"/>
  <c r="Q200" i="9"/>
  <c r="Q204" i="9"/>
  <c r="K13" i="27"/>
  <c r="K188" i="9"/>
  <c r="F13" i="27"/>
  <c r="F188" i="9"/>
  <c r="H13" i="27"/>
  <c r="H188" i="9"/>
  <c r="L13" i="27"/>
  <c r="L188" i="9"/>
  <c r="M13" i="27"/>
  <c r="M188" i="9"/>
  <c r="N13" i="27"/>
  <c r="N188" i="9"/>
  <c r="O13" i="27"/>
  <c r="O188" i="9"/>
  <c r="L29" i="27"/>
  <c r="P13" i="27"/>
  <c r="P188" i="9"/>
  <c r="J13" i="27"/>
  <c r="J188" i="9"/>
  <c r="E13" i="27"/>
  <c r="E188" i="9"/>
  <c r="G13" i="27"/>
  <c r="G188" i="9"/>
  <c r="I13" i="27"/>
  <c r="I188" i="9"/>
  <c r="I29" i="27"/>
  <c r="J29" i="27"/>
  <c r="M29" i="27"/>
  <c r="N29" i="27"/>
  <c r="F29" i="27"/>
  <c r="G29" i="27"/>
  <c r="H29" i="27"/>
  <c r="K29" i="27"/>
  <c r="O29" i="27"/>
  <c r="P29" i="27"/>
  <c r="E29" i="27"/>
  <c r="Q173" i="6"/>
  <c r="Q119" i="44"/>
  <c r="E102" i="22"/>
  <c r="E174" i="22" s="1"/>
  <c r="H128" i="44"/>
  <c r="Q121" i="44"/>
  <c r="G128" i="44"/>
  <c r="E58" i="62"/>
  <c r="E164" i="62" s="1"/>
  <c r="G90" i="43"/>
  <c r="F58" i="62"/>
  <c r="F164" i="62" s="1"/>
  <c r="J61" i="62"/>
  <c r="I61" i="62"/>
  <c r="K61" i="62"/>
  <c r="C91" i="43"/>
  <c r="C106" i="43"/>
  <c r="C121" i="43" s="1"/>
  <c r="H61" i="62"/>
  <c r="F61" i="62"/>
  <c r="Q93" i="43"/>
  <c r="D64" i="43"/>
  <c r="D67" i="43" s="1"/>
  <c r="F92" i="43"/>
  <c r="E58" i="63"/>
  <c r="E217" i="63" s="1"/>
  <c r="F89" i="43"/>
  <c r="E58" i="61"/>
  <c r="E164" i="61" s="1"/>
  <c r="L61" i="62"/>
  <c r="G61" i="62"/>
  <c r="E61" i="63"/>
  <c r="E61" i="62"/>
  <c r="O61" i="62"/>
  <c r="N61" i="62"/>
  <c r="M61" i="62"/>
  <c r="K195" i="63"/>
  <c r="L195" i="63"/>
  <c r="M195" i="63"/>
  <c r="N195" i="63"/>
  <c r="O195" i="63"/>
  <c r="P195" i="63"/>
  <c r="E195" i="63"/>
  <c r="I195" i="63"/>
  <c r="J195" i="63"/>
  <c r="F195" i="63"/>
  <c r="G195" i="63"/>
  <c r="H195" i="63"/>
  <c r="H43" i="63"/>
  <c r="H211" i="63" s="1"/>
  <c r="AK166" i="41" a="1"/>
  <c r="AK166" i="41" s="1"/>
  <c r="AI166" i="41" a="1"/>
  <c r="AI166" i="41" s="1"/>
  <c r="AH166" i="41" a="1"/>
  <c r="AH166" i="41" s="1"/>
  <c r="AU166" i="41" a="1"/>
  <c r="AU166" i="41" s="1"/>
  <c r="AS166" i="41" a="1"/>
  <c r="AS166" i="41" s="1"/>
  <c r="AA166" i="41" a="1"/>
  <c r="AA166" i="41" s="1"/>
  <c r="AJ166" i="41" a="1"/>
  <c r="AJ166" i="41" s="1"/>
  <c r="AG166" i="41" a="1"/>
  <c r="AG166" i="41" s="1"/>
  <c r="AG167" i="41" s="1"/>
  <c r="AD166" i="41" a="1"/>
  <c r="AD166" i="41" s="1"/>
  <c r="AD167" i="41" s="1"/>
  <c r="AO166" i="41" a="1"/>
  <c r="AO166" i="41" s="1"/>
  <c r="Z166" i="41" a="1"/>
  <c r="Z166" i="41" s="1"/>
  <c r="Z167" i="41" s="1"/>
  <c r="AT166" i="41" a="1"/>
  <c r="AT166" i="41" s="1"/>
  <c r="AF166" i="41" a="1"/>
  <c r="AF166" i="41" s="1"/>
  <c r="AF167" i="41" s="1"/>
  <c r="AE166" i="41" a="1"/>
  <c r="AE166" i="41" s="1"/>
  <c r="AE167" i="41" s="1"/>
  <c r="AR166" i="41" a="1"/>
  <c r="AR166" i="41" s="1"/>
  <c r="AQ166" i="41" a="1"/>
  <c r="AQ166" i="41" s="1"/>
  <c r="AC166" i="41" a="1"/>
  <c r="AC166" i="41" s="1"/>
  <c r="AC167" i="41" s="1"/>
  <c r="AP166" i="41" a="1"/>
  <c r="AP166" i="41" s="1"/>
  <c r="AB166" i="41" a="1"/>
  <c r="AB166" i="41" s="1"/>
  <c r="AN166" i="41" a="1"/>
  <c r="AN166" i="41" s="1"/>
  <c r="Y166" i="41" a="1"/>
  <c r="Y166" i="41" s="1"/>
  <c r="Y167" i="41" s="1"/>
  <c r="X166" i="41" a="1"/>
  <c r="X166" i="41" s="1"/>
  <c r="X167" i="41" s="1"/>
  <c r="AM166" i="41" a="1"/>
  <c r="AM166" i="41" s="1"/>
  <c r="AL166" i="41" a="1"/>
  <c r="AL166" i="41" s="1"/>
  <c r="Q186" i="8"/>
  <c r="Q184" i="8"/>
  <c r="Q179" i="8"/>
  <c r="Q187" i="8"/>
  <c r="AI188" i="41" a="1"/>
  <c r="AI188" i="41" s="1"/>
  <c r="AI189" i="41" s="1"/>
  <c r="AU188" i="41" a="1"/>
  <c r="AU188" i="41" s="1"/>
  <c r="AT188" i="41" a="1"/>
  <c r="AT188" i="41" s="1"/>
  <c r="AE188" i="41" a="1"/>
  <c r="AE188" i="41" s="1"/>
  <c r="AE189" i="41" s="1"/>
  <c r="AP188" i="41" a="1"/>
  <c r="AP188" i="41" s="1"/>
  <c r="AM188" i="41" a="1"/>
  <c r="AM188" i="41" s="1"/>
  <c r="AL188" i="41" a="1"/>
  <c r="AL188" i="41" s="1"/>
  <c r="AH188" i="41" a="1"/>
  <c r="AH188" i="41" s="1"/>
  <c r="AH189" i="41" s="1"/>
  <c r="AG188" i="41" a="1"/>
  <c r="AG188" i="41" s="1"/>
  <c r="AG189" i="41" s="1"/>
  <c r="AF188" i="41" a="1"/>
  <c r="AF188" i="41" s="1"/>
  <c r="AF189" i="41" s="1"/>
  <c r="AS188" i="41" a="1"/>
  <c r="AS188" i="41" s="1"/>
  <c r="AB188" i="41" a="1"/>
  <c r="AB188" i="41" s="1"/>
  <c r="AB189" i="41" s="1"/>
  <c r="Y188" i="41" a="1"/>
  <c r="Y188" i="41" s="1"/>
  <c r="Y189" i="41" s="1"/>
  <c r="X188" i="41" a="1"/>
  <c r="X188" i="41" s="1"/>
  <c r="X189" i="41" s="1"/>
  <c r="AR188" i="41" a="1"/>
  <c r="AR188" i="41" s="1"/>
  <c r="AD188" i="41" a="1"/>
  <c r="AD188" i="41" s="1"/>
  <c r="AD189" i="41" s="1"/>
  <c r="AQ188" i="41" a="1"/>
  <c r="AQ188" i="41" s="1"/>
  <c r="AC188" i="41" a="1"/>
  <c r="AC188" i="41" s="1"/>
  <c r="AC189" i="41" s="1"/>
  <c r="AO188" i="41" a="1"/>
  <c r="AO188" i="41" s="1"/>
  <c r="AA188" i="41" a="1"/>
  <c r="AA188" i="41" s="1"/>
  <c r="AA189" i="41" s="1"/>
  <c r="AN188" i="41" a="1"/>
  <c r="AN188" i="41" s="1"/>
  <c r="Z188" i="41" a="1"/>
  <c r="Z188" i="41" s="1"/>
  <c r="Z189" i="41" s="1"/>
  <c r="AJ188" i="41" a="1"/>
  <c r="AJ188" i="41" s="1"/>
  <c r="AK188" i="41" a="1"/>
  <c r="AK188" i="41" s="1"/>
  <c r="AU210" i="41" a="1"/>
  <c r="AU210" i="41" s="1"/>
  <c r="AG210" i="41" a="1"/>
  <c r="AG210" i="41" s="1"/>
  <c r="AG211" i="41" s="1"/>
  <c r="AE210" i="41" a="1"/>
  <c r="AE210" i="41" s="1"/>
  <c r="AE211" i="41" s="1"/>
  <c r="AD210" i="41" a="1"/>
  <c r="AD210" i="41" s="1"/>
  <c r="AD211" i="41" s="1"/>
  <c r="AQ210" i="41" a="1"/>
  <c r="AQ210" i="41" s="1"/>
  <c r="AN210" i="41" a="1"/>
  <c r="AN210" i="41" s="1"/>
  <c r="AK210" i="41" a="1"/>
  <c r="AK210" i="41" s="1"/>
  <c r="AJ210" i="41" a="1"/>
  <c r="AJ210" i="41" s="1"/>
  <c r="AT210" i="41" a="1"/>
  <c r="AT210" i="41" s="1"/>
  <c r="AF210" i="41" a="1"/>
  <c r="AF210" i="41" s="1"/>
  <c r="AF211" i="41" s="1"/>
  <c r="AS210" i="41" a="1"/>
  <c r="AS210" i="41" s="1"/>
  <c r="AR210" i="41" a="1"/>
  <c r="AR210" i="41" s="1"/>
  <c r="AC210" i="41" a="1"/>
  <c r="AC210" i="41" s="1"/>
  <c r="AC211" i="41" s="1"/>
  <c r="Z210" i="41" a="1"/>
  <c r="Z210" i="41" s="1"/>
  <c r="Z211" i="41" s="1"/>
  <c r="AP210" i="41" a="1"/>
  <c r="AP210" i="41" s="1"/>
  <c r="AB210" i="41" a="1"/>
  <c r="AB210" i="41" s="1"/>
  <c r="AB211" i="41" s="1"/>
  <c r="AO210" i="41" a="1"/>
  <c r="AO210" i="41" s="1"/>
  <c r="AA210" i="41" a="1"/>
  <c r="AA210" i="41" s="1"/>
  <c r="AA211" i="41" s="1"/>
  <c r="AM210" i="41" a="1"/>
  <c r="AM210" i="41" s="1"/>
  <c r="Y210" i="41" a="1"/>
  <c r="Y210" i="41" s="1"/>
  <c r="Y211" i="41" s="1"/>
  <c r="AL210" i="41" a="1"/>
  <c r="AL210" i="41" s="1"/>
  <c r="X210" i="41" a="1"/>
  <c r="X210" i="41" s="1"/>
  <c r="X211" i="41" s="1"/>
  <c r="AI210" i="41" a="1"/>
  <c r="AI210" i="41" s="1"/>
  <c r="AI211" i="41" s="1"/>
  <c r="AH210" i="41" a="1"/>
  <c r="AH210" i="41" s="1"/>
  <c r="AH211" i="41" s="1"/>
  <c r="K84" i="63"/>
  <c r="I84" i="63"/>
  <c r="Q49" i="63"/>
  <c r="R49" i="63" s="1"/>
  <c r="H84" i="63"/>
  <c r="I50" i="63"/>
  <c r="I213" i="63" s="1"/>
  <c r="T31" i="63"/>
  <c r="O84" i="63"/>
  <c r="H31" i="27"/>
  <c r="DO200" i="41"/>
  <c r="DO178" i="41"/>
  <c r="DK178" i="41"/>
  <c r="DY178" i="41"/>
  <c r="DM178" i="41"/>
  <c r="DH200" i="41"/>
  <c r="DK200" i="41"/>
  <c r="DY200" i="41"/>
  <c r="DG178" i="41"/>
  <c r="DT200" i="41"/>
  <c r="DW178" i="41"/>
  <c r="DB200" i="41"/>
  <c r="Q70" i="44"/>
  <c r="Q126" i="44"/>
  <c r="I128" i="44"/>
  <c r="Q68" i="44"/>
  <c r="E96" i="62"/>
  <c r="E172" i="62" s="1"/>
  <c r="H102" i="10"/>
  <c r="H174" i="10" s="1"/>
  <c r="E96" i="32"/>
  <c r="E172" i="32" s="1"/>
  <c r="G102" i="61"/>
  <c r="G175" i="61" s="1"/>
  <c r="P128" i="44"/>
  <c r="Q124" i="44"/>
  <c r="R13" i="63"/>
  <c r="T13" i="63"/>
  <c r="R21" i="63"/>
  <c r="T21" i="63"/>
  <c r="R18" i="63"/>
  <c r="T18" i="63"/>
  <c r="R75" i="63"/>
  <c r="T75" i="63"/>
  <c r="R12" i="63"/>
  <c r="T12" i="63"/>
  <c r="H36" i="63"/>
  <c r="H209" i="63" s="1"/>
  <c r="R69" i="63"/>
  <c r="T69" i="63"/>
  <c r="R75" i="62"/>
  <c r="T75" i="62"/>
  <c r="R69" i="62"/>
  <c r="T69" i="62"/>
  <c r="R21" i="62"/>
  <c r="T21" i="62"/>
  <c r="R13" i="62"/>
  <c r="T13" i="62"/>
  <c r="R12" i="62"/>
  <c r="T12" i="62"/>
  <c r="R29" i="62"/>
  <c r="T29" i="62"/>
  <c r="N7" i="46"/>
  <c r="T31" i="62"/>
  <c r="R38" i="62"/>
  <c r="T38" i="62"/>
  <c r="R69" i="61"/>
  <c r="T69" i="61"/>
  <c r="R75" i="61"/>
  <c r="T75" i="61"/>
  <c r="R12" i="61"/>
  <c r="T12" i="61"/>
  <c r="R21" i="61"/>
  <c r="T21" i="61"/>
  <c r="R13" i="61"/>
  <c r="T13" i="61"/>
  <c r="R29" i="61"/>
  <c r="T29" i="61"/>
  <c r="M13" i="46"/>
  <c r="T45" i="61"/>
  <c r="M10" i="46"/>
  <c r="T52" i="61"/>
  <c r="R38" i="61"/>
  <c r="T38" i="61"/>
  <c r="F31" i="27"/>
  <c r="G36" i="27"/>
  <c r="G37" i="27" s="1"/>
  <c r="G43" i="27"/>
  <c r="L48" i="27"/>
  <c r="K31" i="27"/>
  <c r="K48" i="27"/>
  <c r="M57" i="27"/>
  <c r="R94" i="9"/>
  <c r="H57" i="27"/>
  <c r="E53" i="27"/>
  <c r="Q67" i="63"/>
  <c r="Q35" i="63"/>
  <c r="R35" i="63" s="1"/>
  <c r="Q117" i="62"/>
  <c r="Q176" i="62"/>
  <c r="Q152" i="62"/>
  <c r="Q177" i="62"/>
  <c r="Q88" i="62"/>
  <c r="Q163" i="62"/>
  <c r="Q14" i="62"/>
  <c r="Q50" i="62"/>
  <c r="T50" i="62" s="1"/>
  <c r="R86" i="62"/>
  <c r="R45" i="62"/>
  <c r="N13" i="46"/>
  <c r="R56" i="62"/>
  <c r="N11" i="46"/>
  <c r="R114" i="62"/>
  <c r="Q161" i="62"/>
  <c r="R31" i="62"/>
  <c r="Q178" i="62"/>
  <c r="Q166" i="62"/>
  <c r="Q18" i="62"/>
  <c r="R52" i="62"/>
  <c r="N10" i="46"/>
  <c r="Q84" i="62"/>
  <c r="R45" i="61"/>
  <c r="Q67" i="61"/>
  <c r="Q84" i="61"/>
  <c r="Q50" i="61"/>
  <c r="R52" i="61"/>
  <c r="Q14" i="61"/>
  <c r="Q154" i="61"/>
  <c r="G14" i="27"/>
  <c r="Q152" i="61"/>
  <c r="AJ163" i="41" a="1"/>
  <c r="O6" i="61" s="1"/>
  <c r="Q117" i="61"/>
  <c r="Q161" i="61"/>
  <c r="Q176" i="61"/>
  <c r="Q166" i="61"/>
  <c r="Q43" i="61"/>
  <c r="T43" i="61" s="1"/>
  <c r="Q169" i="61"/>
  <c r="Q158" i="61"/>
  <c r="R50" i="61"/>
  <c r="R56" i="61"/>
  <c r="M11" i="46"/>
  <c r="R31" i="61"/>
  <c r="M7" i="46"/>
  <c r="Q155" i="61"/>
  <c r="E14" i="27"/>
  <c r="Q33" i="27"/>
  <c r="L31" i="27"/>
  <c r="M36" i="27"/>
  <c r="M37" i="27" s="1"/>
  <c r="I87" i="27"/>
  <c r="I89" i="27" s="1"/>
  <c r="K14" i="27"/>
  <c r="G31" i="27"/>
  <c r="E31" i="27"/>
  <c r="J31" i="27"/>
  <c r="G87" i="27"/>
  <c r="G89" i="27" s="1"/>
  <c r="I31" i="27"/>
  <c r="M84" i="27"/>
  <c r="K84" i="27"/>
  <c r="P31" i="27"/>
  <c r="J84" i="27"/>
  <c r="E35" i="27"/>
  <c r="Q35" i="27" s="1"/>
  <c r="Q37" i="31"/>
  <c r="K8" i="46" s="1"/>
  <c r="O31" i="27"/>
  <c r="N31" i="27"/>
  <c r="Q34" i="27"/>
  <c r="M31" i="27"/>
  <c r="O57" i="27"/>
  <c r="J48" i="27"/>
  <c r="H87" i="27"/>
  <c r="H89" i="27" s="1"/>
  <c r="N42" i="27"/>
  <c r="N44" i="27" s="1"/>
  <c r="I48" i="27"/>
  <c r="K57" i="27"/>
  <c r="M43" i="27"/>
  <c r="E57" i="27"/>
  <c r="P57" i="27"/>
  <c r="F87" i="27"/>
  <c r="F89" i="27" s="1"/>
  <c r="M14" i="27"/>
  <c r="F46" i="27"/>
  <c r="L53" i="27"/>
  <c r="I14" i="27"/>
  <c r="G53" i="27"/>
  <c r="M39" i="27"/>
  <c r="H48" i="27"/>
  <c r="N49" i="27"/>
  <c r="K53" i="27"/>
  <c r="E87" i="27"/>
  <c r="L49" i="27"/>
  <c r="F42" i="27"/>
  <c r="F44" i="27" s="1"/>
  <c r="K49" i="27"/>
  <c r="P14" i="27"/>
  <c r="J49" i="27"/>
  <c r="P53" i="27"/>
  <c r="M87" i="27"/>
  <c r="M89" i="27" s="1"/>
  <c r="F39" i="27"/>
  <c r="I49" i="27"/>
  <c r="L87" i="27"/>
  <c r="L89" i="27" s="1"/>
  <c r="N48" i="27"/>
  <c r="K87" i="27"/>
  <c r="K89" i="27" s="1"/>
  <c r="M48" i="27"/>
  <c r="I50" i="27"/>
  <c r="K39" i="27"/>
  <c r="E84" i="27"/>
  <c r="N84" i="63"/>
  <c r="L42" i="27"/>
  <c r="L44" i="27" s="1"/>
  <c r="Q45" i="63"/>
  <c r="E88" i="63"/>
  <c r="E225" i="63" s="1"/>
  <c r="P84" i="63"/>
  <c r="P46" i="27"/>
  <c r="G84" i="63"/>
  <c r="J53" i="27"/>
  <c r="H49" i="27"/>
  <c r="M49" i="27"/>
  <c r="J39" i="27"/>
  <c r="Q14" i="63"/>
  <c r="L84" i="63"/>
  <c r="H14" i="27"/>
  <c r="M42" i="27"/>
  <c r="L57" i="27"/>
  <c r="F88" i="63"/>
  <c r="F225" i="63" s="1"/>
  <c r="H53" i="27"/>
  <c r="N39" i="27"/>
  <c r="G57" i="27"/>
  <c r="O84" i="27"/>
  <c r="Q208" i="63"/>
  <c r="L14" i="27"/>
  <c r="O39" i="27"/>
  <c r="N84" i="27"/>
  <c r="Q232" i="63"/>
  <c r="O14" i="27"/>
  <c r="O46" i="27"/>
  <c r="N53" i="27"/>
  <c r="G42" i="27"/>
  <c r="E84" i="63"/>
  <c r="H42" i="27"/>
  <c r="I84" i="27"/>
  <c r="Q48" i="63"/>
  <c r="R48" i="63" s="1"/>
  <c r="F84" i="63"/>
  <c r="Q38" i="63"/>
  <c r="O9" i="46" s="1"/>
  <c r="I42" i="27"/>
  <c r="I44" i="27" s="1"/>
  <c r="I53" i="27"/>
  <c r="J42" i="27"/>
  <c r="J44" i="27" s="1"/>
  <c r="E39" i="27"/>
  <c r="I39" i="27"/>
  <c r="M43" i="63"/>
  <c r="M211" i="63" s="1"/>
  <c r="M88" i="63"/>
  <c r="M225" i="63" s="1"/>
  <c r="G39" i="27"/>
  <c r="H84" i="27"/>
  <c r="H39" i="27"/>
  <c r="G84" i="27"/>
  <c r="Q29" i="63"/>
  <c r="O6" i="46" s="1"/>
  <c r="J84" i="63"/>
  <c r="Q86" i="63"/>
  <c r="Q88" i="63" s="1"/>
  <c r="J87" i="27"/>
  <c r="J89" i="27" s="1"/>
  <c r="N88" i="63"/>
  <c r="N225" i="63" s="1"/>
  <c r="N87" i="27"/>
  <c r="N89" i="27" s="1"/>
  <c r="O53" i="27"/>
  <c r="F14" i="27"/>
  <c r="K42" i="27"/>
  <c r="K44" i="27" s="1"/>
  <c r="M50" i="27"/>
  <c r="F84" i="27"/>
  <c r="X207" i="41" a="1"/>
  <c r="X207" i="41" s="1"/>
  <c r="AJ207" i="41" a="1"/>
  <c r="AJ207" i="41" s="1"/>
  <c r="E6" i="63" s="1"/>
  <c r="F53" i="27"/>
  <c r="R31" i="63"/>
  <c r="O7" i="46"/>
  <c r="Q42" i="63"/>
  <c r="R42" i="63" s="1"/>
  <c r="L39" i="27"/>
  <c r="J57" i="27"/>
  <c r="Q117" i="63"/>
  <c r="J14" i="27"/>
  <c r="O42" i="27"/>
  <c r="O44" i="27" s="1"/>
  <c r="I57" i="27"/>
  <c r="P84" i="27"/>
  <c r="Q82" i="63"/>
  <c r="R82" i="63" s="1"/>
  <c r="N57" i="27"/>
  <c r="P42" i="27"/>
  <c r="P44" i="27" s="1"/>
  <c r="Q219" i="63"/>
  <c r="E46" i="27"/>
  <c r="F57" i="27"/>
  <c r="H88" i="63"/>
  <c r="H225" i="63" s="1"/>
  <c r="Q234" i="63"/>
  <c r="O204" i="41"/>
  <c r="P39" i="27"/>
  <c r="M50" i="63"/>
  <c r="M213" i="63" s="1"/>
  <c r="P88" i="63"/>
  <c r="P225" i="63" s="1"/>
  <c r="P87" i="27"/>
  <c r="P89" i="27" s="1"/>
  <c r="W205" i="41"/>
  <c r="N14" i="27"/>
  <c r="E42" i="27"/>
  <c r="G46" i="27"/>
  <c r="M53" i="27"/>
  <c r="L84" i="27"/>
  <c r="Q41" i="63"/>
  <c r="R41" i="63" s="1"/>
  <c r="O88" i="63"/>
  <c r="O225" i="63" s="1"/>
  <c r="O87" i="27"/>
  <c r="O89" i="27" s="1"/>
  <c r="Q36" i="62"/>
  <c r="T36" i="62" s="1"/>
  <c r="K115" i="27"/>
  <c r="K118" i="27" s="1"/>
  <c r="Q114" i="9"/>
  <c r="Q36" i="61"/>
  <c r="R33" i="61"/>
  <c r="DU222" i="41"/>
  <c r="DT222" i="41"/>
  <c r="DI222" i="41"/>
  <c r="DL222" i="41"/>
  <c r="DX222" i="41"/>
  <c r="DO222" i="41"/>
  <c r="DY222" i="41"/>
  <c r="DP200" i="41"/>
  <c r="DQ200" i="41"/>
  <c r="DJ200" i="41"/>
  <c r="DV200" i="41"/>
  <c r="DW200" i="41"/>
  <c r="DU178" i="41"/>
  <c r="DM200" i="41"/>
  <c r="DD200" i="41"/>
  <c r="DN178" i="41"/>
  <c r="P6" i="62"/>
  <c r="DL178" i="41"/>
  <c r="DX178" i="41"/>
  <c r="DT178" i="41"/>
  <c r="DI200" i="41"/>
  <c r="DU200" i="41"/>
  <c r="O6" i="62"/>
  <c r="N6" i="62"/>
  <c r="M6" i="62"/>
  <c r="DC178" i="41"/>
  <c r="L6" i="62"/>
  <c r="DP178" i="41"/>
  <c r="DR200" i="41"/>
  <c r="K6" i="62"/>
  <c r="DB178" i="41"/>
  <c r="J6" i="62"/>
  <c r="DR178" i="41"/>
  <c r="I6" i="62"/>
  <c r="DE178" i="41"/>
  <c r="DQ178" i="41"/>
  <c r="DN200" i="41"/>
  <c r="DJ222" i="41"/>
  <c r="H6" i="62"/>
  <c r="DL200" i="41"/>
  <c r="DX200" i="41"/>
  <c r="DD178" i="41"/>
  <c r="DF178" i="41"/>
  <c r="DS178" i="41"/>
  <c r="DH178" i="41"/>
  <c r="DE200" i="41"/>
  <c r="DW222" i="41"/>
  <c r="G6" i="62"/>
  <c r="G11" i="61"/>
  <c r="DI178" i="41"/>
  <c r="DF200" i="41"/>
  <c r="DC200" i="41"/>
  <c r="F6" i="62"/>
  <c r="DJ178" i="41"/>
  <c r="DV178" i="41"/>
  <c r="DG200" i="41"/>
  <c r="DS200" i="41"/>
  <c r="DM222" i="41"/>
  <c r="DH222" i="41"/>
  <c r="DV222" i="41"/>
  <c r="DS222" i="41"/>
  <c r="DB222" i="41"/>
  <c r="DP222" i="41"/>
  <c r="F128" i="44"/>
  <c r="O128" i="44"/>
  <c r="N128" i="44"/>
  <c r="Q122" i="44"/>
  <c r="M128" i="44"/>
  <c r="Q120" i="44"/>
  <c r="L128" i="44"/>
  <c r="Q118" i="44"/>
  <c r="K128" i="44"/>
  <c r="Q125" i="44"/>
  <c r="J128" i="44"/>
  <c r="Q123" i="44"/>
  <c r="E128" i="44"/>
  <c r="Q52" i="44"/>
  <c r="Q65" i="44"/>
  <c r="Q67" i="44"/>
  <c r="Q49" i="44"/>
  <c r="Q54" i="44"/>
  <c r="Q64" i="44"/>
  <c r="Q53" i="44"/>
  <c r="Q71" i="44"/>
  <c r="Q63" i="44"/>
  <c r="Q66" i="44"/>
  <c r="Q56" i="44"/>
  <c r="Q50" i="44"/>
  <c r="Q55" i="44"/>
  <c r="Q51" i="44"/>
  <c r="Q69" i="44"/>
  <c r="L86" i="44"/>
  <c r="Q80" i="44"/>
  <c r="Q84" i="44"/>
  <c r="Q81" i="44"/>
  <c r="I86" i="44"/>
  <c r="Q83" i="44"/>
  <c r="J86" i="44"/>
  <c r="K86" i="44"/>
  <c r="F86" i="44"/>
  <c r="N86" i="44"/>
  <c r="Q77" i="44"/>
  <c r="H86" i="44"/>
  <c r="Q79" i="44"/>
  <c r="M86" i="44"/>
  <c r="Q82" i="44"/>
  <c r="O86" i="44"/>
  <c r="P86" i="44"/>
  <c r="Q78" i="44"/>
  <c r="G86" i="44"/>
  <c r="Q85" i="44"/>
  <c r="Q76" i="44"/>
  <c r="E86" i="44"/>
  <c r="M72" i="44"/>
  <c r="L72" i="44"/>
  <c r="O72" i="44"/>
  <c r="P72" i="44"/>
  <c r="F72" i="44"/>
  <c r="E72" i="44"/>
  <c r="Q62" i="44"/>
  <c r="H72" i="44"/>
  <c r="N72" i="44"/>
  <c r="G72" i="44"/>
  <c r="I72" i="44"/>
  <c r="J72" i="44"/>
  <c r="K72" i="44"/>
  <c r="Q83" i="63"/>
  <c r="R83" i="63" s="1"/>
  <c r="M84" i="63"/>
  <c r="Q56" i="63"/>
  <c r="T56" i="63" s="1"/>
  <c r="Q52" i="63"/>
  <c r="T52" i="63" s="1"/>
  <c r="Q214" i="63"/>
  <c r="R47" i="63"/>
  <c r="Q33" i="63"/>
  <c r="I36" i="63"/>
  <c r="I209" i="63" s="1"/>
  <c r="Q207" i="63"/>
  <c r="Q202" i="63"/>
  <c r="P37" i="27"/>
  <c r="H37" i="27"/>
  <c r="K37" i="27"/>
  <c r="J37" i="27"/>
  <c r="D71" i="43"/>
  <c r="D74" i="43" s="1"/>
  <c r="E62" i="43"/>
  <c r="F62" i="43" s="1"/>
  <c r="F64" i="43" s="1"/>
  <c r="F60" i="62" s="1"/>
  <c r="G69" i="43"/>
  <c r="F71" i="43"/>
  <c r="F60" i="63" s="1"/>
  <c r="G72" i="43"/>
  <c r="G70" i="43"/>
  <c r="H70" i="43" s="1"/>
  <c r="I70" i="43" s="1"/>
  <c r="J70" i="43" s="1"/>
  <c r="K70" i="43" s="1"/>
  <c r="L70" i="43" s="1"/>
  <c r="M70" i="43" s="1"/>
  <c r="N70" i="43" s="1"/>
  <c r="O70" i="43" s="1"/>
  <c r="P70" i="43" s="1"/>
  <c r="F73" i="43"/>
  <c r="E71" i="43"/>
  <c r="G63" i="43"/>
  <c r="H63" i="43" s="1"/>
  <c r="I63" i="43" s="1"/>
  <c r="J63" i="43" s="1"/>
  <c r="K63" i="43" s="1"/>
  <c r="L63" i="43" s="1"/>
  <c r="M63" i="43" s="1"/>
  <c r="N63" i="43" s="1"/>
  <c r="O63" i="43" s="1"/>
  <c r="P63" i="43" s="1"/>
  <c r="Q65" i="43"/>
  <c r="F66" i="43"/>
  <c r="F55" i="43"/>
  <c r="E57" i="43"/>
  <c r="F56" i="43"/>
  <c r="G56" i="43" s="1"/>
  <c r="H56" i="43" s="1"/>
  <c r="I56" i="43" s="1"/>
  <c r="J56" i="43" s="1"/>
  <c r="K56" i="43" s="1"/>
  <c r="L56" i="43" s="1"/>
  <c r="M56" i="43" s="1"/>
  <c r="N56" i="43" s="1"/>
  <c r="O56" i="43" s="1"/>
  <c r="P56" i="43" s="1"/>
  <c r="F58" i="43"/>
  <c r="D57" i="43"/>
  <c r="D60" i="43" s="1"/>
  <c r="F59" i="43"/>
  <c r="DN222" i="41"/>
  <c r="DE222" i="41"/>
  <c r="DF222" i="41"/>
  <c r="DC222" i="41"/>
  <c r="DQ222" i="41"/>
  <c r="DG222" i="41"/>
  <c r="DD222" i="41"/>
  <c r="DR222" i="41"/>
  <c r="DK222" i="41"/>
  <c r="AV208" i="41"/>
  <c r="AV186" i="41"/>
  <c r="D182" i="41"/>
  <c r="B182" i="41"/>
  <c r="O182" i="41"/>
  <c r="AV164" i="41"/>
  <c r="AA167" i="41"/>
  <c r="AH167" i="41"/>
  <c r="AB167" i="41"/>
  <c r="AI167" i="41"/>
  <c r="D160" i="41"/>
  <c r="B160" i="41"/>
  <c r="W161" i="41"/>
  <c r="Q205" i="63"/>
  <c r="Q233" i="63"/>
  <c r="R40" i="63"/>
  <c r="R116" i="63"/>
  <c r="R65" i="63"/>
  <c r="Q43" i="62"/>
  <c r="T43" i="62" s="1"/>
  <c r="R40" i="62"/>
  <c r="Q169" i="62"/>
  <c r="Q158" i="62"/>
  <c r="Q154" i="62"/>
  <c r="Q149" i="62"/>
  <c r="Q159" i="62"/>
  <c r="R33" i="62"/>
  <c r="Q160" i="62"/>
  <c r="Q156" i="62"/>
  <c r="Q67" i="62"/>
  <c r="Q155" i="62"/>
  <c r="R47" i="62"/>
  <c r="R114" i="61"/>
  <c r="Q156" i="61"/>
  <c r="R42" i="61"/>
  <c r="R82" i="61"/>
  <c r="Q88" i="61"/>
  <c r="R86" i="61"/>
  <c r="Q18" i="61"/>
  <c r="Q149" i="61"/>
  <c r="Q160" i="61"/>
  <c r="R65" i="61"/>
  <c r="Q159" i="61"/>
  <c r="Q163" i="61"/>
  <c r="Q178" i="61"/>
  <c r="Q177" i="61"/>
  <c r="R47" i="61"/>
  <c r="O68" i="27"/>
  <c r="K68" i="27"/>
  <c r="P68" i="27"/>
  <c r="M118" i="27"/>
  <c r="L118" i="27"/>
  <c r="J68" i="27"/>
  <c r="I118" i="27"/>
  <c r="I68" i="27"/>
  <c r="H68" i="27"/>
  <c r="F118" i="27"/>
  <c r="N118" i="27"/>
  <c r="F51" i="27"/>
  <c r="P118" i="27"/>
  <c r="O118" i="27"/>
  <c r="F68" i="27"/>
  <c r="N68" i="27"/>
  <c r="J118" i="27"/>
  <c r="G68" i="27"/>
  <c r="M68" i="27"/>
  <c r="G118" i="27"/>
  <c r="N37" i="27"/>
  <c r="F37" i="27"/>
  <c r="L68" i="27"/>
  <c r="P51" i="27"/>
  <c r="O51" i="27"/>
  <c r="G51" i="27"/>
  <c r="L37" i="27"/>
  <c r="P18" i="32"/>
  <c r="O18" i="32"/>
  <c r="N18" i="32"/>
  <c r="M18" i="32"/>
  <c r="L18" i="32"/>
  <c r="K18" i="32"/>
  <c r="J18" i="32"/>
  <c r="I18" i="32"/>
  <c r="H18" i="32"/>
  <c r="G18" i="32"/>
  <c r="F18" i="32"/>
  <c r="E18" i="32"/>
  <c r="Q18" i="9"/>
  <c r="T18" i="9" s="1"/>
  <c r="Q18" i="22"/>
  <c r="R18" i="22" s="1"/>
  <c r="Q131" i="27"/>
  <c r="H44" i="27" l="1"/>
  <c r="H20" i="61"/>
  <c r="G151" i="61"/>
  <c r="H19" i="61"/>
  <c r="G150" i="61"/>
  <c r="Q209" i="9"/>
  <c r="D44" i="44"/>
  <c r="J18" i="27"/>
  <c r="J149" i="32"/>
  <c r="K18" i="27"/>
  <c r="K149" i="32"/>
  <c r="H18" i="27"/>
  <c r="H149" i="32"/>
  <c r="M18" i="27"/>
  <c r="M149" i="32"/>
  <c r="L18" i="27"/>
  <c r="L149" i="32"/>
  <c r="O18" i="27"/>
  <c r="O149" i="32"/>
  <c r="P18" i="27"/>
  <c r="P149" i="32"/>
  <c r="N18" i="27"/>
  <c r="N149" i="32"/>
  <c r="F18" i="27"/>
  <c r="F149" i="32"/>
  <c r="I18" i="27"/>
  <c r="I149" i="32"/>
  <c r="E18" i="27"/>
  <c r="E149" i="32"/>
  <c r="G18" i="27"/>
  <c r="G149" i="32"/>
  <c r="Q188" i="9"/>
  <c r="Q128" i="44"/>
  <c r="G62" i="43"/>
  <c r="H90" i="43"/>
  <c r="G58" i="62"/>
  <c r="G164" i="62" s="1"/>
  <c r="G66" i="43"/>
  <c r="F62" i="62"/>
  <c r="E60" i="43"/>
  <c r="E60" i="61"/>
  <c r="E74" i="43"/>
  <c r="E60" i="63"/>
  <c r="G73" i="43"/>
  <c r="F62" i="63"/>
  <c r="H72" i="43"/>
  <c r="G61" i="63"/>
  <c r="G59" i="43"/>
  <c r="F62" i="61"/>
  <c r="G58" i="43"/>
  <c r="F61" i="61"/>
  <c r="G89" i="43"/>
  <c r="F58" i="61"/>
  <c r="F164" i="61" s="1"/>
  <c r="G92" i="43"/>
  <c r="F58" i="63"/>
  <c r="F217" i="63" s="1"/>
  <c r="Q213" i="63"/>
  <c r="Q36" i="63"/>
  <c r="T36" i="63" s="1"/>
  <c r="P191" i="8"/>
  <c r="Q180" i="8"/>
  <c r="Q188" i="8"/>
  <c r="Q190" i="8"/>
  <c r="Q183" i="8"/>
  <c r="Q178" i="8"/>
  <c r="F191" i="8"/>
  <c r="Q181" i="8"/>
  <c r="Q185" i="8"/>
  <c r="Q189" i="8"/>
  <c r="Q182" i="8"/>
  <c r="R88" i="63"/>
  <c r="T88" i="63"/>
  <c r="R45" i="63"/>
  <c r="T45" i="63"/>
  <c r="R38" i="63"/>
  <c r="T38" i="63"/>
  <c r="Q216" i="63"/>
  <c r="R117" i="63"/>
  <c r="T117" i="63"/>
  <c r="R14" i="63"/>
  <c r="T14" i="63"/>
  <c r="R67" i="63"/>
  <c r="T67" i="63"/>
  <c r="R29" i="63"/>
  <c r="T29" i="63"/>
  <c r="R18" i="62"/>
  <c r="T18" i="62"/>
  <c r="R88" i="62"/>
  <c r="T88" i="62"/>
  <c r="L51" i="27"/>
  <c r="R117" i="62"/>
  <c r="T117" i="62"/>
  <c r="R84" i="62"/>
  <c r="T84" i="62"/>
  <c r="R14" i="62"/>
  <c r="T14" i="62"/>
  <c r="N8" i="46"/>
  <c r="R36" i="62"/>
  <c r="R67" i="62"/>
  <c r="T67" i="62"/>
  <c r="R67" i="61"/>
  <c r="T67" i="61"/>
  <c r="R18" i="61"/>
  <c r="T18" i="61"/>
  <c r="R88" i="61"/>
  <c r="T88" i="61"/>
  <c r="R84" i="61"/>
  <c r="T84" i="61"/>
  <c r="M14" i="46"/>
  <c r="T50" i="61"/>
  <c r="R14" i="61"/>
  <c r="T14" i="61"/>
  <c r="R36" i="61"/>
  <c r="T36" i="61"/>
  <c r="R117" i="61"/>
  <c r="T117" i="61"/>
  <c r="G44" i="27"/>
  <c r="K51" i="27"/>
  <c r="R18" i="9"/>
  <c r="R43" i="62"/>
  <c r="N12" i="46"/>
  <c r="R50" i="62"/>
  <c r="N14" i="46"/>
  <c r="K6" i="61"/>
  <c r="L6" i="61"/>
  <c r="J6" i="61"/>
  <c r="M6" i="61"/>
  <c r="I6" i="61"/>
  <c r="N6" i="61"/>
  <c r="H6" i="61"/>
  <c r="G6" i="61"/>
  <c r="R43" i="61"/>
  <c r="M12" i="46"/>
  <c r="F6" i="61"/>
  <c r="P6" i="61"/>
  <c r="AJ163" i="41"/>
  <c r="E6" i="61" s="1"/>
  <c r="Q36" i="27"/>
  <c r="Q37" i="27" s="1"/>
  <c r="M44" i="27"/>
  <c r="J51" i="27"/>
  <c r="H51" i="27"/>
  <c r="I51" i="27"/>
  <c r="O13" i="46"/>
  <c r="Q43" i="63"/>
  <c r="Q225" i="63"/>
  <c r="Q50" i="63"/>
  <c r="G6" i="63"/>
  <c r="H6" i="63"/>
  <c r="K6" i="63"/>
  <c r="J6" i="63"/>
  <c r="L6" i="63"/>
  <c r="M6" i="63"/>
  <c r="N6" i="63"/>
  <c r="R56" i="63"/>
  <c r="O11" i="46"/>
  <c r="P6" i="63"/>
  <c r="F6" i="63"/>
  <c r="R86" i="63"/>
  <c r="O6" i="63"/>
  <c r="I6" i="63"/>
  <c r="R52" i="63"/>
  <c r="O10" i="46"/>
  <c r="R33" i="63"/>
  <c r="M8" i="46"/>
  <c r="Q86" i="44"/>
  <c r="Q72" i="44"/>
  <c r="Q84" i="63"/>
  <c r="Q211" i="63"/>
  <c r="Q209" i="63"/>
  <c r="M51" i="27"/>
  <c r="N51" i="27"/>
  <c r="I37" i="27"/>
  <c r="O37" i="27"/>
  <c r="E64" i="43"/>
  <c r="Q70" i="43"/>
  <c r="F74" i="43"/>
  <c r="H69" i="43"/>
  <c r="G71" i="43"/>
  <c r="Q63" i="43"/>
  <c r="F67" i="43"/>
  <c r="H62" i="43"/>
  <c r="G64" i="43"/>
  <c r="Q56" i="43"/>
  <c r="G55" i="43"/>
  <c r="F57" i="43"/>
  <c r="Q18" i="32"/>
  <c r="T18" i="32" s="1"/>
  <c r="Q18" i="31"/>
  <c r="Q18" i="10"/>
  <c r="Q18" i="8"/>
  <c r="Q122" i="27"/>
  <c r="B48" i="43"/>
  <c r="C88" i="43" s="1"/>
  <c r="B41" i="43"/>
  <c r="C87" i="43" s="1"/>
  <c r="B34" i="43"/>
  <c r="C86" i="43" s="1"/>
  <c r="B27" i="43"/>
  <c r="C84" i="43" s="1"/>
  <c r="C101" i="43" s="1"/>
  <c r="C116" i="43" s="1"/>
  <c r="B20" i="43"/>
  <c r="B13" i="43"/>
  <c r="B6" i="43"/>
  <c r="C81" i="43" s="1"/>
  <c r="L4" i="46"/>
  <c r="J3" i="46"/>
  <c r="I4" i="46"/>
  <c r="H4" i="46"/>
  <c r="G4" i="46"/>
  <c r="F4" i="46"/>
  <c r="E4" i="46"/>
  <c r="A137" i="41"/>
  <c r="A116" i="41"/>
  <c r="A115" i="41"/>
  <c r="A94" i="41"/>
  <c r="A93" i="41"/>
  <c r="A72" i="41"/>
  <c r="A71" i="41"/>
  <c r="A50" i="41"/>
  <c r="A49" i="41"/>
  <c r="A28" i="41"/>
  <c r="A27" i="41"/>
  <c r="A6" i="41"/>
  <c r="X9" i="41" s="1" a="1"/>
  <c r="X9" i="41" s="1"/>
  <c r="A5" i="41"/>
  <c r="I19" i="61" l="1"/>
  <c r="H150" i="61"/>
  <c r="I20" i="61"/>
  <c r="H151" i="61"/>
  <c r="C104" i="43"/>
  <c r="C119" i="43" s="1"/>
  <c r="C103" i="43"/>
  <c r="C102" i="43"/>
  <c r="C117" i="43" s="1"/>
  <c r="I90" i="43"/>
  <c r="H58" i="62"/>
  <c r="H164" i="62" s="1"/>
  <c r="H59" i="43"/>
  <c r="G62" i="61"/>
  <c r="I72" i="43"/>
  <c r="H61" i="63"/>
  <c r="G74" i="43"/>
  <c r="G60" i="63"/>
  <c r="F60" i="43"/>
  <c r="F60" i="61"/>
  <c r="F63" i="61" s="1"/>
  <c r="F165" i="61" s="1"/>
  <c r="H73" i="43"/>
  <c r="G62" i="63"/>
  <c r="C82" i="43"/>
  <c r="H92" i="43"/>
  <c r="G58" i="63"/>
  <c r="G217" i="63" s="1"/>
  <c r="H58" i="43"/>
  <c r="G61" i="61"/>
  <c r="E67" i="43"/>
  <c r="E60" i="62"/>
  <c r="C98" i="43"/>
  <c r="C83" i="43"/>
  <c r="G67" i="43"/>
  <c r="G60" i="62"/>
  <c r="H89" i="43"/>
  <c r="G58" i="61"/>
  <c r="G164" i="61" s="1"/>
  <c r="H66" i="43"/>
  <c r="G62" i="62"/>
  <c r="O8" i="46"/>
  <c r="R36" i="63"/>
  <c r="Q191" i="8"/>
  <c r="R18" i="8"/>
  <c r="T18" i="8"/>
  <c r="R43" i="63"/>
  <c r="T43" i="63"/>
  <c r="O14" i="46"/>
  <c r="T50" i="63"/>
  <c r="R84" i="63"/>
  <c r="T84" i="63"/>
  <c r="R18" i="32"/>
  <c r="R18" i="31"/>
  <c r="T18" i="31"/>
  <c r="R18" i="10"/>
  <c r="T18" i="10"/>
  <c r="R50" i="63"/>
  <c r="O12" i="46"/>
  <c r="C85" i="43"/>
  <c r="H71" i="43"/>
  <c r="I69" i="43"/>
  <c r="H64" i="43"/>
  <c r="I62" i="43"/>
  <c r="H55" i="43"/>
  <c r="G57" i="43"/>
  <c r="B111" i="41"/>
  <c r="B110" i="41"/>
  <c r="B109" i="41"/>
  <c r="B108" i="41"/>
  <c r="B107" i="41"/>
  <c r="B106" i="41"/>
  <c r="B105" i="41"/>
  <c r="B104" i="41"/>
  <c r="B103" i="41"/>
  <c r="B102" i="41"/>
  <c r="B101" i="41"/>
  <c r="B100" i="41"/>
  <c r="B99" i="41"/>
  <c r="B98" i="41"/>
  <c r="B97" i="41"/>
  <c r="B88" i="41"/>
  <c r="B87" i="41"/>
  <c r="B86" i="41"/>
  <c r="B84" i="41"/>
  <c r="B83" i="41"/>
  <c r="B82" i="41"/>
  <c r="B81" i="41"/>
  <c r="B80" i="41"/>
  <c r="B79" i="41"/>
  <c r="B78" i="41"/>
  <c r="B77" i="41"/>
  <c r="B76" i="41"/>
  <c r="B67" i="41"/>
  <c r="B66" i="41"/>
  <c r="B65" i="41"/>
  <c r="B64" i="41"/>
  <c r="B63" i="41"/>
  <c r="B62" i="41"/>
  <c r="B61" i="41"/>
  <c r="B60" i="41"/>
  <c r="B59" i="41"/>
  <c r="B58" i="41"/>
  <c r="B57" i="41"/>
  <c r="B56" i="41"/>
  <c r="B55" i="41"/>
  <c r="B54" i="41"/>
  <c r="B45" i="41"/>
  <c r="B44" i="41"/>
  <c r="B43" i="41"/>
  <c r="B42" i="41"/>
  <c r="B41" i="41"/>
  <c r="B40" i="41"/>
  <c r="B39" i="41"/>
  <c r="B38" i="41"/>
  <c r="B37" i="41"/>
  <c r="B36" i="41"/>
  <c r="B35" i="41"/>
  <c r="B34" i="41"/>
  <c r="B33" i="41"/>
  <c r="B32" i="41"/>
  <c r="B31" i="41"/>
  <c r="B23" i="41"/>
  <c r="B22" i="41"/>
  <c r="B21" i="41"/>
  <c r="B20" i="41"/>
  <c r="B19" i="41"/>
  <c r="B18" i="41"/>
  <c r="B17" i="41"/>
  <c r="B16" i="41"/>
  <c r="B15" i="41"/>
  <c r="B14" i="41"/>
  <c r="B13" i="41"/>
  <c r="B12" i="41"/>
  <c r="B11" i="41"/>
  <c r="B10" i="41"/>
  <c r="D163" i="6" s="1"/>
  <c r="D143" i="6" s="1"/>
  <c r="B9" i="41"/>
  <c r="D162" i="6" s="1"/>
  <c r="D142" i="6" s="1"/>
  <c r="J20" i="61" l="1"/>
  <c r="I151" i="61"/>
  <c r="J19" i="61"/>
  <c r="I150" i="61"/>
  <c r="L128" i="6"/>
  <c r="L206" i="6" s="1"/>
  <c r="K128" i="6"/>
  <c r="K206" i="6" s="1"/>
  <c r="I128" i="6"/>
  <c r="I206" i="6" s="1"/>
  <c r="F128" i="6"/>
  <c r="F206" i="6" s="1"/>
  <c r="J128" i="6"/>
  <c r="J206" i="6" s="1"/>
  <c r="C113" i="43"/>
  <c r="E128" i="6"/>
  <c r="E206" i="6" s="1"/>
  <c r="H128" i="6"/>
  <c r="H206" i="6" s="1"/>
  <c r="G128" i="6"/>
  <c r="G206" i="6" s="1"/>
  <c r="P128" i="6"/>
  <c r="P206" i="6" s="1"/>
  <c r="O128" i="6"/>
  <c r="O206" i="6" s="1"/>
  <c r="N128" i="6"/>
  <c r="N206" i="6" s="1"/>
  <c r="M128" i="6"/>
  <c r="M206" i="6" s="1"/>
  <c r="C118" i="43"/>
  <c r="J90" i="43"/>
  <c r="I58" i="62"/>
  <c r="I164" i="62" s="1"/>
  <c r="C100" i="43"/>
  <c r="C115" i="43" s="1"/>
  <c r="C99" i="43"/>
  <c r="C114" i="43" s="1"/>
  <c r="J72" i="43"/>
  <c r="I61" i="63"/>
  <c r="H67" i="43"/>
  <c r="H60" i="62"/>
  <c r="H74" i="43"/>
  <c r="H60" i="63"/>
  <c r="I58" i="43"/>
  <c r="H61" i="61"/>
  <c r="I89" i="43"/>
  <c r="H58" i="61"/>
  <c r="H164" i="61" s="1"/>
  <c r="I73" i="43"/>
  <c r="H62" i="63"/>
  <c r="I66" i="43"/>
  <c r="H62" i="62"/>
  <c r="I59" i="43"/>
  <c r="H62" i="61"/>
  <c r="G60" i="43"/>
  <c r="G60" i="61"/>
  <c r="G63" i="61" s="1"/>
  <c r="G165" i="61" s="1"/>
  <c r="I92" i="43"/>
  <c r="H58" i="63"/>
  <c r="H217" i="63" s="1"/>
  <c r="J69" i="43"/>
  <c r="I71" i="43"/>
  <c r="J62" i="43"/>
  <c r="I64" i="43"/>
  <c r="I55" i="43"/>
  <c r="H57" i="43"/>
  <c r="K19" i="61" l="1"/>
  <c r="J150" i="61"/>
  <c r="K20" i="61"/>
  <c r="J151" i="61"/>
  <c r="I128" i="10"/>
  <c r="I180" i="10" s="1"/>
  <c r="M128" i="63"/>
  <c r="M237" i="63" s="1"/>
  <c r="F128" i="63"/>
  <c r="F237" i="63" s="1"/>
  <c r="K128" i="61"/>
  <c r="K181" i="61" s="1"/>
  <c r="E128" i="32"/>
  <c r="E181" i="32" s="1"/>
  <c r="G131" i="31"/>
  <c r="G290" i="31" s="1"/>
  <c r="K128" i="32"/>
  <c r="K181" i="32" s="1"/>
  <c r="P128" i="32"/>
  <c r="P181" i="32" s="1"/>
  <c r="L128" i="9"/>
  <c r="L225" i="9" s="1"/>
  <c r="E128" i="22"/>
  <c r="E180" i="22" s="1"/>
  <c r="I128" i="9"/>
  <c r="I225" i="9" s="1"/>
  <c r="J131" i="31"/>
  <c r="J290" i="31" s="1"/>
  <c r="K128" i="22"/>
  <c r="K180" i="22" s="1"/>
  <c r="N128" i="8"/>
  <c r="N229" i="8" s="1"/>
  <c r="J128" i="8"/>
  <c r="J229" i="8" s="1"/>
  <c r="H128" i="9"/>
  <c r="H225" i="9" s="1"/>
  <c r="K128" i="8"/>
  <c r="K229" i="8" s="1"/>
  <c r="M128" i="61"/>
  <c r="M181" i="61" s="1"/>
  <c r="H128" i="10"/>
  <c r="H180" i="10" s="1"/>
  <c r="O128" i="61"/>
  <c r="O181" i="61" s="1"/>
  <c r="N128" i="62"/>
  <c r="N181" i="62" s="1"/>
  <c r="K128" i="62"/>
  <c r="K181" i="62" s="1"/>
  <c r="P128" i="62"/>
  <c r="P181" i="62" s="1"/>
  <c r="F128" i="61"/>
  <c r="F181" i="61" s="1"/>
  <c r="J128" i="62"/>
  <c r="J181" i="62" s="1"/>
  <c r="M128" i="8"/>
  <c r="M229" i="8" s="1"/>
  <c r="E128" i="8"/>
  <c r="E229" i="8" s="1"/>
  <c r="J128" i="61"/>
  <c r="J181" i="61" s="1"/>
  <c r="H131" i="31"/>
  <c r="H290" i="31" s="1"/>
  <c r="E128" i="9"/>
  <c r="E225" i="9" s="1"/>
  <c r="F128" i="62"/>
  <c r="F181" i="62" s="1"/>
  <c r="F128" i="9"/>
  <c r="F225" i="9" s="1"/>
  <c r="E128" i="62"/>
  <c r="E181" i="62" s="1"/>
  <c r="J128" i="10"/>
  <c r="J180" i="10" s="1"/>
  <c r="N128" i="32"/>
  <c r="N181" i="32" s="1"/>
  <c r="L131" i="31"/>
  <c r="L290" i="31" s="1"/>
  <c r="P131" i="31"/>
  <c r="P290" i="31" s="1"/>
  <c r="L128" i="10"/>
  <c r="L180" i="10" s="1"/>
  <c r="P128" i="61"/>
  <c r="P181" i="61" s="1"/>
  <c r="J128" i="22"/>
  <c r="J180" i="22" s="1"/>
  <c r="L128" i="8"/>
  <c r="L229" i="8" s="1"/>
  <c r="M131" i="31"/>
  <c r="M290" i="31" s="1"/>
  <c r="P128" i="10"/>
  <c r="P180" i="10" s="1"/>
  <c r="M128" i="10"/>
  <c r="M180" i="10" s="1"/>
  <c r="J128" i="63"/>
  <c r="J237" i="63" s="1"/>
  <c r="I128" i="63"/>
  <c r="I237" i="63" s="1"/>
  <c r="O131" i="31"/>
  <c r="O290" i="31" s="1"/>
  <c r="I128" i="22"/>
  <c r="I180" i="22" s="1"/>
  <c r="L128" i="63"/>
  <c r="L237" i="63" s="1"/>
  <c r="I128" i="61"/>
  <c r="I181" i="61" s="1"/>
  <c r="I131" i="31"/>
  <c r="I290" i="31" s="1"/>
  <c r="M128" i="32"/>
  <c r="M181" i="32" s="1"/>
  <c r="G128" i="8"/>
  <c r="G229" i="8" s="1"/>
  <c r="O128" i="9"/>
  <c r="O225" i="9" s="1"/>
  <c r="E128" i="10"/>
  <c r="E180" i="10" s="1"/>
  <c r="G128" i="10"/>
  <c r="G180" i="10" s="1"/>
  <c r="F131" i="31"/>
  <c r="F290" i="31" s="1"/>
  <c r="N128" i="63"/>
  <c r="N237" i="63" s="1"/>
  <c r="H128" i="32"/>
  <c r="H181" i="32" s="1"/>
  <c r="K128" i="10"/>
  <c r="K180" i="10" s="1"/>
  <c r="H128" i="61"/>
  <c r="H181" i="61" s="1"/>
  <c r="H128" i="63"/>
  <c r="H237" i="63" s="1"/>
  <c r="G128" i="62"/>
  <c r="G181" i="62" s="1"/>
  <c r="K131" i="31"/>
  <c r="K290" i="31" s="1"/>
  <c r="G128" i="22"/>
  <c r="G180" i="22" s="1"/>
  <c r="I128" i="8"/>
  <c r="I229" i="8" s="1"/>
  <c r="H128" i="8"/>
  <c r="H229" i="8" s="1"/>
  <c r="L128" i="22"/>
  <c r="L180" i="22" s="1"/>
  <c r="P128" i="8"/>
  <c r="P229" i="8" s="1"/>
  <c r="G128" i="61"/>
  <c r="G181" i="61" s="1"/>
  <c r="M128" i="62"/>
  <c r="M181" i="62" s="1"/>
  <c r="P128" i="63"/>
  <c r="P237" i="63" s="1"/>
  <c r="F128" i="8"/>
  <c r="F229" i="8" s="1"/>
  <c r="L128" i="32"/>
  <c r="L181" i="32" s="1"/>
  <c r="L128" i="62"/>
  <c r="L181" i="62" s="1"/>
  <c r="K128" i="63"/>
  <c r="K237" i="63" s="1"/>
  <c r="O128" i="32"/>
  <c r="O181" i="32" s="1"/>
  <c r="K128" i="9"/>
  <c r="K225" i="9" s="1"/>
  <c r="N128" i="22"/>
  <c r="N180" i="22" s="1"/>
  <c r="P128" i="9"/>
  <c r="P225" i="9" s="1"/>
  <c r="F128" i="10"/>
  <c r="F180" i="10" s="1"/>
  <c r="F128" i="22"/>
  <c r="F180" i="22" s="1"/>
  <c r="I128" i="32"/>
  <c r="I181" i="32" s="1"/>
  <c r="G128" i="63"/>
  <c r="G237" i="63" s="1"/>
  <c r="P128" i="22"/>
  <c r="P180" i="22" s="1"/>
  <c r="O128" i="63"/>
  <c r="O237" i="63" s="1"/>
  <c r="N128" i="9"/>
  <c r="N225" i="9" s="1"/>
  <c r="G128" i="32"/>
  <c r="G181" i="32" s="1"/>
  <c r="H128" i="62"/>
  <c r="H181" i="62" s="1"/>
  <c r="E128" i="63"/>
  <c r="E237" i="63" s="1"/>
  <c r="M128" i="9"/>
  <c r="M225" i="9" s="1"/>
  <c r="J128" i="32"/>
  <c r="J181" i="32" s="1"/>
  <c r="G128" i="9"/>
  <c r="G225" i="9" s="1"/>
  <c r="N128" i="61"/>
  <c r="N181" i="61" s="1"/>
  <c r="O128" i="10"/>
  <c r="O180" i="10" s="1"/>
  <c r="L128" i="61"/>
  <c r="L181" i="61" s="1"/>
  <c r="E131" i="31"/>
  <c r="E290" i="31" s="1"/>
  <c r="O128" i="62"/>
  <c r="O181" i="62" s="1"/>
  <c r="N131" i="31"/>
  <c r="N290" i="31" s="1"/>
  <c r="E128" i="61"/>
  <c r="E181" i="61" s="1"/>
  <c r="O128" i="22"/>
  <c r="O180" i="22" s="1"/>
  <c r="J128" i="9"/>
  <c r="J225" i="9" s="1"/>
  <c r="F128" i="32"/>
  <c r="F181" i="32" s="1"/>
  <c r="I128" i="62"/>
  <c r="I181" i="62" s="1"/>
  <c r="H128" i="22"/>
  <c r="H180" i="22" s="1"/>
  <c r="M128" i="22"/>
  <c r="M180" i="22" s="1"/>
  <c r="O128" i="8"/>
  <c r="O229" i="8" s="1"/>
  <c r="N128" i="10"/>
  <c r="N180" i="10" s="1"/>
  <c r="P129" i="10"/>
  <c r="P181" i="10" s="1"/>
  <c r="L129" i="9"/>
  <c r="L226" i="9" s="1"/>
  <c r="H129" i="22"/>
  <c r="H181" i="22" s="1"/>
  <c r="N129" i="6"/>
  <c r="N207" i="6" s="1"/>
  <c r="O129" i="22"/>
  <c r="O181" i="22" s="1"/>
  <c r="O129" i="10"/>
  <c r="O181" i="10" s="1"/>
  <c r="K129" i="9"/>
  <c r="K226" i="9" s="1"/>
  <c r="G129" i="22"/>
  <c r="G181" i="22" s="1"/>
  <c r="M129" i="6"/>
  <c r="M207" i="6" s="1"/>
  <c r="F129" i="9"/>
  <c r="F226" i="9" s="1"/>
  <c r="E129" i="9"/>
  <c r="E226" i="9" s="1"/>
  <c r="G129" i="6"/>
  <c r="G207" i="6" s="1"/>
  <c r="P129" i="9"/>
  <c r="P226" i="9" s="1"/>
  <c r="H129" i="8"/>
  <c r="H230" i="8" s="1"/>
  <c r="E129" i="10"/>
  <c r="E181" i="10" s="1"/>
  <c r="K129" i="22"/>
  <c r="K181" i="22" s="1"/>
  <c r="N129" i="10"/>
  <c r="N181" i="10" s="1"/>
  <c r="J129" i="9"/>
  <c r="J226" i="9" s="1"/>
  <c r="F129" i="22"/>
  <c r="F181" i="22" s="1"/>
  <c r="P129" i="8"/>
  <c r="P230" i="8" s="1"/>
  <c r="L129" i="6"/>
  <c r="L207" i="6" s="1"/>
  <c r="O129" i="8"/>
  <c r="O230" i="8" s="1"/>
  <c r="K129" i="6"/>
  <c r="K207" i="6" s="1"/>
  <c r="I129" i="6"/>
  <c r="I207" i="6" s="1"/>
  <c r="H129" i="6"/>
  <c r="H207" i="6" s="1"/>
  <c r="M129" i="10"/>
  <c r="M181" i="10" s="1"/>
  <c r="I129" i="9"/>
  <c r="I226" i="9" s="1"/>
  <c r="E129" i="22"/>
  <c r="E181" i="22" s="1"/>
  <c r="K129" i="10"/>
  <c r="K181" i="10" s="1"/>
  <c r="M129" i="8"/>
  <c r="M230" i="8" s="1"/>
  <c r="J129" i="10"/>
  <c r="J181" i="10" s="1"/>
  <c r="P129" i="22"/>
  <c r="P181" i="22" s="1"/>
  <c r="L129" i="8"/>
  <c r="L230" i="8" s="1"/>
  <c r="K129" i="8"/>
  <c r="K230" i="8" s="1"/>
  <c r="H129" i="10"/>
  <c r="H181" i="10" s="1"/>
  <c r="J129" i="8"/>
  <c r="J230" i="8" s="1"/>
  <c r="F129" i="6"/>
  <c r="F207" i="6" s="1"/>
  <c r="L129" i="10"/>
  <c r="L181" i="10" s="1"/>
  <c r="H129" i="9"/>
  <c r="H226" i="9" s="1"/>
  <c r="N129" i="8"/>
  <c r="N230" i="8" s="1"/>
  <c r="J129" i="6"/>
  <c r="J207" i="6" s="1"/>
  <c r="G129" i="9"/>
  <c r="G226" i="9" s="1"/>
  <c r="I129" i="10"/>
  <c r="I181" i="10" s="1"/>
  <c r="N129" i="22"/>
  <c r="N181" i="22" s="1"/>
  <c r="G129" i="10"/>
  <c r="G181" i="10" s="1"/>
  <c r="M129" i="22"/>
  <c r="M181" i="22" s="1"/>
  <c r="I129" i="8"/>
  <c r="I230" i="8" s="1"/>
  <c r="E129" i="6"/>
  <c r="E207" i="6" s="1"/>
  <c r="F129" i="10"/>
  <c r="F181" i="10" s="1"/>
  <c r="L129" i="22"/>
  <c r="L181" i="22" s="1"/>
  <c r="O129" i="9"/>
  <c r="O226" i="9" s="1"/>
  <c r="G129" i="8"/>
  <c r="G230" i="8" s="1"/>
  <c r="N129" i="9"/>
  <c r="N226" i="9" s="1"/>
  <c r="J129" i="22"/>
  <c r="J181" i="22" s="1"/>
  <c r="F129" i="8"/>
  <c r="F230" i="8" s="1"/>
  <c r="P129" i="6"/>
  <c r="P207" i="6" s="1"/>
  <c r="I129" i="22"/>
  <c r="I181" i="22" s="1"/>
  <c r="M129" i="9"/>
  <c r="M226" i="9" s="1"/>
  <c r="E129" i="8"/>
  <c r="E230" i="8" s="1"/>
  <c r="O129" i="6"/>
  <c r="O207" i="6" s="1"/>
  <c r="P129" i="63"/>
  <c r="P238" i="63" s="1"/>
  <c r="L129" i="62"/>
  <c r="L182" i="62" s="1"/>
  <c r="H129" i="61"/>
  <c r="H182" i="61" s="1"/>
  <c r="N132" i="31"/>
  <c r="N291" i="31" s="1"/>
  <c r="G129" i="63"/>
  <c r="G238" i="63" s="1"/>
  <c r="E132" i="31"/>
  <c r="E291" i="31" s="1"/>
  <c r="F129" i="32"/>
  <c r="F182" i="32" s="1"/>
  <c r="M129" i="62"/>
  <c r="M182" i="62" s="1"/>
  <c r="O129" i="63"/>
  <c r="O238" i="63" s="1"/>
  <c r="K129" i="62"/>
  <c r="K182" i="62" s="1"/>
  <c r="G129" i="61"/>
  <c r="G182" i="61" s="1"/>
  <c r="M132" i="31"/>
  <c r="M291" i="31" s="1"/>
  <c r="H129" i="62"/>
  <c r="H182" i="62" s="1"/>
  <c r="H129" i="32"/>
  <c r="H182" i="32" s="1"/>
  <c r="N129" i="63"/>
  <c r="N238" i="63" s="1"/>
  <c r="J129" i="62"/>
  <c r="J182" i="62" s="1"/>
  <c r="F129" i="61"/>
  <c r="F182" i="61" s="1"/>
  <c r="P129" i="32"/>
  <c r="P182" i="32" s="1"/>
  <c r="L132" i="31"/>
  <c r="L291" i="31" s="1"/>
  <c r="J132" i="31"/>
  <c r="J291" i="31" s="1"/>
  <c r="I129" i="32"/>
  <c r="I182" i="32" s="1"/>
  <c r="M129" i="63"/>
  <c r="M238" i="63" s="1"/>
  <c r="I129" i="62"/>
  <c r="I182" i="62" s="1"/>
  <c r="E129" i="61"/>
  <c r="E182" i="61" s="1"/>
  <c r="O129" i="32"/>
  <c r="O182" i="32" s="1"/>
  <c r="K132" i="31"/>
  <c r="K291" i="31" s="1"/>
  <c r="M129" i="61"/>
  <c r="M182" i="61" s="1"/>
  <c r="L129" i="61"/>
  <c r="L182" i="61" s="1"/>
  <c r="L129" i="63"/>
  <c r="L238" i="63" s="1"/>
  <c r="N129" i="32"/>
  <c r="N182" i="32" s="1"/>
  <c r="K129" i="63"/>
  <c r="K238" i="63" s="1"/>
  <c r="G129" i="62"/>
  <c r="G182" i="62" s="1"/>
  <c r="M129" i="32"/>
  <c r="M182" i="32" s="1"/>
  <c r="I132" i="31"/>
  <c r="I291" i="31" s="1"/>
  <c r="P129" i="62"/>
  <c r="P182" i="62" s="1"/>
  <c r="E129" i="32"/>
  <c r="E182" i="32" s="1"/>
  <c r="J129" i="63"/>
  <c r="J238" i="63" s="1"/>
  <c r="F129" i="62"/>
  <c r="F182" i="62" s="1"/>
  <c r="P129" i="61"/>
  <c r="P182" i="61" s="1"/>
  <c r="L129" i="32"/>
  <c r="L182" i="32" s="1"/>
  <c r="H132" i="31"/>
  <c r="H291" i="31" s="1"/>
  <c r="F132" i="31"/>
  <c r="F291" i="31" s="1"/>
  <c r="N129" i="62"/>
  <c r="N182" i="62" s="1"/>
  <c r="P132" i="31"/>
  <c r="P291" i="31" s="1"/>
  <c r="I129" i="63"/>
  <c r="I238" i="63" s="1"/>
  <c r="E129" i="62"/>
  <c r="E182" i="62" s="1"/>
  <c r="O129" i="61"/>
  <c r="O182" i="61" s="1"/>
  <c r="K129" i="32"/>
  <c r="K182" i="32" s="1"/>
  <c r="G132" i="31"/>
  <c r="G291" i="31" s="1"/>
  <c r="N129" i="61"/>
  <c r="N182" i="61" s="1"/>
  <c r="J129" i="32"/>
  <c r="J182" i="32" s="1"/>
  <c r="F129" i="63"/>
  <c r="F238" i="63" s="1"/>
  <c r="I129" i="61"/>
  <c r="I182" i="61" s="1"/>
  <c r="O132" i="31"/>
  <c r="O291" i="31" s="1"/>
  <c r="H129" i="63"/>
  <c r="H238" i="63" s="1"/>
  <c r="J129" i="61"/>
  <c r="J182" i="61" s="1"/>
  <c r="E129" i="63"/>
  <c r="E238" i="63" s="1"/>
  <c r="O129" i="62"/>
  <c r="O182" i="62" s="1"/>
  <c r="K129" i="61"/>
  <c r="K182" i="61" s="1"/>
  <c r="G129" i="32"/>
  <c r="G182" i="32" s="1"/>
  <c r="K90" i="43"/>
  <c r="J58" i="62"/>
  <c r="J164" i="62" s="1"/>
  <c r="J66" i="43"/>
  <c r="I62" i="62"/>
  <c r="I67" i="43"/>
  <c r="I60" i="62"/>
  <c r="J73" i="43"/>
  <c r="I62" i="63"/>
  <c r="J59" i="43"/>
  <c r="I62" i="61"/>
  <c r="I74" i="43"/>
  <c r="I60" i="63"/>
  <c r="J92" i="43"/>
  <c r="I58" i="63"/>
  <c r="I217" i="63" s="1"/>
  <c r="J89" i="43"/>
  <c r="I58" i="61"/>
  <c r="I164" i="61" s="1"/>
  <c r="J58" i="43"/>
  <c r="I61" i="61"/>
  <c r="H60" i="43"/>
  <c r="H60" i="61"/>
  <c r="H63" i="61" s="1"/>
  <c r="H165" i="61" s="1"/>
  <c r="K72" i="43"/>
  <c r="J61" i="63"/>
  <c r="K69" i="43"/>
  <c r="J71" i="43"/>
  <c r="K62" i="43"/>
  <c r="J64" i="43"/>
  <c r="I57" i="43"/>
  <c r="J55" i="43"/>
  <c r="R23" i="10"/>
  <c r="R116" i="9"/>
  <c r="R114" i="9"/>
  <c r="R113" i="9"/>
  <c r="R23" i="9"/>
  <c r="R116" i="8"/>
  <c r="R23" i="8"/>
  <c r="R115" i="8"/>
  <c r="R23" i="6"/>
  <c r="R73" i="6"/>
  <c r="X119" i="41" a="1"/>
  <c r="X119" i="41" s="1"/>
  <c r="X97" i="41" a="1"/>
  <c r="X97" i="41" s="1"/>
  <c r="X75" i="41" a="1"/>
  <c r="X75" i="41" s="1"/>
  <c r="X53" i="41" a="1"/>
  <c r="X53" i="41" s="1"/>
  <c r="AJ9" i="41" a="1"/>
  <c r="AJ9" i="41" s="1"/>
  <c r="E6" i="6" s="1"/>
  <c r="E7" i="6" s="1"/>
  <c r="AJ11" i="41" a="1"/>
  <c r="AJ11" i="41" s="1"/>
  <c r="L20" i="61" l="1"/>
  <c r="K151" i="61"/>
  <c r="L19" i="61"/>
  <c r="K150" i="61"/>
  <c r="Q226" i="9"/>
  <c r="Q225" i="9"/>
  <c r="Q128" i="9"/>
  <c r="T128" i="9" s="1"/>
  <c r="Q182" i="62"/>
  <c r="Q129" i="62"/>
  <c r="Q182" i="61"/>
  <c r="Q129" i="61"/>
  <c r="Q238" i="63"/>
  <c r="Q129" i="63"/>
  <c r="L90" i="43"/>
  <c r="K58" i="62"/>
  <c r="K164" i="62" s="1"/>
  <c r="J67" i="43"/>
  <c r="J60" i="62"/>
  <c r="J74" i="43"/>
  <c r="J60" i="63"/>
  <c r="K59" i="43"/>
  <c r="J62" i="61"/>
  <c r="K58" i="43"/>
  <c r="J61" i="61"/>
  <c r="I60" i="43"/>
  <c r="I60" i="61"/>
  <c r="I63" i="61" s="1"/>
  <c r="I165" i="61" s="1"/>
  <c r="K92" i="43"/>
  <c r="J58" i="63"/>
  <c r="J217" i="63" s="1"/>
  <c r="L72" i="43"/>
  <c r="K61" i="63"/>
  <c r="K73" i="43"/>
  <c r="J62" i="63"/>
  <c r="K89" i="43"/>
  <c r="J58" i="61"/>
  <c r="J164" i="61" s="1"/>
  <c r="K66" i="43"/>
  <c r="J62" i="62"/>
  <c r="AJ97" i="41" a="1"/>
  <c r="AJ97" i="41" s="1"/>
  <c r="E6" i="10" s="1"/>
  <c r="E7" i="10" s="1"/>
  <c r="I122" i="63"/>
  <c r="AJ75" i="41" a="1"/>
  <c r="AJ75" i="41" s="1"/>
  <c r="E6" i="9" s="1"/>
  <c r="E7" i="9" s="1"/>
  <c r="K122" i="63"/>
  <c r="L122" i="63"/>
  <c r="N122" i="63"/>
  <c r="O122" i="63"/>
  <c r="AJ119" i="41" a="1"/>
  <c r="AJ119" i="41" s="1"/>
  <c r="E6" i="31" s="1"/>
  <c r="G122" i="63"/>
  <c r="J122" i="63"/>
  <c r="AJ53" i="41" a="1"/>
  <c r="M122" i="63"/>
  <c r="N122" i="62"/>
  <c r="N122" i="61"/>
  <c r="M119" i="61"/>
  <c r="M179" i="61" s="1"/>
  <c r="M122" i="62"/>
  <c r="O119" i="62"/>
  <c r="O179" i="62" s="1"/>
  <c r="O122" i="61"/>
  <c r="H119" i="62"/>
  <c r="H179" i="62" s="1"/>
  <c r="H119" i="61"/>
  <c r="H179" i="61" s="1"/>
  <c r="H122" i="63"/>
  <c r="P122" i="62"/>
  <c r="P122" i="63"/>
  <c r="P122" i="61"/>
  <c r="F119" i="62"/>
  <c r="F179" i="62" s="1"/>
  <c r="F122" i="63"/>
  <c r="F122" i="61"/>
  <c r="I122" i="62"/>
  <c r="I119" i="61"/>
  <c r="I179" i="61" s="1"/>
  <c r="J119" i="61"/>
  <c r="J179" i="61" s="1"/>
  <c r="J122" i="62"/>
  <c r="K119" i="61"/>
  <c r="K179" i="61" s="1"/>
  <c r="K119" i="62"/>
  <c r="K179" i="62" s="1"/>
  <c r="G122" i="61"/>
  <c r="G122" i="62"/>
  <c r="L119" i="62"/>
  <c r="L179" i="62" s="1"/>
  <c r="L119" i="61"/>
  <c r="L179" i="61" s="1"/>
  <c r="K71" i="43"/>
  <c r="L69" i="43"/>
  <c r="L62" i="43"/>
  <c r="K64" i="43"/>
  <c r="K55" i="43"/>
  <c r="J57" i="43"/>
  <c r="R115" i="9"/>
  <c r="R113" i="8"/>
  <c r="O6" i="6"/>
  <c r="O7" i="6" s="1"/>
  <c r="N6" i="6"/>
  <c r="N7" i="6" s="1"/>
  <c r="L6" i="6"/>
  <c r="L7" i="6" s="1"/>
  <c r="K6" i="6"/>
  <c r="K7" i="6" s="1"/>
  <c r="J6" i="6"/>
  <c r="J7" i="6" s="1"/>
  <c r="I6" i="6"/>
  <c r="I7" i="6" s="1"/>
  <c r="H6" i="6"/>
  <c r="H7" i="6" s="1"/>
  <c r="G6" i="6"/>
  <c r="G7" i="6" s="1"/>
  <c r="M6" i="6"/>
  <c r="M7" i="6" s="1"/>
  <c r="F6" i="6"/>
  <c r="F7" i="6" s="1"/>
  <c r="P6" i="6"/>
  <c r="P7" i="6" s="1"/>
  <c r="M19" i="61" l="1"/>
  <c r="L150" i="61"/>
  <c r="M20" i="61"/>
  <c r="L151" i="61"/>
  <c r="R128" i="9"/>
  <c r="E7" i="31"/>
  <c r="E85" i="31"/>
  <c r="R129" i="63"/>
  <c r="T129" i="63"/>
  <c r="R129" i="61"/>
  <c r="T129" i="61"/>
  <c r="R129" i="62"/>
  <c r="T129" i="62"/>
  <c r="M90" i="43"/>
  <c r="L58" i="62"/>
  <c r="L164" i="62" s="1"/>
  <c r="M72" i="43"/>
  <c r="L61" i="63"/>
  <c r="J60" i="43"/>
  <c r="J60" i="61"/>
  <c r="J63" i="61" s="1"/>
  <c r="J165" i="61" s="1"/>
  <c r="L66" i="43"/>
  <c r="K62" i="62"/>
  <c r="L89" i="43"/>
  <c r="K58" i="61"/>
  <c r="K164" i="61" s="1"/>
  <c r="K74" i="43"/>
  <c r="K60" i="63"/>
  <c r="L73" i="43"/>
  <c r="K62" i="63"/>
  <c r="L58" i="43"/>
  <c r="K61" i="61"/>
  <c r="L92" i="43"/>
  <c r="K58" i="63"/>
  <c r="K217" i="63" s="1"/>
  <c r="K67" i="43"/>
  <c r="K60" i="62"/>
  <c r="L59" i="43"/>
  <c r="K62" i="61"/>
  <c r="G6" i="31"/>
  <c r="N6" i="31"/>
  <c r="L6" i="31"/>
  <c r="M6" i="31"/>
  <c r="F6" i="10"/>
  <c r="F7" i="10" s="1"/>
  <c r="L6" i="10"/>
  <c r="L7" i="10" s="1"/>
  <c r="J6" i="10"/>
  <c r="J7" i="10" s="1"/>
  <c r="K6" i="10"/>
  <c r="K7" i="10" s="1"/>
  <c r="M6" i="9"/>
  <c r="M7" i="9" s="1"/>
  <c r="J6" i="9"/>
  <c r="J7" i="9" s="1"/>
  <c r="I6" i="10"/>
  <c r="I7" i="10" s="1"/>
  <c r="O6" i="10"/>
  <c r="O7" i="10" s="1"/>
  <c r="N6" i="9"/>
  <c r="N7" i="9" s="1"/>
  <c r="M6" i="10"/>
  <c r="M7" i="10" s="1"/>
  <c r="P6" i="10"/>
  <c r="P7" i="10" s="1"/>
  <c r="G6" i="9"/>
  <c r="G7" i="9" s="1"/>
  <c r="H6" i="9"/>
  <c r="H7" i="9" s="1"/>
  <c r="I6" i="9"/>
  <c r="I7" i="9" s="1"/>
  <c r="AJ53" i="41"/>
  <c r="J6" i="8"/>
  <c r="J7" i="8" s="1"/>
  <c r="F6" i="31"/>
  <c r="H6" i="31"/>
  <c r="L6" i="8"/>
  <c r="L7" i="8" s="1"/>
  <c r="K6" i="9"/>
  <c r="K7" i="9" s="1"/>
  <c r="L6" i="9"/>
  <c r="L7" i="9" s="1"/>
  <c r="G6" i="8"/>
  <c r="G7" i="8" s="1"/>
  <c r="N6" i="10"/>
  <c r="N7" i="10" s="1"/>
  <c r="G6" i="10"/>
  <c r="G7" i="10" s="1"/>
  <c r="H6" i="10"/>
  <c r="H7" i="10" s="1"/>
  <c r="I6" i="8"/>
  <c r="I7" i="8" s="1"/>
  <c r="O6" i="8"/>
  <c r="O7" i="8" s="1"/>
  <c r="M6" i="8"/>
  <c r="M7" i="8" s="1"/>
  <c r="O6" i="9"/>
  <c r="O7" i="9" s="1"/>
  <c r="P6" i="8"/>
  <c r="P7" i="8" s="1"/>
  <c r="P6" i="9"/>
  <c r="P7" i="9" s="1"/>
  <c r="N6" i="8"/>
  <c r="N7" i="8" s="1"/>
  <c r="F6" i="9"/>
  <c r="F7" i="9" s="1"/>
  <c r="H6" i="8"/>
  <c r="H7" i="8" s="1"/>
  <c r="O6" i="31"/>
  <c r="P6" i="31"/>
  <c r="I6" i="31"/>
  <c r="K6" i="31"/>
  <c r="K6" i="8"/>
  <c r="K7" i="8" s="1"/>
  <c r="J6" i="31"/>
  <c r="F6" i="8"/>
  <c r="F7" i="8" s="1"/>
  <c r="P123" i="27"/>
  <c r="G123" i="27"/>
  <c r="N123" i="27"/>
  <c r="AQ189" i="41"/>
  <c r="L122" i="62"/>
  <c r="AP167" i="41"/>
  <c r="K122" i="61"/>
  <c r="AN167" i="41"/>
  <c r="I122" i="61"/>
  <c r="I123" i="27" s="1"/>
  <c r="E122" i="63"/>
  <c r="AV210" i="41"/>
  <c r="AQ167" i="41"/>
  <c r="L122" i="61"/>
  <c r="AJ189" i="41"/>
  <c r="E122" i="62"/>
  <c r="AV188" i="41"/>
  <c r="AR167" i="41"/>
  <c r="M122" i="61"/>
  <c r="M123" i="27" s="1"/>
  <c r="AP189" i="41"/>
  <c r="K122" i="62"/>
  <c r="I119" i="62"/>
  <c r="I179" i="62" s="1"/>
  <c r="AN189" i="41"/>
  <c r="P119" i="63"/>
  <c r="P235" i="63" s="1"/>
  <c r="AU211" i="41"/>
  <c r="E122" i="61"/>
  <c r="AV166" i="41"/>
  <c r="E119" i="63"/>
  <c r="E235" i="63" s="1"/>
  <c r="AV209" i="41"/>
  <c r="AJ211" i="41"/>
  <c r="M119" i="63"/>
  <c r="M235" i="63" s="1"/>
  <c r="AR211" i="41"/>
  <c r="P119" i="61"/>
  <c r="P179" i="61" s="1"/>
  <c r="AU167" i="41"/>
  <c r="AV187" i="41"/>
  <c r="E119" i="62"/>
  <c r="E179" i="62" s="1"/>
  <c r="M119" i="62"/>
  <c r="M179" i="62" s="1"/>
  <c r="AR189" i="41"/>
  <c r="L119" i="63"/>
  <c r="L235" i="63" s="1"/>
  <c r="AQ211" i="41"/>
  <c r="K119" i="63"/>
  <c r="K235" i="63" s="1"/>
  <c r="AP211" i="41"/>
  <c r="I119" i="63"/>
  <c r="I235" i="63" s="1"/>
  <c r="AN211" i="41"/>
  <c r="P119" i="62"/>
  <c r="P179" i="62" s="1"/>
  <c r="AU189" i="41"/>
  <c r="E119" i="61"/>
  <c r="E179" i="61" s="1"/>
  <c r="AV165" i="41"/>
  <c r="AJ167" i="41"/>
  <c r="AK189" i="41"/>
  <c r="F122" i="62"/>
  <c r="F123" i="27" s="1"/>
  <c r="AM167" i="41"/>
  <c r="H122" i="61"/>
  <c r="AO167" i="41"/>
  <c r="J122" i="61"/>
  <c r="J123" i="27" s="1"/>
  <c r="AM189" i="41"/>
  <c r="H122" i="62"/>
  <c r="AT189" i="41"/>
  <c r="O122" i="62"/>
  <c r="O123" i="27" s="1"/>
  <c r="G119" i="63"/>
  <c r="G235" i="63" s="1"/>
  <c r="AL211" i="41"/>
  <c r="J119" i="62"/>
  <c r="J179" i="62" s="1"/>
  <c r="AO189" i="41"/>
  <c r="F119" i="63"/>
  <c r="F235" i="63" s="1"/>
  <c r="AK211" i="41"/>
  <c r="O119" i="63"/>
  <c r="O235" i="63" s="1"/>
  <c r="AT211" i="41"/>
  <c r="N119" i="63"/>
  <c r="N235" i="63" s="1"/>
  <c r="AS211" i="41"/>
  <c r="G119" i="62"/>
  <c r="G179" i="62" s="1"/>
  <c r="AL189" i="41"/>
  <c r="H119" i="63"/>
  <c r="H235" i="63" s="1"/>
  <c r="AM211" i="41"/>
  <c r="O119" i="61"/>
  <c r="O179" i="61" s="1"/>
  <c r="AT167" i="41"/>
  <c r="N119" i="61"/>
  <c r="N179" i="61" s="1"/>
  <c r="AS167" i="41"/>
  <c r="G119" i="61"/>
  <c r="G179" i="61" s="1"/>
  <c r="AL167" i="41"/>
  <c r="J119" i="63"/>
  <c r="J235" i="63" s="1"/>
  <c r="AO211" i="41"/>
  <c r="F119" i="61"/>
  <c r="F179" i="61" s="1"/>
  <c r="AK167" i="41"/>
  <c r="N119" i="62"/>
  <c r="N179" i="62" s="1"/>
  <c r="AS189" i="41"/>
  <c r="M69" i="43"/>
  <c r="L71" i="43"/>
  <c r="M62" i="43"/>
  <c r="L64" i="43"/>
  <c r="L55" i="43"/>
  <c r="K57" i="43"/>
  <c r="W139" i="41"/>
  <c r="W117" i="41"/>
  <c r="W95" i="41"/>
  <c r="W73" i="41"/>
  <c r="W51" i="41"/>
  <c r="W29" i="41"/>
  <c r="W7" i="41"/>
  <c r="AJ139" i="41"/>
  <c r="AV140" i="41" s="1"/>
  <c r="AJ117" i="41"/>
  <c r="AV118" i="41" s="1"/>
  <c r="AJ95" i="41"/>
  <c r="AV96" i="41" s="1"/>
  <c r="AJ73" i="41"/>
  <c r="AV74" i="41" s="1"/>
  <c r="AJ51" i="41"/>
  <c r="AV52" i="41" s="1"/>
  <c r="AJ29" i="41"/>
  <c r="AV30" i="41" s="1"/>
  <c r="E83" i="27" l="1"/>
  <c r="E275" i="31"/>
  <c r="N20" i="61"/>
  <c r="M151" i="61"/>
  <c r="N19" i="61"/>
  <c r="M150" i="61"/>
  <c r="O7" i="31"/>
  <c r="O85" i="31"/>
  <c r="K7" i="31"/>
  <c r="K85" i="31"/>
  <c r="P7" i="31"/>
  <c r="P85" i="31"/>
  <c r="H7" i="31"/>
  <c r="H85" i="31"/>
  <c r="F7" i="31"/>
  <c r="F85" i="31"/>
  <c r="M7" i="31"/>
  <c r="M85" i="31"/>
  <c r="L7" i="31"/>
  <c r="L85" i="31"/>
  <c r="J7" i="31"/>
  <c r="J85" i="31"/>
  <c r="N7" i="31"/>
  <c r="N85" i="31"/>
  <c r="G7" i="31"/>
  <c r="G85" i="31"/>
  <c r="I7" i="31"/>
  <c r="I85" i="31"/>
  <c r="N90" i="43"/>
  <c r="M58" i="62"/>
  <c r="M164" i="62" s="1"/>
  <c r="M73" i="43"/>
  <c r="L62" i="63"/>
  <c r="M89" i="43"/>
  <c r="L58" i="61"/>
  <c r="L164" i="61" s="1"/>
  <c r="M66" i="43"/>
  <c r="L62" i="62"/>
  <c r="M59" i="43"/>
  <c r="L62" i="61"/>
  <c r="K60" i="43"/>
  <c r="K60" i="61"/>
  <c r="K63" i="61" s="1"/>
  <c r="K165" i="61" s="1"/>
  <c r="M92" i="43"/>
  <c r="L58" i="63"/>
  <c r="L217" i="63" s="1"/>
  <c r="L67" i="43"/>
  <c r="L60" i="62"/>
  <c r="L74" i="43"/>
  <c r="L60" i="63"/>
  <c r="M58" i="43"/>
  <c r="L61" i="61"/>
  <c r="N72" i="43"/>
  <c r="M61" i="63"/>
  <c r="H123" i="27"/>
  <c r="E6" i="8"/>
  <c r="E7" i="8" s="1"/>
  <c r="AV211" i="41"/>
  <c r="AV167" i="41"/>
  <c r="L123" i="27"/>
  <c r="K123" i="27"/>
  <c r="AV189" i="41"/>
  <c r="E123" i="27"/>
  <c r="N69" i="43"/>
  <c r="M71" i="43"/>
  <c r="N62" i="43"/>
  <c r="M64" i="43"/>
  <c r="M55" i="43"/>
  <c r="L57" i="43"/>
  <c r="AV143" i="41"/>
  <c r="AV121" i="41"/>
  <c r="AV99" i="41"/>
  <c r="AV77" i="41"/>
  <c r="AV55" i="41"/>
  <c r="AV33" i="41"/>
  <c r="AJ7" i="41"/>
  <c r="AV8" i="41" s="1"/>
  <c r="AH11" i="41" a="1"/>
  <c r="AH11" i="41" s="1"/>
  <c r="X11" i="41" a="1"/>
  <c r="X11" i="41" s="1"/>
  <c r="Y11" i="41" a="1"/>
  <c r="Y11" i="41" s="1"/>
  <c r="Z11" i="41" a="1"/>
  <c r="Z11" i="41" s="1"/>
  <c r="AA11" i="41" a="1"/>
  <c r="AA11" i="41" s="1"/>
  <c r="AB11" i="41" a="1"/>
  <c r="AB11" i="41" s="1"/>
  <c r="AC11" i="41" a="1"/>
  <c r="AC11" i="41" s="1"/>
  <c r="AD11" i="41" a="1"/>
  <c r="AD11" i="41" s="1"/>
  <c r="AE11" i="41" a="1"/>
  <c r="AE11" i="41" s="1"/>
  <c r="AF11" i="41" a="1"/>
  <c r="AF11" i="41" s="1"/>
  <c r="AG11" i="41" a="1"/>
  <c r="AG11" i="41" s="1"/>
  <c r="AI11" i="41" a="1"/>
  <c r="AI11" i="41" s="1"/>
  <c r="AK11" i="41" a="1"/>
  <c r="AK11" i="41" s="1"/>
  <c r="AL11" i="41" a="1"/>
  <c r="AL11" i="41" s="1"/>
  <c r="AM11" i="41" a="1"/>
  <c r="AM11" i="41" s="1"/>
  <c r="AN11" i="41" a="1"/>
  <c r="AN11" i="41" s="1"/>
  <c r="AO11" i="41" a="1"/>
  <c r="AO11" i="41" s="1"/>
  <c r="AP11" i="41" a="1"/>
  <c r="AP11" i="41" s="1"/>
  <c r="AQ11" i="41" a="1"/>
  <c r="AQ11" i="41" s="1"/>
  <c r="AR11" i="41" a="1"/>
  <c r="AR11" i="41" s="1"/>
  <c r="AS11" i="41" a="1"/>
  <c r="AS11" i="41" s="1"/>
  <c r="AT11" i="41" a="1"/>
  <c r="AT11" i="41" s="1"/>
  <c r="AU11" i="41" a="1"/>
  <c r="AU11" i="41" s="1"/>
  <c r="B2" i="41"/>
  <c r="M11" i="31"/>
  <c r="Q155" i="41"/>
  <c r="Q154" i="41"/>
  <c r="Q153" i="41"/>
  <c r="Q152" i="41"/>
  <c r="Q151" i="41"/>
  <c r="Q150" i="41"/>
  <c r="Q149" i="41"/>
  <c r="Q148" i="41"/>
  <c r="Q147" i="41"/>
  <c r="Q146" i="41"/>
  <c r="Q145" i="41"/>
  <c r="Q144" i="41"/>
  <c r="Q143" i="41"/>
  <c r="Q142" i="41"/>
  <c r="Q141" i="41"/>
  <c r="F155" i="41"/>
  <c r="F154" i="41"/>
  <c r="F153" i="41"/>
  <c r="F152" i="41"/>
  <c r="F151" i="41"/>
  <c r="F150" i="41"/>
  <c r="F149" i="41"/>
  <c r="F148" i="41"/>
  <c r="F147" i="41"/>
  <c r="F146" i="41"/>
  <c r="F145" i="41"/>
  <c r="F144" i="41"/>
  <c r="F143" i="41"/>
  <c r="F142" i="41"/>
  <c r="F141" i="41"/>
  <c r="Q133" i="41"/>
  <c r="Q132" i="41"/>
  <c r="Q131" i="41"/>
  <c r="Q130" i="41"/>
  <c r="Q128" i="41"/>
  <c r="Q127" i="41"/>
  <c r="Q126" i="41"/>
  <c r="Q125" i="41"/>
  <c r="Q124" i="41"/>
  <c r="Q123" i="41"/>
  <c r="Q122" i="41"/>
  <c r="Q121" i="41"/>
  <c r="Q120" i="41"/>
  <c r="Q119" i="41"/>
  <c r="F133" i="41"/>
  <c r="F132" i="41"/>
  <c r="F131" i="41"/>
  <c r="F130" i="41"/>
  <c r="F129" i="41"/>
  <c r="F128" i="41"/>
  <c r="F127" i="41"/>
  <c r="F126" i="41"/>
  <c r="F125" i="41"/>
  <c r="F124" i="41"/>
  <c r="F123" i="41"/>
  <c r="F122" i="41"/>
  <c r="F121" i="41"/>
  <c r="F120" i="41"/>
  <c r="F119" i="41"/>
  <c r="Q111" i="41"/>
  <c r="Q110" i="41"/>
  <c r="Q109" i="41"/>
  <c r="Q108" i="41"/>
  <c r="Q107" i="41"/>
  <c r="Q106" i="41"/>
  <c r="Q105" i="41"/>
  <c r="Q104" i="41"/>
  <c r="Q103" i="41"/>
  <c r="Q102" i="41"/>
  <c r="Q101" i="41"/>
  <c r="Q100" i="41"/>
  <c r="Q99" i="41"/>
  <c r="Q98" i="41"/>
  <c r="Q97" i="41"/>
  <c r="F111" i="41"/>
  <c r="F110" i="41"/>
  <c r="F109" i="41"/>
  <c r="F108" i="41"/>
  <c r="F107" i="41"/>
  <c r="F106" i="41"/>
  <c r="F105" i="41"/>
  <c r="F104" i="41"/>
  <c r="F103" i="41"/>
  <c r="F102" i="41"/>
  <c r="F101" i="41"/>
  <c r="F100" i="41"/>
  <c r="F99" i="41"/>
  <c r="F98" i="41"/>
  <c r="F97" i="41"/>
  <c r="Q89" i="41"/>
  <c r="Q88" i="41"/>
  <c r="Q87" i="41"/>
  <c r="Q86" i="41"/>
  <c r="Q85" i="41"/>
  <c r="Q84" i="41"/>
  <c r="Q83" i="41"/>
  <c r="Q82" i="41"/>
  <c r="Q81" i="41"/>
  <c r="Q80" i="41"/>
  <c r="Q79" i="41"/>
  <c r="Q78" i="41"/>
  <c r="Q77" i="41"/>
  <c r="Q76" i="41"/>
  <c r="Q75" i="41"/>
  <c r="F89" i="41"/>
  <c r="F88" i="41"/>
  <c r="F87" i="41"/>
  <c r="F86" i="41"/>
  <c r="F85" i="41"/>
  <c r="F84" i="41"/>
  <c r="F83" i="41"/>
  <c r="F82" i="41"/>
  <c r="F81" i="41"/>
  <c r="F80" i="41"/>
  <c r="F79" i="41"/>
  <c r="F78" i="41"/>
  <c r="F77" i="41"/>
  <c r="F76" i="41"/>
  <c r="Q67" i="41"/>
  <c r="Q66" i="41"/>
  <c r="Q65" i="41"/>
  <c r="Q64" i="41"/>
  <c r="Q63" i="41"/>
  <c r="Q62" i="41"/>
  <c r="Q61" i="41"/>
  <c r="Q60" i="41"/>
  <c r="Q59" i="41"/>
  <c r="Q58" i="41"/>
  <c r="Q57" i="41"/>
  <c r="Q56" i="41"/>
  <c r="Q55" i="41"/>
  <c r="F67" i="41"/>
  <c r="F66" i="41"/>
  <c r="F65" i="41"/>
  <c r="F64" i="41"/>
  <c r="F63" i="41"/>
  <c r="F62" i="41"/>
  <c r="F61" i="41"/>
  <c r="F60" i="41"/>
  <c r="F59" i="41"/>
  <c r="F58" i="41"/>
  <c r="F57" i="41"/>
  <c r="F56" i="41"/>
  <c r="F55" i="41"/>
  <c r="F54" i="41"/>
  <c r="F53" i="41"/>
  <c r="Q45" i="41"/>
  <c r="Q44" i="41"/>
  <c r="Q43" i="41"/>
  <c r="Q42" i="41"/>
  <c r="Q41" i="41"/>
  <c r="Q40" i="41"/>
  <c r="Q39" i="41"/>
  <c r="Q38" i="41"/>
  <c r="Q37" i="41"/>
  <c r="Q36" i="41"/>
  <c r="Q35" i="41"/>
  <c r="Q34" i="41"/>
  <c r="Q33" i="41"/>
  <c r="Q32" i="41"/>
  <c r="Q31" i="41"/>
  <c r="F45" i="41"/>
  <c r="F44" i="41"/>
  <c r="F43" i="41"/>
  <c r="F42" i="41"/>
  <c r="F41" i="41"/>
  <c r="F40" i="41"/>
  <c r="F39" i="41"/>
  <c r="F38" i="41"/>
  <c r="F37" i="41"/>
  <c r="F36" i="41"/>
  <c r="F35" i="41"/>
  <c r="F34" i="41"/>
  <c r="F33" i="41"/>
  <c r="F32" i="41"/>
  <c r="F31" i="41"/>
  <c r="Q23" i="41"/>
  <c r="Q22" i="41"/>
  <c r="Q21" i="41"/>
  <c r="Q20" i="41"/>
  <c r="Q19" i="41"/>
  <c r="Q18" i="41"/>
  <c r="Q17" i="41"/>
  <c r="Q16" i="41"/>
  <c r="Q15" i="41"/>
  <c r="Q14" i="41"/>
  <c r="Q13" i="41"/>
  <c r="Q12" i="41"/>
  <c r="Q11" i="41"/>
  <c r="Q10" i="41"/>
  <c r="Q9" i="4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9" i="41"/>
  <c r="J119" i="9"/>
  <c r="J223" i="9" s="1"/>
  <c r="L119" i="22"/>
  <c r="L178" i="22" s="1"/>
  <c r="M122" i="31"/>
  <c r="M288" i="31" s="1"/>
  <c r="N119" i="32"/>
  <c r="N179" i="32" s="1"/>
  <c r="O119" i="9"/>
  <c r="O223" i="9" s="1"/>
  <c r="P119" i="22"/>
  <c r="P178" i="22" s="1"/>
  <c r="F119" i="32"/>
  <c r="F179" i="32" s="1"/>
  <c r="H122" i="31"/>
  <c r="H288" i="31" s="1"/>
  <c r="F119" i="10"/>
  <c r="F178" i="10" s="1"/>
  <c r="F119" i="8"/>
  <c r="F227" i="8" s="1"/>
  <c r="DK12" i="41"/>
  <c r="DY155" i="41"/>
  <c r="DX155" i="41"/>
  <c r="DW155" i="41"/>
  <c r="DV155" i="41"/>
  <c r="DU155" i="41"/>
  <c r="DT155" i="41"/>
  <c r="DS155" i="41"/>
  <c r="DR155" i="41"/>
  <c r="DQ155" i="41"/>
  <c r="DP155" i="41"/>
  <c r="DO155" i="41"/>
  <c r="DN155" i="41"/>
  <c r="DM155" i="41"/>
  <c r="DL155" i="41"/>
  <c r="DK155" i="41"/>
  <c r="DJ155" i="41"/>
  <c r="DI155" i="41"/>
  <c r="DH155" i="41"/>
  <c r="DG155" i="41"/>
  <c r="DF155" i="41"/>
  <c r="DE155" i="41"/>
  <c r="DD155" i="41"/>
  <c r="DC155" i="41"/>
  <c r="DB155" i="41"/>
  <c r="DY154" i="41"/>
  <c r="DX154" i="41"/>
  <c r="DW154" i="41"/>
  <c r="DV154" i="41"/>
  <c r="DU154" i="41"/>
  <c r="DT154" i="41"/>
  <c r="DS154" i="41"/>
  <c r="DR154" i="41"/>
  <c r="DQ154" i="41"/>
  <c r="DP154" i="41"/>
  <c r="DO154" i="41"/>
  <c r="DN154" i="41"/>
  <c r="DM154" i="41"/>
  <c r="DL154" i="41"/>
  <c r="DK154" i="41"/>
  <c r="DJ154" i="41"/>
  <c r="DI154" i="41"/>
  <c r="DH154" i="41"/>
  <c r="DG154" i="41"/>
  <c r="DF154" i="41"/>
  <c r="DE154" i="41"/>
  <c r="DD154" i="41"/>
  <c r="DC154" i="41"/>
  <c r="DB154" i="41"/>
  <c r="DY153" i="41"/>
  <c r="DX153" i="41"/>
  <c r="DW153" i="41"/>
  <c r="DV153" i="41"/>
  <c r="DU153" i="41"/>
  <c r="DT153" i="41"/>
  <c r="DS153" i="41"/>
  <c r="DR153" i="41"/>
  <c r="DQ153" i="41"/>
  <c r="DP153" i="41"/>
  <c r="DO153" i="41"/>
  <c r="DN153" i="41"/>
  <c r="DM153" i="41"/>
  <c r="DL153" i="41"/>
  <c r="DK153" i="41"/>
  <c r="DJ153" i="41"/>
  <c r="DI153" i="41"/>
  <c r="DH153" i="41"/>
  <c r="DG153" i="41"/>
  <c r="DF153" i="41"/>
  <c r="DE153" i="41"/>
  <c r="DD153" i="41"/>
  <c r="DC153" i="41"/>
  <c r="DB153" i="41"/>
  <c r="DY152" i="41"/>
  <c r="DX152" i="41"/>
  <c r="DW152" i="41"/>
  <c r="DV152" i="41"/>
  <c r="DU152" i="41"/>
  <c r="DT152" i="41"/>
  <c r="DS152" i="41"/>
  <c r="DR152" i="41"/>
  <c r="DQ152" i="41"/>
  <c r="DP152" i="41"/>
  <c r="DO152" i="41"/>
  <c r="DN152" i="41"/>
  <c r="DM152" i="41"/>
  <c r="DL152" i="41"/>
  <c r="DK152" i="41"/>
  <c r="DJ152" i="41"/>
  <c r="DI152" i="41"/>
  <c r="DH152" i="41"/>
  <c r="DG152" i="41"/>
  <c r="DF152" i="41"/>
  <c r="DE152" i="41"/>
  <c r="DD152" i="41"/>
  <c r="DC152" i="41"/>
  <c r="DB152" i="41"/>
  <c r="DY151" i="41"/>
  <c r="DX151" i="41"/>
  <c r="DW151" i="41"/>
  <c r="DV151" i="41"/>
  <c r="DU151" i="41"/>
  <c r="DT151" i="41"/>
  <c r="DS151" i="41"/>
  <c r="DR151" i="41"/>
  <c r="DQ151" i="41"/>
  <c r="DP151" i="41"/>
  <c r="DO151" i="41"/>
  <c r="DN151" i="41"/>
  <c r="DM151" i="41"/>
  <c r="DL151" i="41"/>
  <c r="DK151" i="41"/>
  <c r="DJ151" i="41"/>
  <c r="DI151" i="41"/>
  <c r="DH151" i="41"/>
  <c r="DG151" i="41"/>
  <c r="DF151" i="41"/>
  <c r="DE151" i="41"/>
  <c r="DD151" i="41"/>
  <c r="DC151" i="41"/>
  <c r="DB151" i="41"/>
  <c r="DY150" i="41"/>
  <c r="DX150" i="41"/>
  <c r="DW150" i="41"/>
  <c r="DV150" i="41"/>
  <c r="DU150" i="41"/>
  <c r="DT150" i="41"/>
  <c r="DS150" i="41"/>
  <c r="DR150" i="41"/>
  <c r="DQ150" i="41"/>
  <c r="DP150" i="41"/>
  <c r="DO150" i="41"/>
  <c r="DN150" i="41"/>
  <c r="DM150" i="41"/>
  <c r="DL150" i="41"/>
  <c r="DK150" i="41"/>
  <c r="DJ150" i="41"/>
  <c r="DI150" i="41"/>
  <c r="DH150" i="41"/>
  <c r="DG150" i="41"/>
  <c r="DF150" i="41"/>
  <c r="DE150" i="41"/>
  <c r="DD150" i="41"/>
  <c r="DC150" i="41"/>
  <c r="DB150" i="41"/>
  <c r="DY149" i="41"/>
  <c r="DX149" i="41"/>
  <c r="DW149" i="41"/>
  <c r="DV149" i="41"/>
  <c r="DU149" i="41"/>
  <c r="DT149" i="41"/>
  <c r="DS149" i="41"/>
  <c r="DR149" i="41"/>
  <c r="DQ149" i="41"/>
  <c r="DP149" i="41"/>
  <c r="DO149" i="41"/>
  <c r="DN149" i="41"/>
  <c r="DM149" i="41"/>
  <c r="DL149" i="41"/>
  <c r="DK149" i="41"/>
  <c r="DJ149" i="41"/>
  <c r="DI149" i="41"/>
  <c r="DH149" i="41"/>
  <c r="DG149" i="41"/>
  <c r="DF149" i="41"/>
  <c r="DE149" i="41"/>
  <c r="DD149" i="41"/>
  <c r="DC149" i="41"/>
  <c r="DB149" i="41"/>
  <c r="DY148" i="41"/>
  <c r="DX148" i="41"/>
  <c r="DW148" i="41"/>
  <c r="DV148" i="41"/>
  <c r="DU148" i="41"/>
  <c r="DT148" i="41"/>
  <c r="DS148" i="41"/>
  <c r="DR148" i="41"/>
  <c r="DQ148" i="41"/>
  <c r="DP148" i="41"/>
  <c r="DO148" i="41"/>
  <c r="DN148" i="41"/>
  <c r="DM148" i="41"/>
  <c r="DL148" i="41"/>
  <c r="DK148" i="41"/>
  <c r="DJ148" i="41"/>
  <c r="DI148" i="41"/>
  <c r="DH148" i="41"/>
  <c r="DG148" i="41"/>
  <c r="DF148" i="41"/>
  <c r="DE148" i="41"/>
  <c r="DD148" i="41"/>
  <c r="DC148" i="41"/>
  <c r="DB148" i="41"/>
  <c r="DY147" i="41"/>
  <c r="DX147" i="41"/>
  <c r="DW147" i="41"/>
  <c r="DV147" i="41"/>
  <c r="DU147" i="41"/>
  <c r="DT147" i="41"/>
  <c r="DS147" i="41"/>
  <c r="DR147" i="41"/>
  <c r="DQ147" i="41"/>
  <c r="DP147" i="41"/>
  <c r="DO147" i="41"/>
  <c r="DN147" i="41"/>
  <c r="DM147" i="41"/>
  <c r="DL147" i="41"/>
  <c r="DK147" i="41"/>
  <c r="DJ147" i="41"/>
  <c r="DI147" i="41"/>
  <c r="DH147" i="41"/>
  <c r="DG147" i="41"/>
  <c r="DF147" i="41"/>
  <c r="DE147" i="41"/>
  <c r="DD147" i="41"/>
  <c r="DC147" i="41"/>
  <c r="DB147" i="41"/>
  <c r="DY146" i="41"/>
  <c r="DX146" i="41"/>
  <c r="DW146" i="41"/>
  <c r="DV146" i="41"/>
  <c r="DU146" i="41"/>
  <c r="DT146" i="41"/>
  <c r="DS146" i="41"/>
  <c r="DR146" i="41"/>
  <c r="DQ146" i="41"/>
  <c r="DP146" i="41"/>
  <c r="DO146" i="41"/>
  <c r="DN146" i="41"/>
  <c r="DM146" i="41"/>
  <c r="DL146" i="41"/>
  <c r="DK146" i="41"/>
  <c r="DJ146" i="41"/>
  <c r="DI146" i="41"/>
  <c r="DH146" i="41"/>
  <c r="DG146" i="41"/>
  <c r="DF146" i="41"/>
  <c r="DE146" i="41"/>
  <c r="DD146" i="41"/>
  <c r="DC146" i="41"/>
  <c r="DB146" i="41"/>
  <c r="DY145" i="41"/>
  <c r="DX145" i="41"/>
  <c r="DW145" i="41"/>
  <c r="DV145" i="41"/>
  <c r="DU145" i="41"/>
  <c r="DT145" i="41"/>
  <c r="DS145" i="41"/>
  <c r="DR145" i="41"/>
  <c r="DQ145" i="41"/>
  <c r="DP145" i="41"/>
  <c r="DO145" i="41"/>
  <c r="DN145" i="41"/>
  <c r="DM145" i="41"/>
  <c r="DL145" i="41"/>
  <c r="DK145" i="41"/>
  <c r="DJ145" i="41"/>
  <c r="DI145" i="41"/>
  <c r="DH145" i="41"/>
  <c r="DG145" i="41"/>
  <c r="DF145" i="41"/>
  <c r="DE145" i="41"/>
  <c r="DD145" i="41"/>
  <c r="DC145" i="41"/>
  <c r="DB145" i="41"/>
  <c r="DY144" i="41"/>
  <c r="DX144" i="41"/>
  <c r="DW144" i="41"/>
  <c r="DV144" i="41"/>
  <c r="DU144" i="41"/>
  <c r="DT144" i="41"/>
  <c r="DS144" i="41"/>
  <c r="DR144" i="41"/>
  <c r="DQ144" i="41"/>
  <c r="DP144" i="41"/>
  <c r="DO144" i="41"/>
  <c r="DN144" i="41"/>
  <c r="DM144" i="41"/>
  <c r="DL144" i="41"/>
  <c r="DK144" i="41"/>
  <c r="DJ144" i="41"/>
  <c r="DI144" i="41"/>
  <c r="DH144" i="41"/>
  <c r="DG144" i="41"/>
  <c r="DF144" i="41"/>
  <c r="DE144" i="41"/>
  <c r="DD144" i="41"/>
  <c r="DC144" i="41"/>
  <c r="DB144" i="41"/>
  <c r="DY143" i="41"/>
  <c r="DX143" i="41"/>
  <c r="DW143" i="41"/>
  <c r="DV143" i="41"/>
  <c r="DU143" i="41"/>
  <c r="DT143" i="41"/>
  <c r="DS143" i="41"/>
  <c r="DR143" i="41"/>
  <c r="DQ143" i="41"/>
  <c r="DP143" i="41"/>
  <c r="DO143" i="41"/>
  <c r="DN143" i="41"/>
  <c r="DM143" i="41"/>
  <c r="DL143" i="41"/>
  <c r="DK143" i="41"/>
  <c r="DJ143" i="41"/>
  <c r="DI143" i="41"/>
  <c r="DH143" i="41"/>
  <c r="DG143" i="41"/>
  <c r="DF143" i="41"/>
  <c r="DE143" i="41"/>
  <c r="DD143" i="41"/>
  <c r="DC143" i="41"/>
  <c r="DB143" i="41"/>
  <c r="DY142" i="41"/>
  <c r="DX142" i="41"/>
  <c r="DW142" i="41"/>
  <c r="DV142" i="41"/>
  <c r="DU142" i="41"/>
  <c r="DT142" i="41"/>
  <c r="DS142" i="41"/>
  <c r="DR142" i="41"/>
  <c r="DQ142" i="41"/>
  <c r="DP142" i="41"/>
  <c r="DO142" i="41"/>
  <c r="DN142" i="41"/>
  <c r="DM142" i="41"/>
  <c r="DL142" i="41"/>
  <c r="DK142" i="41"/>
  <c r="DJ142" i="41"/>
  <c r="DI142" i="41"/>
  <c r="DH142" i="41"/>
  <c r="DG142" i="41"/>
  <c r="DF142" i="41"/>
  <c r="DE142" i="41"/>
  <c r="DD142" i="41"/>
  <c r="DC142" i="41"/>
  <c r="DB142" i="41"/>
  <c r="DY133" i="41"/>
  <c r="DX133" i="41"/>
  <c r="DW133" i="41"/>
  <c r="DV133" i="41"/>
  <c r="DU133" i="41"/>
  <c r="DT133" i="41"/>
  <c r="DS133" i="41"/>
  <c r="DR133" i="41"/>
  <c r="DQ133" i="41"/>
  <c r="DP133" i="41"/>
  <c r="DO133" i="41"/>
  <c r="DN133" i="41"/>
  <c r="DM133" i="41"/>
  <c r="DL133" i="41"/>
  <c r="DK133" i="41"/>
  <c r="DJ133" i="41"/>
  <c r="DI133" i="41"/>
  <c r="DH133" i="41"/>
  <c r="DG133" i="41"/>
  <c r="DF133" i="41"/>
  <c r="DE133" i="41"/>
  <c r="DD133" i="41"/>
  <c r="DC133" i="41"/>
  <c r="DB133" i="41"/>
  <c r="DY132" i="41"/>
  <c r="DX132" i="41"/>
  <c r="DW132" i="41"/>
  <c r="DV132" i="41"/>
  <c r="DU132" i="41"/>
  <c r="DT132" i="41"/>
  <c r="DS132" i="41"/>
  <c r="DR132" i="41"/>
  <c r="DQ132" i="41"/>
  <c r="DP132" i="41"/>
  <c r="DO132" i="41"/>
  <c r="DN132" i="41"/>
  <c r="DM132" i="41"/>
  <c r="DL132" i="41"/>
  <c r="DK132" i="41"/>
  <c r="DJ132" i="41"/>
  <c r="DI132" i="41"/>
  <c r="DH132" i="41"/>
  <c r="DG132" i="41"/>
  <c r="DF132" i="41"/>
  <c r="DE132" i="41"/>
  <c r="DD132" i="41"/>
  <c r="DC132" i="41"/>
  <c r="DB132" i="41"/>
  <c r="DY131" i="41"/>
  <c r="DX131" i="41"/>
  <c r="DW131" i="41"/>
  <c r="DV131" i="41"/>
  <c r="DU131" i="41"/>
  <c r="DT131" i="41"/>
  <c r="DS131" i="41"/>
  <c r="DR131" i="41"/>
  <c r="DQ131" i="41"/>
  <c r="DP131" i="41"/>
  <c r="DO131" i="41"/>
  <c r="DN131" i="41"/>
  <c r="DM131" i="41"/>
  <c r="DL131" i="41"/>
  <c r="DK131" i="41"/>
  <c r="DJ131" i="41"/>
  <c r="DI131" i="41"/>
  <c r="DH131" i="41"/>
  <c r="DG131" i="41"/>
  <c r="DF131" i="41"/>
  <c r="DE131" i="41"/>
  <c r="DD131" i="41"/>
  <c r="DC131" i="41"/>
  <c r="DB131" i="41"/>
  <c r="DY130" i="41"/>
  <c r="DX130" i="41"/>
  <c r="DW130" i="41"/>
  <c r="DV130" i="41"/>
  <c r="DU130" i="41"/>
  <c r="DT130" i="41"/>
  <c r="DS130" i="41"/>
  <c r="DR130" i="41"/>
  <c r="DQ130" i="41"/>
  <c r="DP130" i="41"/>
  <c r="DO130" i="41"/>
  <c r="DN130" i="41"/>
  <c r="DM130" i="41"/>
  <c r="DL130" i="41"/>
  <c r="DK130" i="41"/>
  <c r="DJ130" i="41"/>
  <c r="DI130" i="41"/>
  <c r="DH130" i="41"/>
  <c r="DG130" i="41"/>
  <c r="DF130" i="41"/>
  <c r="DE130" i="41"/>
  <c r="DD130" i="41"/>
  <c r="DC130" i="41"/>
  <c r="DB130" i="41"/>
  <c r="DY129" i="41"/>
  <c r="DX129" i="41"/>
  <c r="DW129" i="41"/>
  <c r="DV129" i="41"/>
  <c r="DU129" i="41"/>
  <c r="DT129" i="41"/>
  <c r="DS129" i="41"/>
  <c r="DR129" i="41"/>
  <c r="DQ129" i="41"/>
  <c r="DP129" i="41"/>
  <c r="DO129" i="41"/>
  <c r="DN129" i="41"/>
  <c r="DM129" i="41"/>
  <c r="DL129" i="41"/>
  <c r="DK129" i="41"/>
  <c r="DJ129" i="41"/>
  <c r="DI129" i="41"/>
  <c r="DH129" i="41"/>
  <c r="DG129" i="41"/>
  <c r="DF129" i="41"/>
  <c r="DE129" i="41"/>
  <c r="DD129" i="41"/>
  <c r="DC129" i="41"/>
  <c r="DB129" i="41"/>
  <c r="DY128" i="41"/>
  <c r="DX128" i="41"/>
  <c r="DW128" i="41"/>
  <c r="DV128" i="41"/>
  <c r="DU128" i="41"/>
  <c r="DT128" i="41"/>
  <c r="DS128" i="41"/>
  <c r="DR128" i="41"/>
  <c r="DQ128" i="41"/>
  <c r="DP128" i="41"/>
  <c r="DO128" i="41"/>
  <c r="DN128" i="41"/>
  <c r="DM128" i="41"/>
  <c r="DL128" i="41"/>
  <c r="DK128" i="41"/>
  <c r="DJ128" i="41"/>
  <c r="DI128" i="41"/>
  <c r="DH128" i="41"/>
  <c r="DG128" i="41"/>
  <c r="DF128" i="41"/>
  <c r="DE128" i="41"/>
  <c r="DD128" i="41"/>
  <c r="DC128" i="41"/>
  <c r="DB128" i="41"/>
  <c r="DY127" i="41"/>
  <c r="DX127" i="41"/>
  <c r="DW127" i="41"/>
  <c r="DV127" i="41"/>
  <c r="DU127" i="41"/>
  <c r="DT127" i="41"/>
  <c r="DS127" i="41"/>
  <c r="DR127" i="41"/>
  <c r="DQ127" i="41"/>
  <c r="DP127" i="41"/>
  <c r="DO127" i="41"/>
  <c r="DN127" i="41"/>
  <c r="DM127" i="41"/>
  <c r="DL127" i="41"/>
  <c r="DK127" i="41"/>
  <c r="DJ127" i="41"/>
  <c r="DI127" i="41"/>
  <c r="DH127" i="41"/>
  <c r="DG127" i="41"/>
  <c r="DF127" i="41"/>
  <c r="DE127" i="41"/>
  <c r="DD127" i="41"/>
  <c r="DC127" i="41"/>
  <c r="DB127" i="41"/>
  <c r="DY126" i="41"/>
  <c r="DX126" i="41"/>
  <c r="DW126" i="41"/>
  <c r="DV126" i="41"/>
  <c r="DU126" i="41"/>
  <c r="DT126" i="41"/>
  <c r="DS126" i="41"/>
  <c r="DR126" i="41"/>
  <c r="DQ126" i="41"/>
  <c r="DP126" i="41"/>
  <c r="DO126" i="41"/>
  <c r="DN126" i="41"/>
  <c r="DM126" i="41"/>
  <c r="DL126" i="41"/>
  <c r="DK126" i="41"/>
  <c r="DJ126" i="41"/>
  <c r="DI126" i="41"/>
  <c r="DH126" i="41"/>
  <c r="DG126" i="41"/>
  <c r="DF126" i="41"/>
  <c r="DE126" i="41"/>
  <c r="DD126" i="41"/>
  <c r="DC126" i="41"/>
  <c r="DB126" i="41"/>
  <c r="DY125" i="41"/>
  <c r="DX125" i="41"/>
  <c r="DW125" i="41"/>
  <c r="DV125" i="41"/>
  <c r="DU125" i="41"/>
  <c r="DT125" i="41"/>
  <c r="DS125" i="41"/>
  <c r="DR125" i="41"/>
  <c r="DQ125" i="41"/>
  <c r="DP125" i="41"/>
  <c r="DO125" i="41"/>
  <c r="DN125" i="41"/>
  <c r="DM125" i="41"/>
  <c r="DL125" i="41"/>
  <c r="DK125" i="41"/>
  <c r="DJ125" i="41"/>
  <c r="DI125" i="41"/>
  <c r="DH125" i="41"/>
  <c r="DG125" i="41"/>
  <c r="DF125" i="41"/>
  <c r="DE125" i="41"/>
  <c r="DD125" i="41"/>
  <c r="DC125" i="41"/>
  <c r="DB125" i="41"/>
  <c r="DY124" i="41"/>
  <c r="DX124" i="41"/>
  <c r="DW124" i="41"/>
  <c r="DV124" i="41"/>
  <c r="DU124" i="41"/>
  <c r="DT124" i="41"/>
  <c r="DS124" i="41"/>
  <c r="DR124" i="41"/>
  <c r="DQ124" i="41"/>
  <c r="DP124" i="41"/>
  <c r="DO124" i="41"/>
  <c r="DN124" i="41"/>
  <c r="DM124" i="41"/>
  <c r="DL124" i="41"/>
  <c r="DK124" i="41"/>
  <c r="DJ124" i="41"/>
  <c r="DI124" i="41"/>
  <c r="DH124" i="41"/>
  <c r="DG124" i="41"/>
  <c r="DF124" i="41"/>
  <c r="DE124" i="41"/>
  <c r="DD124" i="41"/>
  <c r="DC124" i="41"/>
  <c r="DB124" i="41"/>
  <c r="DY123" i="41"/>
  <c r="DX123" i="41"/>
  <c r="DW123" i="41"/>
  <c r="DV123" i="41"/>
  <c r="DU123" i="41"/>
  <c r="DT123" i="41"/>
  <c r="DS123" i="41"/>
  <c r="DR123" i="41"/>
  <c r="DQ123" i="41"/>
  <c r="DP123" i="41"/>
  <c r="DO123" i="41"/>
  <c r="DN123" i="41"/>
  <c r="DM123" i="41"/>
  <c r="DL123" i="41"/>
  <c r="DK123" i="41"/>
  <c r="DJ123" i="41"/>
  <c r="DI123" i="41"/>
  <c r="DH123" i="41"/>
  <c r="DG123" i="41"/>
  <c r="DF123" i="41"/>
  <c r="DE123" i="41"/>
  <c r="DD123" i="41"/>
  <c r="DC123" i="41"/>
  <c r="DB123" i="41"/>
  <c r="DY122" i="41"/>
  <c r="DX122" i="41"/>
  <c r="DW122" i="41"/>
  <c r="DV122" i="41"/>
  <c r="DU122" i="41"/>
  <c r="DT122" i="41"/>
  <c r="DS122" i="41"/>
  <c r="DR122" i="41"/>
  <c r="DQ122" i="41"/>
  <c r="DP122" i="41"/>
  <c r="DO122" i="41"/>
  <c r="DN122" i="41"/>
  <c r="DM122" i="41"/>
  <c r="DL122" i="41"/>
  <c r="DK122" i="41"/>
  <c r="DJ122" i="41"/>
  <c r="DI122" i="41"/>
  <c r="DH122" i="41"/>
  <c r="DG122" i="41"/>
  <c r="DF122" i="41"/>
  <c r="DE122" i="41"/>
  <c r="DD122" i="41"/>
  <c r="DC122" i="41"/>
  <c r="DB122" i="41"/>
  <c r="DY121" i="41"/>
  <c r="DX121" i="41"/>
  <c r="DW121" i="41"/>
  <c r="DV121" i="41"/>
  <c r="DU121" i="41"/>
  <c r="DT121" i="41"/>
  <c r="DS121" i="41"/>
  <c r="DR121" i="41"/>
  <c r="DQ121" i="41"/>
  <c r="DP121" i="41"/>
  <c r="DO121" i="41"/>
  <c r="DN121" i="41"/>
  <c r="DM121" i="41"/>
  <c r="DL121" i="41"/>
  <c r="DK121" i="41"/>
  <c r="DJ121" i="41"/>
  <c r="DI121" i="41"/>
  <c r="DH121" i="41"/>
  <c r="DG121" i="41"/>
  <c r="DF121" i="41"/>
  <c r="DE121" i="41"/>
  <c r="DD121" i="41"/>
  <c r="DC121" i="41"/>
  <c r="DB121" i="41"/>
  <c r="DY120" i="41"/>
  <c r="DX120" i="41"/>
  <c r="DW120" i="41"/>
  <c r="DV120" i="41"/>
  <c r="DU120" i="41"/>
  <c r="DT120" i="41"/>
  <c r="DS120" i="41"/>
  <c r="DR120" i="41"/>
  <c r="DQ120" i="41"/>
  <c r="DP120" i="41"/>
  <c r="DO120" i="41"/>
  <c r="DN120" i="41"/>
  <c r="DM120" i="41"/>
  <c r="DL120" i="41"/>
  <c r="DK120" i="41"/>
  <c r="DJ120" i="41"/>
  <c r="DI120" i="41"/>
  <c r="DH120" i="41"/>
  <c r="DG120" i="41"/>
  <c r="DF120" i="41"/>
  <c r="DE120" i="41"/>
  <c r="DD120" i="41"/>
  <c r="DC120" i="41"/>
  <c r="DB120" i="41"/>
  <c r="DY111" i="41"/>
  <c r="DX111" i="41"/>
  <c r="DW111" i="41"/>
  <c r="DV111" i="41"/>
  <c r="DU111" i="41"/>
  <c r="DT111" i="41"/>
  <c r="DS111" i="41"/>
  <c r="DR111" i="41"/>
  <c r="DQ111" i="41"/>
  <c r="DP111" i="41"/>
  <c r="DO111" i="41"/>
  <c r="DN111" i="41"/>
  <c r="DM111" i="41"/>
  <c r="DL111" i="41"/>
  <c r="DK111" i="41"/>
  <c r="DJ111" i="41"/>
  <c r="DI111" i="41"/>
  <c r="DH111" i="41"/>
  <c r="DG111" i="41"/>
  <c r="DF111" i="41"/>
  <c r="DE111" i="41"/>
  <c r="DD111" i="41"/>
  <c r="DC111" i="41"/>
  <c r="DB111" i="41"/>
  <c r="DY110" i="41"/>
  <c r="DX110" i="41"/>
  <c r="DW110" i="41"/>
  <c r="DV110" i="41"/>
  <c r="DU110" i="41"/>
  <c r="DT110" i="41"/>
  <c r="DS110" i="41"/>
  <c r="DR110" i="41"/>
  <c r="DQ110" i="41"/>
  <c r="DP110" i="41"/>
  <c r="DO110" i="41"/>
  <c r="DN110" i="41"/>
  <c r="DM110" i="41"/>
  <c r="DL110" i="41"/>
  <c r="DK110" i="41"/>
  <c r="DJ110" i="41"/>
  <c r="DI110" i="41"/>
  <c r="DH110" i="41"/>
  <c r="DG110" i="41"/>
  <c r="DF110" i="41"/>
  <c r="DE110" i="41"/>
  <c r="DD110" i="41"/>
  <c r="DC110" i="41"/>
  <c r="DB110" i="41"/>
  <c r="DY109" i="41"/>
  <c r="DX109" i="41"/>
  <c r="DW109" i="41"/>
  <c r="DV109" i="41"/>
  <c r="DU109" i="41"/>
  <c r="DT109" i="41"/>
  <c r="DS109" i="41"/>
  <c r="DR109" i="41"/>
  <c r="DQ109" i="41"/>
  <c r="DP109" i="41"/>
  <c r="DO109" i="41"/>
  <c r="DN109" i="41"/>
  <c r="DM109" i="41"/>
  <c r="DL109" i="41"/>
  <c r="DK109" i="41"/>
  <c r="DJ109" i="41"/>
  <c r="DI109" i="41"/>
  <c r="DH109" i="41"/>
  <c r="DG109" i="41"/>
  <c r="DF109" i="41"/>
  <c r="DE109" i="41"/>
  <c r="DD109" i="41"/>
  <c r="DC109" i="41"/>
  <c r="DB109" i="41"/>
  <c r="DY108" i="41"/>
  <c r="DX108" i="41"/>
  <c r="DW108" i="41"/>
  <c r="DV108" i="41"/>
  <c r="DU108" i="41"/>
  <c r="DT108" i="41"/>
  <c r="DS108" i="41"/>
  <c r="DR108" i="41"/>
  <c r="DQ108" i="41"/>
  <c r="DP108" i="41"/>
  <c r="DO108" i="41"/>
  <c r="DN108" i="41"/>
  <c r="DM108" i="41"/>
  <c r="DL108" i="41"/>
  <c r="DK108" i="41"/>
  <c r="DJ108" i="41"/>
  <c r="DI108" i="41"/>
  <c r="DH108" i="41"/>
  <c r="DG108" i="41"/>
  <c r="DF108" i="41"/>
  <c r="DE108" i="41"/>
  <c r="DD108" i="41"/>
  <c r="DC108" i="41"/>
  <c r="DB108" i="41"/>
  <c r="DY107" i="41"/>
  <c r="DX107" i="41"/>
  <c r="DW107" i="41"/>
  <c r="DV107" i="41"/>
  <c r="DU107" i="41"/>
  <c r="DT107" i="41"/>
  <c r="DS107" i="41"/>
  <c r="DR107" i="41"/>
  <c r="DQ107" i="41"/>
  <c r="DP107" i="41"/>
  <c r="DO107" i="41"/>
  <c r="DN107" i="41"/>
  <c r="DM107" i="41"/>
  <c r="DL107" i="41"/>
  <c r="DK107" i="41"/>
  <c r="DJ107" i="41"/>
  <c r="DI107" i="41"/>
  <c r="DH107" i="41"/>
  <c r="DG107" i="41"/>
  <c r="DF107" i="41"/>
  <c r="DE107" i="41"/>
  <c r="DD107" i="41"/>
  <c r="DC107" i="41"/>
  <c r="DB107" i="41"/>
  <c r="DY106" i="41"/>
  <c r="DX106" i="41"/>
  <c r="DW106" i="41"/>
  <c r="DV106" i="41"/>
  <c r="DU106" i="41"/>
  <c r="DT106" i="41"/>
  <c r="DS106" i="41"/>
  <c r="DR106" i="41"/>
  <c r="DQ106" i="41"/>
  <c r="DP106" i="41"/>
  <c r="DO106" i="41"/>
  <c r="DN106" i="41"/>
  <c r="DM106" i="41"/>
  <c r="DL106" i="41"/>
  <c r="DK106" i="41"/>
  <c r="DJ106" i="41"/>
  <c r="DI106" i="41"/>
  <c r="DH106" i="41"/>
  <c r="DG106" i="41"/>
  <c r="DF106" i="41"/>
  <c r="DE106" i="41"/>
  <c r="DD106" i="41"/>
  <c r="DC106" i="41"/>
  <c r="DB106" i="41"/>
  <c r="DY105" i="41"/>
  <c r="DX105" i="41"/>
  <c r="DW105" i="41"/>
  <c r="DV105" i="41"/>
  <c r="DU105" i="41"/>
  <c r="DT105" i="41"/>
  <c r="DS105" i="41"/>
  <c r="DR105" i="41"/>
  <c r="DQ105" i="41"/>
  <c r="DP105" i="41"/>
  <c r="DO105" i="41"/>
  <c r="DN105" i="41"/>
  <c r="DM105" i="41"/>
  <c r="DL105" i="41"/>
  <c r="DK105" i="41"/>
  <c r="DJ105" i="41"/>
  <c r="DI105" i="41"/>
  <c r="DH105" i="41"/>
  <c r="DG105" i="41"/>
  <c r="DF105" i="41"/>
  <c r="DE105" i="41"/>
  <c r="DD105" i="41"/>
  <c r="DC105" i="41"/>
  <c r="DB105" i="41"/>
  <c r="DY104" i="41"/>
  <c r="DX104" i="41"/>
  <c r="DW104" i="41"/>
  <c r="DV104" i="41"/>
  <c r="DU104" i="41"/>
  <c r="DT104" i="41"/>
  <c r="DS104" i="41"/>
  <c r="DR104" i="41"/>
  <c r="DQ104" i="41"/>
  <c r="DP104" i="41"/>
  <c r="DO104" i="41"/>
  <c r="DN104" i="41"/>
  <c r="DM104" i="41"/>
  <c r="DL104" i="41"/>
  <c r="DK104" i="41"/>
  <c r="DJ104" i="41"/>
  <c r="DI104" i="41"/>
  <c r="DH104" i="41"/>
  <c r="DG104" i="41"/>
  <c r="DF104" i="41"/>
  <c r="DE104" i="41"/>
  <c r="DD104" i="41"/>
  <c r="DC104" i="41"/>
  <c r="DB104" i="41"/>
  <c r="DY103" i="41"/>
  <c r="DX103" i="41"/>
  <c r="DW103" i="41"/>
  <c r="DV103" i="41"/>
  <c r="DU103" i="41"/>
  <c r="DT103" i="41"/>
  <c r="DS103" i="41"/>
  <c r="DR103" i="41"/>
  <c r="DQ103" i="41"/>
  <c r="DP103" i="41"/>
  <c r="DO103" i="41"/>
  <c r="DN103" i="41"/>
  <c r="DM103" i="41"/>
  <c r="DL103" i="41"/>
  <c r="DK103" i="41"/>
  <c r="DJ103" i="41"/>
  <c r="DI103" i="41"/>
  <c r="DH103" i="41"/>
  <c r="DG103" i="41"/>
  <c r="DF103" i="41"/>
  <c r="DE103" i="41"/>
  <c r="DD103" i="41"/>
  <c r="DC103" i="41"/>
  <c r="DB103" i="41"/>
  <c r="DY102" i="41"/>
  <c r="DX102" i="41"/>
  <c r="DW102" i="41"/>
  <c r="DV102" i="41"/>
  <c r="DU102" i="41"/>
  <c r="DT102" i="41"/>
  <c r="DS102" i="41"/>
  <c r="DR102" i="41"/>
  <c r="DQ102" i="41"/>
  <c r="DP102" i="41"/>
  <c r="DO102" i="41"/>
  <c r="DN102" i="41"/>
  <c r="DM102" i="41"/>
  <c r="DL102" i="41"/>
  <c r="DK102" i="41"/>
  <c r="DJ102" i="41"/>
  <c r="DI102" i="41"/>
  <c r="DH102" i="41"/>
  <c r="DG102" i="41"/>
  <c r="DF102" i="41"/>
  <c r="DE102" i="41"/>
  <c r="DD102" i="41"/>
  <c r="DC102" i="41"/>
  <c r="DB102" i="41"/>
  <c r="DY101" i="41"/>
  <c r="DX101" i="41"/>
  <c r="DW101" i="41"/>
  <c r="DV101" i="41"/>
  <c r="DU101" i="41"/>
  <c r="DT101" i="41"/>
  <c r="DS101" i="41"/>
  <c r="DR101" i="41"/>
  <c r="DQ101" i="41"/>
  <c r="DP101" i="41"/>
  <c r="DO101" i="41"/>
  <c r="DN101" i="41"/>
  <c r="DM101" i="41"/>
  <c r="DL101" i="41"/>
  <c r="DK101" i="41"/>
  <c r="DJ101" i="41"/>
  <c r="DI101" i="41"/>
  <c r="DH101" i="41"/>
  <c r="DG101" i="41"/>
  <c r="DF101" i="41"/>
  <c r="DE101" i="41"/>
  <c r="DD101" i="41"/>
  <c r="DC101" i="41"/>
  <c r="DB101" i="41"/>
  <c r="DY100" i="41"/>
  <c r="DX100" i="41"/>
  <c r="DW100" i="41"/>
  <c r="DV100" i="41"/>
  <c r="DU100" i="41"/>
  <c r="DT100" i="41"/>
  <c r="DS100" i="41"/>
  <c r="DR100" i="41"/>
  <c r="DQ100" i="41"/>
  <c r="DP100" i="41"/>
  <c r="DO100" i="41"/>
  <c r="DN100" i="41"/>
  <c r="DM100" i="41"/>
  <c r="DL100" i="41"/>
  <c r="DK100" i="41"/>
  <c r="DJ100" i="41"/>
  <c r="DI100" i="41"/>
  <c r="DH100" i="41"/>
  <c r="DG100" i="41"/>
  <c r="DF100" i="41"/>
  <c r="DE100" i="41"/>
  <c r="DD100" i="41"/>
  <c r="DC100" i="41"/>
  <c r="DB100" i="41"/>
  <c r="DY99" i="41"/>
  <c r="DX99" i="41"/>
  <c r="DW99" i="41"/>
  <c r="DV99" i="41"/>
  <c r="DU99" i="41"/>
  <c r="DT99" i="41"/>
  <c r="DS99" i="41"/>
  <c r="DR99" i="41"/>
  <c r="DQ99" i="41"/>
  <c r="DP99" i="41"/>
  <c r="DO99" i="41"/>
  <c r="DN99" i="41"/>
  <c r="DM99" i="41"/>
  <c r="DL99" i="41"/>
  <c r="DK99" i="41"/>
  <c r="DJ99" i="41"/>
  <c r="DI99" i="41"/>
  <c r="DH99" i="41"/>
  <c r="DG99" i="41"/>
  <c r="DF99" i="41"/>
  <c r="DE99" i="41"/>
  <c r="DD99" i="41"/>
  <c r="DC99" i="41"/>
  <c r="DB99" i="41"/>
  <c r="DY98" i="41"/>
  <c r="DX98" i="41"/>
  <c r="DW98" i="41"/>
  <c r="DV98" i="41"/>
  <c r="DU98" i="41"/>
  <c r="DT98" i="41"/>
  <c r="DS98" i="41"/>
  <c r="DR98" i="41"/>
  <c r="DQ98" i="41"/>
  <c r="DP98" i="41"/>
  <c r="DO98" i="41"/>
  <c r="DN98" i="41"/>
  <c r="DM98" i="41"/>
  <c r="DL98" i="41"/>
  <c r="DK98" i="41"/>
  <c r="DJ98" i="41"/>
  <c r="DI98" i="41"/>
  <c r="DH98" i="41"/>
  <c r="DG98" i="41"/>
  <c r="DF98" i="41"/>
  <c r="DE98" i="41"/>
  <c r="DD98" i="41"/>
  <c r="DC98" i="41"/>
  <c r="DB98" i="41"/>
  <c r="DY89" i="41"/>
  <c r="DX89" i="41"/>
  <c r="DW89" i="41"/>
  <c r="DV89" i="41"/>
  <c r="DU89" i="41"/>
  <c r="DT89" i="41"/>
  <c r="DS89" i="41"/>
  <c r="DR89" i="41"/>
  <c r="DQ89" i="41"/>
  <c r="DP89" i="41"/>
  <c r="DO89" i="41"/>
  <c r="DN89" i="41"/>
  <c r="DM89" i="41"/>
  <c r="DL89" i="41"/>
  <c r="DK89" i="41"/>
  <c r="DJ89" i="41"/>
  <c r="DI89" i="41"/>
  <c r="DH89" i="41"/>
  <c r="DG89" i="41"/>
  <c r="DF89" i="41"/>
  <c r="DE89" i="41"/>
  <c r="DD89" i="41"/>
  <c r="DC89" i="41"/>
  <c r="DB89" i="41"/>
  <c r="DY88" i="41"/>
  <c r="DX88" i="41"/>
  <c r="DW88" i="41"/>
  <c r="DV88" i="41"/>
  <c r="DU88" i="41"/>
  <c r="DT88" i="41"/>
  <c r="DS88" i="41"/>
  <c r="DR88" i="41"/>
  <c r="DQ88" i="41"/>
  <c r="DP88" i="41"/>
  <c r="DO88" i="41"/>
  <c r="DN88" i="41"/>
  <c r="DM88" i="41"/>
  <c r="DL88" i="41"/>
  <c r="DK88" i="41"/>
  <c r="DJ88" i="41"/>
  <c r="DI88" i="41"/>
  <c r="DH88" i="41"/>
  <c r="DG88" i="41"/>
  <c r="DF88" i="41"/>
  <c r="DE88" i="41"/>
  <c r="DD88" i="41"/>
  <c r="DC88" i="41"/>
  <c r="DB88" i="41"/>
  <c r="DY87" i="41"/>
  <c r="DX87" i="41"/>
  <c r="DW87" i="41"/>
  <c r="DV87" i="41"/>
  <c r="DU87" i="41"/>
  <c r="DT87" i="41"/>
  <c r="DS87" i="41"/>
  <c r="DR87" i="41"/>
  <c r="DQ87" i="41"/>
  <c r="DP87" i="41"/>
  <c r="DO87" i="41"/>
  <c r="DN87" i="41"/>
  <c r="DM87" i="41"/>
  <c r="DL87" i="41"/>
  <c r="DK87" i="41"/>
  <c r="DJ87" i="41"/>
  <c r="DI87" i="41"/>
  <c r="DH87" i="41"/>
  <c r="DG87" i="41"/>
  <c r="DF87" i="41"/>
  <c r="DE87" i="41"/>
  <c r="DD87" i="41"/>
  <c r="DC87" i="41"/>
  <c r="DB87" i="41"/>
  <c r="DY86" i="41"/>
  <c r="DX86" i="41"/>
  <c r="DW86" i="41"/>
  <c r="DV86" i="41"/>
  <c r="DU86" i="41"/>
  <c r="DT86" i="41"/>
  <c r="DS86" i="41"/>
  <c r="DR86" i="41"/>
  <c r="DQ86" i="41"/>
  <c r="DP86" i="41"/>
  <c r="DO86" i="41"/>
  <c r="DN86" i="41"/>
  <c r="DM86" i="41"/>
  <c r="DL86" i="41"/>
  <c r="DK86" i="41"/>
  <c r="DJ86" i="41"/>
  <c r="DI86" i="41"/>
  <c r="DH86" i="41"/>
  <c r="DG86" i="41"/>
  <c r="DF86" i="41"/>
  <c r="DE86" i="41"/>
  <c r="DD86" i="41"/>
  <c r="DC86" i="41"/>
  <c r="DB86" i="41"/>
  <c r="DY85" i="41"/>
  <c r="DX85" i="41"/>
  <c r="DW85" i="41"/>
  <c r="DV85" i="41"/>
  <c r="DU85" i="41"/>
  <c r="DT85" i="41"/>
  <c r="DS85" i="41"/>
  <c r="DR85" i="41"/>
  <c r="DQ85" i="41"/>
  <c r="DP85" i="41"/>
  <c r="DO85" i="41"/>
  <c r="DN85" i="41"/>
  <c r="DM85" i="41"/>
  <c r="DL85" i="41"/>
  <c r="DK85" i="41"/>
  <c r="DJ85" i="41"/>
  <c r="DI85" i="41"/>
  <c r="DH85" i="41"/>
  <c r="DG85" i="41"/>
  <c r="DF85" i="41"/>
  <c r="DE85" i="41"/>
  <c r="DD85" i="41"/>
  <c r="DC85" i="41"/>
  <c r="DB85" i="41"/>
  <c r="DY84" i="41"/>
  <c r="DX84" i="41"/>
  <c r="DW84" i="41"/>
  <c r="DV84" i="41"/>
  <c r="DU84" i="41"/>
  <c r="DT84" i="41"/>
  <c r="DS84" i="41"/>
  <c r="DR84" i="41"/>
  <c r="DQ84" i="41"/>
  <c r="DP84" i="41"/>
  <c r="DO84" i="41"/>
  <c r="DN84" i="41"/>
  <c r="DM84" i="41"/>
  <c r="DL84" i="41"/>
  <c r="DK84" i="41"/>
  <c r="DJ84" i="41"/>
  <c r="DI84" i="41"/>
  <c r="DH84" i="41"/>
  <c r="DG84" i="41"/>
  <c r="DF84" i="41"/>
  <c r="DE84" i="41"/>
  <c r="DD84" i="41"/>
  <c r="DC84" i="41"/>
  <c r="DB84" i="41"/>
  <c r="DY83" i="41"/>
  <c r="DX83" i="41"/>
  <c r="DW83" i="41"/>
  <c r="DV83" i="41"/>
  <c r="DU83" i="41"/>
  <c r="DT83" i="41"/>
  <c r="DS83" i="41"/>
  <c r="DR83" i="41"/>
  <c r="DQ83" i="41"/>
  <c r="DP83" i="41"/>
  <c r="DO83" i="41"/>
  <c r="DN83" i="41"/>
  <c r="DM83" i="41"/>
  <c r="DL83" i="41"/>
  <c r="DK83" i="41"/>
  <c r="DJ83" i="41"/>
  <c r="DI83" i="41"/>
  <c r="DH83" i="41"/>
  <c r="DG83" i="41"/>
  <c r="DF83" i="41"/>
  <c r="DE83" i="41"/>
  <c r="DD83" i="41"/>
  <c r="DC83" i="41"/>
  <c r="DB83" i="41"/>
  <c r="DY82" i="41"/>
  <c r="DX82" i="41"/>
  <c r="DW82" i="41"/>
  <c r="DV82" i="41"/>
  <c r="DU82" i="41"/>
  <c r="DT82" i="41"/>
  <c r="DS82" i="41"/>
  <c r="DR82" i="41"/>
  <c r="DQ82" i="41"/>
  <c r="DP82" i="41"/>
  <c r="DO82" i="41"/>
  <c r="DN82" i="41"/>
  <c r="DM82" i="41"/>
  <c r="DL82" i="41"/>
  <c r="DK82" i="41"/>
  <c r="DJ82" i="41"/>
  <c r="DI82" i="41"/>
  <c r="DH82" i="41"/>
  <c r="DG82" i="41"/>
  <c r="DF82" i="41"/>
  <c r="DE82" i="41"/>
  <c r="DD82" i="41"/>
  <c r="DC82" i="41"/>
  <c r="DB82" i="41"/>
  <c r="DY81" i="41"/>
  <c r="DX81" i="41"/>
  <c r="DW81" i="41"/>
  <c r="DV81" i="41"/>
  <c r="DU81" i="41"/>
  <c r="DT81" i="41"/>
  <c r="DS81" i="41"/>
  <c r="DR81" i="41"/>
  <c r="DQ81" i="41"/>
  <c r="DP81" i="41"/>
  <c r="DO81" i="41"/>
  <c r="DN81" i="41"/>
  <c r="DM81" i="41"/>
  <c r="DL81" i="41"/>
  <c r="DK81" i="41"/>
  <c r="DJ81" i="41"/>
  <c r="DI81" i="41"/>
  <c r="DH81" i="41"/>
  <c r="DG81" i="41"/>
  <c r="DF81" i="41"/>
  <c r="DE81" i="41"/>
  <c r="DD81" i="41"/>
  <c r="DC81" i="41"/>
  <c r="DB81" i="41"/>
  <c r="DY80" i="41"/>
  <c r="DX80" i="41"/>
  <c r="DW80" i="41"/>
  <c r="DV80" i="41"/>
  <c r="DU80" i="41"/>
  <c r="DT80" i="41"/>
  <c r="DS80" i="41"/>
  <c r="DR80" i="41"/>
  <c r="DQ80" i="41"/>
  <c r="DP80" i="41"/>
  <c r="DO80" i="41"/>
  <c r="DN80" i="41"/>
  <c r="DM80" i="41"/>
  <c r="DL80" i="41"/>
  <c r="DK80" i="41"/>
  <c r="DJ80" i="41"/>
  <c r="DI80" i="41"/>
  <c r="DH80" i="41"/>
  <c r="DG80" i="41"/>
  <c r="DF80" i="41"/>
  <c r="DE80" i="41"/>
  <c r="DD80" i="41"/>
  <c r="DC80" i="41"/>
  <c r="DB80" i="41"/>
  <c r="DY79" i="41"/>
  <c r="DX79" i="41"/>
  <c r="DW79" i="41"/>
  <c r="DV79" i="41"/>
  <c r="DU79" i="41"/>
  <c r="DT79" i="41"/>
  <c r="DS79" i="41"/>
  <c r="DR79" i="41"/>
  <c r="DQ79" i="41"/>
  <c r="DP79" i="41"/>
  <c r="DO79" i="41"/>
  <c r="DN79" i="41"/>
  <c r="DM79" i="41"/>
  <c r="DL79" i="41"/>
  <c r="DK79" i="41"/>
  <c r="DJ79" i="41"/>
  <c r="DI79" i="41"/>
  <c r="DH79" i="41"/>
  <c r="DG79" i="41"/>
  <c r="DF79" i="41"/>
  <c r="DE79" i="41"/>
  <c r="DD79" i="41"/>
  <c r="DC79" i="41"/>
  <c r="DB79" i="41"/>
  <c r="DY78" i="41"/>
  <c r="DX78" i="41"/>
  <c r="DW78" i="41"/>
  <c r="DV78" i="41"/>
  <c r="DU78" i="41"/>
  <c r="DT78" i="41"/>
  <c r="DS78" i="41"/>
  <c r="DR78" i="41"/>
  <c r="DQ78" i="41"/>
  <c r="DP78" i="41"/>
  <c r="DO78" i="41"/>
  <c r="DN78" i="41"/>
  <c r="DM78" i="41"/>
  <c r="DL78" i="41"/>
  <c r="DK78" i="41"/>
  <c r="DJ78" i="41"/>
  <c r="DI78" i="41"/>
  <c r="DH78" i="41"/>
  <c r="DG78" i="41"/>
  <c r="DF78" i="41"/>
  <c r="DE78" i="41"/>
  <c r="DD78" i="41"/>
  <c r="DC78" i="41"/>
  <c r="DB78" i="41"/>
  <c r="DY77" i="41"/>
  <c r="DX77" i="41"/>
  <c r="DW77" i="41"/>
  <c r="DV77" i="41"/>
  <c r="DU77" i="41"/>
  <c r="DT77" i="41"/>
  <c r="DS77" i="41"/>
  <c r="DR77" i="41"/>
  <c r="DQ77" i="41"/>
  <c r="DP77" i="41"/>
  <c r="DO77" i="41"/>
  <c r="DN77" i="41"/>
  <c r="DM77" i="41"/>
  <c r="DL77" i="41"/>
  <c r="DK77" i="41"/>
  <c r="DJ77" i="41"/>
  <c r="DI77" i="41"/>
  <c r="DH77" i="41"/>
  <c r="DG77" i="41"/>
  <c r="DF77" i="41"/>
  <c r="DE77" i="41"/>
  <c r="DD77" i="41"/>
  <c r="DC77" i="41"/>
  <c r="DB77" i="41"/>
  <c r="DY76" i="41"/>
  <c r="DX76" i="41"/>
  <c r="DW76" i="41"/>
  <c r="DV76" i="41"/>
  <c r="DU76" i="41"/>
  <c r="DT76" i="41"/>
  <c r="DS76" i="41"/>
  <c r="DR76" i="41"/>
  <c r="DQ76" i="41"/>
  <c r="DP76" i="41"/>
  <c r="DO76" i="41"/>
  <c r="DN76" i="41"/>
  <c r="DM76" i="41"/>
  <c r="DL76" i="41"/>
  <c r="DK76" i="41"/>
  <c r="DJ76" i="41"/>
  <c r="DI76" i="41"/>
  <c r="DH76" i="41"/>
  <c r="DG76" i="41"/>
  <c r="DF76" i="41"/>
  <c r="DE76" i="41"/>
  <c r="DD76" i="41"/>
  <c r="DC76" i="41"/>
  <c r="DB76" i="41"/>
  <c r="DY67" i="41"/>
  <c r="DX67" i="41"/>
  <c r="DW67" i="41"/>
  <c r="DV67" i="41"/>
  <c r="DU67" i="41"/>
  <c r="DT67" i="41"/>
  <c r="DS67" i="41"/>
  <c r="DR67" i="41"/>
  <c r="DQ67" i="41"/>
  <c r="DP67" i="41"/>
  <c r="DO67" i="41"/>
  <c r="DN67" i="41"/>
  <c r="DM67" i="41"/>
  <c r="DL67" i="41"/>
  <c r="DK67" i="41"/>
  <c r="DJ67" i="41"/>
  <c r="DI67" i="41"/>
  <c r="DH67" i="41"/>
  <c r="DG67" i="41"/>
  <c r="DF67" i="41"/>
  <c r="DE67" i="41"/>
  <c r="DD67" i="41"/>
  <c r="DC67" i="41"/>
  <c r="DB67" i="41"/>
  <c r="DY66" i="41"/>
  <c r="DX66" i="41"/>
  <c r="DW66" i="41"/>
  <c r="DV66" i="41"/>
  <c r="DU66" i="41"/>
  <c r="DT66" i="41"/>
  <c r="DS66" i="41"/>
  <c r="DR66" i="41"/>
  <c r="DQ66" i="41"/>
  <c r="DP66" i="41"/>
  <c r="DO66" i="41"/>
  <c r="DN66" i="41"/>
  <c r="DM66" i="41"/>
  <c r="DL66" i="41"/>
  <c r="DK66" i="41"/>
  <c r="DJ66" i="41"/>
  <c r="DI66" i="41"/>
  <c r="DH66" i="41"/>
  <c r="DG66" i="41"/>
  <c r="DF66" i="41"/>
  <c r="DE66" i="41"/>
  <c r="DD66" i="41"/>
  <c r="DC66" i="41"/>
  <c r="DB66" i="41"/>
  <c r="DY65" i="41"/>
  <c r="DX65" i="41"/>
  <c r="DW65" i="41"/>
  <c r="DV65" i="41"/>
  <c r="DU65" i="41"/>
  <c r="DT65" i="41"/>
  <c r="DS65" i="41"/>
  <c r="DR65" i="41"/>
  <c r="DQ65" i="41"/>
  <c r="DP65" i="41"/>
  <c r="DO65" i="41"/>
  <c r="DN65" i="41"/>
  <c r="DM65" i="41"/>
  <c r="DL65" i="41"/>
  <c r="DK65" i="41"/>
  <c r="DJ65" i="41"/>
  <c r="DI65" i="41"/>
  <c r="DH65" i="41"/>
  <c r="DG65" i="41"/>
  <c r="DF65" i="41"/>
  <c r="DE65" i="41"/>
  <c r="DD65" i="41"/>
  <c r="DC65" i="41"/>
  <c r="DB65" i="41"/>
  <c r="DY64" i="41"/>
  <c r="DX64" i="41"/>
  <c r="DW64" i="41"/>
  <c r="DV64" i="41"/>
  <c r="DU64" i="41"/>
  <c r="DT64" i="41"/>
  <c r="DS64" i="41"/>
  <c r="DR64" i="41"/>
  <c r="DQ64" i="41"/>
  <c r="DP64" i="41"/>
  <c r="DO64" i="41"/>
  <c r="DN64" i="41"/>
  <c r="DM64" i="41"/>
  <c r="DL64" i="41"/>
  <c r="DK64" i="41"/>
  <c r="DJ64" i="41"/>
  <c r="DI64" i="41"/>
  <c r="DH64" i="41"/>
  <c r="DG64" i="41"/>
  <c r="DF64" i="41"/>
  <c r="DE64" i="41"/>
  <c r="DD64" i="41"/>
  <c r="DC64" i="41"/>
  <c r="DB64" i="41"/>
  <c r="DY63" i="41"/>
  <c r="DX63" i="41"/>
  <c r="DW63" i="41"/>
  <c r="DV63" i="41"/>
  <c r="DU63" i="41"/>
  <c r="DT63" i="41"/>
  <c r="DS63" i="41"/>
  <c r="DR63" i="41"/>
  <c r="DQ63" i="41"/>
  <c r="DP63" i="41"/>
  <c r="DO63" i="41"/>
  <c r="DN63" i="41"/>
  <c r="DM63" i="41"/>
  <c r="DL63" i="41"/>
  <c r="DK63" i="41"/>
  <c r="DJ63" i="41"/>
  <c r="DI63" i="41"/>
  <c r="DH63" i="41"/>
  <c r="DG63" i="41"/>
  <c r="DF63" i="41"/>
  <c r="DE63" i="41"/>
  <c r="DD63" i="41"/>
  <c r="DC63" i="41"/>
  <c r="DB63" i="41"/>
  <c r="DY62" i="41"/>
  <c r="DX62" i="41"/>
  <c r="DW62" i="41"/>
  <c r="DV62" i="41"/>
  <c r="DU62" i="41"/>
  <c r="DT62" i="41"/>
  <c r="DS62" i="41"/>
  <c r="DR62" i="41"/>
  <c r="DQ62" i="41"/>
  <c r="DP62" i="41"/>
  <c r="DO62" i="41"/>
  <c r="DN62" i="41"/>
  <c r="DM62" i="41"/>
  <c r="DL62" i="41"/>
  <c r="DK62" i="41"/>
  <c r="DJ62" i="41"/>
  <c r="DI62" i="41"/>
  <c r="DH62" i="41"/>
  <c r="DG62" i="41"/>
  <c r="DF62" i="41"/>
  <c r="DE62" i="41"/>
  <c r="DD62" i="41"/>
  <c r="DC62" i="41"/>
  <c r="DB62" i="41"/>
  <c r="DY61" i="41"/>
  <c r="DX61" i="41"/>
  <c r="DW61" i="41"/>
  <c r="DV61" i="41"/>
  <c r="DU61" i="41"/>
  <c r="DT61" i="41"/>
  <c r="DS61" i="41"/>
  <c r="DR61" i="41"/>
  <c r="DQ61" i="41"/>
  <c r="DP61" i="41"/>
  <c r="DO61" i="41"/>
  <c r="DN61" i="41"/>
  <c r="DM61" i="41"/>
  <c r="DL61" i="41"/>
  <c r="DK61" i="41"/>
  <c r="DJ61" i="41"/>
  <c r="DI61" i="41"/>
  <c r="DH61" i="41"/>
  <c r="DG61" i="41"/>
  <c r="DF61" i="41"/>
  <c r="DE61" i="41"/>
  <c r="DD61" i="41"/>
  <c r="DC61" i="41"/>
  <c r="DB61" i="41"/>
  <c r="DY60" i="41"/>
  <c r="DX60" i="41"/>
  <c r="DW60" i="41"/>
  <c r="DV60" i="41"/>
  <c r="DU60" i="41"/>
  <c r="DT60" i="41"/>
  <c r="DS60" i="41"/>
  <c r="DR60" i="41"/>
  <c r="DQ60" i="41"/>
  <c r="DP60" i="41"/>
  <c r="DO60" i="41"/>
  <c r="DN60" i="41"/>
  <c r="DM60" i="41"/>
  <c r="DL60" i="41"/>
  <c r="DK60" i="41"/>
  <c r="DJ60" i="41"/>
  <c r="DI60" i="41"/>
  <c r="DH60" i="41"/>
  <c r="DG60" i="41"/>
  <c r="DF60" i="41"/>
  <c r="DE60" i="41"/>
  <c r="DD60" i="41"/>
  <c r="DC60" i="41"/>
  <c r="DB60" i="41"/>
  <c r="DY59" i="41"/>
  <c r="DX59" i="41"/>
  <c r="DW59" i="41"/>
  <c r="DV59" i="41"/>
  <c r="DU59" i="41"/>
  <c r="DT59" i="41"/>
  <c r="DS59" i="41"/>
  <c r="DR59" i="41"/>
  <c r="DQ59" i="41"/>
  <c r="DP59" i="41"/>
  <c r="DO59" i="41"/>
  <c r="DN59" i="41"/>
  <c r="DM59" i="41"/>
  <c r="DL59" i="41"/>
  <c r="DK59" i="41"/>
  <c r="DJ59" i="41"/>
  <c r="DI59" i="41"/>
  <c r="DH59" i="41"/>
  <c r="DG59" i="41"/>
  <c r="DF59" i="41"/>
  <c r="DE59" i="41"/>
  <c r="DD59" i="41"/>
  <c r="DC59" i="41"/>
  <c r="DB59" i="41"/>
  <c r="DY58" i="41"/>
  <c r="DX58" i="41"/>
  <c r="DW58" i="41"/>
  <c r="DV58" i="41"/>
  <c r="DU58" i="41"/>
  <c r="DT58" i="41"/>
  <c r="DS58" i="41"/>
  <c r="DR58" i="41"/>
  <c r="DQ58" i="41"/>
  <c r="DP58" i="41"/>
  <c r="DO58" i="41"/>
  <c r="DN58" i="41"/>
  <c r="DM58" i="41"/>
  <c r="DL58" i="41"/>
  <c r="DK58" i="41"/>
  <c r="DJ58" i="41"/>
  <c r="DI58" i="41"/>
  <c r="DH58" i="41"/>
  <c r="DG58" i="41"/>
  <c r="DF58" i="41"/>
  <c r="DE58" i="41"/>
  <c r="DD58" i="41"/>
  <c r="DC58" i="41"/>
  <c r="DB58" i="41"/>
  <c r="DY57" i="41"/>
  <c r="DX57" i="41"/>
  <c r="DW57" i="41"/>
  <c r="DV57" i="41"/>
  <c r="DU57" i="41"/>
  <c r="DT57" i="41"/>
  <c r="DS57" i="41"/>
  <c r="DR57" i="41"/>
  <c r="DQ57" i="41"/>
  <c r="DP57" i="41"/>
  <c r="DO57" i="41"/>
  <c r="DN57" i="41"/>
  <c r="DM57" i="41"/>
  <c r="DL57" i="41"/>
  <c r="DK57" i="41"/>
  <c r="DJ57" i="41"/>
  <c r="DI57" i="41"/>
  <c r="DH57" i="41"/>
  <c r="DG57" i="41"/>
  <c r="DF57" i="41"/>
  <c r="DE57" i="41"/>
  <c r="DD57" i="41"/>
  <c r="DC57" i="41"/>
  <c r="DB57" i="41"/>
  <c r="DY56" i="41"/>
  <c r="DX56" i="41"/>
  <c r="DW56" i="41"/>
  <c r="DV56" i="41"/>
  <c r="DU56" i="41"/>
  <c r="DT56" i="41"/>
  <c r="DS56" i="41"/>
  <c r="DR56" i="41"/>
  <c r="DQ56" i="41"/>
  <c r="DP56" i="41"/>
  <c r="DO56" i="41"/>
  <c r="DN56" i="41"/>
  <c r="DM56" i="41"/>
  <c r="DL56" i="41"/>
  <c r="DK56" i="41"/>
  <c r="DJ56" i="41"/>
  <c r="DI56" i="41"/>
  <c r="DH56" i="41"/>
  <c r="DG56" i="41"/>
  <c r="DF56" i="41"/>
  <c r="DE56" i="41"/>
  <c r="DD56" i="41"/>
  <c r="DC56" i="41"/>
  <c r="DB56" i="41"/>
  <c r="DY55" i="41"/>
  <c r="DX55" i="41"/>
  <c r="DW55" i="41"/>
  <c r="DV55" i="41"/>
  <c r="DU55" i="41"/>
  <c r="DT55" i="41"/>
  <c r="DS55" i="41"/>
  <c r="DR55" i="41"/>
  <c r="DQ55" i="41"/>
  <c r="DP55" i="41"/>
  <c r="DO55" i="41"/>
  <c r="DN55" i="41"/>
  <c r="DM55" i="41"/>
  <c r="DL55" i="41"/>
  <c r="DK55" i="41"/>
  <c r="DJ55" i="41"/>
  <c r="DI55" i="41"/>
  <c r="DH55" i="41"/>
  <c r="DG55" i="41"/>
  <c r="DF55" i="41"/>
  <c r="DE55" i="41"/>
  <c r="DD55" i="41"/>
  <c r="DC55" i="41"/>
  <c r="DB55" i="41"/>
  <c r="DY54" i="41"/>
  <c r="DX54" i="41"/>
  <c r="DW54" i="41"/>
  <c r="DV54" i="41"/>
  <c r="DU54" i="41"/>
  <c r="DT54" i="41"/>
  <c r="DS54" i="41"/>
  <c r="DR54" i="41"/>
  <c r="DQ54" i="41"/>
  <c r="DP54" i="41"/>
  <c r="DO54" i="41"/>
  <c r="DN54" i="41"/>
  <c r="DM54" i="41"/>
  <c r="DL54" i="41"/>
  <c r="DK54" i="41"/>
  <c r="DJ54" i="41"/>
  <c r="DI54" i="41"/>
  <c r="DH54" i="41"/>
  <c r="DG54" i="41"/>
  <c r="DF54" i="41"/>
  <c r="DE54" i="41"/>
  <c r="DD54" i="41"/>
  <c r="DC54" i="41"/>
  <c r="DB54" i="41"/>
  <c r="DY41" i="41"/>
  <c r="DX41" i="41"/>
  <c r="DW41" i="41"/>
  <c r="DV41" i="41"/>
  <c r="DU41" i="41"/>
  <c r="DT41" i="41"/>
  <c r="DS41" i="41"/>
  <c r="DR41" i="41"/>
  <c r="DQ41" i="41"/>
  <c r="DP41" i="41"/>
  <c r="DO41" i="41"/>
  <c r="DN41" i="41"/>
  <c r="DM41" i="41"/>
  <c r="DL41" i="41"/>
  <c r="DK41" i="41"/>
  <c r="DJ41" i="41"/>
  <c r="DI41" i="41"/>
  <c r="DH41" i="41"/>
  <c r="DG41" i="41"/>
  <c r="DF41" i="41"/>
  <c r="DE41" i="41"/>
  <c r="DD41" i="41"/>
  <c r="DC41" i="41"/>
  <c r="DB41" i="41"/>
  <c r="DY40" i="41"/>
  <c r="DX40" i="41"/>
  <c r="DW40" i="41"/>
  <c r="DV40" i="41"/>
  <c r="DU40" i="41"/>
  <c r="DT40" i="41"/>
  <c r="DS40" i="41"/>
  <c r="DR40" i="41"/>
  <c r="DQ40" i="41"/>
  <c r="DP40" i="41"/>
  <c r="DO40" i="41"/>
  <c r="DN40" i="41"/>
  <c r="DM40" i="41"/>
  <c r="DL40" i="41"/>
  <c r="DK40" i="41"/>
  <c r="DJ40" i="41"/>
  <c r="DI40" i="41"/>
  <c r="DH40" i="41"/>
  <c r="DG40" i="41"/>
  <c r="DF40" i="41"/>
  <c r="DE40" i="41"/>
  <c r="DD40" i="41"/>
  <c r="DC40" i="41"/>
  <c r="DB40" i="41"/>
  <c r="DY39" i="41"/>
  <c r="DX39" i="41"/>
  <c r="DW39" i="41"/>
  <c r="DV39" i="41"/>
  <c r="DU39" i="41"/>
  <c r="DT39" i="41"/>
  <c r="DS39" i="41"/>
  <c r="DR39" i="41"/>
  <c r="DQ39" i="41"/>
  <c r="DP39" i="41"/>
  <c r="DO39" i="41"/>
  <c r="DN39" i="41"/>
  <c r="DM39" i="41"/>
  <c r="DL39" i="41"/>
  <c r="DK39" i="41"/>
  <c r="DJ39" i="41"/>
  <c r="DI39" i="41"/>
  <c r="DH39" i="41"/>
  <c r="DG39" i="41"/>
  <c r="DF39" i="41"/>
  <c r="DE39" i="41"/>
  <c r="DD39" i="41"/>
  <c r="DC39" i="41"/>
  <c r="DB39" i="41"/>
  <c r="DY38" i="41"/>
  <c r="DX38" i="41"/>
  <c r="DW38" i="41"/>
  <c r="DV38" i="41"/>
  <c r="DU38" i="41"/>
  <c r="DT38" i="41"/>
  <c r="DS38" i="41"/>
  <c r="DR38" i="41"/>
  <c r="DQ38" i="41"/>
  <c r="DP38" i="41"/>
  <c r="DO38" i="41"/>
  <c r="DN38" i="41"/>
  <c r="DM38" i="41"/>
  <c r="DL38" i="41"/>
  <c r="DK38" i="41"/>
  <c r="DJ38" i="41"/>
  <c r="DI38" i="41"/>
  <c r="DH38" i="41"/>
  <c r="DG38" i="41"/>
  <c r="DF38" i="41"/>
  <c r="DE38" i="41"/>
  <c r="DD38" i="41"/>
  <c r="DC38" i="41"/>
  <c r="DB38" i="41"/>
  <c r="DY37" i="41"/>
  <c r="DX37" i="41"/>
  <c r="DW37" i="41"/>
  <c r="DV37" i="41"/>
  <c r="DU37" i="41"/>
  <c r="DT37" i="41"/>
  <c r="DS37" i="41"/>
  <c r="DR37" i="41"/>
  <c r="DQ37" i="41"/>
  <c r="DP37" i="41"/>
  <c r="DO37" i="41"/>
  <c r="DN37" i="41"/>
  <c r="DM37" i="41"/>
  <c r="DL37" i="41"/>
  <c r="DK37" i="41"/>
  <c r="DJ37" i="41"/>
  <c r="DI37" i="41"/>
  <c r="DH37" i="41"/>
  <c r="DG37" i="41"/>
  <c r="DF37" i="41"/>
  <c r="DE37" i="41"/>
  <c r="DD37" i="41"/>
  <c r="DC37" i="41"/>
  <c r="DB37" i="41"/>
  <c r="DY36" i="41"/>
  <c r="DX36" i="41"/>
  <c r="DW36" i="41"/>
  <c r="DV36" i="41"/>
  <c r="DU36" i="41"/>
  <c r="DT36" i="41"/>
  <c r="DS36" i="41"/>
  <c r="DR36" i="41"/>
  <c r="DQ36" i="41"/>
  <c r="DP36" i="41"/>
  <c r="DO36" i="41"/>
  <c r="DN36" i="41"/>
  <c r="DM36" i="41"/>
  <c r="DL36" i="41"/>
  <c r="DK36" i="41"/>
  <c r="DJ36" i="41"/>
  <c r="DI36" i="41"/>
  <c r="DH36" i="41"/>
  <c r="DG36" i="41"/>
  <c r="DF36" i="41"/>
  <c r="DE36" i="41"/>
  <c r="DD36" i="41"/>
  <c r="DC36" i="41"/>
  <c r="DB36" i="41"/>
  <c r="DY35" i="41"/>
  <c r="DX35" i="41"/>
  <c r="DW35" i="41"/>
  <c r="DV35" i="41"/>
  <c r="DU35" i="41"/>
  <c r="DT35" i="41"/>
  <c r="DS35" i="41"/>
  <c r="DR35" i="41"/>
  <c r="DQ35" i="41"/>
  <c r="DP35" i="41"/>
  <c r="DO35" i="41"/>
  <c r="DN35" i="41"/>
  <c r="DM35" i="41"/>
  <c r="DL35" i="41"/>
  <c r="DK35" i="41"/>
  <c r="DJ35" i="41"/>
  <c r="DI35" i="41"/>
  <c r="DH35" i="41"/>
  <c r="DG35" i="41"/>
  <c r="DF35" i="41"/>
  <c r="DE35" i="41"/>
  <c r="DD35" i="41"/>
  <c r="DC35" i="41"/>
  <c r="DB35" i="41"/>
  <c r="DY34" i="41"/>
  <c r="DX34" i="41"/>
  <c r="DW34" i="41"/>
  <c r="DV34" i="41"/>
  <c r="DU34" i="41"/>
  <c r="DT34" i="41"/>
  <c r="DS34" i="41"/>
  <c r="DR34" i="41"/>
  <c r="DQ34" i="41"/>
  <c r="DP34" i="41"/>
  <c r="DO34" i="41"/>
  <c r="DN34" i="41"/>
  <c r="DM34" i="41"/>
  <c r="DL34" i="41"/>
  <c r="DK34" i="41"/>
  <c r="DJ34" i="41"/>
  <c r="DI34" i="41"/>
  <c r="DH34" i="41"/>
  <c r="DG34" i="41"/>
  <c r="DF34" i="41"/>
  <c r="DE34" i="41"/>
  <c r="DD34" i="41"/>
  <c r="DC34" i="41"/>
  <c r="DB34" i="41"/>
  <c r="DY33" i="41"/>
  <c r="DX33" i="41"/>
  <c r="DW33" i="41"/>
  <c r="DV33" i="41"/>
  <c r="DU33" i="41"/>
  <c r="DT33" i="41"/>
  <c r="DS33" i="41"/>
  <c r="DR33" i="41"/>
  <c r="DQ33" i="41"/>
  <c r="DP33" i="41"/>
  <c r="DO33" i="41"/>
  <c r="DN33" i="41"/>
  <c r="DM33" i="41"/>
  <c r="DL33" i="41"/>
  <c r="DK33" i="41"/>
  <c r="DJ33" i="41"/>
  <c r="DI33" i="41"/>
  <c r="DH33" i="41"/>
  <c r="DG33" i="41"/>
  <c r="DF33" i="41"/>
  <c r="DE33" i="41"/>
  <c r="DD33" i="41"/>
  <c r="DC33" i="41"/>
  <c r="DB33" i="41"/>
  <c r="DY32" i="41"/>
  <c r="DX32" i="41"/>
  <c r="DW32" i="41"/>
  <c r="DV32" i="41"/>
  <c r="DU32" i="41"/>
  <c r="DT32" i="41"/>
  <c r="DS32" i="41"/>
  <c r="DR32" i="41"/>
  <c r="DQ32" i="41"/>
  <c r="DP32" i="41"/>
  <c r="DO32" i="41"/>
  <c r="DN32" i="41"/>
  <c r="DM32" i="41"/>
  <c r="DL32" i="41"/>
  <c r="DK32" i="41"/>
  <c r="DJ32" i="41"/>
  <c r="DI32" i="41"/>
  <c r="DH32" i="41"/>
  <c r="DG32" i="41"/>
  <c r="DF32" i="41"/>
  <c r="DE32" i="41"/>
  <c r="DD32" i="41"/>
  <c r="DC32" i="41"/>
  <c r="DB32" i="41"/>
  <c r="DY31" i="41"/>
  <c r="DX31" i="41"/>
  <c r="DW31" i="41"/>
  <c r="DV31" i="41"/>
  <c r="DU31" i="41"/>
  <c r="DT31" i="41"/>
  <c r="DS31" i="41"/>
  <c r="DR31" i="41"/>
  <c r="DQ31" i="41"/>
  <c r="DP31" i="41"/>
  <c r="DO31" i="41"/>
  <c r="DN31" i="41"/>
  <c r="DM31" i="41"/>
  <c r="DL31" i="41"/>
  <c r="DK31" i="41"/>
  <c r="DJ31" i="41"/>
  <c r="DI31" i="41"/>
  <c r="DH31" i="41"/>
  <c r="DG31" i="41"/>
  <c r="DF31" i="41"/>
  <c r="DE31" i="41"/>
  <c r="DD31" i="41"/>
  <c r="DC31" i="41"/>
  <c r="DB31" i="41"/>
  <c r="DY30" i="41"/>
  <c r="DX30" i="41"/>
  <c r="DW30" i="41"/>
  <c r="DV30" i="41"/>
  <c r="DU30" i="41"/>
  <c r="DT30" i="41"/>
  <c r="DS30" i="41"/>
  <c r="DR30" i="41"/>
  <c r="DQ30" i="41"/>
  <c r="DP30" i="41"/>
  <c r="DO30" i="41"/>
  <c r="DN30" i="41"/>
  <c r="DM30" i="41"/>
  <c r="DL30" i="41"/>
  <c r="DK30" i="41"/>
  <c r="DJ30" i="41"/>
  <c r="DI30" i="41"/>
  <c r="DH30" i="41"/>
  <c r="DG30" i="41"/>
  <c r="DF30" i="41"/>
  <c r="DE30" i="41"/>
  <c r="DD30" i="41"/>
  <c r="DC30" i="41"/>
  <c r="DB30" i="41"/>
  <c r="DY29" i="41"/>
  <c r="DX29" i="41"/>
  <c r="DW29" i="41"/>
  <c r="DV29" i="41"/>
  <c r="DU29" i="41"/>
  <c r="DT29" i="41"/>
  <c r="DS29" i="41"/>
  <c r="DR29" i="41"/>
  <c r="DQ29" i="41"/>
  <c r="DP29" i="41"/>
  <c r="DO29" i="41"/>
  <c r="DN29" i="41"/>
  <c r="DM29" i="41"/>
  <c r="DL29" i="41"/>
  <c r="DK29" i="41"/>
  <c r="DJ29" i="41"/>
  <c r="DI29" i="41"/>
  <c r="DH29" i="41"/>
  <c r="DG29" i="41"/>
  <c r="DF29" i="41"/>
  <c r="DE29" i="41"/>
  <c r="DD29" i="41"/>
  <c r="DC29" i="41"/>
  <c r="DB29" i="41"/>
  <c r="DY28" i="41"/>
  <c r="DX28" i="41"/>
  <c r="DW28" i="41"/>
  <c r="DV28" i="41"/>
  <c r="DU28" i="41"/>
  <c r="DT28" i="41"/>
  <c r="DS28" i="41"/>
  <c r="DR28" i="41"/>
  <c r="DQ28" i="41"/>
  <c r="DP28" i="41"/>
  <c r="DO28" i="41"/>
  <c r="DN28" i="41"/>
  <c r="DM28" i="41"/>
  <c r="DL28" i="41"/>
  <c r="DK28" i="41"/>
  <c r="DJ28" i="41"/>
  <c r="DI28" i="41"/>
  <c r="DH28" i="41"/>
  <c r="DG28" i="41"/>
  <c r="DF28" i="41"/>
  <c r="DE28" i="41"/>
  <c r="DD28" i="41"/>
  <c r="DC28" i="41"/>
  <c r="DB28" i="41"/>
  <c r="DC9" i="41"/>
  <c r="DD9" i="41"/>
  <c r="DE9" i="41"/>
  <c r="DF9" i="41"/>
  <c r="DG9" i="41"/>
  <c r="DH9" i="41"/>
  <c r="DI9" i="41"/>
  <c r="DJ9" i="41"/>
  <c r="DK9" i="41"/>
  <c r="DL9" i="41"/>
  <c r="DM9" i="41"/>
  <c r="DN9" i="41"/>
  <c r="DO9" i="41"/>
  <c r="DP9" i="41"/>
  <c r="DQ9" i="41"/>
  <c r="DR9" i="41"/>
  <c r="DS9" i="41"/>
  <c r="DT9" i="41"/>
  <c r="DU9" i="41"/>
  <c r="DV9" i="41"/>
  <c r="DW9" i="41"/>
  <c r="DX9" i="41"/>
  <c r="DY9" i="41"/>
  <c r="DC10" i="41"/>
  <c r="DD10" i="41"/>
  <c r="DE10" i="41"/>
  <c r="DF10" i="41"/>
  <c r="DG10" i="41"/>
  <c r="DH10" i="41"/>
  <c r="DI10" i="41"/>
  <c r="DJ10" i="41"/>
  <c r="DK10" i="41"/>
  <c r="DL10" i="41"/>
  <c r="DM10" i="41"/>
  <c r="DN10" i="41"/>
  <c r="DO10" i="41"/>
  <c r="DP10" i="41"/>
  <c r="DQ10" i="41"/>
  <c r="DR10" i="41"/>
  <c r="DS10" i="41"/>
  <c r="DT10" i="41"/>
  <c r="DU10" i="41"/>
  <c r="DV10" i="41"/>
  <c r="DW10" i="41"/>
  <c r="DX10" i="41"/>
  <c r="DY10" i="41"/>
  <c r="DC11" i="41"/>
  <c r="DD11" i="41"/>
  <c r="DE11" i="41"/>
  <c r="DF11" i="41"/>
  <c r="DG11" i="41"/>
  <c r="DH11" i="41"/>
  <c r="DI11" i="41"/>
  <c r="DJ11" i="41"/>
  <c r="DK11" i="41"/>
  <c r="DL11" i="41"/>
  <c r="DM11" i="41"/>
  <c r="DN11" i="41"/>
  <c r="DO11" i="41"/>
  <c r="DP11" i="41"/>
  <c r="DQ11" i="41"/>
  <c r="DR11" i="41"/>
  <c r="DS11" i="41"/>
  <c r="DT11" i="41"/>
  <c r="DU11" i="41"/>
  <c r="DV11" i="41"/>
  <c r="DW11" i="41"/>
  <c r="DX11" i="41"/>
  <c r="DY11" i="41"/>
  <c r="DC12" i="41"/>
  <c r="DD12" i="41"/>
  <c r="DE12" i="41"/>
  <c r="DF12" i="41"/>
  <c r="DG12" i="41"/>
  <c r="DH12" i="41"/>
  <c r="DI12" i="41"/>
  <c r="DJ12" i="41"/>
  <c r="DL12" i="41"/>
  <c r="DM12" i="41"/>
  <c r="DN12" i="41"/>
  <c r="DO12" i="41"/>
  <c r="DP12" i="41"/>
  <c r="DQ12" i="41"/>
  <c r="DR12" i="41"/>
  <c r="DS12" i="41"/>
  <c r="DT12" i="41"/>
  <c r="DU12" i="41"/>
  <c r="DV12" i="41"/>
  <c r="DW12" i="41"/>
  <c r="DX12" i="41"/>
  <c r="DY12" i="41"/>
  <c r="DC13" i="41"/>
  <c r="DD13" i="41"/>
  <c r="DE13" i="41"/>
  <c r="DF13" i="41"/>
  <c r="DG13" i="41"/>
  <c r="DH13" i="41"/>
  <c r="DI13" i="41"/>
  <c r="DJ13" i="41"/>
  <c r="DK13" i="41"/>
  <c r="DL13" i="41"/>
  <c r="DM13" i="41"/>
  <c r="DN13" i="41"/>
  <c r="DO13" i="41"/>
  <c r="DP13" i="41"/>
  <c r="DQ13" i="41"/>
  <c r="DR13" i="41"/>
  <c r="DS13" i="41"/>
  <c r="DT13" i="41"/>
  <c r="DU13" i="41"/>
  <c r="DV13" i="41"/>
  <c r="DW13" i="41"/>
  <c r="DX13" i="41"/>
  <c r="DY13" i="41"/>
  <c r="DC14" i="41"/>
  <c r="DD14" i="41"/>
  <c r="DE14" i="41"/>
  <c r="DF14" i="41"/>
  <c r="DG14" i="41"/>
  <c r="DH14" i="41"/>
  <c r="DI14" i="41"/>
  <c r="DJ14" i="41"/>
  <c r="DK14" i="41"/>
  <c r="DL14" i="41"/>
  <c r="DM14" i="41"/>
  <c r="DN14" i="41"/>
  <c r="DO14" i="41"/>
  <c r="DP14" i="41"/>
  <c r="DQ14" i="41"/>
  <c r="DR14" i="41"/>
  <c r="DS14" i="41"/>
  <c r="DT14" i="41"/>
  <c r="DU14" i="41"/>
  <c r="DV14" i="41"/>
  <c r="DW14" i="41"/>
  <c r="DX14" i="41"/>
  <c r="DY14" i="41"/>
  <c r="DC15" i="41"/>
  <c r="DD15" i="41"/>
  <c r="DE15" i="41"/>
  <c r="DF15" i="41"/>
  <c r="DG15" i="41"/>
  <c r="DH15" i="41"/>
  <c r="DI15" i="41"/>
  <c r="DJ15" i="41"/>
  <c r="DK15" i="41"/>
  <c r="DL15" i="41"/>
  <c r="DM15" i="41"/>
  <c r="DN15" i="41"/>
  <c r="DO15" i="41"/>
  <c r="DP15" i="41"/>
  <c r="DQ15" i="41"/>
  <c r="DR15" i="41"/>
  <c r="DS15" i="41"/>
  <c r="DT15" i="41"/>
  <c r="DU15" i="41"/>
  <c r="DV15" i="41"/>
  <c r="DW15" i="41"/>
  <c r="DX15" i="41"/>
  <c r="DY15" i="41"/>
  <c r="DC16" i="41"/>
  <c r="DD16" i="41"/>
  <c r="DE16" i="41"/>
  <c r="DF16" i="41"/>
  <c r="DG16" i="41"/>
  <c r="DH16" i="41"/>
  <c r="DI16" i="41"/>
  <c r="DJ16" i="41"/>
  <c r="DK16" i="41"/>
  <c r="DL16" i="41"/>
  <c r="DM16" i="41"/>
  <c r="DN16" i="41"/>
  <c r="DO16" i="41"/>
  <c r="DP16" i="41"/>
  <c r="DQ16" i="41"/>
  <c r="DR16" i="41"/>
  <c r="DS16" i="41"/>
  <c r="DT16" i="41"/>
  <c r="DU16" i="41"/>
  <c r="DV16" i="41"/>
  <c r="DW16" i="41"/>
  <c r="DX16" i="41"/>
  <c r="DY16" i="41"/>
  <c r="DC17" i="41"/>
  <c r="DD17" i="41"/>
  <c r="DE17" i="41"/>
  <c r="DF17" i="41"/>
  <c r="DG17" i="41"/>
  <c r="DH17" i="41"/>
  <c r="DI17" i="41"/>
  <c r="DJ17" i="41"/>
  <c r="DK17" i="41"/>
  <c r="DL17" i="41"/>
  <c r="DM17" i="41"/>
  <c r="DN17" i="41"/>
  <c r="DO17" i="41"/>
  <c r="DP17" i="41"/>
  <c r="DQ17" i="41"/>
  <c r="DR17" i="41"/>
  <c r="DS17" i="41"/>
  <c r="DT17" i="41"/>
  <c r="DU17" i="41"/>
  <c r="DV17" i="41"/>
  <c r="DW17" i="41"/>
  <c r="DX17" i="41"/>
  <c r="DY17" i="41"/>
  <c r="DC18" i="41"/>
  <c r="DD18" i="41"/>
  <c r="DE18" i="41"/>
  <c r="DF18" i="41"/>
  <c r="DG18" i="41"/>
  <c r="DH18" i="41"/>
  <c r="DI18" i="41"/>
  <c r="DJ18" i="41"/>
  <c r="DK18" i="41"/>
  <c r="DL18" i="41"/>
  <c r="DM18" i="41"/>
  <c r="DN18" i="41"/>
  <c r="DO18" i="41"/>
  <c r="DP18" i="41"/>
  <c r="DQ18" i="41"/>
  <c r="DR18" i="41"/>
  <c r="DS18" i="41"/>
  <c r="DT18" i="41"/>
  <c r="DU18" i="41"/>
  <c r="DV18" i="41"/>
  <c r="DW18" i="41"/>
  <c r="DX18" i="41"/>
  <c r="DY18" i="41"/>
  <c r="DC19" i="41"/>
  <c r="DD19" i="41"/>
  <c r="DE19" i="41"/>
  <c r="DF19" i="41"/>
  <c r="DG19" i="41"/>
  <c r="DH19" i="41"/>
  <c r="DI19" i="41"/>
  <c r="DJ19" i="41"/>
  <c r="DK19" i="41"/>
  <c r="DL19" i="41"/>
  <c r="DM19" i="41"/>
  <c r="DN19" i="41"/>
  <c r="DO19" i="41"/>
  <c r="DP19" i="41"/>
  <c r="DQ19" i="41"/>
  <c r="DR19" i="41"/>
  <c r="DS19" i="41"/>
  <c r="DT19" i="41"/>
  <c r="DU19" i="41"/>
  <c r="DV19" i="41"/>
  <c r="DW19" i="41"/>
  <c r="DX19" i="41"/>
  <c r="DY19" i="41"/>
  <c r="DC20" i="41"/>
  <c r="DD20" i="41"/>
  <c r="DE20" i="41"/>
  <c r="DF20" i="41"/>
  <c r="DG20" i="41"/>
  <c r="DH20" i="41"/>
  <c r="DI20" i="41"/>
  <c r="DJ20" i="41"/>
  <c r="DK20" i="41"/>
  <c r="DL20" i="41"/>
  <c r="DM20" i="41"/>
  <c r="DN20" i="41"/>
  <c r="DO20" i="41"/>
  <c r="DP20" i="41"/>
  <c r="DQ20" i="41"/>
  <c r="DR20" i="41"/>
  <c r="DS20" i="41"/>
  <c r="DT20" i="41"/>
  <c r="DU20" i="41"/>
  <c r="DV20" i="41"/>
  <c r="DW20" i="41"/>
  <c r="DX20" i="41"/>
  <c r="DY20" i="41"/>
  <c r="DC21" i="41"/>
  <c r="DD21" i="41"/>
  <c r="DE21" i="41"/>
  <c r="DF21" i="41"/>
  <c r="DG21" i="41"/>
  <c r="DH21" i="41"/>
  <c r="DI21" i="41"/>
  <c r="DJ21" i="41"/>
  <c r="DK21" i="41"/>
  <c r="DL21" i="41"/>
  <c r="DM21" i="41"/>
  <c r="DN21" i="41"/>
  <c r="DO21" i="41"/>
  <c r="DP21" i="41"/>
  <c r="DQ21" i="41"/>
  <c r="DR21" i="41"/>
  <c r="DS21" i="41"/>
  <c r="DT21" i="41"/>
  <c r="DU21" i="41"/>
  <c r="DV21" i="41"/>
  <c r="DW21" i="41"/>
  <c r="DX21" i="41"/>
  <c r="DY21" i="41"/>
  <c r="DC22" i="41"/>
  <c r="DD22" i="41"/>
  <c r="DE22" i="41"/>
  <c r="DF22" i="41"/>
  <c r="DG22" i="41"/>
  <c r="DH22" i="41"/>
  <c r="DI22" i="41"/>
  <c r="DJ22" i="41"/>
  <c r="DK22" i="41"/>
  <c r="DL22" i="41"/>
  <c r="DM22" i="41"/>
  <c r="DN22" i="41"/>
  <c r="DO22" i="41"/>
  <c r="DP22" i="41"/>
  <c r="DQ22" i="41"/>
  <c r="DR22" i="41"/>
  <c r="DS22" i="41"/>
  <c r="DT22" i="41"/>
  <c r="DU22" i="41"/>
  <c r="DV22" i="41"/>
  <c r="DW22" i="41"/>
  <c r="DX22" i="41"/>
  <c r="DY22" i="41"/>
  <c r="DC23" i="41"/>
  <c r="DD23" i="41"/>
  <c r="DE23" i="41"/>
  <c r="DF23" i="41"/>
  <c r="DG23" i="41"/>
  <c r="DH23" i="41"/>
  <c r="DI23" i="41"/>
  <c r="DJ23" i="41"/>
  <c r="DK23" i="41"/>
  <c r="DL23" i="41"/>
  <c r="DM23" i="41"/>
  <c r="DN23" i="41"/>
  <c r="DO23" i="41"/>
  <c r="DP23" i="41"/>
  <c r="DQ23" i="41"/>
  <c r="DR23" i="41"/>
  <c r="DS23" i="41"/>
  <c r="DT23" i="41"/>
  <c r="DU23" i="41"/>
  <c r="DV23" i="41"/>
  <c r="DW23" i="41"/>
  <c r="DX23" i="41"/>
  <c r="DY23" i="41"/>
  <c r="DB9" i="41"/>
  <c r="DB23" i="41"/>
  <c r="DB22" i="41"/>
  <c r="DB21" i="41"/>
  <c r="DB20" i="41"/>
  <c r="DB19" i="41"/>
  <c r="DB18" i="41"/>
  <c r="DB17" i="41"/>
  <c r="DB16" i="41"/>
  <c r="DB15" i="41"/>
  <c r="DB14" i="41"/>
  <c r="DB13" i="41"/>
  <c r="DB12" i="41"/>
  <c r="DB11" i="41"/>
  <c r="DB10" i="41"/>
  <c r="N156" i="41"/>
  <c r="C156" i="41"/>
  <c r="N134" i="41"/>
  <c r="C134" i="41"/>
  <c r="B116" i="41" s="1"/>
  <c r="N112" i="41"/>
  <c r="C112" i="41"/>
  <c r="B94" i="41" s="1"/>
  <c r="N90" i="41"/>
  <c r="C90" i="41"/>
  <c r="B72" i="41" s="1"/>
  <c r="N68" i="41"/>
  <c r="C68" i="41"/>
  <c r="B50" i="41" s="1"/>
  <c r="C46" i="41"/>
  <c r="N46" i="41"/>
  <c r="N24" i="41"/>
  <c r="O138" i="41"/>
  <c r="DY140" i="41"/>
  <c r="DY141" i="41" s="1"/>
  <c r="DX140" i="41"/>
  <c r="DX141" i="41" s="1"/>
  <c r="DW140" i="41"/>
  <c r="DW141" i="41" s="1"/>
  <c r="DV140" i="41"/>
  <c r="DV141" i="41" s="1"/>
  <c r="DU140" i="41"/>
  <c r="DU141" i="41" s="1"/>
  <c r="DT140" i="41"/>
  <c r="DT141" i="41" s="1"/>
  <c r="DS140" i="41"/>
  <c r="DS141" i="41" s="1"/>
  <c r="DR140" i="41"/>
  <c r="DR141" i="41" s="1"/>
  <c r="DQ140" i="41"/>
  <c r="DQ141" i="41" s="1"/>
  <c r="DP140" i="41"/>
  <c r="DP141" i="41" s="1"/>
  <c r="DO140" i="41"/>
  <c r="DO141" i="41" s="1"/>
  <c r="DN140" i="41"/>
  <c r="DN141" i="41" s="1"/>
  <c r="DM140" i="41"/>
  <c r="DM141" i="41" s="1"/>
  <c r="DL140" i="41"/>
  <c r="DL141" i="41" s="1"/>
  <c r="DK140" i="41"/>
  <c r="DK141" i="41" s="1"/>
  <c r="DJ140" i="41"/>
  <c r="DJ141" i="41" s="1"/>
  <c r="DI140" i="41"/>
  <c r="DI141" i="41" s="1"/>
  <c r="DH140" i="41"/>
  <c r="DH141" i="41" s="1"/>
  <c r="DG140" i="41"/>
  <c r="DG141" i="41" s="1"/>
  <c r="DF140" i="41"/>
  <c r="DF141" i="41" s="1"/>
  <c r="DE140" i="41"/>
  <c r="DE141" i="41" s="1"/>
  <c r="DD140" i="41"/>
  <c r="DD141" i="41" s="1"/>
  <c r="DC140" i="41"/>
  <c r="DC141" i="41" s="1"/>
  <c r="DB140" i="41"/>
  <c r="DB141" i="41" s="1"/>
  <c r="DN139" i="41"/>
  <c r="DB139" i="41"/>
  <c r="D138" i="41"/>
  <c r="DY136" i="41"/>
  <c r="DX136" i="41"/>
  <c r="DW136" i="41"/>
  <c r="DV136" i="41"/>
  <c r="DU136" i="41"/>
  <c r="DT136" i="41"/>
  <c r="DS136" i="41"/>
  <c r="DR136" i="41"/>
  <c r="DQ136" i="41"/>
  <c r="DP136" i="41"/>
  <c r="DO136" i="41"/>
  <c r="DN136" i="41"/>
  <c r="DM136" i="41"/>
  <c r="DL136" i="41"/>
  <c r="DK136" i="41"/>
  <c r="DJ136" i="41"/>
  <c r="DI136" i="41"/>
  <c r="DH136" i="41"/>
  <c r="DG136" i="41"/>
  <c r="DF136" i="41"/>
  <c r="DE136" i="41"/>
  <c r="DD136" i="41"/>
  <c r="DC136" i="41"/>
  <c r="DB136" i="41"/>
  <c r="O116" i="41"/>
  <c r="DY118" i="41"/>
  <c r="DY119" i="41" s="1"/>
  <c r="DX118" i="41"/>
  <c r="DX119" i="41" s="1"/>
  <c r="DW118" i="41"/>
  <c r="DW119" i="41" s="1"/>
  <c r="DV118" i="41"/>
  <c r="DV119" i="41" s="1"/>
  <c r="DU118" i="41"/>
  <c r="DU119" i="41" s="1"/>
  <c r="DT118" i="41"/>
  <c r="DT119" i="41" s="1"/>
  <c r="DS118" i="41"/>
  <c r="DS119" i="41" s="1"/>
  <c r="DR118" i="41"/>
  <c r="DR119" i="41" s="1"/>
  <c r="DQ118" i="41"/>
  <c r="DQ119" i="41" s="1"/>
  <c r="DP118" i="41"/>
  <c r="DP119" i="41" s="1"/>
  <c r="DO118" i="41"/>
  <c r="DO119" i="41" s="1"/>
  <c r="DN118" i="41"/>
  <c r="DN119" i="41" s="1"/>
  <c r="DM118" i="41"/>
  <c r="DM119" i="41" s="1"/>
  <c r="DL118" i="41"/>
  <c r="DL119" i="41" s="1"/>
  <c r="DK118" i="41"/>
  <c r="DK119" i="41" s="1"/>
  <c r="DJ118" i="41"/>
  <c r="DJ119" i="41" s="1"/>
  <c r="DI118" i="41"/>
  <c r="DI119" i="41" s="1"/>
  <c r="DH118" i="41"/>
  <c r="DH119" i="41" s="1"/>
  <c r="DG118" i="41"/>
  <c r="DG119" i="41" s="1"/>
  <c r="DF118" i="41"/>
  <c r="DF119" i="41" s="1"/>
  <c r="DE118" i="41"/>
  <c r="DE119" i="41" s="1"/>
  <c r="DD118" i="41"/>
  <c r="DD119" i="41" s="1"/>
  <c r="DC118" i="41"/>
  <c r="DC119" i="41" s="1"/>
  <c r="DB118" i="41"/>
  <c r="DB119" i="41" s="1"/>
  <c r="DN117" i="41"/>
  <c r="DB117" i="41"/>
  <c r="D116" i="41"/>
  <c r="DY114" i="41"/>
  <c r="DX114" i="41"/>
  <c r="DW114" i="41"/>
  <c r="DV114" i="41"/>
  <c r="DU114" i="41"/>
  <c r="DT114" i="41"/>
  <c r="DS114" i="41"/>
  <c r="DR114" i="41"/>
  <c r="DQ114" i="41"/>
  <c r="DP114" i="41"/>
  <c r="DO114" i="41"/>
  <c r="DN114" i="41"/>
  <c r="DM114" i="41"/>
  <c r="DL114" i="41"/>
  <c r="DK114" i="41"/>
  <c r="DJ114" i="41"/>
  <c r="DI114" i="41"/>
  <c r="DH114" i="41"/>
  <c r="DG114" i="41"/>
  <c r="DF114" i="41"/>
  <c r="DE114" i="41"/>
  <c r="DD114" i="41"/>
  <c r="DC114" i="41"/>
  <c r="DB114" i="41"/>
  <c r="O94" i="41"/>
  <c r="DY96" i="41"/>
  <c r="DY97" i="41" s="1"/>
  <c r="DX96" i="41"/>
  <c r="DX97" i="41" s="1"/>
  <c r="DW96" i="41"/>
  <c r="DW97" i="41" s="1"/>
  <c r="DV96" i="41"/>
  <c r="DV97" i="41" s="1"/>
  <c r="DU96" i="41"/>
  <c r="DU97" i="41" s="1"/>
  <c r="DT96" i="41"/>
  <c r="DT97" i="41" s="1"/>
  <c r="DS96" i="41"/>
  <c r="DS97" i="41" s="1"/>
  <c r="DR96" i="41"/>
  <c r="DR97" i="41" s="1"/>
  <c r="DQ96" i="41"/>
  <c r="DQ97" i="41" s="1"/>
  <c r="DP96" i="41"/>
  <c r="DP97" i="41" s="1"/>
  <c r="DO96" i="41"/>
  <c r="DO97" i="41" s="1"/>
  <c r="DN96" i="41"/>
  <c r="DN97" i="41" s="1"/>
  <c r="DM96" i="41"/>
  <c r="DM97" i="41" s="1"/>
  <c r="DL96" i="41"/>
  <c r="DL97" i="41" s="1"/>
  <c r="DK96" i="41"/>
  <c r="DK97" i="41" s="1"/>
  <c r="DJ96" i="41"/>
  <c r="DJ97" i="41" s="1"/>
  <c r="DI96" i="41"/>
  <c r="DI97" i="41" s="1"/>
  <c r="DH96" i="41"/>
  <c r="DH97" i="41" s="1"/>
  <c r="DG96" i="41"/>
  <c r="DG97" i="41" s="1"/>
  <c r="DF96" i="41"/>
  <c r="DF97" i="41" s="1"/>
  <c r="DE96" i="41"/>
  <c r="DE97" i="41" s="1"/>
  <c r="DD96" i="41"/>
  <c r="DD97" i="41" s="1"/>
  <c r="DC96" i="41"/>
  <c r="DC97" i="41" s="1"/>
  <c r="DB96" i="41"/>
  <c r="DB97" i="41" s="1"/>
  <c r="DN95" i="41"/>
  <c r="DB95" i="41"/>
  <c r="D94" i="41"/>
  <c r="DY92" i="41"/>
  <c r="DX92" i="41"/>
  <c r="DW92" i="41"/>
  <c r="DV92" i="41"/>
  <c r="DU92" i="41"/>
  <c r="DT92" i="41"/>
  <c r="DS92" i="41"/>
  <c r="DR92" i="41"/>
  <c r="DQ92" i="41"/>
  <c r="DP92" i="41"/>
  <c r="DO92" i="41"/>
  <c r="DN92" i="41"/>
  <c r="DM92" i="41"/>
  <c r="DL92" i="41"/>
  <c r="DK92" i="41"/>
  <c r="DJ92" i="41"/>
  <c r="DI92" i="41"/>
  <c r="DH92" i="41"/>
  <c r="DG92" i="41"/>
  <c r="DF92" i="41"/>
  <c r="DE92" i="41"/>
  <c r="DD92" i="41"/>
  <c r="DC92" i="41"/>
  <c r="DB92" i="41"/>
  <c r="O72" i="41"/>
  <c r="DY74" i="41"/>
  <c r="DY75" i="41" s="1"/>
  <c r="DX74" i="41"/>
  <c r="DX75" i="41" s="1"/>
  <c r="DW74" i="41"/>
  <c r="DW75" i="41" s="1"/>
  <c r="DV74" i="41"/>
  <c r="DV75" i="41" s="1"/>
  <c r="DU74" i="41"/>
  <c r="DU75" i="41" s="1"/>
  <c r="DT74" i="41"/>
  <c r="DT75" i="41" s="1"/>
  <c r="DS74" i="41"/>
  <c r="DS75" i="41" s="1"/>
  <c r="DR74" i="41"/>
  <c r="DR75" i="41" s="1"/>
  <c r="DQ74" i="41"/>
  <c r="DQ75" i="41" s="1"/>
  <c r="DP74" i="41"/>
  <c r="DP75" i="41" s="1"/>
  <c r="DO74" i="41"/>
  <c r="DO75" i="41" s="1"/>
  <c r="DN74" i="41"/>
  <c r="DN75" i="41" s="1"/>
  <c r="DM74" i="41"/>
  <c r="DM75" i="41" s="1"/>
  <c r="DL74" i="41"/>
  <c r="DL75" i="41" s="1"/>
  <c r="DK74" i="41"/>
  <c r="DK75" i="41" s="1"/>
  <c r="DJ74" i="41"/>
  <c r="DJ75" i="41" s="1"/>
  <c r="DI74" i="41"/>
  <c r="DI75" i="41" s="1"/>
  <c r="DH74" i="41"/>
  <c r="DH75" i="41" s="1"/>
  <c r="DG74" i="41"/>
  <c r="DG75" i="41" s="1"/>
  <c r="DF74" i="41"/>
  <c r="DF75" i="41" s="1"/>
  <c r="DE74" i="41"/>
  <c r="DE75" i="41" s="1"/>
  <c r="DD74" i="41"/>
  <c r="DD75" i="41" s="1"/>
  <c r="DC74" i="41"/>
  <c r="DC75" i="41" s="1"/>
  <c r="DB74" i="41"/>
  <c r="DB75" i="41" s="1"/>
  <c r="DN73" i="41"/>
  <c r="DB73" i="41"/>
  <c r="D72" i="41"/>
  <c r="DY70" i="41"/>
  <c r="DX70" i="41"/>
  <c r="DW70" i="41"/>
  <c r="DV70" i="41"/>
  <c r="DU70" i="41"/>
  <c r="DT70" i="41"/>
  <c r="DS70" i="41"/>
  <c r="DR70" i="41"/>
  <c r="DQ70" i="41"/>
  <c r="DP70" i="41"/>
  <c r="DO70" i="41"/>
  <c r="DN70" i="41"/>
  <c r="DM70" i="41"/>
  <c r="DL70" i="41"/>
  <c r="DK70" i="41"/>
  <c r="DJ70" i="41"/>
  <c r="DI70" i="41"/>
  <c r="DH70" i="41"/>
  <c r="DG70" i="41"/>
  <c r="DF70" i="41"/>
  <c r="DE70" i="41"/>
  <c r="DD70" i="41"/>
  <c r="DC70" i="41"/>
  <c r="DB70" i="41"/>
  <c r="O50" i="41"/>
  <c r="DY52" i="41"/>
  <c r="DY53" i="41" s="1"/>
  <c r="DX52" i="41"/>
  <c r="DX53" i="41" s="1"/>
  <c r="DW52" i="41"/>
  <c r="DW53" i="41" s="1"/>
  <c r="DV52" i="41"/>
  <c r="DV53" i="41" s="1"/>
  <c r="DU52" i="41"/>
  <c r="DU53" i="41" s="1"/>
  <c r="DT52" i="41"/>
  <c r="DT53" i="41" s="1"/>
  <c r="DS52" i="41"/>
  <c r="DS53" i="41" s="1"/>
  <c r="DR52" i="41"/>
  <c r="DR53" i="41" s="1"/>
  <c r="DQ52" i="41"/>
  <c r="DQ53" i="41" s="1"/>
  <c r="DP52" i="41"/>
  <c r="DP53" i="41" s="1"/>
  <c r="DO52" i="41"/>
  <c r="DO53" i="41" s="1"/>
  <c r="DN52" i="41"/>
  <c r="DN53" i="41" s="1"/>
  <c r="DM52" i="41"/>
  <c r="DM53" i="41" s="1"/>
  <c r="DL52" i="41"/>
  <c r="DL53" i="41" s="1"/>
  <c r="DK52" i="41"/>
  <c r="DK53" i="41" s="1"/>
  <c r="DJ52" i="41"/>
  <c r="DJ53" i="41" s="1"/>
  <c r="DI52" i="41"/>
  <c r="DI53" i="41" s="1"/>
  <c r="DH52" i="41"/>
  <c r="DH53" i="41" s="1"/>
  <c r="DG52" i="41"/>
  <c r="DG53" i="41" s="1"/>
  <c r="DF52" i="41"/>
  <c r="DF53" i="41" s="1"/>
  <c r="DE52" i="41"/>
  <c r="DE53" i="41" s="1"/>
  <c r="DD52" i="41"/>
  <c r="DD53" i="41" s="1"/>
  <c r="DC52" i="41"/>
  <c r="DC53" i="41" s="1"/>
  <c r="DB52" i="41"/>
  <c r="DB53" i="41" s="1"/>
  <c r="DN51" i="41"/>
  <c r="DB51" i="41"/>
  <c r="D50" i="41"/>
  <c r="O28" i="41"/>
  <c r="D28" i="41"/>
  <c r="D6" i="41"/>
  <c r="O6" i="41"/>
  <c r="DC26" i="41"/>
  <c r="DC27" i="41" s="1"/>
  <c r="DD26" i="41"/>
  <c r="DD27" i="41" s="1"/>
  <c r="DE26" i="41"/>
  <c r="DE27" i="41" s="1"/>
  <c r="DF26" i="41"/>
  <c r="DF27" i="41" s="1"/>
  <c r="DG26" i="41"/>
  <c r="DG27" i="41" s="1"/>
  <c r="DH26" i="41"/>
  <c r="DH27" i="41" s="1"/>
  <c r="DI26" i="41"/>
  <c r="DI27" i="41" s="1"/>
  <c r="DJ26" i="41"/>
  <c r="DJ27" i="41" s="1"/>
  <c r="DK26" i="41"/>
  <c r="DK27" i="41" s="1"/>
  <c r="DL26" i="41"/>
  <c r="DL27" i="41" s="1"/>
  <c r="DM26" i="41"/>
  <c r="DM27" i="41" s="1"/>
  <c r="DN26" i="41"/>
  <c r="DN27" i="41" s="1"/>
  <c r="DO26" i="41"/>
  <c r="DO27" i="41" s="1"/>
  <c r="DP26" i="41"/>
  <c r="DP27" i="41" s="1"/>
  <c r="DQ26" i="41"/>
  <c r="DQ27" i="41" s="1"/>
  <c r="DR26" i="41"/>
  <c r="DR27" i="41" s="1"/>
  <c r="DS26" i="41"/>
  <c r="DS27" i="41" s="1"/>
  <c r="DT26" i="41"/>
  <c r="DT27" i="41" s="1"/>
  <c r="DU26" i="41"/>
  <c r="DU27" i="41" s="1"/>
  <c r="DV26" i="41"/>
  <c r="DV27" i="41" s="1"/>
  <c r="DW26" i="41"/>
  <c r="DW27" i="41" s="1"/>
  <c r="DX26" i="41"/>
  <c r="DX27" i="41" s="1"/>
  <c r="DY26" i="41"/>
  <c r="DY27" i="41" s="1"/>
  <c r="DB26" i="41"/>
  <c r="DB27" i="41" s="1"/>
  <c r="C24" i="41"/>
  <c r="B6" i="41" s="1"/>
  <c r="I83" i="27" l="1"/>
  <c r="I85" i="27" s="1"/>
  <c r="I275" i="31"/>
  <c r="G83" i="27"/>
  <c r="G85" i="27" s="1"/>
  <c r="G275" i="31"/>
  <c r="P83" i="27"/>
  <c r="P85" i="27" s="1"/>
  <c r="P275" i="31"/>
  <c r="H83" i="27"/>
  <c r="H85" i="27" s="1"/>
  <c r="H275" i="31"/>
  <c r="N83" i="27"/>
  <c r="N85" i="27" s="1"/>
  <c r="N275" i="31"/>
  <c r="K83" i="27"/>
  <c r="K85" i="27" s="1"/>
  <c r="K275" i="31"/>
  <c r="J83" i="27"/>
  <c r="J85" i="27" s="1"/>
  <c r="J275" i="31"/>
  <c r="O83" i="27"/>
  <c r="O85" i="27" s="1"/>
  <c r="O275" i="31"/>
  <c r="L83" i="27"/>
  <c r="L85" i="27" s="1"/>
  <c r="L275" i="31"/>
  <c r="O19" i="61"/>
  <c r="N150" i="61"/>
  <c r="M83" i="27"/>
  <c r="M85" i="27" s="1"/>
  <c r="M275" i="31"/>
  <c r="O20" i="61"/>
  <c r="N151" i="61"/>
  <c r="F83" i="27"/>
  <c r="F85" i="27" s="1"/>
  <c r="F275" i="31"/>
  <c r="O90" i="43"/>
  <c r="N58" i="62"/>
  <c r="N164" i="62" s="1"/>
  <c r="O72" i="43"/>
  <c r="N61" i="63"/>
  <c r="N92" i="43"/>
  <c r="M58" i="63"/>
  <c r="M217" i="63" s="1"/>
  <c r="N59" i="43"/>
  <c r="M62" i="61"/>
  <c r="M67" i="43"/>
  <c r="M60" i="62"/>
  <c r="N66" i="43"/>
  <c r="M62" i="62"/>
  <c r="L60" i="43"/>
  <c r="L60" i="61"/>
  <c r="L63" i="61" s="1"/>
  <c r="L165" i="61" s="1"/>
  <c r="M74" i="43"/>
  <c r="M60" i="63"/>
  <c r="N58" i="43"/>
  <c r="M61" i="61"/>
  <c r="N89" i="43"/>
  <c r="M58" i="61"/>
  <c r="M164" i="61" s="1"/>
  <c r="N73" i="43"/>
  <c r="M62" i="63"/>
  <c r="M249" i="31"/>
  <c r="AQ100" i="41" a="1"/>
  <c r="AQ100" i="41" s="1"/>
  <c r="AC100" i="41" a="1"/>
  <c r="AC100" i="41" s="1"/>
  <c r="AA100" i="41" a="1"/>
  <c r="AA100" i="41" s="1"/>
  <c r="AA101" i="41" s="1"/>
  <c r="Y100" i="41" a="1"/>
  <c r="Y100" i="41" s="1"/>
  <c r="Y101" i="41" s="1"/>
  <c r="AU100" i="41" a="1"/>
  <c r="AU100" i="41" s="1"/>
  <c r="P122" i="10" s="1"/>
  <c r="AG100" i="41" a="1"/>
  <c r="AG100" i="41" s="1"/>
  <c r="AG101" i="41" s="1"/>
  <c r="AP100" i="41" a="1"/>
  <c r="AP100" i="41" s="1"/>
  <c r="K122" i="10" s="1"/>
  <c r="AB100" i="41" a="1"/>
  <c r="AB100" i="41" s="1"/>
  <c r="AB101" i="41" s="1"/>
  <c r="AO100" i="41" a="1"/>
  <c r="AO100" i="41" s="1"/>
  <c r="J122" i="10" s="1"/>
  <c r="AN100" i="41" a="1"/>
  <c r="AN100" i="41" s="1"/>
  <c r="I122" i="10" s="1"/>
  <c r="Z100" i="41" a="1"/>
  <c r="Z100" i="41" s="1"/>
  <c r="AM100" i="41" a="1"/>
  <c r="AM100" i="41" s="1"/>
  <c r="H122" i="10" s="1"/>
  <c r="AK100" i="41" a="1"/>
  <c r="AK100" i="41" s="1"/>
  <c r="F122" i="10" s="1"/>
  <c r="AJ100" i="41" a="1"/>
  <c r="AJ100" i="41" s="1"/>
  <c r="AL100" i="41" a="1"/>
  <c r="AL100" i="41" s="1"/>
  <c r="G122" i="10" s="1"/>
  <c r="X100" i="41" a="1"/>
  <c r="X100" i="41" s="1"/>
  <c r="X101" i="41" s="1"/>
  <c r="AI100" i="41" a="1"/>
  <c r="AI100" i="41" s="1"/>
  <c r="AI101" i="41" s="1"/>
  <c r="AH100" i="41" a="1"/>
  <c r="AH100" i="41" s="1"/>
  <c r="AH101" i="41" s="1"/>
  <c r="AR100" i="41" a="1"/>
  <c r="AR100" i="41" s="1"/>
  <c r="M122" i="10" s="1"/>
  <c r="AD100" i="41" a="1"/>
  <c r="AD100" i="41" s="1"/>
  <c r="AD101" i="41" s="1"/>
  <c r="AT100" i="41" a="1"/>
  <c r="AT100" i="41" s="1"/>
  <c r="AS100" i="41" a="1"/>
  <c r="AS100" i="41" s="1"/>
  <c r="N122" i="10" s="1"/>
  <c r="AF100" i="41" a="1"/>
  <c r="AF100" i="41" s="1"/>
  <c r="AF101" i="41" s="1"/>
  <c r="AE100" i="41" a="1"/>
  <c r="AE100" i="41" s="1"/>
  <c r="AE101" i="41" s="1"/>
  <c r="AO122" i="41" a="1"/>
  <c r="AO122" i="41" s="1"/>
  <c r="AA122" i="41" a="1"/>
  <c r="AA122" i="41" s="1"/>
  <c r="AA123" i="41" s="1"/>
  <c r="AM122" i="41" a="1"/>
  <c r="AM122" i="41" s="1"/>
  <c r="H125" i="31" s="1"/>
  <c r="AL122" i="41" a="1"/>
  <c r="AL122" i="41" s="1"/>
  <c r="AL123" i="41" s="1"/>
  <c r="AI122" i="41" a="1"/>
  <c r="AI122" i="41" s="1"/>
  <c r="AH122" i="41" a="1"/>
  <c r="AH122" i="41" s="1"/>
  <c r="AH123" i="41" s="1"/>
  <c r="AE122" i="41" a="1"/>
  <c r="AE122" i="41" s="1"/>
  <c r="AE123" i="41" s="1"/>
  <c r="AD122" i="41" a="1"/>
  <c r="AD122" i="41" s="1"/>
  <c r="AD123" i="41" s="1"/>
  <c r="AN122" i="41" a="1"/>
  <c r="AN122" i="41" s="1"/>
  <c r="AN123" i="41" s="1"/>
  <c r="Z122" i="41" a="1"/>
  <c r="Z122" i="41" s="1"/>
  <c r="Z123" i="41" s="1"/>
  <c r="Y122" i="41" a="1"/>
  <c r="Y122" i="41" s="1"/>
  <c r="Y123" i="41" s="1"/>
  <c r="X122" i="41" a="1"/>
  <c r="X122" i="41" s="1"/>
  <c r="X123" i="41" s="1"/>
  <c r="AK122" i="41" a="1"/>
  <c r="AK122" i="41" s="1"/>
  <c r="AS122" i="41" a="1"/>
  <c r="AS122" i="41" s="1"/>
  <c r="AS123" i="41" s="1"/>
  <c r="AJ122" i="41" a="1"/>
  <c r="AJ122" i="41" s="1"/>
  <c r="AU122" i="41" a="1"/>
  <c r="AU122" i="41" s="1"/>
  <c r="P125" i="31" s="1"/>
  <c r="AG122" i="41" a="1"/>
  <c r="AG122" i="41" s="1"/>
  <c r="AG123" i="41" s="1"/>
  <c r="AT122" i="41" a="1"/>
  <c r="AT122" i="41" s="1"/>
  <c r="O125" i="31" s="1"/>
  <c r="AF122" i="41" a="1"/>
  <c r="AF122" i="41" s="1"/>
  <c r="AF123" i="41" s="1"/>
  <c r="AR122" i="41" a="1"/>
  <c r="AR122" i="41" s="1"/>
  <c r="M125" i="31" s="1"/>
  <c r="AQ122" i="41" a="1"/>
  <c r="AQ122" i="41" s="1"/>
  <c r="L125" i="31" s="1"/>
  <c r="AP122" i="41" a="1"/>
  <c r="AP122" i="41" s="1"/>
  <c r="K125" i="31" s="1"/>
  <c r="AC122" i="41" a="1"/>
  <c r="AC122" i="41" s="1"/>
  <c r="AC123" i="41" s="1"/>
  <c r="AB122" i="41" a="1"/>
  <c r="AB122" i="41" s="1"/>
  <c r="AB123" i="41" s="1"/>
  <c r="AM144" i="41" a="1"/>
  <c r="AM144" i="41" s="1"/>
  <c r="Y144" i="41" a="1"/>
  <c r="Y144" i="41" s="1"/>
  <c r="Y145" i="41" s="1"/>
  <c r="AI144" i="41" a="1"/>
  <c r="AI144" i="41" s="1"/>
  <c r="AI145" i="41" s="1"/>
  <c r="AG144" i="41" a="1"/>
  <c r="AG144" i="41" s="1"/>
  <c r="AG145" i="41" s="1"/>
  <c r="AF144" i="41" a="1"/>
  <c r="AF144" i="41" s="1"/>
  <c r="AF145" i="41" s="1"/>
  <c r="AQ144" i="41" a="1"/>
  <c r="AQ144" i="41" s="1"/>
  <c r="AB144" i="41" a="1"/>
  <c r="AB144" i="41" s="1"/>
  <c r="AB145" i="41" s="1"/>
  <c r="AL144" i="41" a="1"/>
  <c r="AL144" i="41" s="1"/>
  <c r="X144" i="41" a="1"/>
  <c r="X144" i="41" s="1"/>
  <c r="AK144" i="41" a="1"/>
  <c r="AK144" i="41" s="1"/>
  <c r="AJ144" i="41" a="1"/>
  <c r="AJ144" i="41" s="1"/>
  <c r="E122" i="32" s="1"/>
  <c r="AT144" i="41" a="1"/>
  <c r="AT144" i="41" s="1"/>
  <c r="AH144" i="41" a="1"/>
  <c r="AH144" i="41" s="1"/>
  <c r="AH145" i="41" s="1"/>
  <c r="AU144" i="41" a="1"/>
  <c r="AU144" i="41" s="1"/>
  <c r="AS144" i="41" a="1"/>
  <c r="AS144" i="41" s="1"/>
  <c r="AE144" i="41" a="1"/>
  <c r="AE144" i="41" s="1"/>
  <c r="AE145" i="41" s="1"/>
  <c r="AR144" i="41" a="1"/>
  <c r="AR144" i="41" s="1"/>
  <c r="AD144" i="41" a="1"/>
  <c r="AD144" i="41" s="1"/>
  <c r="AD145" i="41" s="1"/>
  <c r="AC144" i="41" a="1"/>
  <c r="AC144" i="41" s="1"/>
  <c r="AC145" i="41" s="1"/>
  <c r="AP144" i="41" a="1"/>
  <c r="AP144" i="41" s="1"/>
  <c r="AN144" i="41" a="1"/>
  <c r="AN144" i="41" s="1"/>
  <c r="AA144" i="41" a="1"/>
  <c r="AA144" i="41" s="1"/>
  <c r="AA145" i="41" s="1"/>
  <c r="AO144" i="41" a="1"/>
  <c r="AO144" i="41" s="1"/>
  <c r="Z144" i="41" a="1"/>
  <c r="Z144" i="41" s="1"/>
  <c r="Z145" i="41" s="1"/>
  <c r="AK34" i="41" a="1"/>
  <c r="AK34" i="41" s="1"/>
  <c r="F122" i="22" s="1"/>
  <c r="AI34" i="41" a="1"/>
  <c r="AI34" i="41" s="1"/>
  <c r="AI35" i="41" s="1"/>
  <c r="AU34" i="41" a="1"/>
  <c r="AU34" i="41" s="1"/>
  <c r="P122" i="22" s="1"/>
  <c r="AE34" i="41" a="1"/>
  <c r="AE34" i="41" s="1"/>
  <c r="AE35" i="41" s="1"/>
  <c r="AP34" i="41" a="1"/>
  <c r="AP34" i="41" s="1"/>
  <c r="AJ34" i="41" a="1"/>
  <c r="AJ34" i="41" s="1"/>
  <c r="AH34" i="41" a="1"/>
  <c r="AH34" i="41" s="1"/>
  <c r="AH35" i="41" s="1"/>
  <c r="AG34" i="41" a="1"/>
  <c r="AG34" i="41" s="1"/>
  <c r="AG35" i="41" s="1"/>
  <c r="AD34" i="41" a="1"/>
  <c r="AD34" i="41" s="1"/>
  <c r="AD35" i="41" s="1"/>
  <c r="AO34" i="41" a="1"/>
  <c r="AO34" i="41" s="1"/>
  <c r="J122" i="22" s="1"/>
  <c r="AT34" i="41" a="1"/>
  <c r="AT34" i="41" s="1"/>
  <c r="O122" i="22" s="1"/>
  <c r="AF34" i="41" a="1"/>
  <c r="AF34" i="41" s="1"/>
  <c r="AF35" i="41" s="1"/>
  <c r="AS34" i="41" a="1"/>
  <c r="AS34" i="41" s="1"/>
  <c r="AR34" i="41" a="1"/>
  <c r="AR34" i="41" s="1"/>
  <c r="M122" i="22" s="1"/>
  <c r="AB34" i="41" a="1"/>
  <c r="AB34" i="41" s="1"/>
  <c r="AB35" i="41" s="1"/>
  <c r="AQ34" i="41" a="1"/>
  <c r="AQ34" i="41" s="1"/>
  <c r="L122" i="22" s="1"/>
  <c r="AC34" i="41" a="1"/>
  <c r="AC34" i="41" s="1"/>
  <c r="AC35" i="41" s="1"/>
  <c r="AA34" i="41" a="1"/>
  <c r="AA34" i="41" s="1"/>
  <c r="AA35" i="41" s="1"/>
  <c r="AM34" i="41" a="1"/>
  <c r="AM34" i="41" s="1"/>
  <c r="AM35" i="41" s="1"/>
  <c r="AN34" i="41" a="1"/>
  <c r="AN34" i="41" s="1"/>
  <c r="AN35" i="41" s="1"/>
  <c r="X34" i="41" a="1"/>
  <c r="X34" i="41" s="1"/>
  <c r="X35" i="41" s="1"/>
  <c r="AL34" i="41" a="1"/>
  <c r="AL34" i="41" s="1"/>
  <c r="G122" i="22" s="1"/>
  <c r="Z34" i="41" a="1"/>
  <c r="Z34" i="41" s="1"/>
  <c r="Z35" i="41" s="1"/>
  <c r="Y34" i="41" a="1"/>
  <c r="Y34" i="41" s="1"/>
  <c r="Y35" i="41" s="1"/>
  <c r="AS78" i="41" a="1"/>
  <c r="AS78" i="41" s="1"/>
  <c r="N122" i="9" s="1"/>
  <c r="AE78" i="41" a="1"/>
  <c r="AE78" i="41" s="1"/>
  <c r="AE79" i="41" s="1"/>
  <c r="AQ78" i="41" a="1"/>
  <c r="AQ78" i="41" s="1"/>
  <c r="AB78" i="41" a="1"/>
  <c r="AB78" i="41" s="1"/>
  <c r="AO78" i="41" a="1"/>
  <c r="AO78" i="41" s="1"/>
  <c r="J122" i="9" s="1"/>
  <c r="AA78" i="41" a="1"/>
  <c r="AA78" i="41" s="1"/>
  <c r="AA79" i="41" s="1"/>
  <c r="Y78" i="41" a="1"/>
  <c r="Y78" i="41" s="1"/>
  <c r="Y79" i="41" s="1"/>
  <c r="AI78" i="41" a="1"/>
  <c r="AI78" i="41" s="1"/>
  <c r="AI79" i="41" s="1"/>
  <c r="AR78" i="41" a="1"/>
  <c r="AR78" i="41" s="1"/>
  <c r="M122" i="9" s="1"/>
  <c r="AD78" i="41" a="1"/>
  <c r="AD78" i="41" s="1"/>
  <c r="AD79" i="41" s="1"/>
  <c r="AC78" i="41" a="1"/>
  <c r="AC78" i="41" s="1"/>
  <c r="AC79" i="41" s="1"/>
  <c r="AP78" i="41" a="1"/>
  <c r="AP78" i="41" s="1"/>
  <c r="K122" i="9" s="1"/>
  <c r="AM78" i="41" a="1"/>
  <c r="AM78" i="41" s="1"/>
  <c r="AM79" i="41" s="1"/>
  <c r="AL78" i="41" a="1"/>
  <c r="AL78" i="41" s="1"/>
  <c r="G122" i="9" s="1"/>
  <c r="X78" i="41" a="1"/>
  <c r="X78" i="41" s="1"/>
  <c r="X79" i="41" s="1"/>
  <c r="AN78" i="41" a="1"/>
  <c r="AN78" i="41" s="1"/>
  <c r="I122" i="9" s="1"/>
  <c r="Z78" i="41" a="1"/>
  <c r="Z78" i="41" s="1"/>
  <c r="Z79" i="41" s="1"/>
  <c r="AJ78" i="41" a="1"/>
  <c r="AJ78" i="41" s="1"/>
  <c r="AK78" i="41" a="1"/>
  <c r="AK78" i="41" s="1"/>
  <c r="F122" i="9" s="1"/>
  <c r="AF78" i="41" a="1"/>
  <c r="AF78" i="41" s="1"/>
  <c r="AF79" i="41" s="1"/>
  <c r="AH78" i="41" a="1"/>
  <c r="AH78" i="41" s="1"/>
  <c r="AH79" i="41" s="1"/>
  <c r="AG78" i="41" a="1"/>
  <c r="AG78" i="41" s="1"/>
  <c r="AG79" i="41" s="1"/>
  <c r="AU78" i="41" a="1"/>
  <c r="AU78" i="41" s="1"/>
  <c r="P122" i="9" s="1"/>
  <c r="AT78" i="41" a="1"/>
  <c r="AT78" i="41" s="1"/>
  <c r="O122" i="9" s="1"/>
  <c r="AI56" i="41" a="1"/>
  <c r="AI56" i="41" s="1"/>
  <c r="AI57" i="41" s="1"/>
  <c r="AQ56" i="41" a="1"/>
  <c r="AQ56" i="41" s="1"/>
  <c r="AT56" i="41" a="1"/>
  <c r="AT56" i="41" s="1"/>
  <c r="AD56" i="41" a="1"/>
  <c r="AD56" i="41" s="1"/>
  <c r="AD57" i="41" s="1"/>
  <c r="AF56" i="41" a="1"/>
  <c r="AF56" i="41" s="1"/>
  <c r="AF57" i="41" s="1"/>
  <c r="AC56" i="41" a="1"/>
  <c r="AC56" i="41" s="1"/>
  <c r="AC57" i="41" s="1"/>
  <c r="AR56" i="41" a="1"/>
  <c r="AR56" i="41" s="1"/>
  <c r="Z56" i="41" a="1"/>
  <c r="Z56" i="41" s="1"/>
  <c r="Z57" i="41" s="1"/>
  <c r="AP56" i="41" a="1"/>
  <c r="AP56" i="41" s="1"/>
  <c r="AA56" i="41" a="1"/>
  <c r="AA56" i="41" s="1"/>
  <c r="AA57" i="41" s="1"/>
  <c r="AB56" i="41" a="1"/>
  <c r="AB56" i="41" s="1"/>
  <c r="AB57" i="41" s="1"/>
  <c r="AM56" i="41" a="1"/>
  <c r="AM56" i="41" s="1"/>
  <c r="AN56" i="41" a="1"/>
  <c r="AN56" i="41" s="1"/>
  <c r="AL56" i="41" a="1"/>
  <c r="AL56" i="41" s="1"/>
  <c r="AU56" i="41" a="1"/>
  <c r="AU56" i="41" s="1"/>
  <c r="AK56" i="41" a="1"/>
  <c r="AK56" i="41" s="1"/>
  <c r="AH56" i="41" a="1"/>
  <c r="AH56" i="41" s="1"/>
  <c r="AH57" i="41" s="1"/>
  <c r="AJ56" i="41" a="1"/>
  <c r="AJ56" i="41" s="1"/>
  <c r="AG56" i="41" a="1"/>
  <c r="AG56" i="41" s="1"/>
  <c r="AG57" i="41" s="1"/>
  <c r="X56" i="41" a="1"/>
  <c r="X56" i="41" s="1"/>
  <c r="X57" i="41" s="1"/>
  <c r="AS56" i="41" a="1"/>
  <c r="AS56" i="41" s="1"/>
  <c r="AE56" i="41" a="1"/>
  <c r="AE56" i="41" s="1"/>
  <c r="AE57" i="41" s="1"/>
  <c r="AO56" i="41" a="1"/>
  <c r="AO56" i="41" s="1"/>
  <c r="Y56" i="41" a="1"/>
  <c r="Y56" i="41" s="1"/>
  <c r="Y57" i="41" s="1"/>
  <c r="K11" i="8"/>
  <c r="H11" i="8"/>
  <c r="P11" i="8"/>
  <c r="I11" i="8"/>
  <c r="G11" i="8"/>
  <c r="F11" i="8"/>
  <c r="O11" i="8"/>
  <c r="J11" i="8"/>
  <c r="N11" i="8"/>
  <c r="M11" i="8"/>
  <c r="L11" i="8"/>
  <c r="O69" i="43"/>
  <c r="N71" i="43"/>
  <c r="N64" i="43"/>
  <c r="O62" i="43"/>
  <c r="N55" i="43"/>
  <c r="M57" i="43"/>
  <c r="AV98" i="41"/>
  <c r="AV11" i="41"/>
  <c r="Q179" i="61"/>
  <c r="Q119" i="61"/>
  <c r="AV120" i="41"/>
  <c r="AV142" i="41"/>
  <c r="AJ12" i="41" a="1"/>
  <c r="AJ12" i="41" s="1"/>
  <c r="L11" i="32"/>
  <c r="Q119" i="62"/>
  <c r="Q179" i="62"/>
  <c r="Q235" i="63"/>
  <c r="Q119" i="63"/>
  <c r="AV76" i="41"/>
  <c r="E11" i="8"/>
  <c r="AV54" i="41"/>
  <c r="AV32" i="41"/>
  <c r="AV10" i="41"/>
  <c r="F11" i="22"/>
  <c r="F147" i="22" s="1"/>
  <c r="O11" i="9"/>
  <c r="O183" i="9" s="1"/>
  <c r="P11" i="10"/>
  <c r="K11" i="31"/>
  <c r="J11" i="32"/>
  <c r="E11" i="22"/>
  <c r="E147" i="22" s="1"/>
  <c r="N11" i="6"/>
  <c r="G11" i="9"/>
  <c r="G183" i="9" s="1"/>
  <c r="J11" i="31"/>
  <c r="I11" i="32"/>
  <c r="M11" i="6"/>
  <c r="F11" i="9"/>
  <c r="F183" i="9" s="1"/>
  <c r="E11" i="10"/>
  <c r="N11" i="10"/>
  <c r="I11" i="31"/>
  <c r="H11" i="32"/>
  <c r="O11" i="10"/>
  <c r="L11" i="6"/>
  <c r="E11" i="9"/>
  <c r="E183" i="9" s="1"/>
  <c r="M11" i="10"/>
  <c r="H11" i="31"/>
  <c r="G11" i="32"/>
  <c r="G11" i="22"/>
  <c r="G147" i="22" s="1"/>
  <c r="P11" i="9"/>
  <c r="P183" i="9" s="1"/>
  <c r="K11" i="22"/>
  <c r="K147" i="22" s="1"/>
  <c r="K11" i="6"/>
  <c r="L11" i="10"/>
  <c r="G11" i="31"/>
  <c r="F11" i="32"/>
  <c r="L11" i="31"/>
  <c r="G11" i="6"/>
  <c r="P11" i="6"/>
  <c r="I11" i="9"/>
  <c r="I183" i="9" s="1"/>
  <c r="I11" i="10"/>
  <c r="H11" i="6"/>
  <c r="K11" i="32"/>
  <c r="L11" i="22"/>
  <c r="L147" i="22" s="1"/>
  <c r="E11" i="32"/>
  <c r="P11" i="22"/>
  <c r="P147" i="22" s="1"/>
  <c r="J11" i="10"/>
  <c r="H11" i="9"/>
  <c r="H183" i="9" s="1"/>
  <c r="H11" i="10"/>
  <c r="P11" i="32"/>
  <c r="J11" i="6"/>
  <c r="K11" i="10"/>
  <c r="F11" i="31"/>
  <c r="I11" i="6"/>
  <c r="J11" i="9"/>
  <c r="J183" i="9" s="1"/>
  <c r="E11" i="31"/>
  <c r="O11" i="22"/>
  <c r="O147" i="22" s="1"/>
  <c r="N11" i="22"/>
  <c r="N147" i="22" s="1"/>
  <c r="O11" i="6"/>
  <c r="M11" i="22"/>
  <c r="M147" i="22" s="1"/>
  <c r="L11" i="9"/>
  <c r="L183" i="9" s="1"/>
  <c r="G11" i="10"/>
  <c r="P11" i="31"/>
  <c r="O11" i="32"/>
  <c r="J11" i="22"/>
  <c r="J147" i="22" s="1"/>
  <c r="K11" i="9"/>
  <c r="K183" i="9" s="1"/>
  <c r="F11" i="10"/>
  <c r="O11" i="31"/>
  <c r="N11" i="32"/>
  <c r="I11" i="22"/>
  <c r="I147" i="22" s="1"/>
  <c r="F11" i="6"/>
  <c r="M11" i="9"/>
  <c r="M183" i="9" s="1"/>
  <c r="N11" i="31"/>
  <c r="M11" i="32"/>
  <c r="H11" i="22"/>
  <c r="H147" i="22" s="1"/>
  <c r="E11" i="6"/>
  <c r="N11" i="9"/>
  <c r="N183" i="9" s="1"/>
  <c r="X145" i="41"/>
  <c r="Z12" i="41" a="1"/>
  <c r="Z12" i="41" s="1"/>
  <c r="Z13" i="41" s="1"/>
  <c r="AM12" i="41" a="1"/>
  <c r="AM12" i="41" s="1"/>
  <c r="AM13" i="41" s="1"/>
  <c r="AO123" i="41"/>
  <c r="AI123" i="41"/>
  <c r="F125" i="31"/>
  <c r="AT101" i="41"/>
  <c r="Z101" i="41"/>
  <c r="L122" i="10"/>
  <c r="AC101" i="41"/>
  <c r="AB79" i="41"/>
  <c r="L122" i="9"/>
  <c r="AN12" i="41" a="1"/>
  <c r="AN12" i="41" s="1"/>
  <c r="I122" i="6" s="1"/>
  <c r="AT12" i="41" a="1"/>
  <c r="AT12" i="41" s="1"/>
  <c r="O122" i="6" s="1"/>
  <c r="G119" i="6"/>
  <c r="G204" i="6" s="1"/>
  <c r="AS12" i="41" a="1"/>
  <c r="AS12" i="41" s="1"/>
  <c r="N122" i="6" s="1"/>
  <c r="AK12" i="41" a="1"/>
  <c r="AK12" i="41" s="1"/>
  <c r="F122" i="6" s="1"/>
  <c r="AF12" i="41" a="1"/>
  <c r="AF12" i="41" s="1"/>
  <c r="AF13" i="41" s="1"/>
  <c r="AE12" i="41" a="1"/>
  <c r="AE12" i="41" s="1"/>
  <c r="AE13" i="41" s="1"/>
  <c r="AR12" i="41" a="1"/>
  <c r="AR12" i="41" s="1"/>
  <c r="AR13" i="41" s="1"/>
  <c r="X12" i="41" a="1"/>
  <c r="X12" i="41" s="1"/>
  <c r="X13" i="41" s="1"/>
  <c r="AD12" i="41" a="1"/>
  <c r="AD12" i="41" s="1"/>
  <c r="AD13" i="41" s="1"/>
  <c r="Y12" i="41" a="1"/>
  <c r="Y12" i="41" s="1"/>
  <c r="Y13" i="41" s="1"/>
  <c r="AL12" i="41" a="1"/>
  <c r="AL12" i="41" s="1"/>
  <c r="G122" i="6" s="1"/>
  <c r="AQ12" i="41" a="1"/>
  <c r="AQ12" i="41" s="1"/>
  <c r="L122" i="6" s="1"/>
  <c r="AI12" i="41" a="1"/>
  <c r="AI12" i="41" s="1"/>
  <c r="AI13" i="41" s="1"/>
  <c r="AU12" i="41" a="1"/>
  <c r="AU12" i="41" s="1"/>
  <c r="AU13" i="41" s="1"/>
  <c r="N122" i="22"/>
  <c r="K122" i="22"/>
  <c r="AC12" i="41" a="1"/>
  <c r="AC12" i="41" s="1"/>
  <c r="AC13" i="41" s="1"/>
  <c r="AH12" i="41" a="1"/>
  <c r="AH12" i="41" s="1"/>
  <c r="AH13" i="41" s="1"/>
  <c r="AB12" i="41" a="1"/>
  <c r="AB12" i="41" s="1"/>
  <c r="AB13" i="41" s="1"/>
  <c r="AP12" i="41" a="1"/>
  <c r="AP12" i="41" s="1"/>
  <c r="K122" i="6" s="1"/>
  <c r="AO12" i="41" a="1"/>
  <c r="AO12" i="41" s="1"/>
  <c r="J122" i="6" s="1"/>
  <c r="AG12" i="41" a="1"/>
  <c r="AG12" i="41" s="1"/>
  <c r="AG13" i="41" s="1"/>
  <c r="AA12" i="41" a="1"/>
  <c r="AA12" i="41" s="1"/>
  <c r="AA13" i="41" s="1"/>
  <c r="K119" i="6"/>
  <c r="K204" i="6" s="1"/>
  <c r="J119" i="6"/>
  <c r="J204" i="6" s="1"/>
  <c r="P119" i="6"/>
  <c r="P204" i="6" s="1"/>
  <c r="F119" i="6"/>
  <c r="F204" i="6" s="1"/>
  <c r="G119" i="9"/>
  <c r="G223" i="9" s="1"/>
  <c r="J119" i="32"/>
  <c r="J179" i="32" s="1"/>
  <c r="P119" i="8"/>
  <c r="P227" i="8" s="1"/>
  <c r="F119" i="9"/>
  <c r="F223" i="9" s="1"/>
  <c r="K119" i="9"/>
  <c r="K223" i="9" s="1"/>
  <c r="P119" i="10"/>
  <c r="P178" i="10" s="1"/>
  <c r="F119" i="22"/>
  <c r="F178" i="22" s="1"/>
  <c r="K122" i="31"/>
  <c r="K288" i="31" s="1"/>
  <c r="P122" i="31"/>
  <c r="P288" i="31" s="1"/>
  <c r="G122" i="31"/>
  <c r="G288" i="31" s="1"/>
  <c r="I119" i="9"/>
  <c r="I223" i="9" s="1"/>
  <c r="I119" i="22"/>
  <c r="I178" i="22" s="1"/>
  <c r="I122" i="31"/>
  <c r="I288" i="31" s="1"/>
  <c r="H119" i="9"/>
  <c r="H223" i="9" s="1"/>
  <c r="G119" i="32"/>
  <c r="G179" i="32" s="1"/>
  <c r="P119" i="9"/>
  <c r="P223" i="9" s="1"/>
  <c r="H119" i="32"/>
  <c r="H179" i="32" s="1"/>
  <c r="I119" i="6"/>
  <c r="I204" i="6" s="1"/>
  <c r="I119" i="32"/>
  <c r="I179" i="32" s="1"/>
  <c r="G119" i="10"/>
  <c r="G178" i="10" s="1"/>
  <c r="G119" i="8"/>
  <c r="G227" i="8" s="1"/>
  <c r="H119" i="10"/>
  <c r="H178" i="10" s="1"/>
  <c r="P119" i="32"/>
  <c r="P179" i="32" s="1"/>
  <c r="H119" i="8"/>
  <c r="H227" i="8" s="1"/>
  <c r="I119" i="10"/>
  <c r="I178" i="10" s="1"/>
  <c r="I119" i="8"/>
  <c r="I227" i="8" s="1"/>
  <c r="J119" i="8"/>
  <c r="J227" i="8" s="1"/>
  <c r="F122" i="31"/>
  <c r="F288" i="31" s="1"/>
  <c r="J122" i="31"/>
  <c r="J288" i="31" s="1"/>
  <c r="J119" i="22"/>
  <c r="J178" i="22" s="1"/>
  <c r="K119" i="22"/>
  <c r="K178" i="22" s="1"/>
  <c r="H119" i="22"/>
  <c r="H178" i="22" s="1"/>
  <c r="K119" i="10"/>
  <c r="K178" i="10" s="1"/>
  <c r="K119" i="32"/>
  <c r="K179" i="32" s="1"/>
  <c r="K119" i="8"/>
  <c r="K227" i="8" s="1"/>
  <c r="E119" i="6"/>
  <c r="E204" i="6" s="1"/>
  <c r="N119" i="9"/>
  <c r="N223" i="9" s="1"/>
  <c r="O119" i="22"/>
  <c r="O178" i="22" s="1"/>
  <c r="O119" i="10"/>
  <c r="O178" i="10" s="1"/>
  <c r="L119" i="9"/>
  <c r="L223" i="9" s="1"/>
  <c r="E122" i="31"/>
  <c r="E288" i="31" s="1"/>
  <c r="N119" i="22"/>
  <c r="N178" i="22" s="1"/>
  <c r="H119" i="6"/>
  <c r="H204" i="6" s="1"/>
  <c r="O119" i="32"/>
  <c r="O179" i="32" s="1"/>
  <c r="O119" i="8"/>
  <c r="O227" i="8" s="1"/>
  <c r="G119" i="22"/>
  <c r="G178" i="22" s="1"/>
  <c r="E119" i="9"/>
  <c r="E223" i="9" s="1"/>
  <c r="N122" i="31"/>
  <c r="N288" i="31" s="1"/>
  <c r="O122" i="31"/>
  <c r="O288" i="31" s="1"/>
  <c r="O119" i="6"/>
  <c r="O204" i="6" s="1"/>
  <c r="E119" i="10"/>
  <c r="E178" i="10" s="1"/>
  <c r="N119" i="6"/>
  <c r="N204" i="6" s="1"/>
  <c r="E119" i="22"/>
  <c r="E178" i="22" s="1"/>
  <c r="N119" i="8"/>
  <c r="N227" i="8" s="1"/>
  <c r="L119" i="10"/>
  <c r="L178" i="10" s="1"/>
  <c r="E119" i="32"/>
  <c r="E179" i="32" s="1"/>
  <c r="E119" i="8"/>
  <c r="E227" i="8" s="1"/>
  <c r="N119" i="10"/>
  <c r="N178" i="10" s="1"/>
  <c r="M119" i="10"/>
  <c r="M178" i="10" s="1"/>
  <c r="M119" i="9"/>
  <c r="M223" i="9" s="1"/>
  <c r="L119" i="8"/>
  <c r="L227" i="8" s="1"/>
  <c r="M119" i="8"/>
  <c r="M227" i="8" s="1"/>
  <c r="M119" i="6"/>
  <c r="M204" i="6" s="1"/>
  <c r="L119" i="32"/>
  <c r="L179" i="32" s="1"/>
  <c r="L119" i="6"/>
  <c r="L204" i="6" s="1"/>
  <c r="M119" i="32"/>
  <c r="M179" i="32" s="1"/>
  <c r="M119" i="22"/>
  <c r="M178" i="22" s="1"/>
  <c r="L122" i="31"/>
  <c r="L288" i="31" s="1"/>
  <c r="DN24" i="41"/>
  <c r="F88" i="8"/>
  <c r="F217" i="8" s="1"/>
  <c r="G88" i="8"/>
  <c r="G217" i="8" s="1"/>
  <c r="H88" i="8"/>
  <c r="H217" i="8" s="1"/>
  <c r="I88" i="8"/>
  <c r="I217" i="8" s="1"/>
  <c r="J88" i="8"/>
  <c r="J217" i="8" s="1"/>
  <c r="K88" i="8"/>
  <c r="K217" i="8" s="1"/>
  <c r="L88" i="8"/>
  <c r="L217" i="8" s="1"/>
  <c r="M88" i="8"/>
  <c r="M217" i="8" s="1"/>
  <c r="O88" i="8"/>
  <c r="O217" i="8" s="1"/>
  <c r="P88" i="8"/>
  <c r="P217" i="8" s="1"/>
  <c r="E88" i="8"/>
  <c r="E217" i="8" s="1"/>
  <c r="N88" i="8"/>
  <c r="N217" i="8" s="1"/>
  <c r="Q275" i="31" l="1"/>
  <c r="I148" i="6"/>
  <c r="I172" i="6"/>
  <c r="L192" i="8"/>
  <c r="P20" i="61"/>
  <c r="P151" i="61" s="1"/>
  <c r="O151" i="61"/>
  <c r="P148" i="6"/>
  <c r="P172" i="6"/>
  <c r="L148" i="6"/>
  <c r="L172" i="6"/>
  <c r="M192" i="8"/>
  <c r="G148" i="6"/>
  <c r="G172" i="6"/>
  <c r="N192" i="8"/>
  <c r="H192" i="8"/>
  <c r="F148" i="6"/>
  <c r="F172" i="6"/>
  <c r="O192" i="8"/>
  <c r="P19" i="61"/>
  <c r="P150" i="61" s="1"/>
  <c r="O150" i="61"/>
  <c r="J148" i="6"/>
  <c r="J172" i="6"/>
  <c r="F192" i="8"/>
  <c r="O148" i="6"/>
  <c r="O172" i="6"/>
  <c r="K192" i="8"/>
  <c r="H148" i="6"/>
  <c r="H172" i="6"/>
  <c r="N148" i="6"/>
  <c r="N172" i="6"/>
  <c r="J192" i="8"/>
  <c r="E148" i="6"/>
  <c r="E172" i="6"/>
  <c r="G192" i="8"/>
  <c r="K148" i="6"/>
  <c r="K172" i="6"/>
  <c r="I192" i="8"/>
  <c r="M148" i="6"/>
  <c r="M172" i="6"/>
  <c r="E192" i="8"/>
  <c r="P192" i="8"/>
  <c r="Q223" i="9"/>
  <c r="P90" i="43"/>
  <c r="P58" i="62" s="1"/>
  <c r="P164" i="62" s="1"/>
  <c r="O58" i="62"/>
  <c r="O164" i="62" s="1"/>
  <c r="N74" i="43"/>
  <c r="N60" i="63"/>
  <c r="O73" i="43"/>
  <c r="N62" i="63"/>
  <c r="O89" i="43"/>
  <c r="N58" i="61"/>
  <c r="N164" i="61" s="1"/>
  <c r="O59" i="43"/>
  <c r="N62" i="61"/>
  <c r="M60" i="43"/>
  <c r="M60" i="61"/>
  <c r="M63" i="61" s="1"/>
  <c r="M165" i="61" s="1"/>
  <c r="O58" i="43"/>
  <c r="N61" i="61"/>
  <c r="O92" i="43"/>
  <c r="N58" i="63"/>
  <c r="N217" i="63" s="1"/>
  <c r="O66" i="43"/>
  <c r="N62" i="62"/>
  <c r="N67" i="43"/>
  <c r="N60" i="62"/>
  <c r="P72" i="43"/>
  <c r="O61" i="63"/>
  <c r="P249" i="31"/>
  <c r="L249" i="31"/>
  <c r="I249" i="31"/>
  <c r="E249" i="31"/>
  <c r="O249" i="31"/>
  <c r="F249" i="31"/>
  <c r="K249" i="31"/>
  <c r="G249" i="31"/>
  <c r="N249" i="31"/>
  <c r="J249" i="31"/>
  <c r="H249" i="31"/>
  <c r="AP57" i="41"/>
  <c r="AK57" i="41"/>
  <c r="AM57" i="41"/>
  <c r="AL57" i="41"/>
  <c r="AS57" i="41"/>
  <c r="P122" i="8"/>
  <c r="O122" i="8"/>
  <c r="AR57" i="41"/>
  <c r="AO57" i="41"/>
  <c r="AQ57" i="41"/>
  <c r="AN57" i="41"/>
  <c r="R119" i="63"/>
  <c r="T119" i="63"/>
  <c r="R119" i="62"/>
  <c r="T119" i="62"/>
  <c r="R119" i="61"/>
  <c r="T119" i="61"/>
  <c r="F120" i="27"/>
  <c r="I11" i="27"/>
  <c r="J11" i="27"/>
  <c r="E120" i="27"/>
  <c r="F11" i="27"/>
  <c r="L120" i="27"/>
  <c r="P120" i="27"/>
  <c r="H11" i="27"/>
  <c r="M11" i="27"/>
  <c r="E11" i="27"/>
  <c r="P11" i="27"/>
  <c r="G11" i="27"/>
  <c r="N11" i="27"/>
  <c r="M120" i="27"/>
  <c r="L11" i="27"/>
  <c r="I120" i="27"/>
  <c r="O11" i="27"/>
  <c r="G120" i="27"/>
  <c r="K11" i="27"/>
  <c r="K120" i="27"/>
  <c r="H120" i="27"/>
  <c r="N120" i="27"/>
  <c r="O120" i="27"/>
  <c r="O71" i="43"/>
  <c r="P69" i="43"/>
  <c r="O64" i="43"/>
  <c r="P62" i="43"/>
  <c r="O55" i="43"/>
  <c r="N57" i="43"/>
  <c r="K122" i="32"/>
  <c r="K123" i="63"/>
  <c r="K123" i="61"/>
  <c r="K123" i="62"/>
  <c r="G122" i="32"/>
  <c r="G123" i="61"/>
  <c r="G123" i="62"/>
  <c r="G123" i="63"/>
  <c r="AJ13" i="41"/>
  <c r="AV12" i="41"/>
  <c r="AV13" i="41" s="1"/>
  <c r="O122" i="32"/>
  <c r="O123" i="61"/>
  <c r="O123" i="63"/>
  <c r="O123" i="62"/>
  <c r="E125" i="31"/>
  <c r="AV122" i="41"/>
  <c r="AV123" i="41" s="1"/>
  <c r="J122" i="32"/>
  <c r="J123" i="62"/>
  <c r="J123" i="63"/>
  <c r="J123" i="61"/>
  <c r="AJ145" i="41"/>
  <c r="AV144" i="41"/>
  <c r="AV145" i="41" s="1"/>
  <c r="AK145" i="41"/>
  <c r="F123" i="61"/>
  <c r="F123" i="62"/>
  <c r="F123" i="63"/>
  <c r="N122" i="32"/>
  <c r="N123" i="61"/>
  <c r="N123" i="63"/>
  <c r="N123" i="62"/>
  <c r="L122" i="32"/>
  <c r="L123" i="63"/>
  <c r="L123" i="62"/>
  <c r="L123" i="61"/>
  <c r="Q11" i="61"/>
  <c r="I122" i="32"/>
  <c r="I123" i="62"/>
  <c r="I123" i="63"/>
  <c r="I123" i="61"/>
  <c r="Q11" i="63"/>
  <c r="Q11" i="62"/>
  <c r="AR145" i="41"/>
  <c r="M123" i="62"/>
  <c r="M123" i="61"/>
  <c r="M123" i="63"/>
  <c r="E122" i="6"/>
  <c r="E123" i="6" s="1"/>
  <c r="AU145" i="41"/>
  <c r="P123" i="61"/>
  <c r="P123" i="62"/>
  <c r="P123" i="63"/>
  <c r="AM145" i="41"/>
  <c r="H123" i="62"/>
  <c r="H123" i="63"/>
  <c r="H123" i="61"/>
  <c r="E122" i="10"/>
  <c r="AV100" i="41"/>
  <c r="AV101" i="41" s="1"/>
  <c r="E122" i="9"/>
  <c r="AV78" i="41"/>
  <c r="AV79" i="41" s="1"/>
  <c r="AJ57" i="41"/>
  <c r="AV56" i="41"/>
  <c r="AV57" i="41" s="1"/>
  <c r="E122" i="22"/>
  <c r="AV34" i="41"/>
  <c r="AV35" i="41" s="1"/>
  <c r="M122" i="6"/>
  <c r="H122" i="6"/>
  <c r="H122" i="8"/>
  <c r="I122" i="8"/>
  <c r="H122" i="32"/>
  <c r="G122" i="8"/>
  <c r="M122" i="8"/>
  <c r="J122" i="8"/>
  <c r="AN145" i="41"/>
  <c r="F122" i="32"/>
  <c r="M122" i="32"/>
  <c r="P122" i="32"/>
  <c r="I125" i="31"/>
  <c r="AM123" i="41"/>
  <c r="N125" i="31"/>
  <c r="AL101" i="41"/>
  <c r="O122" i="10"/>
  <c r="AO13" i="41"/>
  <c r="AL13" i="41"/>
  <c r="G125" i="31"/>
  <c r="AR35" i="41"/>
  <c r="AS145" i="41"/>
  <c r="J125" i="31"/>
  <c r="I122" i="22"/>
  <c r="H122" i="22"/>
  <c r="AO79" i="41"/>
  <c r="AN79" i="41"/>
  <c r="AS79" i="41"/>
  <c r="L122" i="8"/>
  <c r="AU57" i="41"/>
  <c r="K122" i="8"/>
  <c r="F122" i="8"/>
  <c r="E122" i="8"/>
  <c r="E123" i="8" s="1"/>
  <c r="P122" i="6"/>
  <c r="AO101" i="41"/>
  <c r="AL145" i="41"/>
  <c r="AS13" i="41"/>
  <c r="AT79" i="41"/>
  <c r="N122" i="8"/>
  <c r="AU35" i="41"/>
  <c r="AT123" i="41"/>
  <c r="AT145" i="41"/>
  <c r="AN101" i="41"/>
  <c r="AQ123" i="41"/>
  <c r="AP13" i="41"/>
  <c r="AJ35" i="41"/>
  <c r="AK35" i="41"/>
  <c r="H122" i="9"/>
  <c r="AR79" i="41"/>
  <c r="AT13" i="41"/>
  <c r="AK101" i="41"/>
  <c r="AU123" i="41"/>
  <c r="AN13" i="41"/>
  <c r="AR101" i="41"/>
  <c r="AK13" i="41"/>
  <c r="AQ35" i="41"/>
  <c r="AP35" i="41"/>
  <c r="AO145" i="41"/>
  <c r="AP79" i="41"/>
  <c r="AS35" i="41"/>
  <c r="AM101" i="41"/>
  <c r="AJ79" i="41"/>
  <c r="AT57" i="41"/>
  <c r="AK123" i="41"/>
  <c r="AU79" i="41"/>
  <c r="AS101" i="41"/>
  <c r="AP123" i="41"/>
  <c r="AQ79" i="41"/>
  <c r="AT35" i="41"/>
  <c r="AP145" i="41"/>
  <c r="AQ13" i="41"/>
  <c r="AL35" i="41"/>
  <c r="AJ101" i="41"/>
  <c r="AQ145" i="41"/>
  <c r="AJ123" i="41"/>
  <c r="AP101" i="41"/>
  <c r="AL79" i="41"/>
  <c r="AU101" i="41"/>
  <c r="AR123" i="41"/>
  <c r="AO35" i="41"/>
  <c r="AQ101" i="41"/>
  <c r="AK79" i="41"/>
  <c r="J119" i="10"/>
  <c r="J178" i="10" s="1"/>
  <c r="DT134" i="41"/>
  <c r="DM156" i="41"/>
  <c r="DB156" i="41"/>
  <c r="DD156" i="41"/>
  <c r="DX156" i="41"/>
  <c r="DJ156" i="41"/>
  <c r="DU156" i="41"/>
  <c r="DO156" i="41"/>
  <c r="DL156" i="41"/>
  <c r="DY156" i="41"/>
  <c r="DR156" i="41"/>
  <c r="DQ156" i="41"/>
  <c r="DG156" i="41"/>
  <c r="DK156" i="41"/>
  <c r="DC156" i="41"/>
  <c r="DW156" i="41"/>
  <c r="DI156" i="41"/>
  <c r="DE156" i="41"/>
  <c r="DN156" i="41"/>
  <c r="DV156" i="41"/>
  <c r="DH156" i="41"/>
  <c r="DT156" i="41"/>
  <c r="DS156" i="41"/>
  <c r="DF156" i="41"/>
  <c r="DP156" i="41"/>
  <c r="DO134" i="41"/>
  <c r="DU134" i="41"/>
  <c r="DF134" i="41"/>
  <c r="DI134" i="41"/>
  <c r="DG134" i="41"/>
  <c r="DM134" i="41"/>
  <c r="DH134" i="41"/>
  <c r="DE134" i="41"/>
  <c r="DB134" i="41"/>
  <c r="DS134" i="41"/>
  <c r="DP134" i="41"/>
  <c r="DL134" i="41"/>
  <c r="DD134" i="41"/>
  <c r="DR134" i="41"/>
  <c r="DV134" i="41"/>
  <c r="DX134" i="41"/>
  <c r="DY134" i="41"/>
  <c r="DJ134" i="41"/>
  <c r="DQ134" i="41"/>
  <c r="DK134" i="41"/>
  <c r="DC134" i="41"/>
  <c r="DN134" i="41"/>
  <c r="DW134" i="41"/>
  <c r="DU112" i="41"/>
  <c r="DO112" i="41"/>
  <c r="DF112" i="41"/>
  <c r="DX112" i="41"/>
  <c r="DJ112" i="41"/>
  <c r="DH112" i="41"/>
  <c r="DN112" i="41"/>
  <c r="DG112" i="41"/>
  <c r="DT112" i="41"/>
  <c r="DW112" i="41"/>
  <c r="DI112" i="41"/>
  <c r="DR112" i="41"/>
  <c r="DC112" i="41"/>
  <c r="DB112" i="41"/>
  <c r="DK112" i="41"/>
  <c r="DV112" i="41"/>
  <c r="DS112" i="41"/>
  <c r="DL112" i="41"/>
  <c r="DQ112" i="41"/>
  <c r="DM112" i="41"/>
  <c r="DE112" i="41"/>
  <c r="DY112" i="41"/>
  <c r="DD112" i="41"/>
  <c r="DP112" i="41"/>
  <c r="DP90" i="41"/>
  <c r="DB90" i="41"/>
  <c r="DO90" i="41"/>
  <c r="DL90" i="41"/>
  <c r="DX90" i="41"/>
  <c r="DR90" i="41"/>
  <c r="DC90" i="41"/>
  <c r="DU90" i="41"/>
  <c r="DS90" i="41"/>
  <c r="DN90" i="41"/>
  <c r="DG90" i="41"/>
  <c r="DQ90" i="41"/>
  <c r="DY90" i="41"/>
  <c r="DE90" i="41"/>
  <c r="DM90" i="41"/>
  <c r="DK90" i="41"/>
  <c r="DD90" i="41"/>
  <c r="DI90" i="41"/>
  <c r="DV90" i="41"/>
  <c r="DT90" i="41"/>
  <c r="DJ90" i="41"/>
  <c r="DW90" i="41"/>
  <c r="DH90" i="41"/>
  <c r="DF90" i="41"/>
  <c r="P61" i="63" l="1"/>
  <c r="Q72" i="43"/>
  <c r="P89" i="43"/>
  <c r="P58" i="61" s="1"/>
  <c r="P164" i="61" s="1"/>
  <c r="O58" i="61"/>
  <c r="O164" i="61" s="1"/>
  <c r="N60" i="43"/>
  <c r="N60" i="61"/>
  <c r="N63" i="61" s="1"/>
  <c r="N165" i="61" s="1"/>
  <c r="O67" i="43"/>
  <c r="O60" i="62"/>
  <c r="P73" i="43"/>
  <c r="P62" i="63" s="1"/>
  <c r="O62" i="63"/>
  <c r="Q73" i="43"/>
  <c r="P59" i="43"/>
  <c r="P62" i="61" s="1"/>
  <c r="O62" i="61"/>
  <c r="O74" i="43"/>
  <c r="O60" i="63"/>
  <c r="P92" i="43"/>
  <c r="P58" i="63" s="1"/>
  <c r="P217" i="63" s="1"/>
  <c r="O58" i="63"/>
  <c r="O217" i="63" s="1"/>
  <c r="P58" i="43"/>
  <c r="O61" i="61"/>
  <c r="P66" i="43"/>
  <c r="P62" i="62" s="1"/>
  <c r="O62" i="62"/>
  <c r="Q195" i="63"/>
  <c r="J120" i="27"/>
  <c r="Q120" i="27" s="1"/>
  <c r="Q236" i="63"/>
  <c r="P71" i="43"/>
  <c r="Q69" i="43"/>
  <c r="Q71" i="43" s="1"/>
  <c r="P64" i="43"/>
  <c r="Q62" i="43"/>
  <c r="Q64" i="43" s="1"/>
  <c r="P55" i="43"/>
  <c r="O57" i="43"/>
  <c r="R11" i="62"/>
  <c r="R11" i="61"/>
  <c r="R11" i="63"/>
  <c r="Q180" i="62"/>
  <c r="Q122" i="62"/>
  <c r="Q122" i="61"/>
  <c r="Q122" i="63"/>
  <c r="Q180" i="61"/>
  <c r="Q66" i="43" l="1"/>
  <c r="O60" i="43"/>
  <c r="O60" i="61"/>
  <c r="O63" i="61" s="1"/>
  <c r="O165" i="61" s="1"/>
  <c r="P61" i="61"/>
  <c r="Q58" i="43"/>
  <c r="Q67" i="43"/>
  <c r="Q74" i="43"/>
  <c r="Q59" i="43"/>
  <c r="P67" i="43"/>
  <c r="P60" i="62"/>
  <c r="P74" i="43"/>
  <c r="P60" i="63"/>
  <c r="P57" i="43"/>
  <c r="Q55" i="43"/>
  <c r="Q57" i="43" s="1"/>
  <c r="Q60" i="43" s="1"/>
  <c r="R122" i="62"/>
  <c r="Q123" i="62"/>
  <c r="R122" i="63"/>
  <c r="Q123" i="63"/>
  <c r="Q123" i="61"/>
  <c r="R122" i="61"/>
  <c r="Q123" i="27"/>
  <c r="Q124" i="27" s="1"/>
  <c r="P60" i="43" l="1"/>
  <c r="P60" i="61"/>
  <c r="P63" i="61" s="1"/>
  <c r="P165" i="61" s="1"/>
  <c r="R123" i="63"/>
  <c r="T123" i="63"/>
  <c r="R123" i="62"/>
  <c r="T123" i="62"/>
  <c r="R123" i="61"/>
  <c r="T123" i="61"/>
  <c r="E103" i="27"/>
  <c r="F29" i="44"/>
  <c r="F77" i="63" s="1"/>
  <c r="F220" i="63" s="1"/>
  <c r="J29" i="44"/>
  <c r="J77" i="63" s="1"/>
  <c r="J220" i="63" s="1"/>
  <c r="I29" i="44"/>
  <c r="I77" i="63" s="1"/>
  <c r="I220" i="63" s="1"/>
  <c r="H29" i="44"/>
  <c r="H77" i="63" s="1"/>
  <c r="H220" i="63" s="1"/>
  <c r="E29" i="44"/>
  <c r="E77" i="63" s="1"/>
  <c r="E220" i="63" s="1"/>
  <c r="K29" i="44"/>
  <c r="K77" i="63" s="1"/>
  <c r="K220" i="63" s="1"/>
  <c r="G29" i="44"/>
  <c r="G77" i="63" s="1"/>
  <c r="G220" i="63" s="1"/>
  <c r="P29" i="44"/>
  <c r="P77" i="63" s="1"/>
  <c r="P220" i="63" s="1"/>
  <c r="O29" i="44"/>
  <c r="O77" i="63" s="1"/>
  <c r="O220" i="63" s="1"/>
  <c r="N29" i="44"/>
  <c r="N77" i="63" s="1"/>
  <c r="N220" i="63" s="1"/>
  <c r="M29" i="44"/>
  <c r="M77" i="63" s="1"/>
  <c r="M220" i="63" s="1"/>
  <c r="L29" i="44"/>
  <c r="L77" i="63" s="1"/>
  <c r="L220" i="63" s="1"/>
  <c r="H99" i="44"/>
  <c r="H100" i="63" s="1"/>
  <c r="F99" i="44"/>
  <c r="F100" i="63" s="1"/>
  <c r="N99" i="44"/>
  <c r="N100" i="63" s="1"/>
  <c r="M99" i="44"/>
  <c r="M100" i="63" s="1"/>
  <c r="P99" i="44"/>
  <c r="P100" i="63" s="1"/>
  <c r="O99" i="44"/>
  <c r="O100" i="63" s="1"/>
  <c r="L99" i="44"/>
  <c r="L100" i="63" s="1"/>
  <c r="K99" i="44"/>
  <c r="K100" i="63" s="1"/>
  <c r="J99" i="44"/>
  <c r="J100" i="63" s="1"/>
  <c r="I99" i="44"/>
  <c r="I100" i="63" s="1"/>
  <c r="G99" i="44"/>
  <c r="G100" i="63" s="1"/>
  <c r="E99" i="44"/>
  <c r="E100" i="63" s="1"/>
  <c r="D50" i="43"/>
  <c r="D53" i="43" s="1"/>
  <c r="D43" i="43"/>
  <c r="D46" i="43" s="1"/>
  <c r="D36" i="43"/>
  <c r="D39" i="43" s="1"/>
  <c r="D29" i="43"/>
  <c r="D32" i="43" s="1"/>
  <c r="D22" i="43"/>
  <c r="D25" i="43" s="1"/>
  <c r="D15" i="43"/>
  <c r="D18" i="43" s="1"/>
  <c r="D8" i="43"/>
  <c r="D11" i="43" s="1"/>
  <c r="E82" i="43"/>
  <c r="E83" i="43"/>
  <c r="E84" i="43"/>
  <c r="E58" i="9" s="1"/>
  <c r="E205" i="9" s="1"/>
  <c r="E86" i="43"/>
  <c r="E87" i="43"/>
  <c r="E88" i="43"/>
  <c r="J1" i="6"/>
  <c r="D145" i="32"/>
  <c r="B251" i="31"/>
  <c r="D145" i="10"/>
  <c r="B185" i="9"/>
  <c r="B194" i="8"/>
  <c r="D145" i="22"/>
  <c r="E37" i="44" l="1"/>
  <c r="K37" i="44"/>
  <c r="K92" i="9" s="1"/>
  <c r="K214" i="9" s="1"/>
  <c r="L38" i="44"/>
  <c r="L92" i="10" s="1"/>
  <c r="L169" i="10" s="1"/>
  <c r="J35" i="44"/>
  <c r="J92" i="22" s="1"/>
  <c r="J169" i="22" s="1"/>
  <c r="H38" i="44"/>
  <c r="H92" i="10" s="1"/>
  <c r="H169" i="10" s="1"/>
  <c r="P35" i="44"/>
  <c r="P92" i="22" s="1"/>
  <c r="P169" i="22" s="1"/>
  <c r="M39" i="44"/>
  <c r="M95" i="31" s="1"/>
  <c r="M279" i="31" s="1"/>
  <c r="O41" i="44"/>
  <c r="O92" i="61" s="1"/>
  <c r="O170" i="61" s="1"/>
  <c r="P41" i="44"/>
  <c r="P92" i="61" s="1"/>
  <c r="P170" i="61" s="1"/>
  <c r="H36" i="44"/>
  <c r="H92" i="8" s="1"/>
  <c r="H218" i="8" s="1"/>
  <c r="P43" i="44"/>
  <c r="P92" i="63" s="1"/>
  <c r="P226" i="63" s="1"/>
  <c r="F38" i="44"/>
  <c r="F92" i="10" s="1"/>
  <c r="F169" i="10" s="1"/>
  <c r="M34" i="44"/>
  <c r="J38" i="44"/>
  <c r="J92" i="10" s="1"/>
  <c r="J169" i="10" s="1"/>
  <c r="M40" i="44"/>
  <c r="M92" i="32" s="1"/>
  <c r="M170" i="32" s="1"/>
  <c r="P36" i="44"/>
  <c r="P92" i="8" s="1"/>
  <c r="P218" i="8" s="1"/>
  <c r="P34" i="44"/>
  <c r="F36" i="44"/>
  <c r="F92" i="8" s="1"/>
  <c r="F218" i="8" s="1"/>
  <c r="L41" i="44"/>
  <c r="L92" i="61" s="1"/>
  <c r="L170" i="61" s="1"/>
  <c r="H39" i="44"/>
  <c r="H95" i="31" s="1"/>
  <c r="H279" i="31" s="1"/>
  <c r="Q41" i="44"/>
  <c r="G37" i="44"/>
  <c r="G92" i="9" s="1"/>
  <c r="G214" i="9" s="1"/>
  <c r="J39" i="44"/>
  <c r="J95" i="31" s="1"/>
  <c r="J279" i="31" s="1"/>
  <c r="M43" i="44"/>
  <c r="M92" i="63" s="1"/>
  <c r="M226" i="63" s="1"/>
  <c r="E42" i="44"/>
  <c r="E92" i="62" s="1"/>
  <c r="E170" i="62" s="1"/>
  <c r="N34" i="44"/>
  <c r="G39" i="44"/>
  <c r="G95" i="31" s="1"/>
  <c r="G279" i="31" s="1"/>
  <c r="J40" i="44"/>
  <c r="J92" i="32" s="1"/>
  <c r="J170" i="32" s="1"/>
  <c r="L39" i="44"/>
  <c r="L95" i="31" s="1"/>
  <c r="L279" i="31" s="1"/>
  <c r="K42" i="44"/>
  <c r="K92" i="62" s="1"/>
  <c r="K170" i="62" s="1"/>
  <c r="M41" i="44"/>
  <c r="M92" i="61" s="1"/>
  <c r="M170" i="61" s="1"/>
  <c r="I42" i="44"/>
  <c r="I92" i="62" s="1"/>
  <c r="I170" i="62" s="1"/>
  <c r="F43" i="44"/>
  <c r="F92" i="63" s="1"/>
  <c r="F226" i="63" s="1"/>
  <c r="L36" i="44"/>
  <c r="L92" i="8" s="1"/>
  <c r="L218" i="8" s="1"/>
  <c r="F37" i="44"/>
  <c r="F92" i="9" s="1"/>
  <c r="F214" i="9" s="1"/>
  <c r="L34" i="44"/>
  <c r="O36" i="44"/>
  <c r="O92" i="8" s="1"/>
  <c r="O218" i="8" s="1"/>
  <c r="I41" i="44"/>
  <c r="I92" i="61" s="1"/>
  <c r="I170" i="61" s="1"/>
  <c r="F34" i="44"/>
  <c r="F39" i="44"/>
  <c r="F95" i="31" s="1"/>
  <c r="F279" i="31" s="1"/>
  <c r="E38" i="44"/>
  <c r="G40" i="44"/>
  <c r="G92" i="32" s="1"/>
  <c r="G170" i="32" s="1"/>
  <c r="N42" i="44"/>
  <c r="N92" i="62" s="1"/>
  <c r="N170" i="62" s="1"/>
  <c r="K39" i="44"/>
  <c r="K95" i="31" s="1"/>
  <c r="K279" i="31" s="1"/>
  <c r="G43" i="44"/>
  <c r="G92" i="63" s="1"/>
  <c r="G226" i="63" s="1"/>
  <c r="I34" i="44"/>
  <c r="I40" i="44"/>
  <c r="I92" i="32" s="1"/>
  <c r="I170" i="32" s="1"/>
  <c r="E35" i="44"/>
  <c r="L37" i="44"/>
  <c r="L92" i="9" s="1"/>
  <c r="L214" i="9" s="1"/>
  <c r="I43" i="44"/>
  <c r="I92" i="63" s="1"/>
  <c r="I226" i="63" s="1"/>
  <c r="P42" i="44"/>
  <c r="P92" i="62" s="1"/>
  <c r="P170" i="62" s="1"/>
  <c r="H35" i="44"/>
  <c r="H92" i="22" s="1"/>
  <c r="H169" i="22" s="1"/>
  <c r="F35" i="44"/>
  <c r="F92" i="22" s="1"/>
  <c r="F169" i="22" s="1"/>
  <c r="E39" i="44"/>
  <c r="K43" i="44"/>
  <c r="K92" i="63" s="1"/>
  <c r="K226" i="63" s="1"/>
  <c r="J41" i="44"/>
  <c r="J92" i="61" s="1"/>
  <c r="J170" i="61" s="1"/>
  <c r="J37" i="44"/>
  <c r="J92" i="9" s="1"/>
  <c r="J214" i="9" s="1"/>
  <c r="P37" i="44"/>
  <c r="P92" i="9" s="1"/>
  <c r="P214" i="9" s="1"/>
  <c r="N38" i="44"/>
  <c r="N92" i="10" s="1"/>
  <c r="N169" i="10" s="1"/>
  <c r="M36" i="44"/>
  <c r="M92" i="8" s="1"/>
  <c r="M218" i="8" s="1"/>
  <c r="H37" i="44"/>
  <c r="H92" i="9" s="1"/>
  <c r="H214" i="9" s="1"/>
  <c r="I37" i="44"/>
  <c r="I92" i="9" s="1"/>
  <c r="I214" i="9" s="1"/>
  <c r="G38" i="44"/>
  <c r="G92" i="10" s="1"/>
  <c r="G169" i="10" s="1"/>
  <c r="N40" i="44"/>
  <c r="N92" i="32" s="1"/>
  <c r="N170" i="32" s="1"/>
  <c r="L35" i="44"/>
  <c r="L92" i="22" s="1"/>
  <c r="L169" i="22" s="1"/>
  <c r="J34" i="44"/>
  <c r="M35" i="44"/>
  <c r="M92" i="22" s="1"/>
  <c r="M169" i="22" s="1"/>
  <c r="K35" i="44"/>
  <c r="K92" i="22" s="1"/>
  <c r="K169" i="22" s="1"/>
  <c r="I36" i="44"/>
  <c r="I92" i="8" s="1"/>
  <c r="I218" i="8" s="1"/>
  <c r="G42" i="44"/>
  <c r="G92" i="62" s="1"/>
  <c r="G170" i="62" s="1"/>
  <c r="E41" i="44"/>
  <c r="E92" i="61" s="1"/>
  <c r="E170" i="61" s="1"/>
  <c r="O37" i="44"/>
  <c r="O92" i="9" s="1"/>
  <c r="O214" i="9" s="1"/>
  <c r="K40" i="44"/>
  <c r="K92" i="32" s="1"/>
  <c r="K170" i="32" s="1"/>
  <c r="F40" i="44"/>
  <c r="F92" i="32" s="1"/>
  <c r="F170" i="32" s="1"/>
  <c r="P40" i="44"/>
  <c r="P92" i="32" s="1"/>
  <c r="P170" i="32" s="1"/>
  <c r="O35" i="44"/>
  <c r="O92" i="22" s="1"/>
  <c r="O169" i="22" s="1"/>
  <c r="G41" i="44"/>
  <c r="G92" i="61" s="1"/>
  <c r="G170" i="61" s="1"/>
  <c r="M42" i="44"/>
  <c r="M92" i="62" s="1"/>
  <c r="M170" i="62" s="1"/>
  <c r="O38" i="44"/>
  <c r="O92" i="10" s="1"/>
  <c r="O169" i="10" s="1"/>
  <c r="E40" i="44"/>
  <c r="E92" i="32" s="1"/>
  <c r="E170" i="32" s="1"/>
  <c r="K36" i="44"/>
  <c r="K92" i="8" s="1"/>
  <c r="K218" i="8" s="1"/>
  <c r="L42" i="44"/>
  <c r="L92" i="62" s="1"/>
  <c r="L170" i="62" s="1"/>
  <c r="E36" i="44"/>
  <c r="N36" i="44"/>
  <c r="N92" i="8" s="1"/>
  <c r="N218" i="8" s="1"/>
  <c r="G34" i="44"/>
  <c r="P39" i="44"/>
  <c r="P95" i="31" s="1"/>
  <c r="P279" i="31" s="1"/>
  <c r="J36" i="44"/>
  <c r="J92" i="8" s="1"/>
  <c r="J218" i="8" s="1"/>
  <c r="O40" i="44"/>
  <c r="O92" i="32" s="1"/>
  <c r="O170" i="32" s="1"/>
  <c r="I38" i="44"/>
  <c r="I92" i="10" s="1"/>
  <c r="I169" i="10" s="1"/>
  <c r="E34" i="44"/>
  <c r="N41" i="44"/>
  <c r="N92" i="61" s="1"/>
  <c r="N170" i="61" s="1"/>
  <c r="N43" i="44"/>
  <c r="N92" i="63" s="1"/>
  <c r="N226" i="63" s="1"/>
  <c r="H40" i="44"/>
  <c r="H92" i="32" s="1"/>
  <c r="H170" i="32" s="1"/>
  <c r="O43" i="44"/>
  <c r="O92" i="63" s="1"/>
  <c r="O226" i="63" s="1"/>
  <c r="K34" i="44"/>
  <c r="P38" i="44"/>
  <c r="P92" i="10" s="1"/>
  <c r="P169" i="10" s="1"/>
  <c r="M38" i="44"/>
  <c r="M92" i="10" s="1"/>
  <c r="M169" i="10" s="1"/>
  <c r="H34" i="44"/>
  <c r="I35" i="44"/>
  <c r="I92" i="22" s="1"/>
  <c r="I169" i="22" s="1"/>
  <c r="L43" i="44"/>
  <c r="L92" i="63" s="1"/>
  <c r="L226" i="63" s="1"/>
  <c r="N37" i="44"/>
  <c r="N92" i="9" s="1"/>
  <c r="N214" i="9" s="1"/>
  <c r="H43" i="44"/>
  <c r="H92" i="63" s="1"/>
  <c r="H226" i="63" s="1"/>
  <c r="K41" i="44"/>
  <c r="K92" i="61" s="1"/>
  <c r="K170" i="61" s="1"/>
  <c r="G35" i="44"/>
  <c r="G92" i="22" s="1"/>
  <c r="G169" i="22" s="1"/>
  <c r="O34" i="44"/>
  <c r="F42" i="44"/>
  <c r="F92" i="62" s="1"/>
  <c r="F170" i="62" s="1"/>
  <c r="G36" i="44"/>
  <c r="G92" i="8" s="1"/>
  <c r="G218" i="8" s="1"/>
  <c r="O42" i="44"/>
  <c r="O92" i="62" s="1"/>
  <c r="O170" i="62" s="1"/>
  <c r="L40" i="44"/>
  <c r="L92" i="32" s="1"/>
  <c r="L170" i="32" s="1"/>
  <c r="H41" i="44"/>
  <c r="H92" i="61" s="1"/>
  <c r="H170" i="61" s="1"/>
  <c r="K38" i="44"/>
  <c r="K92" i="10" s="1"/>
  <c r="K169" i="10" s="1"/>
  <c r="J42" i="44"/>
  <c r="J92" i="62" s="1"/>
  <c r="J170" i="62" s="1"/>
  <c r="J43" i="44"/>
  <c r="J92" i="63" s="1"/>
  <c r="J226" i="63" s="1"/>
  <c r="I39" i="44"/>
  <c r="I95" i="31" s="1"/>
  <c r="I279" i="31" s="1"/>
  <c r="O39" i="44"/>
  <c r="O95" i="31" s="1"/>
  <c r="O279" i="31" s="1"/>
  <c r="Q42" i="44"/>
  <c r="E43" i="44"/>
  <c r="N35" i="44"/>
  <c r="N92" i="22" s="1"/>
  <c r="N169" i="22" s="1"/>
  <c r="Q40" i="44"/>
  <c r="N39" i="44"/>
  <c r="N95" i="31" s="1"/>
  <c r="N279" i="31" s="1"/>
  <c r="H42" i="44"/>
  <c r="H92" i="62" s="1"/>
  <c r="H170" i="62" s="1"/>
  <c r="M37" i="44"/>
  <c r="M92" i="9" s="1"/>
  <c r="M214" i="9" s="1"/>
  <c r="F41" i="44"/>
  <c r="F92" i="61" s="1"/>
  <c r="F170" i="61" s="1"/>
  <c r="F152" i="9"/>
  <c r="F103" i="27"/>
  <c r="Q99" i="44"/>
  <c r="J113" i="44"/>
  <c r="J99" i="63" s="1"/>
  <c r="H113" i="44"/>
  <c r="H99" i="63" s="1"/>
  <c r="G113" i="44"/>
  <c r="G99" i="63" s="1"/>
  <c r="L113" i="44"/>
  <c r="L99" i="63" s="1"/>
  <c r="K113" i="44"/>
  <c r="K99" i="63" s="1"/>
  <c r="I113" i="44"/>
  <c r="I99" i="63" s="1"/>
  <c r="P113" i="44"/>
  <c r="P99" i="63" s="1"/>
  <c r="O113" i="44"/>
  <c r="O99" i="63" s="1"/>
  <c r="N113" i="44"/>
  <c r="N99" i="63" s="1"/>
  <c r="M113" i="44"/>
  <c r="M99" i="63" s="1"/>
  <c r="E99" i="63"/>
  <c r="F113" i="44"/>
  <c r="F99" i="63" s="1"/>
  <c r="Q29" i="44"/>
  <c r="M141" i="44"/>
  <c r="M78" i="63" s="1"/>
  <c r="M224" i="63" s="1"/>
  <c r="L141" i="44"/>
  <c r="L78" i="63" s="1"/>
  <c r="L224" i="63" s="1"/>
  <c r="K141" i="44"/>
  <c r="K78" i="63" s="1"/>
  <c r="K224" i="63" s="1"/>
  <c r="J141" i="44"/>
  <c r="J78" i="63" s="1"/>
  <c r="J224" i="63" s="1"/>
  <c r="H141" i="44"/>
  <c r="H78" i="63" s="1"/>
  <c r="H224" i="63" s="1"/>
  <c r="G141" i="44"/>
  <c r="G78" i="63" s="1"/>
  <c r="G224" i="63" s="1"/>
  <c r="F141" i="44"/>
  <c r="F78" i="63" s="1"/>
  <c r="F224" i="63" s="1"/>
  <c r="E141" i="44"/>
  <c r="E78" i="63" s="1"/>
  <c r="E224" i="63" s="1"/>
  <c r="P141" i="44"/>
  <c r="P78" i="63" s="1"/>
  <c r="P224" i="63" s="1"/>
  <c r="O141" i="44"/>
  <c r="O78" i="63" s="1"/>
  <c r="O224" i="63" s="1"/>
  <c r="N141" i="44"/>
  <c r="N78" i="63" s="1"/>
  <c r="N224" i="63" s="1"/>
  <c r="I141" i="44"/>
  <c r="I78" i="63" s="1"/>
  <c r="I224" i="63" s="1"/>
  <c r="D76" i="43"/>
  <c r="E44" i="44" l="1"/>
  <c r="H92" i="6"/>
  <c r="H195" i="6" s="1"/>
  <c r="H44" i="44"/>
  <c r="E92" i="8"/>
  <c r="E218" i="8" s="1"/>
  <c r="Q36" i="44"/>
  <c r="E92" i="10"/>
  <c r="E169" i="10" s="1"/>
  <c r="Q38" i="44"/>
  <c r="M92" i="6"/>
  <c r="M195" i="6" s="1"/>
  <c r="M44" i="44"/>
  <c r="E95" i="31"/>
  <c r="E279" i="31" s="1"/>
  <c r="Q39" i="44"/>
  <c r="N92" i="6"/>
  <c r="N195" i="6" s="1"/>
  <c r="N44" i="44"/>
  <c r="K92" i="6"/>
  <c r="K195" i="6" s="1"/>
  <c r="K44" i="44"/>
  <c r="F92" i="6"/>
  <c r="F195" i="6" s="1"/>
  <c r="F44" i="44"/>
  <c r="J92" i="6"/>
  <c r="J195" i="6" s="1"/>
  <c r="J44" i="44"/>
  <c r="L92" i="6"/>
  <c r="L195" i="6" s="1"/>
  <c r="L44" i="44"/>
  <c r="O92" i="6"/>
  <c r="O195" i="6" s="1"/>
  <c r="O44" i="44"/>
  <c r="E92" i="6"/>
  <c r="E195" i="6" s="1"/>
  <c r="Q34" i="44"/>
  <c r="E92" i="22"/>
  <c r="E169" i="22" s="1"/>
  <c r="Q35" i="44"/>
  <c r="E92" i="63"/>
  <c r="Q43" i="44"/>
  <c r="I92" i="6"/>
  <c r="I195" i="6" s="1"/>
  <c r="I44" i="44"/>
  <c r="P92" i="6"/>
  <c r="P195" i="6" s="1"/>
  <c r="P44" i="44"/>
  <c r="G92" i="6"/>
  <c r="G195" i="6" s="1"/>
  <c r="G44" i="44"/>
  <c r="E92" i="9"/>
  <c r="E214" i="9" s="1"/>
  <c r="Q214" i="9" s="1"/>
  <c r="Q37" i="44"/>
  <c r="Q147" i="9"/>
  <c r="Q148" i="9"/>
  <c r="P152" i="9"/>
  <c r="J152" i="9"/>
  <c r="K152" i="9"/>
  <c r="I152" i="9"/>
  <c r="Q145" i="9"/>
  <c r="Q144" i="9"/>
  <c r="M152" i="9"/>
  <c r="Q146" i="9"/>
  <c r="Q143" i="9"/>
  <c r="E152" i="9"/>
  <c r="Q142" i="9"/>
  <c r="Q151" i="9"/>
  <c r="N152" i="9"/>
  <c r="Q150" i="9"/>
  <c r="G152" i="9"/>
  <c r="O152" i="9"/>
  <c r="Q149" i="9"/>
  <c r="L152" i="9"/>
  <c r="H152" i="9"/>
  <c r="G103" i="27"/>
  <c r="Q171" i="62"/>
  <c r="Q113" i="44"/>
  <c r="Q141" i="44"/>
  <c r="Q171" i="61"/>
  <c r="Q227" i="63"/>
  <c r="Q170" i="61"/>
  <c r="Q92" i="61"/>
  <c r="Q92" i="62"/>
  <c r="Q170" i="62"/>
  <c r="Q92" i="63" l="1"/>
  <c r="E226" i="63"/>
  <c r="Q226" i="63" s="1"/>
  <c r="Q44" i="44"/>
  <c r="Q152" i="9"/>
  <c r="R92" i="63"/>
  <c r="T92" i="63"/>
  <c r="R92" i="62"/>
  <c r="T92" i="62"/>
  <c r="R92" i="61"/>
  <c r="T92" i="61"/>
  <c r="H103" i="27"/>
  <c r="Q173" i="61"/>
  <c r="Q98" i="61"/>
  <c r="R98" i="61" s="1"/>
  <c r="Q173" i="62"/>
  <c r="Q98" i="62"/>
  <c r="R98" i="62" s="1"/>
  <c r="Q172" i="62"/>
  <c r="Q96" i="62"/>
  <c r="Q172" i="61"/>
  <c r="Q96" i="61"/>
  <c r="Q229" i="63"/>
  <c r="Q98" i="63"/>
  <c r="R98" i="63" s="1"/>
  <c r="Q228" i="63"/>
  <c r="Q96" i="63"/>
  <c r="R96" i="63" l="1"/>
  <c r="T96" i="63"/>
  <c r="R96" i="62"/>
  <c r="T96" i="62"/>
  <c r="R96" i="61"/>
  <c r="T96" i="61"/>
  <c r="I103" i="27"/>
  <c r="J103" i="27" l="1"/>
  <c r="K103" i="27" l="1"/>
  <c r="L103" i="27" l="1"/>
  <c r="M103" i="27" l="1"/>
  <c r="N103" i="27" l="1"/>
  <c r="O103" i="27" l="1"/>
  <c r="P103" i="27" l="1"/>
  <c r="Q231" i="63"/>
  <c r="Q102" i="63"/>
  <c r="R102" i="63" s="1"/>
  <c r="Q175" i="62"/>
  <c r="Q102" i="62"/>
  <c r="R102" i="62" s="1"/>
  <c r="Q175" i="61"/>
  <c r="Q102" i="61"/>
  <c r="R102" i="61" s="1"/>
  <c r="B170" i="6" l="1"/>
  <c r="Q1" i="62" l="1"/>
  <c r="Q1" i="63"/>
  <c r="Q1" i="61"/>
  <c r="U1" i="41"/>
  <c r="Q1" i="32"/>
  <c r="Q1" i="31"/>
  <c r="Q1" i="9"/>
  <c r="Q1" i="10"/>
  <c r="Q1" i="8"/>
  <c r="Q1" i="22"/>
  <c r="Q1" i="6"/>
  <c r="C100" i="44" l="1"/>
  <c r="C16" i="44"/>
  <c r="D15" i="44" l="1"/>
  <c r="D12" i="44"/>
  <c r="D14" i="44"/>
  <c r="D13" i="44"/>
  <c r="D11" i="44"/>
  <c r="D10" i="44"/>
  <c r="D9" i="44"/>
  <c r="D8" i="44"/>
  <c r="D7" i="44"/>
  <c r="D6" i="44"/>
  <c r="N6" i="44" s="1"/>
  <c r="N27" i="6" s="1"/>
  <c r="N178" i="6" s="1"/>
  <c r="D91" i="44"/>
  <c r="D92" i="44"/>
  <c r="D93" i="44"/>
  <c r="D94" i="44"/>
  <c r="D95" i="44"/>
  <c r="D96" i="44"/>
  <c r="E96" i="44" s="1"/>
  <c r="D97" i="44"/>
  <c r="D98" i="44"/>
  <c r="D90" i="44"/>
  <c r="C72" i="44"/>
  <c r="C114" i="44"/>
  <c r="C30" i="44"/>
  <c r="O6" i="44" l="1"/>
  <c r="O27" i="6" s="1"/>
  <c r="O178" i="6" s="1"/>
  <c r="G6" i="44"/>
  <c r="G27" i="6" s="1"/>
  <c r="G178" i="6" s="1"/>
  <c r="K6" i="44"/>
  <c r="K27" i="6" s="1"/>
  <c r="K178" i="6" s="1"/>
  <c r="J6" i="44"/>
  <c r="J27" i="6" s="1"/>
  <c r="J178" i="6" s="1"/>
  <c r="N94" i="44"/>
  <c r="N100" i="10" s="1"/>
  <c r="L94" i="44"/>
  <c r="L100" i="10" s="1"/>
  <c r="P94" i="44"/>
  <c r="P100" i="10" s="1"/>
  <c r="J94" i="44"/>
  <c r="J100" i="10" s="1"/>
  <c r="O94" i="44"/>
  <c r="O100" i="10" s="1"/>
  <c r="M94" i="44"/>
  <c r="M100" i="10" s="1"/>
  <c r="I94" i="44"/>
  <c r="I100" i="10" s="1"/>
  <c r="H94" i="44"/>
  <c r="H100" i="10" s="1"/>
  <c r="G94" i="44"/>
  <c r="G100" i="10" s="1"/>
  <c r="K94" i="44"/>
  <c r="K100" i="10" s="1"/>
  <c r="F94" i="44"/>
  <c r="F100" i="10" s="1"/>
  <c r="E94" i="44"/>
  <c r="F6" i="44"/>
  <c r="F27" i="6" s="1"/>
  <c r="F178" i="6" s="1"/>
  <c r="O93" i="44"/>
  <c r="O100" i="9" s="1"/>
  <c r="N93" i="44"/>
  <c r="N100" i="9" s="1"/>
  <c r="L93" i="44"/>
  <c r="L100" i="9" s="1"/>
  <c r="K93" i="44"/>
  <c r="K100" i="9" s="1"/>
  <c r="J93" i="44"/>
  <c r="J100" i="9" s="1"/>
  <c r="M93" i="44"/>
  <c r="M100" i="9" s="1"/>
  <c r="G93" i="44"/>
  <c r="G100" i="9" s="1"/>
  <c r="P93" i="44"/>
  <c r="P100" i="9" s="1"/>
  <c r="H93" i="44"/>
  <c r="H100" i="9" s="1"/>
  <c r="F93" i="44"/>
  <c r="F100" i="9" s="1"/>
  <c r="E93" i="44"/>
  <c r="I93" i="44"/>
  <c r="I100" i="9" s="1"/>
  <c r="M6" i="44"/>
  <c r="M27" i="6" s="1"/>
  <c r="M178" i="6" s="1"/>
  <c r="I6" i="44"/>
  <c r="I27" i="6" s="1"/>
  <c r="I178" i="6" s="1"/>
  <c r="L6" i="44"/>
  <c r="L27" i="6" s="1"/>
  <c r="L178" i="6" s="1"/>
  <c r="E6" i="44"/>
  <c r="E27" i="6" s="1"/>
  <c r="E178" i="6" s="1"/>
  <c r="D100" i="44"/>
  <c r="P12" i="44"/>
  <c r="P27" i="32" s="1"/>
  <c r="P153" i="32" s="1"/>
  <c r="N12" i="44"/>
  <c r="N27" i="32" s="1"/>
  <c r="N153" i="32" s="1"/>
  <c r="O12" i="44"/>
  <c r="O27" i="32" s="1"/>
  <c r="O153" i="32" s="1"/>
  <c r="M12" i="44"/>
  <c r="M27" i="32" s="1"/>
  <c r="M153" i="32" s="1"/>
  <c r="H12" i="44"/>
  <c r="H27" i="32" s="1"/>
  <c r="H153" i="32" s="1"/>
  <c r="J12" i="44"/>
  <c r="J27" i="32" s="1"/>
  <c r="J153" i="32" s="1"/>
  <c r="E12" i="44"/>
  <c r="G12" i="44"/>
  <c r="G27" i="32" s="1"/>
  <c r="G153" i="32" s="1"/>
  <c r="F12" i="44"/>
  <c r="F27" i="32" s="1"/>
  <c r="F153" i="32" s="1"/>
  <c r="I12" i="44"/>
  <c r="I27" i="32" s="1"/>
  <c r="I153" i="32" s="1"/>
  <c r="K12" i="44"/>
  <c r="K27" i="32" s="1"/>
  <c r="K153" i="32" s="1"/>
  <c r="L12" i="44"/>
  <c r="L27" i="32" s="1"/>
  <c r="L153" i="32" s="1"/>
  <c r="D22" i="44"/>
  <c r="E22" i="44" s="1"/>
  <c r="D21" i="44"/>
  <c r="E21" i="44" s="1"/>
  <c r="D28" i="44"/>
  <c r="D27" i="44"/>
  <c r="D26" i="44"/>
  <c r="D25" i="44"/>
  <c r="D24" i="44"/>
  <c r="D23" i="44"/>
  <c r="D20" i="44"/>
  <c r="G20" i="44" s="1"/>
  <c r="G77" i="6" s="1"/>
  <c r="G192" i="6" s="1"/>
  <c r="H6" i="44"/>
  <c r="H27" i="6" s="1"/>
  <c r="H178" i="6" s="1"/>
  <c r="D112" i="44"/>
  <c r="D105" i="44"/>
  <c r="D106" i="44"/>
  <c r="D108" i="44"/>
  <c r="D107" i="44"/>
  <c r="D109" i="44"/>
  <c r="D110" i="44"/>
  <c r="D111" i="44"/>
  <c r="D104" i="44"/>
  <c r="H13" i="44"/>
  <c r="H27" i="61" s="1"/>
  <c r="H153" i="61" s="1"/>
  <c r="G13" i="44"/>
  <c r="G27" i="61" s="1"/>
  <c r="G153" i="61" s="1"/>
  <c r="E13" i="44"/>
  <c r="I13" i="44"/>
  <c r="I27" i="61" s="1"/>
  <c r="I153" i="61" s="1"/>
  <c r="M13" i="44"/>
  <c r="M27" i="61" s="1"/>
  <c r="M153" i="61" s="1"/>
  <c r="N13" i="44"/>
  <c r="N27" i="61" s="1"/>
  <c r="N153" i="61" s="1"/>
  <c r="F13" i="44"/>
  <c r="F27" i="61" s="1"/>
  <c r="F153" i="61" s="1"/>
  <c r="J13" i="44"/>
  <c r="J27" i="61" s="1"/>
  <c r="J153" i="61" s="1"/>
  <c r="L13" i="44"/>
  <c r="L27" i="61" s="1"/>
  <c r="L153" i="61" s="1"/>
  <c r="K13" i="44"/>
  <c r="K27" i="61" s="1"/>
  <c r="K153" i="61" s="1"/>
  <c r="O13" i="44"/>
  <c r="O27" i="61" s="1"/>
  <c r="O153" i="61" s="1"/>
  <c r="P13" i="44"/>
  <c r="P27" i="61" s="1"/>
  <c r="P153" i="61" s="1"/>
  <c r="J14" i="44"/>
  <c r="J27" i="62" s="1"/>
  <c r="J153" i="62" s="1"/>
  <c r="E14" i="44"/>
  <c r="K14" i="44"/>
  <c r="K27" i="62" s="1"/>
  <c r="K153" i="62" s="1"/>
  <c r="M14" i="44"/>
  <c r="M27" i="62" s="1"/>
  <c r="M153" i="62" s="1"/>
  <c r="N14" i="44"/>
  <c r="N27" i="62" s="1"/>
  <c r="N153" i="62" s="1"/>
  <c r="L14" i="44"/>
  <c r="L27" i="62" s="1"/>
  <c r="L153" i="62" s="1"/>
  <c r="H14" i="44"/>
  <c r="H27" i="62" s="1"/>
  <c r="H153" i="62" s="1"/>
  <c r="G14" i="44"/>
  <c r="G27" i="62" s="1"/>
  <c r="G153" i="62" s="1"/>
  <c r="F14" i="44"/>
  <c r="F27" i="62" s="1"/>
  <c r="F153" i="62" s="1"/>
  <c r="O14" i="44"/>
  <c r="O27" i="62" s="1"/>
  <c r="O153" i="62" s="1"/>
  <c r="P14" i="44"/>
  <c r="P27" i="62" s="1"/>
  <c r="P153" i="62" s="1"/>
  <c r="I14" i="44"/>
  <c r="I27" i="62" s="1"/>
  <c r="I153" i="62" s="1"/>
  <c r="P6" i="44"/>
  <c r="P27" i="6" s="1"/>
  <c r="P178" i="6" s="1"/>
  <c r="E95" i="44"/>
  <c r="P95" i="44"/>
  <c r="P103" i="31" s="1"/>
  <c r="O95" i="44"/>
  <c r="O103" i="31" s="1"/>
  <c r="M95" i="44"/>
  <c r="M103" i="31" s="1"/>
  <c r="N95" i="44"/>
  <c r="N103" i="31" s="1"/>
  <c r="K95" i="44"/>
  <c r="K103" i="31" s="1"/>
  <c r="H95" i="44"/>
  <c r="H103" i="31" s="1"/>
  <c r="J95" i="44"/>
  <c r="J103" i="31" s="1"/>
  <c r="I95" i="44"/>
  <c r="I103" i="31" s="1"/>
  <c r="F95" i="44"/>
  <c r="F103" i="31" s="1"/>
  <c r="G95" i="44"/>
  <c r="G103" i="31" s="1"/>
  <c r="L95" i="44"/>
  <c r="L103" i="31" s="1"/>
  <c r="L15" i="44"/>
  <c r="L27" i="63" s="1"/>
  <c r="L206" i="63" s="1"/>
  <c r="O15" i="44"/>
  <c r="O27" i="63" s="1"/>
  <c r="O206" i="63" s="1"/>
  <c r="E15" i="44"/>
  <c r="J15" i="44"/>
  <c r="J27" i="63" s="1"/>
  <c r="J206" i="63" s="1"/>
  <c r="M15" i="44"/>
  <c r="M27" i="63" s="1"/>
  <c r="M206" i="63" s="1"/>
  <c r="P15" i="44"/>
  <c r="P27" i="63" s="1"/>
  <c r="P206" i="63" s="1"/>
  <c r="N15" i="44"/>
  <c r="N27" i="63" s="1"/>
  <c r="N206" i="63" s="1"/>
  <c r="G15" i="44"/>
  <c r="G27" i="63" s="1"/>
  <c r="G206" i="63" s="1"/>
  <c r="H15" i="44"/>
  <c r="H27" i="63" s="1"/>
  <c r="H206" i="63" s="1"/>
  <c r="I15" i="44"/>
  <c r="I27" i="63" s="1"/>
  <c r="I206" i="63" s="1"/>
  <c r="K15" i="44"/>
  <c r="K27" i="63" s="1"/>
  <c r="K206" i="63" s="1"/>
  <c r="F15" i="44"/>
  <c r="F27" i="63" s="1"/>
  <c r="F206" i="63" s="1"/>
  <c r="G90" i="44"/>
  <c r="G100" i="6" s="1"/>
  <c r="E90" i="44"/>
  <c r="E100" i="6" s="1"/>
  <c r="H90" i="44"/>
  <c r="H100" i="6" s="1"/>
  <c r="F90" i="44"/>
  <c r="F100" i="6" s="1"/>
  <c r="O90" i="44"/>
  <c r="O100" i="6" s="1"/>
  <c r="N90" i="44"/>
  <c r="N100" i="6" s="1"/>
  <c r="K90" i="44"/>
  <c r="K100" i="6" s="1"/>
  <c r="J90" i="44"/>
  <c r="J100" i="6" s="1"/>
  <c r="I90" i="44"/>
  <c r="I100" i="6" s="1"/>
  <c r="P90" i="44"/>
  <c r="P100" i="6" s="1"/>
  <c r="M90" i="44"/>
  <c r="M100" i="6" s="1"/>
  <c r="L90" i="44"/>
  <c r="L100" i="6" s="1"/>
  <c r="H11" i="44"/>
  <c r="H27" i="31" s="1"/>
  <c r="H259" i="31" s="1"/>
  <c r="N11" i="44"/>
  <c r="N27" i="31" s="1"/>
  <c r="N259" i="31" s="1"/>
  <c r="P11" i="44"/>
  <c r="P27" i="31" s="1"/>
  <c r="P259" i="31" s="1"/>
  <c r="L11" i="44"/>
  <c r="L27" i="31" s="1"/>
  <c r="L259" i="31" s="1"/>
  <c r="O11" i="44"/>
  <c r="O27" i="31" s="1"/>
  <c r="O259" i="31" s="1"/>
  <c r="F11" i="44"/>
  <c r="F27" i="31" s="1"/>
  <c r="F259" i="31" s="1"/>
  <c r="I11" i="44"/>
  <c r="I27" i="31" s="1"/>
  <c r="I259" i="31" s="1"/>
  <c r="E11" i="44"/>
  <c r="J11" i="44"/>
  <c r="J27" i="31" s="1"/>
  <c r="J259" i="31" s="1"/>
  <c r="G11" i="44"/>
  <c r="G27" i="31" s="1"/>
  <c r="G259" i="31" s="1"/>
  <c r="M11" i="44"/>
  <c r="M27" i="31" s="1"/>
  <c r="M259" i="31" s="1"/>
  <c r="K11" i="44"/>
  <c r="K27" i="31" s="1"/>
  <c r="K259" i="31" s="1"/>
  <c r="I10" i="44"/>
  <c r="I27" i="10" s="1"/>
  <c r="I152" i="10" s="1"/>
  <c r="P10" i="44"/>
  <c r="P27" i="10" s="1"/>
  <c r="P152" i="10" s="1"/>
  <c r="N10" i="44"/>
  <c r="N27" i="10" s="1"/>
  <c r="N152" i="10" s="1"/>
  <c r="G10" i="44"/>
  <c r="G27" i="10" s="1"/>
  <c r="G152" i="10" s="1"/>
  <c r="H10" i="44"/>
  <c r="H27" i="10" s="1"/>
  <c r="H152" i="10" s="1"/>
  <c r="J10" i="44"/>
  <c r="J27" i="10" s="1"/>
  <c r="J152" i="10" s="1"/>
  <c r="O10" i="44"/>
  <c r="O27" i="10" s="1"/>
  <c r="O152" i="10" s="1"/>
  <c r="L10" i="44"/>
  <c r="L27" i="10" s="1"/>
  <c r="L152" i="10" s="1"/>
  <c r="M10" i="44"/>
  <c r="M27" i="10" s="1"/>
  <c r="M152" i="10" s="1"/>
  <c r="K10" i="44"/>
  <c r="K27" i="10" s="1"/>
  <c r="K152" i="10" s="1"/>
  <c r="E10" i="44"/>
  <c r="E27" i="10" s="1"/>
  <c r="E152" i="10" s="1"/>
  <c r="F10" i="44"/>
  <c r="F27" i="10" s="1"/>
  <c r="F152" i="10" s="1"/>
  <c r="H7" i="44"/>
  <c r="H27" i="22" s="1"/>
  <c r="H152" i="22" s="1"/>
  <c r="J7" i="44"/>
  <c r="J27" i="22" s="1"/>
  <c r="J152" i="22" s="1"/>
  <c r="I7" i="44"/>
  <c r="I27" i="22" s="1"/>
  <c r="I152" i="22" s="1"/>
  <c r="K7" i="44"/>
  <c r="K27" i="22" s="1"/>
  <c r="K152" i="22" s="1"/>
  <c r="P7" i="44"/>
  <c r="P27" i="22" s="1"/>
  <c r="P152" i="22" s="1"/>
  <c r="L7" i="44"/>
  <c r="L27" i="22" s="1"/>
  <c r="L152" i="22" s="1"/>
  <c r="N7" i="44"/>
  <c r="N27" i="22" s="1"/>
  <c r="N152" i="22" s="1"/>
  <c r="O7" i="44"/>
  <c r="O27" i="22" s="1"/>
  <c r="O152" i="22" s="1"/>
  <c r="F7" i="44"/>
  <c r="F27" i="22" s="1"/>
  <c r="F152" i="22" s="1"/>
  <c r="M7" i="44"/>
  <c r="M27" i="22" s="1"/>
  <c r="M152" i="22" s="1"/>
  <c r="E7" i="44"/>
  <c r="E27" i="22" s="1"/>
  <c r="E152" i="22" s="1"/>
  <c r="G7" i="44"/>
  <c r="G27" i="22" s="1"/>
  <c r="G152" i="22" s="1"/>
  <c r="C142" i="44"/>
  <c r="F9" i="44"/>
  <c r="F27" i="9" s="1"/>
  <c r="F194" i="9" s="1"/>
  <c r="H9" i="44"/>
  <c r="H27" i="9" s="1"/>
  <c r="H194" i="9" s="1"/>
  <c r="N9" i="44"/>
  <c r="N27" i="9" s="1"/>
  <c r="N194" i="9" s="1"/>
  <c r="E9" i="44"/>
  <c r="E27" i="9" s="1"/>
  <c r="E194" i="9" s="1"/>
  <c r="P9" i="44"/>
  <c r="P27" i="9" s="1"/>
  <c r="P194" i="9" s="1"/>
  <c r="G9" i="44"/>
  <c r="G27" i="9" s="1"/>
  <c r="G194" i="9" s="1"/>
  <c r="L9" i="44"/>
  <c r="L27" i="9" s="1"/>
  <c r="L194" i="9" s="1"/>
  <c r="J9" i="44"/>
  <c r="J27" i="9" s="1"/>
  <c r="J194" i="9" s="1"/>
  <c r="M9" i="44"/>
  <c r="M27" i="9" s="1"/>
  <c r="M194" i="9" s="1"/>
  <c r="K9" i="44"/>
  <c r="K27" i="9" s="1"/>
  <c r="K194" i="9" s="1"/>
  <c r="O9" i="44"/>
  <c r="O27" i="9" s="1"/>
  <c r="O194" i="9" s="1"/>
  <c r="I9" i="44"/>
  <c r="I27" i="9" s="1"/>
  <c r="I194" i="9" s="1"/>
  <c r="K8" i="44"/>
  <c r="K27" i="8" s="1"/>
  <c r="K201" i="8" s="1"/>
  <c r="F8" i="44"/>
  <c r="F27" i="8" s="1"/>
  <c r="F201" i="8" s="1"/>
  <c r="N8" i="44"/>
  <c r="N27" i="8" s="1"/>
  <c r="N201" i="8" s="1"/>
  <c r="M8" i="44"/>
  <c r="M27" i="8" s="1"/>
  <c r="M201" i="8" s="1"/>
  <c r="E8" i="44"/>
  <c r="E27" i="8" s="1"/>
  <c r="E201" i="8" s="1"/>
  <c r="O8" i="44"/>
  <c r="O27" i="8" s="1"/>
  <c r="O201" i="8" s="1"/>
  <c r="P8" i="44"/>
  <c r="P27" i="8" s="1"/>
  <c r="P201" i="8" s="1"/>
  <c r="G8" i="44"/>
  <c r="G27" i="8" s="1"/>
  <c r="G201" i="8" s="1"/>
  <c r="I8" i="44"/>
  <c r="I27" i="8" s="1"/>
  <c r="I201" i="8" s="1"/>
  <c r="H8" i="44"/>
  <c r="H27" i="8" s="1"/>
  <c r="H201" i="8" s="1"/>
  <c r="J8" i="44"/>
  <c r="J27" i="8" s="1"/>
  <c r="J201" i="8" s="1"/>
  <c r="L8" i="44"/>
  <c r="L27" i="8" s="1"/>
  <c r="L201" i="8" s="1"/>
  <c r="C86" i="44"/>
  <c r="C58" i="44"/>
  <c r="D16" i="44"/>
  <c r="Q194" i="9" l="1"/>
  <c r="P20" i="44"/>
  <c r="P77" i="6" s="1"/>
  <c r="P192" i="6" s="1"/>
  <c r="I20" i="44"/>
  <c r="I77" i="6" s="1"/>
  <c r="I192" i="6" s="1"/>
  <c r="Q6" i="44"/>
  <c r="N20" i="44"/>
  <c r="N77" i="6" s="1"/>
  <c r="N192" i="6" s="1"/>
  <c r="K20" i="44"/>
  <c r="K77" i="6" s="1"/>
  <c r="K192" i="6" s="1"/>
  <c r="O20" i="44"/>
  <c r="O77" i="6" s="1"/>
  <c r="O192" i="6" s="1"/>
  <c r="K108" i="44"/>
  <c r="K99" i="10" s="1"/>
  <c r="H108" i="44"/>
  <c r="H99" i="10" s="1"/>
  <c r="J108" i="44"/>
  <c r="J99" i="10" s="1"/>
  <c r="F108" i="44"/>
  <c r="F99" i="10" s="1"/>
  <c r="I108" i="44"/>
  <c r="I99" i="10" s="1"/>
  <c r="G108" i="44"/>
  <c r="G99" i="10" s="1"/>
  <c r="P108" i="44"/>
  <c r="P99" i="10" s="1"/>
  <c r="O108" i="44"/>
  <c r="O99" i="10" s="1"/>
  <c r="L108" i="44"/>
  <c r="L99" i="10" s="1"/>
  <c r="E108" i="44"/>
  <c r="N108" i="44"/>
  <c r="N99" i="10" s="1"/>
  <c r="M108" i="44"/>
  <c r="M99" i="10" s="1"/>
  <c r="G106" i="44"/>
  <c r="G99" i="8" s="1"/>
  <c r="P106" i="44"/>
  <c r="P99" i="8" s="1"/>
  <c r="O106" i="44"/>
  <c r="O99" i="8" s="1"/>
  <c r="F106" i="44"/>
  <c r="F99" i="8" s="1"/>
  <c r="E106" i="44"/>
  <c r="N106" i="44"/>
  <c r="N99" i="8" s="1"/>
  <c r="M106" i="44"/>
  <c r="M99" i="8" s="1"/>
  <c r="L106" i="44"/>
  <c r="L99" i="8" s="1"/>
  <c r="J106" i="44"/>
  <c r="J99" i="8" s="1"/>
  <c r="K106" i="44"/>
  <c r="K99" i="8" s="1"/>
  <c r="H106" i="44"/>
  <c r="H99" i="8" s="1"/>
  <c r="I106" i="44"/>
  <c r="I99" i="8" s="1"/>
  <c r="Q94" i="44"/>
  <c r="E100" i="10"/>
  <c r="E100" i="9"/>
  <c r="Q93" i="44"/>
  <c r="E27" i="32"/>
  <c r="E153" i="32" s="1"/>
  <c r="Q12" i="44"/>
  <c r="D135" i="44"/>
  <c r="D136" i="44"/>
  <c r="D137" i="44"/>
  <c r="D138" i="44"/>
  <c r="E138" i="44" s="1"/>
  <c r="D139" i="44"/>
  <c r="D134" i="44"/>
  <c r="D140" i="44"/>
  <c r="D133" i="44"/>
  <c r="D132" i="44"/>
  <c r="J25" i="44"/>
  <c r="J80" i="31" s="1"/>
  <c r="J273" i="31" s="1"/>
  <c r="E25" i="44"/>
  <c r="O25" i="44"/>
  <c r="O80" i="31" s="1"/>
  <c r="O273" i="31" s="1"/>
  <c r="P25" i="44"/>
  <c r="P80" i="31" s="1"/>
  <c r="P273" i="31" s="1"/>
  <c r="F25" i="44"/>
  <c r="F80" i="31" s="1"/>
  <c r="F273" i="31" s="1"/>
  <c r="M25" i="44"/>
  <c r="M80" i="31" s="1"/>
  <c r="M273" i="31" s="1"/>
  <c r="I25" i="44"/>
  <c r="I80" i="31" s="1"/>
  <c r="I273" i="31" s="1"/>
  <c r="N25" i="44"/>
  <c r="N80" i="31" s="1"/>
  <c r="N273" i="31" s="1"/>
  <c r="L25" i="44"/>
  <c r="L80" i="31" s="1"/>
  <c r="L273" i="31" s="1"/>
  <c r="H25" i="44"/>
  <c r="H80" i="31" s="1"/>
  <c r="H273" i="31" s="1"/>
  <c r="K25" i="44"/>
  <c r="K80" i="31" s="1"/>
  <c r="K273" i="31" s="1"/>
  <c r="G25" i="44"/>
  <c r="G80" i="31" s="1"/>
  <c r="G273" i="31" s="1"/>
  <c r="J20" i="44"/>
  <c r="J77" i="6" s="1"/>
  <c r="J192" i="6" s="1"/>
  <c r="Q13" i="44"/>
  <c r="E27" i="61"/>
  <c r="E153" i="61" s="1"/>
  <c r="E24" i="44"/>
  <c r="N24" i="44"/>
  <c r="N77" i="10" s="1"/>
  <c r="N166" i="10" s="1"/>
  <c r="O24" i="44"/>
  <c r="O77" i="10" s="1"/>
  <c r="O166" i="10" s="1"/>
  <c r="F24" i="44"/>
  <c r="F77" i="10" s="1"/>
  <c r="F166" i="10" s="1"/>
  <c r="I24" i="44"/>
  <c r="I77" i="10" s="1"/>
  <c r="I166" i="10" s="1"/>
  <c r="M24" i="44"/>
  <c r="M77" i="10" s="1"/>
  <c r="M166" i="10" s="1"/>
  <c r="P24" i="44"/>
  <c r="P77" i="10" s="1"/>
  <c r="P166" i="10" s="1"/>
  <c r="H24" i="44"/>
  <c r="H77" i="10" s="1"/>
  <c r="H166" i="10" s="1"/>
  <c r="J24" i="44"/>
  <c r="J77" i="10" s="1"/>
  <c r="J166" i="10" s="1"/>
  <c r="K24" i="44"/>
  <c r="K77" i="10" s="1"/>
  <c r="K166" i="10" s="1"/>
  <c r="L24" i="44"/>
  <c r="L77" i="10" s="1"/>
  <c r="L166" i="10" s="1"/>
  <c r="G24" i="44"/>
  <c r="G77" i="10" s="1"/>
  <c r="G166" i="10" s="1"/>
  <c r="L20" i="44"/>
  <c r="L77" i="6" s="1"/>
  <c r="L192" i="6" s="1"/>
  <c r="E27" i="62"/>
  <c r="E153" i="62" s="1"/>
  <c r="Q14" i="44"/>
  <c r="D114" i="44"/>
  <c r="H23" i="44"/>
  <c r="H77" i="9" s="1"/>
  <c r="H208" i="9" s="1"/>
  <c r="M23" i="44"/>
  <c r="M77" i="9" s="1"/>
  <c r="M208" i="9" s="1"/>
  <c r="O23" i="44"/>
  <c r="O77" i="9" s="1"/>
  <c r="O208" i="9" s="1"/>
  <c r="N23" i="44"/>
  <c r="N77" i="9" s="1"/>
  <c r="N208" i="9" s="1"/>
  <c r="F23" i="44"/>
  <c r="F77" i="9" s="1"/>
  <c r="F208" i="9" s="1"/>
  <c r="G23" i="44"/>
  <c r="G77" i="9" s="1"/>
  <c r="G208" i="9" s="1"/>
  <c r="L23" i="44"/>
  <c r="L77" i="9" s="1"/>
  <c r="L208" i="9" s="1"/>
  <c r="K23" i="44"/>
  <c r="K77" i="9" s="1"/>
  <c r="K208" i="9" s="1"/>
  <c r="E23" i="44"/>
  <c r="P23" i="44"/>
  <c r="P77" i="9" s="1"/>
  <c r="P208" i="9" s="1"/>
  <c r="J23" i="44"/>
  <c r="J77" i="9" s="1"/>
  <c r="J208" i="9" s="1"/>
  <c r="I23" i="44"/>
  <c r="I77" i="9" s="1"/>
  <c r="I208" i="9" s="1"/>
  <c r="E20" i="44"/>
  <c r="E77" i="6" s="1"/>
  <c r="E192" i="6" s="1"/>
  <c r="D30" i="44"/>
  <c r="F20" i="44"/>
  <c r="F77" i="6" s="1"/>
  <c r="F192" i="6" s="1"/>
  <c r="H20" i="44"/>
  <c r="H77" i="6" s="1"/>
  <c r="H192" i="6" s="1"/>
  <c r="Q15" i="44"/>
  <c r="E27" i="63"/>
  <c r="E206" i="63" s="1"/>
  <c r="E103" i="31"/>
  <c r="Q95" i="44"/>
  <c r="M20" i="44"/>
  <c r="M77" i="6" s="1"/>
  <c r="M192" i="6" s="1"/>
  <c r="I107" i="44"/>
  <c r="I99" i="9" s="1"/>
  <c r="E107" i="44"/>
  <c r="P107" i="44"/>
  <c r="P99" i="9" s="1"/>
  <c r="H107" i="44"/>
  <c r="H99" i="9" s="1"/>
  <c r="G107" i="44"/>
  <c r="G99" i="9" s="1"/>
  <c r="F107" i="44"/>
  <c r="F99" i="9" s="1"/>
  <c r="O107" i="44"/>
  <c r="O99" i="9" s="1"/>
  <c r="N107" i="44"/>
  <c r="N99" i="9" s="1"/>
  <c r="M107" i="44"/>
  <c r="M99" i="9" s="1"/>
  <c r="L107" i="44"/>
  <c r="L99" i="9" s="1"/>
  <c r="K107" i="44"/>
  <c r="K99" i="9" s="1"/>
  <c r="J107" i="44"/>
  <c r="J99" i="9" s="1"/>
  <c r="Q11" i="44"/>
  <c r="E27" i="31"/>
  <c r="E259" i="31" s="1"/>
  <c r="P16" i="44"/>
  <c r="F97" i="44"/>
  <c r="F100" i="61" s="1"/>
  <c r="N97" i="44"/>
  <c r="N100" i="61" s="1"/>
  <c r="M97" i="44"/>
  <c r="M100" i="61" s="1"/>
  <c r="L97" i="44"/>
  <c r="L100" i="61" s="1"/>
  <c r="Q97" i="44"/>
  <c r="O97" i="44"/>
  <c r="O100" i="61" s="1"/>
  <c r="K97" i="44"/>
  <c r="K100" i="61" s="1"/>
  <c r="J97" i="44"/>
  <c r="J100" i="61" s="1"/>
  <c r="I97" i="44"/>
  <c r="I100" i="61" s="1"/>
  <c r="H97" i="44"/>
  <c r="H100" i="61" s="1"/>
  <c r="G97" i="44"/>
  <c r="G100" i="61" s="1"/>
  <c r="E97" i="44"/>
  <c r="E100" i="61" s="1"/>
  <c r="P97" i="44"/>
  <c r="P100" i="61" s="1"/>
  <c r="K28" i="44"/>
  <c r="K77" i="62" s="1"/>
  <c r="K167" i="62" s="1"/>
  <c r="N28" i="44"/>
  <c r="N77" i="62" s="1"/>
  <c r="N167" i="62" s="1"/>
  <c r="J28" i="44"/>
  <c r="J77" i="62" s="1"/>
  <c r="J167" i="62" s="1"/>
  <c r="I28" i="44"/>
  <c r="I77" i="62" s="1"/>
  <c r="I167" i="62" s="1"/>
  <c r="G28" i="44"/>
  <c r="G77" i="62" s="1"/>
  <c r="G167" i="62" s="1"/>
  <c r="P28" i="44"/>
  <c r="P77" i="62" s="1"/>
  <c r="P167" i="62" s="1"/>
  <c r="L28" i="44"/>
  <c r="L77" i="62" s="1"/>
  <c r="L167" i="62" s="1"/>
  <c r="H28" i="44"/>
  <c r="H77" i="62" s="1"/>
  <c r="H167" i="62" s="1"/>
  <c r="F28" i="44"/>
  <c r="F77" i="62" s="1"/>
  <c r="F167" i="62" s="1"/>
  <c r="M28" i="44"/>
  <c r="M77" i="62" s="1"/>
  <c r="M167" i="62" s="1"/>
  <c r="O28" i="44"/>
  <c r="O77" i="62" s="1"/>
  <c r="O167" i="62" s="1"/>
  <c r="E28" i="44"/>
  <c r="Q90" i="44"/>
  <c r="G98" i="44"/>
  <c r="G100" i="62" s="1"/>
  <c r="E98" i="44"/>
  <c r="E100" i="62" s="1"/>
  <c r="Q98" i="44"/>
  <c r="P98" i="44"/>
  <c r="P100" i="62" s="1"/>
  <c r="O98" i="44"/>
  <c r="O100" i="62" s="1"/>
  <c r="H98" i="44"/>
  <c r="H100" i="62" s="1"/>
  <c r="F98" i="44"/>
  <c r="F100" i="62" s="1"/>
  <c r="L98" i="44"/>
  <c r="L100" i="62" s="1"/>
  <c r="K98" i="44"/>
  <c r="K100" i="62" s="1"/>
  <c r="J98" i="44"/>
  <c r="J100" i="62" s="1"/>
  <c r="I98" i="44"/>
  <c r="I100" i="62" s="1"/>
  <c r="N98" i="44"/>
  <c r="N100" i="62" s="1"/>
  <c r="M98" i="44"/>
  <c r="M100" i="62" s="1"/>
  <c r="J21" i="44"/>
  <c r="J77" i="22" s="1"/>
  <c r="J165" i="22" s="1"/>
  <c r="P21" i="44"/>
  <c r="P77" i="22" s="1"/>
  <c r="P165" i="22" s="1"/>
  <c r="G21" i="44"/>
  <c r="G77" i="22" s="1"/>
  <c r="G165" i="22" s="1"/>
  <c r="N21" i="44"/>
  <c r="N77" i="22" s="1"/>
  <c r="N165" i="22" s="1"/>
  <c r="O21" i="44"/>
  <c r="O77" i="22" s="1"/>
  <c r="O165" i="22" s="1"/>
  <c r="I21" i="44"/>
  <c r="I77" i="22" s="1"/>
  <c r="I165" i="22" s="1"/>
  <c r="H21" i="44"/>
  <c r="H77" i="22" s="1"/>
  <c r="H165" i="22" s="1"/>
  <c r="L21" i="44"/>
  <c r="L77" i="22" s="1"/>
  <c r="L165" i="22" s="1"/>
  <c r="M21" i="44"/>
  <c r="M77" i="22" s="1"/>
  <c r="M165" i="22" s="1"/>
  <c r="K21" i="44"/>
  <c r="K77" i="22" s="1"/>
  <c r="K165" i="22" s="1"/>
  <c r="F21" i="44"/>
  <c r="E77" i="22"/>
  <c r="E165" i="22" s="1"/>
  <c r="I22" i="44"/>
  <c r="I77" i="8" s="1"/>
  <c r="I215" i="8" s="1"/>
  <c r="O22" i="44"/>
  <c r="O77" i="8" s="1"/>
  <c r="O215" i="8" s="1"/>
  <c r="H22" i="44"/>
  <c r="H77" i="8" s="1"/>
  <c r="H215" i="8" s="1"/>
  <c r="F22" i="44"/>
  <c r="L22" i="44"/>
  <c r="L77" i="8" s="1"/>
  <c r="L215" i="8" s="1"/>
  <c r="M22" i="44"/>
  <c r="M77" i="8" s="1"/>
  <c r="M215" i="8" s="1"/>
  <c r="G22" i="44"/>
  <c r="G77" i="8" s="1"/>
  <c r="G215" i="8" s="1"/>
  <c r="E77" i="8"/>
  <c r="E215" i="8" s="1"/>
  <c r="K22" i="44"/>
  <c r="K77" i="8" s="1"/>
  <c r="K215" i="8" s="1"/>
  <c r="N22" i="44"/>
  <c r="N77" i="8" s="1"/>
  <c r="N215" i="8" s="1"/>
  <c r="J22" i="44"/>
  <c r="J77" i="8" s="1"/>
  <c r="J215" i="8" s="1"/>
  <c r="P22" i="44"/>
  <c r="P77" i="8" s="1"/>
  <c r="P215" i="8" s="1"/>
  <c r="K92" i="44"/>
  <c r="K100" i="8" s="1"/>
  <c r="I92" i="44"/>
  <c r="I100" i="8" s="1"/>
  <c r="P92" i="44"/>
  <c r="P100" i="8" s="1"/>
  <c r="O92" i="44"/>
  <c r="O100" i="8" s="1"/>
  <c r="N92" i="44"/>
  <c r="N100" i="8" s="1"/>
  <c r="L92" i="44"/>
  <c r="L100" i="8" s="1"/>
  <c r="J92" i="44"/>
  <c r="J100" i="8" s="1"/>
  <c r="H92" i="44"/>
  <c r="H100" i="8" s="1"/>
  <c r="G92" i="44"/>
  <c r="G100" i="8" s="1"/>
  <c r="F92" i="44"/>
  <c r="F100" i="8" s="1"/>
  <c r="E92" i="44"/>
  <c r="E100" i="8" s="1"/>
  <c r="M92" i="44"/>
  <c r="M100" i="8" s="1"/>
  <c r="K26" i="44"/>
  <c r="K77" i="32" s="1"/>
  <c r="K167" i="32" s="1"/>
  <c r="O26" i="44"/>
  <c r="O77" i="32" s="1"/>
  <c r="O167" i="32" s="1"/>
  <c r="I26" i="44"/>
  <c r="I77" i="32" s="1"/>
  <c r="I167" i="32" s="1"/>
  <c r="E26" i="44"/>
  <c r="F26" i="44"/>
  <c r="F77" i="32" s="1"/>
  <c r="F167" i="32" s="1"/>
  <c r="P26" i="44"/>
  <c r="P77" i="32" s="1"/>
  <c r="P167" i="32" s="1"/>
  <c r="G26" i="44"/>
  <c r="G77" i="32" s="1"/>
  <c r="G167" i="32" s="1"/>
  <c r="M26" i="44"/>
  <c r="M77" i="32" s="1"/>
  <c r="M167" i="32" s="1"/>
  <c r="J26" i="44"/>
  <c r="J77" i="32" s="1"/>
  <c r="J167" i="32" s="1"/>
  <c r="N26" i="44"/>
  <c r="N77" i="32" s="1"/>
  <c r="N167" i="32" s="1"/>
  <c r="L26" i="44"/>
  <c r="L77" i="32" s="1"/>
  <c r="L167" i="32" s="1"/>
  <c r="H26" i="44"/>
  <c r="H77" i="32" s="1"/>
  <c r="H167" i="32" s="1"/>
  <c r="E100" i="32"/>
  <c r="Q96" i="44"/>
  <c r="K96" i="44"/>
  <c r="K100" i="32" s="1"/>
  <c r="J96" i="44"/>
  <c r="J100" i="32" s="1"/>
  <c r="I96" i="44"/>
  <c r="I100" i="32" s="1"/>
  <c r="M96" i="44"/>
  <c r="M100" i="32" s="1"/>
  <c r="L96" i="44"/>
  <c r="L100" i="32" s="1"/>
  <c r="O96" i="44"/>
  <c r="O100" i="32" s="1"/>
  <c r="N96" i="44"/>
  <c r="N100" i="32" s="1"/>
  <c r="H96" i="44"/>
  <c r="H100" i="32" s="1"/>
  <c r="G96" i="44"/>
  <c r="G100" i="32" s="1"/>
  <c r="F96" i="44"/>
  <c r="F100" i="32" s="1"/>
  <c r="P96" i="44"/>
  <c r="P100" i="32" s="1"/>
  <c r="I91" i="44"/>
  <c r="I100" i="22" s="1"/>
  <c r="G91" i="44"/>
  <c r="G100" i="22" s="1"/>
  <c r="L91" i="44"/>
  <c r="L100" i="22" s="1"/>
  <c r="K91" i="44"/>
  <c r="K100" i="22" s="1"/>
  <c r="J91" i="44"/>
  <c r="J100" i="22" s="1"/>
  <c r="P91" i="44"/>
  <c r="P100" i="22" s="1"/>
  <c r="O91" i="44"/>
  <c r="O100" i="22" s="1"/>
  <c r="N91" i="44"/>
  <c r="N100" i="22" s="1"/>
  <c r="M91" i="44"/>
  <c r="M100" i="22" s="1"/>
  <c r="H91" i="44"/>
  <c r="H100" i="22" s="1"/>
  <c r="F91" i="44"/>
  <c r="F100" i="22" s="1"/>
  <c r="E91" i="44"/>
  <c r="E100" i="22" s="1"/>
  <c r="I104" i="44"/>
  <c r="I99" i="6" s="1"/>
  <c r="G104" i="44"/>
  <c r="G99" i="6" s="1"/>
  <c r="H104" i="44"/>
  <c r="H99" i="6" s="1"/>
  <c r="F104" i="44"/>
  <c r="F99" i="6" s="1"/>
  <c r="E104" i="44"/>
  <c r="E99" i="6" s="1"/>
  <c r="L104" i="44"/>
  <c r="L99" i="6" s="1"/>
  <c r="K104" i="44"/>
  <c r="K99" i="6" s="1"/>
  <c r="J104" i="44"/>
  <c r="J99" i="6" s="1"/>
  <c r="P104" i="44"/>
  <c r="P99" i="6" s="1"/>
  <c r="O104" i="44"/>
  <c r="O99" i="6" s="1"/>
  <c r="N104" i="44"/>
  <c r="N99" i="6" s="1"/>
  <c r="M104" i="44"/>
  <c r="M99" i="6" s="1"/>
  <c r="N27" i="44"/>
  <c r="N77" i="61" s="1"/>
  <c r="N167" i="61" s="1"/>
  <c r="L27" i="44"/>
  <c r="L77" i="61" s="1"/>
  <c r="L167" i="61" s="1"/>
  <c r="P27" i="44"/>
  <c r="P77" i="61" s="1"/>
  <c r="P167" i="61" s="1"/>
  <c r="I27" i="44"/>
  <c r="I77" i="61" s="1"/>
  <c r="I167" i="61" s="1"/>
  <c r="F27" i="44"/>
  <c r="F77" i="61" s="1"/>
  <c r="F167" i="61" s="1"/>
  <c r="K27" i="44"/>
  <c r="K77" i="61" s="1"/>
  <c r="K167" i="61" s="1"/>
  <c r="H27" i="44"/>
  <c r="H77" i="61" s="1"/>
  <c r="H167" i="61" s="1"/>
  <c r="G27" i="44"/>
  <c r="G77" i="61" s="1"/>
  <c r="G167" i="61" s="1"/>
  <c r="J27" i="44"/>
  <c r="J77" i="61" s="1"/>
  <c r="J167" i="61" s="1"/>
  <c r="M27" i="44"/>
  <c r="M77" i="61" s="1"/>
  <c r="M167" i="61" s="1"/>
  <c r="O27" i="44"/>
  <c r="O77" i="61" s="1"/>
  <c r="O167" i="61" s="1"/>
  <c r="E27" i="44"/>
  <c r="E16" i="44"/>
  <c r="J27" i="46"/>
  <c r="E20" i="31" s="1"/>
  <c r="E257" i="31" s="1"/>
  <c r="J26" i="46"/>
  <c r="E19" i="31" s="1"/>
  <c r="E256" i="31" l="1"/>
  <c r="E22" i="31"/>
  <c r="Q20" i="44"/>
  <c r="E77" i="10"/>
  <c r="E166" i="10" s="1"/>
  <c r="Q24" i="44"/>
  <c r="E80" i="31"/>
  <c r="Q25" i="44"/>
  <c r="Q153" i="61"/>
  <c r="Q27" i="61"/>
  <c r="D142" i="44"/>
  <c r="E99" i="9"/>
  <c r="Q107" i="44"/>
  <c r="Q108" i="44"/>
  <c r="E99" i="10"/>
  <c r="E77" i="9"/>
  <c r="E208" i="9" s="1"/>
  <c r="Q208" i="9" s="1"/>
  <c r="Q23" i="44"/>
  <c r="Q27" i="63"/>
  <c r="M134" i="44"/>
  <c r="M78" i="8" s="1"/>
  <c r="M216" i="8" s="1"/>
  <c r="J134" i="44"/>
  <c r="J78" i="8" s="1"/>
  <c r="J216" i="8" s="1"/>
  <c r="I134" i="44"/>
  <c r="I78" i="8" s="1"/>
  <c r="I216" i="8" s="1"/>
  <c r="L134" i="44"/>
  <c r="L78" i="8" s="1"/>
  <c r="L216" i="8" s="1"/>
  <c r="K134" i="44"/>
  <c r="K78" i="8" s="1"/>
  <c r="K216" i="8" s="1"/>
  <c r="H134" i="44"/>
  <c r="H78" i="8" s="1"/>
  <c r="H216" i="8" s="1"/>
  <c r="E134" i="44"/>
  <c r="P134" i="44"/>
  <c r="P78" i="8" s="1"/>
  <c r="P216" i="8" s="1"/>
  <c r="F134" i="44"/>
  <c r="F78" i="8" s="1"/>
  <c r="F216" i="8" s="1"/>
  <c r="N134" i="44"/>
  <c r="N78" i="8" s="1"/>
  <c r="N216" i="8" s="1"/>
  <c r="O134" i="44"/>
  <c r="O78" i="8" s="1"/>
  <c r="O216" i="8" s="1"/>
  <c r="G134" i="44"/>
  <c r="G78" i="8" s="1"/>
  <c r="G216" i="8" s="1"/>
  <c r="P136" i="44"/>
  <c r="P78" i="10" s="1"/>
  <c r="P167" i="10" s="1"/>
  <c r="N136" i="44"/>
  <c r="N78" i="10" s="1"/>
  <c r="N167" i="10" s="1"/>
  <c r="L136" i="44"/>
  <c r="L78" i="10" s="1"/>
  <c r="L167" i="10" s="1"/>
  <c r="K136" i="44"/>
  <c r="K78" i="10" s="1"/>
  <c r="K167" i="10" s="1"/>
  <c r="J136" i="44"/>
  <c r="J78" i="10" s="1"/>
  <c r="J167" i="10" s="1"/>
  <c r="O136" i="44"/>
  <c r="O78" i="10" s="1"/>
  <c r="O167" i="10" s="1"/>
  <c r="M136" i="44"/>
  <c r="M78" i="10" s="1"/>
  <c r="M167" i="10" s="1"/>
  <c r="I136" i="44"/>
  <c r="I78" i="10" s="1"/>
  <c r="I167" i="10" s="1"/>
  <c r="F136" i="44"/>
  <c r="F78" i="10" s="1"/>
  <c r="F167" i="10" s="1"/>
  <c r="H136" i="44"/>
  <c r="H78" i="10" s="1"/>
  <c r="H167" i="10" s="1"/>
  <c r="G136" i="44"/>
  <c r="G78" i="10" s="1"/>
  <c r="G167" i="10" s="1"/>
  <c r="E136" i="44"/>
  <c r="O135" i="44"/>
  <c r="O78" i="9" s="1"/>
  <c r="O212" i="9" s="1"/>
  <c r="J135" i="44"/>
  <c r="J78" i="9" s="1"/>
  <c r="J212" i="9" s="1"/>
  <c r="N135" i="44"/>
  <c r="N78" i="9" s="1"/>
  <c r="N212" i="9" s="1"/>
  <c r="K135" i="44"/>
  <c r="K78" i="9" s="1"/>
  <c r="K212" i="9" s="1"/>
  <c r="M135" i="44"/>
  <c r="M78" i="9" s="1"/>
  <c r="M212" i="9" s="1"/>
  <c r="L135" i="44"/>
  <c r="L78" i="9" s="1"/>
  <c r="L212" i="9" s="1"/>
  <c r="I135" i="44"/>
  <c r="I78" i="9" s="1"/>
  <c r="I212" i="9" s="1"/>
  <c r="G135" i="44"/>
  <c r="G78" i="9" s="1"/>
  <c r="G212" i="9" s="1"/>
  <c r="F135" i="44"/>
  <c r="F78" i="9" s="1"/>
  <c r="F212" i="9" s="1"/>
  <c r="H135" i="44"/>
  <c r="H78" i="9" s="1"/>
  <c r="H212" i="9" s="1"/>
  <c r="E135" i="44"/>
  <c r="P135" i="44"/>
  <c r="P78" i="9" s="1"/>
  <c r="P212" i="9" s="1"/>
  <c r="E99" i="8"/>
  <c r="Q106" i="44"/>
  <c r="Q153" i="62"/>
  <c r="Q27" i="62"/>
  <c r="F77" i="22"/>
  <c r="F165" i="22" s="1"/>
  <c r="Q21" i="44"/>
  <c r="Q26" i="44"/>
  <c r="E77" i="32"/>
  <c r="E167" i="32" s="1"/>
  <c r="E77" i="62"/>
  <c r="E167" i="62" s="1"/>
  <c r="Q28" i="44"/>
  <c r="F77" i="8"/>
  <c r="F215" i="8" s="1"/>
  <c r="Q22" i="44"/>
  <c r="E77" i="61"/>
  <c r="E167" i="61" s="1"/>
  <c r="Q27" i="44"/>
  <c r="E27" i="27"/>
  <c r="I102" i="27"/>
  <c r="Q92" i="44"/>
  <c r="I112" i="44"/>
  <c r="I99" i="62" s="1"/>
  <c r="G112" i="44"/>
  <c r="G99" i="62" s="1"/>
  <c r="F112" i="44"/>
  <c r="F99" i="62" s="1"/>
  <c r="E112" i="44"/>
  <c r="E99" i="62" s="1"/>
  <c r="Q112" i="44"/>
  <c r="P112" i="44"/>
  <c r="P99" i="62" s="1"/>
  <c r="O112" i="44"/>
  <c r="O99" i="62" s="1"/>
  <c r="N112" i="44"/>
  <c r="N99" i="62" s="1"/>
  <c r="M112" i="44"/>
  <c r="M99" i="62" s="1"/>
  <c r="L112" i="44"/>
  <c r="L99" i="62" s="1"/>
  <c r="K112" i="44"/>
  <c r="K99" i="62" s="1"/>
  <c r="J112" i="44"/>
  <c r="J99" i="62" s="1"/>
  <c r="H112" i="44"/>
  <c r="H99" i="62" s="1"/>
  <c r="G110" i="44"/>
  <c r="G99" i="32" s="1"/>
  <c r="E110" i="44"/>
  <c r="E99" i="32" s="1"/>
  <c r="N110" i="44"/>
  <c r="N99" i="32" s="1"/>
  <c r="M110" i="44"/>
  <c r="M99" i="32" s="1"/>
  <c r="L110" i="44"/>
  <c r="L99" i="32" s="1"/>
  <c r="P110" i="44"/>
  <c r="P99" i="32" s="1"/>
  <c r="O110" i="44"/>
  <c r="O99" i="32" s="1"/>
  <c r="K110" i="44"/>
  <c r="K99" i="32" s="1"/>
  <c r="J110" i="44"/>
  <c r="J99" i="32" s="1"/>
  <c r="I110" i="44"/>
  <c r="I99" i="32" s="1"/>
  <c r="Q110" i="44"/>
  <c r="H110" i="44"/>
  <c r="H99" i="32" s="1"/>
  <c r="F110" i="44"/>
  <c r="F99" i="32" s="1"/>
  <c r="L132" i="44"/>
  <c r="L78" i="6" s="1"/>
  <c r="L193" i="6" s="1"/>
  <c r="J132" i="44"/>
  <c r="J78" i="6" s="1"/>
  <c r="J193" i="6" s="1"/>
  <c r="I132" i="44"/>
  <c r="I78" i="6" s="1"/>
  <c r="I193" i="6" s="1"/>
  <c r="P132" i="44"/>
  <c r="P78" i="6" s="1"/>
  <c r="P193" i="6" s="1"/>
  <c r="O132" i="44"/>
  <c r="O78" i="6" s="1"/>
  <c r="O193" i="6" s="1"/>
  <c r="N132" i="44"/>
  <c r="N78" i="6" s="1"/>
  <c r="N193" i="6" s="1"/>
  <c r="M132" i="44"/>
  <c r="M78" i="6" s="1"/>
  <c r="M193" i="6" s="1"/>
  <c r="K132" i="44"/>
  <c r="K78" i="6" s="1"/>
  <c r="K193" i="6" s="1"/>
  <c r="H132" i="44"/>
  <c r="H78" i="6" s="1"/>
  <c r="H193" i="6" s="1"/>
  <c r="G132" i="44"/>
  <c r="G78" i="6" s="1"/>
  <c r="G193" i="6" s="1"/>
  <c r="F132" i="44"/>
  <c r="F78" i="6" s="1"/>
  <c r="F193" i="6" s="1"/>
  <c r="E132" i="44"/>
  <c r="E78" i="6" s="1"/>
  <c r="E193" i="6" s="1"/>
  <c r="K105" i="44"/>
  <c r="K99" i="22" s="1"/>
  <c r="I105" i="44"/>
  <c r="I99" i="22" s="1"/>
  <c r="H105" i="44"/>
  <c r="H99" i="22" s="1"/>
  <c r="N105" i="44"/>
  <c r="N99" i="22" s="1"/>
  <c r="M105" i="44"/>
  <c r="M99" i="22" s="1"/>
  <c r="L105" i="44"/>
  <c r="L99" i="22" s="1"/>
  <c r="J105" i="44"/>
  <c r="J99" i="22" s="1"/>
  <c r="G105" i="44"/>
  <c r="G99" i="22" s="1"/>
  <c r="O105" i="44"/>
  <c r="O99" i="22" s="1"/>
  <c r="P105" i="44"/>
  <c r="P99" i="22" s="1"/>
  <c r="F105" i="44"/>
  <c r="F99" i="22" s="1"/>
  <c r="E105" i="44"/>
  <c r="E99" i="22" s="1"/>
  <c r="Q48" i="44"/>
  <c r="H111" i="44"/>
  <c r="H99" i="61" s="1"/>
  <c r="F111" i="44"/>
  <c r="F99" i="61" s="1"/>
  <c r="E111" i="44"/>
  <c r="E99" i="61" s="1"/>
  <c r="Q111" i="44"/>
  <c r="P111" i="44"/>
  <c r="P99" i="61" s="1"/>
  <c r="J111" i="44"/>
  <c r="J99" i="61" s="1"/>
  <c r="I111" i="44"/>
  <c r="I99" i="61" s="1"/>
  <c r="O111" i="44"/>
  <c r="O99" i="61" s="1"/>
  <c r="N111" i="44"/>
  <c r="N99" i="61" s="1"/>
  <c r="M111" i="44"/>
  <c r="M99" i="61" s="1"/>
  <c r="L111" i="44"/>
  <c r="L99" i="61" s="1"/>
  <c r="K111" i="44"/>
  <c r="K99" i="61" s="1"/>
  <c r="G111" i="44"/>
  <c r="G99" i="61" s="1"/>
  <c r="Q91" i="44"/>
  <c r="E109" i="44"/>
  <c r="E102" i="31" s="1"/>
  <c r="P109" i="44"/>
  <c r="P102" i="31" s="1"/>
  <c r="I109" i="44"/>
  <c r="I102" i="31" s="1"/>
  <c r="H109" i="44"/>
  <c r="H102" i="31" s="1"/>
  <c r="G109" i="44"/>
  <c r="G102" i="31" s="1"/>
  <c r="L109" i="44"/>
  <c r="L102" i="31" s="1"/>
  <c r="K109" i="44"/>
  <c r="K102" i="31" s="1"/>
  <c r="J109" i="44"/>
  <c r="J102" i="31" s="1"/>
  <c r="F109" i="44"/>
  <c r="F102" i="31" s="1"/>
  <c r="O109" i="44"/>
  <c r="O102" i="31" s="1"/>
  <c r="N109" i="44"/>
  <c r="N102" i="31" s="1"/>
  <c r="M109" i="44"/>
  <c r="M102" i="31" s="1"/>
  <c r="Q104" i="44"/>
  <c r="Q174" i="61"/>
  <c r="Q101" i="61"/>
  <c r="R101" i="61" s="1"/>
  <c r="Q230" i="63"/>
  <c r="Q101" i="63"/>
  <c r="R101" i="63" s="1"/>
  <c r="Q174" i="62"/>
  <c r="Q101" i="62"/>
  <c r="R101" i="62" s="1"/>
  <c r="H102" i="27"/>
  <c r="J102" i="27"/>
  <c r="G102" i="27"/>
  <c r="P102" i="27"/>
  <c r="M102" i="27"/>
  <c r="N102" i="27"/>
  <c r="K102" i="27"/>
  <c r="L102" i="27"/>
  <c r="O102" i="27"/>
  <c r="F102" i="27"/>
  <c r="E100" i="44"/>
  <c r="F16" i="44"/>
  <c r="E30" i="44"/>
  <c r="F100" i="44"/>
  <c r="F27" i="46"/>
  <c r="E19" i="22"/>
  <c r="E149" i="22" s="1"/>
  <c r="Q80" i="31" l="1"/>
  <c r="E273" i="31"/>
  <c r="Q206" i="63"/>
  <c r="E78" i="10"/>
  <c r="E167" i="10" s="1"/>
  <c r="Q136" i="44"/>
  <c r="E78" i="9"/>
  <c r="E212" i="9" s="1"/>
  <c r="Q212" i="9" s="1"/>
  <c r="Q135" i="44"/>
  <c r="T27" i="61"/>
  <c r="R27" i="61"/>
  <c r="M5" i="46"/>
  <c r="Q134" i="44"/>
  <c r="E78" i="8"/>
  <c r="E216" i="8" s="1"/>
  <c r="T27" i="62"/>
  <c r="N5" i="46"/>
  <c r="R27" i="62"/>
  <c r="T27" i="63"/>
  <c r="O5" i="46"/>
  <c r="R27" i="63"/>
  <c r="E101" i="27"/>
  <c r="E102" i="27"/>
  <c r="L93" i="27"/>
  <c r="P97" i="27"/>
  <c r="F27" i="27"/>
  <c r="I93" i="27"/>
  <c r="M97" i="27"/>
  <c r="O93" i="27"/>
  <c r="E78" i="27"/>
  <c r="P93" i="27"/>
  <c r="I97" i="27"/>
  <c r="F93" i="27"/>
  <c r="L97" i="27"/>
  <c r="K93" i="27"/>
  <c r="O97" i="27"/>
  <c r="M93" i="27"/>
  <c r="F97" i="27"/>
  <c r="N93" i="27"/>
  <c r="G97" i="27"/>
  <c r="N97" i="27"/>
  <c r="G93" i="27"/>
  <c r="H97" i="27"/>
  <c r="J97" i="27"/>
  <c r="H93" i="27"/>
  <c r="K97" i="27"/>
  <c r="F101" i="27"/>
  <c r="Q105" i="44"/>
  <c r="Q109" i="44"/>
  <c r="N133" i="44"/>
  <c r="N78" i="22" s="1"/>
  <c r="N167" i="22" s="1"/>
  <c r="L133" i="44"/>
  <c r="L78" i="22" s="1"/>
  <c r="L167" i="22" s="1"/>
  <c r="K133" i="44"/>
  <c r="K78" i="22" s="1"/>
  <c r="K167" i="22" s="1"/>
  <c r="E133" i="44"/>
  <c r="E78" i="22" s="1"/>
  <c r="E167" i="22" s="1"/>
  <c r="G133" i="44"/>
  <c r="G78" i="22" s="1"/>
  <c r="G167" i="22" s="1"/>
  <c r="F133" i="44"/>
  <c r="F78" i="22" s="1"/>
  <c r="F167" i="22" s="1"/>
  <c r="I133" i="44"/>
  <c r="I78" i="22" s="1"/>
  <c r="I167" i="22" s="1"/>
  <c r="H133" i="44"/>
  <c r="H78" i="22" s="1"/>
  <c r="H167" i="22" s="1"/>
  <c r="P133" i="44"/>
  <c r="P78" i="22" s="1"/>
  <c r="P167" i="22" s="1"/>
  <c r="O133" i="44"/>
  <c r="O78" i="22" s="1"/>
  <c r="O167" i="22" s="1"/>
  <c r="M133" i="44"/>
  <c r="M78" i="22" s="1"/>
  <c r="M167" i="22" s="1"/>
  <c r="J133" i="44"/>
  <c r="J78" i="22" s="1"/>
  <c r="J167" i="22" s="1"/>
  <c r="L140" i="44"/>
  <c r="L78" i="62" s="1"/>
  <c r="L168" i="62" s="1"/>
  <c r="K140" i="44"/>
  <c r="K78" i="62" s="1"/>
  <c r="K168" i="62" s="1"/>
  <c r="J140" i="44"/>
  <c r="J78" i="62" s="1"/>
  <c r="J168" i="62" s="1"/>
  <c r="I140" i="44"/>
  <c r="I78" i="62" s="1"/>
  <c r="I168" i="62" s="1"/>
  <c r="Q140" i="44"/>
  <c r="P140" i="44"/>
  <c r="P78" i="62" s="1"/>
  <c r="P168" i="62" s="1"/>
  <c r="O140" i="44"/>
  <c r="O78" i="62" s="1"/>
  <c r="O168" i="62" s="1"/>
  <c r="N140" i="44"/>
  <c r="N78" i="62" s="1"/>
  <c r="N168" i="62" s="1"/>
  <c r="M140" i="44"/>
  <c r="M78" i="62" s="1"/>
  <c r="M168" i="62" s="1"/>
  <c r="H140" i="44"/>
  <c r="H78" i="62" s="1"/>
  <c r="H168" i="62" s="1"/>
  <c r="G140" i="44"/>
  <c r="G78" i="62" s="1"/>
  <c r="G168" i="62" s="1"/>
  <c r="F140" i="44"/>
  <c r="F78" i="62" s="1"/>
  <c r="F168" i="62" s="1"/>
  <c r="E140" i="44"/>
  <c r="E78" i="62" s="1"/>
  <c r="E168" i="62" s="1"/>
  <c r="H137" i="44"/>
  <c r="H81" i="31" s="1"/>
  <c r="H277" i="31" s="1"/>
  <c r="F137" i="44"/>
  <c r="F81" i="31" s="1"/>
  <c r="F277" i="31" s="1"/>
  <c r="E137" i="44"/>
  <c r="E81" i="31" s="1"/>
  <c r="E277" i="31" s="1"/>
  <c r="P137" i="44"/>
  <c r="P81" i="31" s="1"/>
  <c r="P277" i="31" s="1"/>
  <c r="I137" i="44"/>
  <c r="I81" i="31" s="1"/>
  <c r="I277" i="31" s="1"/>
  <c r="G137" i="44"/>
  <c r="G81" i="31" s="1"/>
  <c r="G277" i="31" s="1"/>
  <c r="O137" i="44"/>
  <c r="O81" i="31" s="1"/>
  <c r="O277" i="31" s="1"/>
  <c r="N137" i="44"/>
  <c r="N81" i="31" s="1"/>
  <c r="N277" i="31" s="1"/>
  <c r="M137" i="44"/>
  <c r="M81" i="31" s="1"/>
  <c r="M277" i="31" s="1"/>
  <c r="L137" i="44"/>
  <c r="L81" i="31" s="1"/>
  <c r="L277" i="31" s="1"/>
  <c r="K137" i="44"/>
  <c r="K81" i="31" s="1"/>
  <c r="K277" i="31" s="1"/>
  <c r="J137" i="44"/>
  <c r="J81" i="31" s="1"/>
  <c r="J277" i="31" s="1"/>
  <c r="J93" i="27"/>
  <c r="Q132" i="44"/>
  <c r="J138" i="44"/>
  <c r="J78" i="32" s="1"/>
  <c r="J168" i="32" s="1"/>
  <c r="I138" i="44"/>
  <c r="I78" i="32" s="1"/>
  <c r="I168" i="32" s="1"/>
  <c r="H138" i="44"/>
  <c r="H78" i="32" s="1"/>
  <c r="H168" i="32" s="1"/>
  <c r="G138" i="44"/>
  <c r="G78" i="32" s="1"/>
  <c r="G168" i="32" s="1"/>
  <c r="K138" i="44"/>
  <c r="K78" i="32" s="1"/>
  <c r="K168" i="32" s="1"/>
  <c r="F138" i="44"/>
  <c r="F78" i="32" s="1"/>
  <c r="F168" i="32" s="1"/>
  <c r="E78" i="32"/>
  <c r="E168" i="32" s="1"/>
  <c r="Q138" i="44"/>
  <c r="P138" i="44"/>
  <c r="P78" i="32" s="1"/>
  <c r="P168" i="32" s="1"/>
  <c r="O138" i="44"/>
  <c r="O78" i="32" s="1"/>
  <c r="O168" i="32" s="1"/>
  <c r="L138" i="44"/>
  <c r="L78" i="32" s="1"/>
  <c r="L168" i="32" s="1"/>
  <c r="M138" i="44"/>
  <c r="M78" i="32" s="1"/>
  <c r="M168" i="32" s="1"/>
  <c r="N138" i="44"/>
  <c r="N78" i="32" s="1"/>
  <c r="N168" i="32" s="1"/>
  <c r="K139" i="44"/>
  <c r="K78" i="61" s="1"/>
  <c r="K168" i="61" s="1"/>
  <c r="J139" i="44"/>
  <c r="J78" i="61" s="1"/>
  <c r="J168" i="61" s="1"/>
  <c r="I139" i="44"/>
  <c r="I78" i="61" s="1"/>
  <c r="I168" i="61" s="1"/>
  <c r="H139" i="44"/>
  <c r="H78" i="61" s="1"/>
  <c r="H168" i="61" s="1"/>
  <c r="P139" i="44"/>
  <c r="P78" i="61" s="1"/>
  <c r="P168" i="61" s="1"/>
  <c r="O139" i="44"/>
  <c r="O78" i="61" s="1"/>
  <c r="O168" i="61" s="1"/>
  <c r="N139" i="44"/>
  <c r="N78" i="61" s="1"/>
  <c r="N168" i="61" s="1"/>
  <c r="M139" i="44"/>
  <c r="M78" i="61" s="1"/>
  <c r="M168" i="61" s="1"/>
  <c r="L139" i="44"/>
  <c r="L78" i="61" s="1"/>
  <c r="L168" i="61" s="1"/>
  <c r="G139" i="44"/>
  <c r="G78" i="61" s="1"/>
  <c r="G168" i="61" s="1"/>
  <c r="F139" i="44"/>
  <c r="F78" i="61" s="1"/>
  <c r="F168" i="61" s="1"/>
  <c r="E139" i="44"/>
  <c r="E78" i="61" s="1"/>
  <c r="E168" i="61" s="1"/>
  <c r="Q139" i="44"/>
  <c r="Q100" i="63"/>
  <c r="R100" i="63" s="1"/>
  <c r="F103" i="62"/>
  <c r="F103" i="63"/>
  <c r="F103" i="61"/>
  <c r="I103" i="63"/>
  <c r="I103" i="61"/>
  <c r="I103" i="62"/>
  <c r="H103" i="63"/>
  <c r="H103" i="61"/>
  <c r="H103" i="62"/>
  <c r="Q100" i="62"/>
  <c r="R100" i="62" s="1"/>
  <c r="N103" i="62"/>
  <c r="N103" i="63"/>
  <c r="N103" i="61"/>
  <c r="M103" i="62"/>
  <c r="M103" i="63"/>
  <c r="M103" i="61"/>
  <c r="G103" i="63"/>
  <c r="G103" i="61"/>
  <c r="G103" i="62"/>
  <c r="P103" i="62"/>
  <c r="P103" i="63"/>
  <c r="P103" i="61"/>
  <c r="Q100" i="61"/>
  <c r="R100" i="61" s="1"/>
  <c r="L103" i="63"/>
  <c r="L103" i="61"/>
  <c r="L103" i="62"/>
  <c r="O103" i="62"/>
  <c r="O103" i="63"/>
  <c r="O103" i="61"/>
  <c r="K103" i="62"/>
  <c r="K103" i="63"/>
  <c r="K103" i="61"/>
  <c r="J103" i="62"/>
  <c r="J103" i="61"/>
  <c r="J103" i="63"/>
  <c r="E114" i="44"/>
  <c r="G16" i="44"/>
  <c r="N58" i="44"/>
  <c r="F30" i="44"/>
  <c r="G100" i="44"/>
  <c r="E58" i="44"/>
  <c r="F58" i="44"/>
  <c r="P58" i="44"/>
  <c r="O58" i="44"/>
  <c r="M58" i="44"/>
  <c r="K58" i="44"/>
  <c r="I58" i="44"/>
  <c r="J58" i="44"/>
  <c r="L58" i="44"/>
  <c r="H58" i="44"/>
  <c r="F114" i="44"/>
  <c r="G58" i="44"/>
  <c r="L27" i="46"/>
  <c r="L26" i="46"/>
  <c r="E100" i="27" l="1"/>
  <c r="E97" i="27"/>
  <c r="E93" i="27"/>
  <c r="G101" i="27"/>
  <c r="P99" i="27"/>
  <c r="G27" i="27"/>
  <c r="I99" i="27"/>
  <c r="P79" i="27"/>
  <c r="G79" i="27"/>
  <c r="G99" i="27"/>
  <c r="H99" i="27"/>
  <c r="N99" i="27"/>
  <c r="J99" i="27"/>
  <c r="O99" i="27"/>
  <c r="F99" i="27"/>
  <c r="K99" i="27"/>
  <c r="L99" i="27"/>
  <c r="M99" i="27"/>
  <c r="F100" i="27"/>
  <c r="F78" i="27"/>
  <c r="Q133" i="44"/>
  <c r="Q137" i="44"/>
  <c r="Q99" i="63"/>
  <c r="E103" i="63"/>
  <c r="E103" i="62"/>
  <c r="Q99" i="62"/>
  <c r="F79" i="63"/>
  <c r="E79" i="63"/>
  <c r="E79" i="61"/>
  <c r="E79" i="62"/>
  <c r="F79" i="61"/>
  <c r="Q99" i="61"/>
  <c r="E103" i="61"/>
  <c r="F79" i="62"/>
  <c r="E103" i="6"/>
  <c r="J142" i="44"/>
  <c r="G142" i="44"/>
  <c r="I79" i="27"/>
  <c r="I142" i="44"/>
  <c r="M79" i="27"/>
  <c r="M142" i="44"/>
  <c r="K142" i="44"/>
  <c r="H142" i="44"/>
  <c r="O79" i="27"/>
  <c r="O142" i="44"/>
  <c r="P142" i="44"/>
  <c r="E142" i="44"/>
  <c r="L79" i="27"/>
  <c r="L142" i="44"/>
  <c r="F79" i="27"/>
  <c r="F142" i="44"/>
  <c r="N142" i="44"/>
  <c r="Q58" i="44"/>
  <c r="H16" i="44"/>
  <c r="H100" i="44"/>
  <c r="G114" i="44"/>
  <c r="G30" i="44"/>
  <c r="I27" i="46"/>
  <c r="I26" i="46"/>
  <c r="J79" i="27" l="1"/>
  <c r="E79" i="27"/>
  <c r="G78" i="27"/>
  <c r="G80" i="27" s="1"/>
  <c r="H27" i="27"/>
  <c r="E99" i="27"/>
  <c r="G100" i="27"/>
  <c r="G104" i="27" s="1"/>
  <c r="H101" i="27"/>
  <c r="N79" i="27"/>
  <c r="K79" i="27"/>
  <c r="H79" i="27"/>
  <c r="F104" i="27"/>
  <c r="F80" i="27"/>
  <c r="R99" i="62"/>
  <c r="Q103" i="62"/>
  <c r="R99" i="63"/>
  <c r="Q103" i="63"/>
  <c r="Q168" i="62"/>
  <c r="Q78" i="62"/>
  <c r="R78" i="62" s="1"/>
  <c r="G79" i="63"/>
  <c r="R99" i="61"/>
  <c r="Q103" i="61"/>
  <c r="Q78" i="61"/>
  <c r="R78" i="61" s="1"/>
  <c r="Q168" i="61"/>
  <c r="G79" i="62"/>
  <c r="G79" i="61"/>
  <c r="Q78" i="63"/>
  <c r="R78" i="63" s="1"/>
  <c r="F19" i="63"/>
  <c r="F203" i="63" s="1"/>
  <c r="E22" i="63"/>
  <c r="F19" i="62"/>
  <c r="F150" i="62" s="1"/>
  <c r="E22" i="62"/>
  <c r="E22" i="61"/>
  <c r="F20" i="62"/>
  <c r="F151" i="62" s="1"/>
  <c r="F20" i="63"/>
  <c r="F204" i="63" s="1"/>
  <c r="Q142" i="44"/>
  <c r="I16" i="44"/>
  <c r="H114" i="44"/>
  <c r="H30" i="44"/>
  <c r="I100" i="44"/>
  <c r="G27" i="46"/>
  <c r="Q224" i="63" l="1"/>
  <c r="R103" i="63"/>
  <c r="T103" i="63"/>
  <c r="R103" i="62"/>
  <c r="T103" i="62"/>
  <c r="R103" i="61"/>
  <c r="T103" i="61"/>
  <c r="I27" i="27"/>
  <c r="I101" i="27"/>
  <c r="H78" i="27"/>
  <c r="H80" i="27" s="1"/>
  <c r="H100" i="27"/>
  <c r="H104" i="27" s="1"/>
  <c r="H79" i="62"/>
  <c r="H79" i="63"/>
  <c r="H79" i="61"/>
  <c r="F22" i="61"/>
  <c r="G20" i="63"/>
  <c r="F22" i="62"/>
  <c r="G19" i="62"/>
  <c r="G150" i="62" s="1"/>
  <c r="G20" i="62"/>
  <c r="G151" i="62" s="1"/>
  <c r="G19" i="63"/>
  <c r="F22" i="63"/>
  <c r="I30" i="44"/>
  <c r="J16" i="44"/>
  <c r="J100" i="44"/>
  <c r="I114" i="44"/>
  <c r="E52" i="43"/>
  <c r="E51" i="43"/>
  <c r="E49" i="43"/>
  <c r="E48" i="43"/>
  <c r="E45" i="43"/>
  <c r="E44" i="43"/>
  <c r="E42" i="43"/>
  <c r="E41" i="43"/>
  <c r="E38" i="43"/>
  <c r="E37" i="43"/>
  <c r="E35" i="43"/>
  <c r="E34" i="43"/>
  <c r="E31" i="43"/>
  <c r="E30" i="43"/>
  <c r="E28" i="43"/>
  <c r="E27" i="43"/>
  <c r="E24" i="43"/>
  <c r="E23" i="43"/>
  <c r="E21" i="43"/>
  <c r="E20" i="43"/>
  <c r="E17" i="43"/>
  <c r="E16" i="43"/>
  <c r="E14" i="43"/>
  <c r="E13" i="43"/>
  <c r="E10" i="43"/>
  <c r="E9" i="43"/>
  <c r="E7" i="43"/>
  <c r="H19" i="63" l="1"/>
  <c r="H203" i="63" s="1"/>
  <c r="G203" i="63"/>
  <c r="H20" i="63"/>
  <c r="H204" i="63" s="1"/>
  <c r="G204" i="63"/>
  <c r="I100" i="27"/>
  <c r="I104" i="27" s="1"/>
  <c r="J27" i="27"/>
  <c r="J101" i="27"/>
  <c r="I78" i="27"/>
  <c r="I80" i="27" s="1"/>
  <c r="I79" i="61"/>
  <c r="I79" i="63"/>
  <c r="I79" i="62"/>
  <c r="E63" i="61"/>
  <c r="E165" i="61" s="1"/>
  <c r="G22" i="63"/>
  <c r="H19" i="62"/>
  <c r="H150" i="62" s="1"/>
  <c r="G22" i="62"/>
  <c r="G22" i="61"/>
  <c r="H20" i="62"/>
  <c r="H151" i="62" s="1"/>
  <c r="F51" i="43"/>
  <c r="G51" i="43" s="1"/>
  <c r="F52" i="43"/>
  <c r="F49" i="43"/>
  <c r="G49" i="43" s="1"/>
  <c r="H49" i="43" s="1"/>
  <c r="I49" i="43" s="1"/>
  <c r="J49" i="43" s="1"/>
  <c r="K49" i="43" s="1"/>
  <c r="L49" i="43" s="1"/>
  <c r="M49" i="43" s="1"/>
  <c r="N49" i="43" s="1"/>
  <c r="O49" i="43" s="1"/>
  <c r="P49" i="43" s="1"/>
  <c r="F44" i="43"/>
  <c r="G44" i="43" s="1"/>
  <c r="F45" i="43"/>
  <c r="G45" i="43" s="1"/>
  <c r="F42" i="43"/>
  <c r="G42" i="43" s="1"/>
  <c r="H42" i="43" s="1"/>
  <c r="I42" i="43" s="1"/>
  <c r="J42" i="43" s="1"/>
  <c r="K42" i="43" s="1"/>
  <c r="L42" i="43" s="1"/>
  <c r="M42" i="43" s="1"/>
  <c r="N42" i="43" s="1"/>
  <c r="O42" i="43" s="1"/>
  <c r="P42" i="43" s="1"/>
  <c r="F37" i="43"/>
  <c r="F61" i="10" s="1"/>
  <c r="F38" i="43"/>
  <c r="G38" i="43" s="1"/>
  <c r="F35" i="43"/>
  <c r="G35" i="43" s="1"/>
  <c r="H35" i="43" s="1"/>
  <c r="I35" i="43" s="1"/>
  <c r="J35" i="43" s="1"/>
  <c r="K35" i="43" s="1"/>
  <c r="L35" i="43" s="1"/>
  <c r="M35" i="43" s="1"/>
  <c r="N35" i="43" s="1"/>
  <c r="O35" i="43" s="1"/>
  <c r="P35" i="43" s="1"/>
  <c r="F9" i="43"/>
  <c r="F61" i="6" s="1"/>
  <c r="F10" i="43"/>
  <c r="G10" i="43" s="1"/>
  <c r="F7" i="43"/>
  <c r="G7" i="43" s="1"/>
  <c r="H7" i="43" s="1"/>
  <c r="I7" i="43" s="1"/>
  <c r="J7" i="43" s="1"/>
  <c r="K7" i="43" s="1"/>
  <c r="L7" i="43" s="1"/>
  <c r="M7" i="43" s="1"/>
  <c r="N7" i="43" s="1"/>
  <c r="O7" i="43" s="1"/>
  <c r="P7" i="43" s="1"/>
  <c r="F30" i="43"/>
  <c r="G30" i="43" s="1"/>
  <c r="F31" i="43"/>
  <c r="F62" i="9" s="1"/>
  <c r="F28" i="43"/>
  <c r="G28" i="43" s="1"/>
  <c r="H28" i="43" s="1"/>
  <c r="I28" i="43" s="1"/>
  <c r="J28" i="43" s="1"/>
  <c r="K28" i="43" s="1"/>
  <c r="L28" i="43" s="1"/>
  <c r="M28" i="43" s="1"/>
  <c r="N28" i="43" s="1"/>
  <c r="O28" i="43" s="1"/>
  <c r="P28" i="43" s="1"/>
  <c r="F21" i="43"/>
  <c r="G21" i="43" s="1"/>
  <c r="H21" i="43" s="1"/>
  <c r="I21" i="43" s="1"/>
  <c r="J21" i="43" s="1"/>
  <c r="K21" i="43" s="1"/>
  <c r="L21" i="43" s="1"/>
  <c r="M21" i="43" s="1"/>
  <c r="N21" i="43" s="1"/>
  <c r="O21" i="43" s="1"/>
  <c r="P21" i="43" s="1"/>
  <c r="F23" i="43"/>
  <c r="G23" i="43" s="1"/>
  <c r="F24" i="43"/>
  <c r="F62" i="8" s="1"/>
  <c r="F16" i="43"/>
  <c r="G16" i="43" s="1"/>
  <c r="F17" i="43"/>
  <c r="F62" i="22" s="1"/>
  <c r="F14" i="43"/>
  <c r="G14" i="43" s="1"/>
  <c r="H14" i="43" s="1"/>
  <c r="I14" i="43" s="1"/>
  <c r="J14" i="43" s="1"/>
  <c r="K14" i="43" s="1"/>
  <c r="L14" i="43" s="1"/>
  <c r="M14" i="43" s="1"/>
  <c r="N14" i="43" s="1"/>
  <c r="O14" i="43" s="1"/>
  <c r="P14" i="43" s="1"/>
  <c r="J114" i="44"/>
  <c r="K100" i="44"/>
  <c r="K16" i="44"/>
  <c r="J30" i="44"/>
  <c r="F48" i="43"/>
  <c r="E50" i="43"/>
  <c r="E53" i="43" s="1"/>
  <c r="F41" i="43"/>
  <c r="E43" i="43"/>
  <c r="E46" i="43" s="1"/>
  <c r="F34" i="43"/>
  <c r="E36" i="43"/>
  <c r="E39" i="43" s="1"/>
  <c r="F27" i="43"/>
  <c r="E29" i="43"/>
  <c r="E32" i="43" s="1"/>
  <c r="F20" i="43"/>
  <c r="E22" i="43"/>
  <c r="E25" i="43" s="1"/>
  <c r="F13" i="43"/>
  <c r="E15" i="43"/>
  <c r="E18" i="43" s="1"/>
  <c r="Q29" i="9"/>
  <c r="Q18" i="6"/>
  <c r="R18" i="6" s="1"/>
  <c r="F64" i="31" l="1"/>
  <c r="T29" i="9"/>
  <c r="H6" i="46"/>
  <c r="G37" i="43"/>
  <c r="F65" i="31"/>
  <c r="R29" i="9"/>
  <c r="K27" i="27"/>
  <c r="K101" i="27"/>
  <c r="J100" i="27"/>
  <c r="J104" i="27" s="1"/>
  <c r="J78" i="27"/>
  <c r="J80" i="27" s="1"/>
  <c r="J79" i="63"/>
  <c r="J79" i="61"/>
  <c r="J79" i="62"/>
  <c r="F62" i="10"/>
  <c r="F62" i="6"/>
  <c r="F60" i="9"/>
  <c r="G9" i="43"/>
  <c r="G61" i="6" s="1"/>
  <c r="F60" i="10"/>
  <c r="F63" i="31"/>
  <c r="F61" i="32"/>
  <c r="E63" i="63"/>
  <c r="E218" i="63" s="1"/>
  <c r="F60" i="32"/>
  <c r="E63" i="62"/>
  <c r="E165" i="62" s="1"/>
  <c r="E71" i="61"/>
  <c r="G31" i="43"/>
  <c r="G62" i="9" s="1"/>
  <c r="F61" i="9"/>
  <c r="Q7" i="43"/>
  <c r="I20" i="62"/>
  <c r="I151" i="62" s="1"/>
  <c r="H22" i="63"/>
  <c r="H22" i="61"/>
  <c r="H22" i="62"/>
  <c r="I19" i="62"/>
  <c r="I150" i="62" s="1"/>
  <c r="F62" i="32"/>
  <c r="G52" i="43"/>
  <c r="Q49" i="43"/>
  <c r="Q42" i="43"/>
  <c r="Q35" i="43"/>
  <c r="G24" i="43"/>
  <c r="H24" i="43" s="1"/>
  <c r="F60" i="8"/>
  <c r="F61" i="22"/>
  <c r="G17" i="43"/>
  <c r="H17" i="43" s="1"/>
  <c r="F60" i="22"/>
  <c r="Q28" i="43"/>
  <c r="F61" i="8"/>
  <c r="Q21" i="43"/>
  <c r="Q14" i="43"/>
  <c r="L16" i="44"/>
  <c r="K30" i="44"/>
  <c r="L100" i="44"/>
  <c r="K114" i="44"/>
  <c r="H38" i="43"/>
  <c r="G62" i="10"/>
  <c r="H30" i="43"/>
  <c r="G61" i="9"/>
  <c r="H51" i="43"/>
  <c r="G61" i="32"/>
  <c r="H16" i="43"/>
  <c r="G61" i="22"/>
  <c r="H9" i="43"/>
  <c r="H37" i="43"/>
  <c r="G61" i="10"/>
  <c r="H10" i="43"/>
  <c r="G62" i="6"/>
  <c r="H23" i="43"/>
  <c r="G61" i="8"/>
  <c r="H45" i="43"/>
  <c r="G65" i="31"/>
  <c r="H44" i="43"/>
  <c r="G64" i="31"/>
  <c r="G48" i="43"/>
  <c r="F50" i="43"/>
  <c r="F53" i="43" s="1"/>
  <c r="G41" i="43"/>
  <c r="G63" i="31" s="1"/>
  <c r="F43" i="43"/>
  <c r="F46" i="43" s="1"/>
  <c r="G34" i="43"/>
  <c r="G60" i="10" s="1"/>
  <c r="F36" i="43"/>
  <c r="F39" i="43" s="1"/>
  <c r="G27" i="43"/>
  <c r="G60" i="9" s="1"/>
  <c r="F29" i="43"/>
  <c r="F32" i="43" s="1"/>
  <c r="G20" i="43"/>
  <c r="G60" i="8" s="1"/>
  <c r="F22" i="43"/>
  <c r="F25" i="43" s="1"/>
  <c r="G13" i="43"/>
  <c r="G60" i="22" s="1"/>
  <c r="F15" i="43"/>
  <c r="F18" i="43" s="1"/>
  <c r="Q65" i="6"/>
  <c r="R65" i="6" s="1"/>
  <c r="Q65" i="22"/>
  <c r="Q56" i="10"/>
  <c r="R56" i="10" l="1"/>
  <c r="T56" i="10"/>
  <c r="F63" i="27"/>
  <c r="G62" i="27"/>
  <c r="F62" i="27"/>
  <c r="K100" i="27"/>
  <c r="K104" i="27" s="1"/>
  <c r="L27" i="27"/>
  <c r="L101" i="27"/>
  <c r="K78" i="27"/>
  <c r="K80" i="27" s="1"/>
  <c r="K79" i="62"/>
  <c r="K79" i="61"/>
  <c r="K79" i="63"/>
  <c r="H31" i="43"/>
  <c r="H62" i="9" s="1"/>
  <c r="F63" i="63"/>
  <c r="F218" i="63" s="1"/>
  <c r="F63" i="62"/>
  <c r="F165" i="62" s="1"/>
  <c r="G62" i="22"/>
  <c r="G62" i="32"/>
  <c r="H52" i="43"/>
  <c r="G60" i="32"/>
  <c r="E71" i="62"/>
  <c r="E71" i="63"/>
  <c r="G62" i="8"/>
  <c r="I22" i="63"/>
  <c r="J19" i="63"/>
  <c r="J20" i="62"/>
  <c r="J151" i="62" s="1"/>
  <c r="I22" i="61"/>
  <c r="J19" i="62"/>
  <c r="J150" i="62" s="1"/>
  <c r="I22" i="62"/>
  <c r="J20" i="63"/>
  <c r="M16" i="44"/>
  <c r="M100" i="44"/>
  <c r="L114" i="44"/>
  <c r="L30" i="44"/>
  <c r="I17" i="43"/>
  <c r="H62" i="22"/>
  <c r="I30" i="43"/>
  <c r="H61" i="9"/>
  <c r="I44" i="43"/>
  <c r="H64" i="31"/>
  <c r="I31" i="43"/>
  <c r="I51" i="43"/>
  <c r="H61" i="32"/>
  <c r="I23" i="43"/>
  <c r="H61" i="8"/>
  <c r="I38" i="43"/>
  <c r="H62" i="10"/>
  <c r="I16" i="43"/>
  <c r="H61" i="22"/>
  <c r="I45" i="43"/>
  <c r="H65" i="31"/>
  <c r="I9" i="43"/>
  <c r="H61" i="6"/>
  <c r="I10" i="43"/>
  <c r="H62" i="6"/>
  <c r="I37" i="43"/>
  <c r="H61" i="10"/>
  <c r="I24" i="43"/>
  <c r="H62" i="8"/>
  <c r="H48" i="43"/>
  <c r="G50" i="43"/>
  <c r="G53" i="43" s="1"/>
  <c r="H41" i="43"/>
  <c r="H63" i="31" s="1"/>
  <c r="G43" i="43"/>
  <c r="G46" i="43" s="1"/>
  <c r="H34" i="43"/>
  <c r="H60" i="10" s="1"/>
  <c r="G36" i="43"/>
  <c r="G39" i="43" s="1"/>
  <c r="H27" i="43"/>
  <c r="H60" i="9" s="1"/>
  <c r="G29" i="43"/>
  <c r="G32" i="43" s="1"/>
  <c r="H20" i="43"/>
  <c r="G22" i="43"/>
  <c r="G25" i="43" s="1"/>
  <c r="H13" i="43"/>
  <c r="G15" i="43"/>
  <c r="G18" i="43" s="1"/>
  <c r="K19" i="63" l="1"/>
  <c r="K203" i="63" s="1"/>
  <c r="J203" i="63"/>
  <c r="K20" i="63"/>
  <c r="K204" i="63" s="1"/>
  <c r="J204" i="63"/>
  <c r="M101" i="27"/>
  <c r="G63" i="27"/>
  <c r="M27" i="27"/>
  <c r="L78" i="27"/>
  <c r="L80" i="27" s="1"/>
  <c r="L100" i="27"/>
  <c r="L104" i="27" s="1"/>
  <c r="H62" i="27"/>
  <c r="L79" i="62"/>
  <c r="L79" i="63"/>
  <c r="L79" i="61"/>
  <c r="H62" i="32"/>
  <c r="H63" i="27" s="1"/>
  <c r="I52" i="43"/>
  <c r="I62" i="32" s="1"/>
  <c r="G63" i="63"/>
  <c r="G218" i="63" s="1"/>
  <c r="G63" i="62"/>
  <c r="G165" i="62" s="1"/>
  <c r="H60" i="32"/>
  <c r="J22" i="62"/>
  <c r="K19" i="62"/>
  <c r="K150" i="62" s="1"/>
  <c r="J22" i="61"/>
  <c r="J22" i="63"/>
  <c r="K20" i="62"/>
  <c r="K151" i="62" s="1"/>
  <c r="H60" i="8"/>
  <c r="H60" i="22"/>
  <c r="N16" i="44"/>
  <c r="M30" i="44"/>
  <c r="N100" i="44"/>
  <c r="M114" i="44"/>
  <c r="J37" i="43"/>
  <c r="I61" i="10"/>
  <c r="J51" i="43"/>
  <c r="I61" i="32"/>
  <c r="J10" i="43"/>
  <c r="I62" i="6"/>
  <c r="J30" i="43"/>
  <c r="I61" i="9"/>
  <c r="J24" i="43"/>
  <c r="I62" i="8"/>
  <c r="J31" i="43"/>
  <c r="I62" i="9"/>
  <c r="J9" i="43"/>
  <c r="I61" i="6"/>
  <c r="J44" i="43"/>
  <c r="I64" i="31"/>
  <c r="J45" i="43"/>
  <c r="I65" i="31"/>
  <c r="J16" i="43"/>
  <c r="I61" i="22"/>
  <c r="J23" i="43"/>
  <c r="I61" i="8"/>
  <c r="J38" i="43"/>
  <c r="I62" i="10"/>
  <c r="J17" i="43"/>
  <c r="I62" i="22"/>
  <c r="I48" i="43"/>
  <c r="H50" i="43"/>
  <c r="H53" i="43" s="1"/>
  <c r="I41" i="43"/>
  <c r="I63" i="31" s="1"/>
  <c r="H43" i="43"/>
  <c r="H46" i="43" s="1"/>
  <c r="I34" i="43"/>
  <c r="I60" i="10" s="1"/>
  <c r="H36" i="43"/>
  <c r="H39" i="43" s="1"/>
  <c r="I27" i="43"/>
  <c r="I60" i="9" s="1"/>
  <c r="H29" i="43"/>
  <c r="H32" i="43" s="1"/>
  <c r="I20" i="43"/>
  <c r="I60" i="8" s="1"/>
  <c r="H22" i="43"/>
  <c r="H25" i="43" s="1"/>
  <c r="I13" i="43"/>
  <c r="I60" i="22" s="1"/>
  <c r="H15" i="43"/>
  <c r="H18" i="43" s="1"/>
  <c r="N36" i="22"/>
  <c r="N155" i="22" s="1"/>
  <c r="Q31" i="22"/>
  <c r="L50" i="22"/>
  <c r="L158" i="22" s="1"/>
  <c r="M50" i="22"/>
  <c r="M158" i="22" s="1"/>
  <c r="N50" i="22"/>
  <c r="N158" i="22" s="1"/>
  <c r="O50" i="22"/>
  <c r="O158" i="22" s="1"/>
  <c r="M78" i="27" l="1"/>
  <c r="M80" i="27" s="1"/>
  <c r="I63" i="27"/>
  <c r="N27" i="27"/>
  <c r="I62" i="27"/>
  <c r="N101" i="27"/>
  <c r="M100" i="27"/>
  <c r="M104" i="27" s="1"/>
  <c r="M79" i="63"/>
  <c r="M79" i="62"/>
  <c r="M79" i="61"/>
  <c r="J52" i="43"/>
  <c r="K52" i="43" s="1"/>
  <c r="H63" i="62"/>
  <c r="H165" i="62" s="1"/>
  <c r="I60" i="32"/>
  <c r="I63" i="63"/>
  <c r="I218" i="63" s="1"/>
  <c r="H63" i="63"/>
  <c r="H218" i="63" s="1"/>
  <c r="L20" i="62"/>
  <c r="L151" i="62" s="1"/>
  <c r="K22" i="61"/>
  <c r="L19" i="62"/>
  <c r="L150" i="62" s="1"/>
  <c r="K22" i="62"/>
  <c r="K22" i="63"/>
  <c r="O16" i="44"/>
  <c r="N114" i="44"/>
  <c r="N30" i="44"/>
  <c r="O100" i="44"/>
  <c r="K24" i="43"/>
  <c r="J62" i="8"/>
  <c r="K45" i="43"/>
  <c r="J65" i="31"/>
  <c r="K10" i="43"/>
  <c r="J62" i="6"/>
  <c r="K17" i="43"/>
  <c r="J62" i="22"/>
  <c r="K31" i="43"/>
  <c r="J62" i="9"/>
  <c r="K38" i="43"/>
  <c r="J62" i="10"/>
  <c r="K23" i="43"/>
  <c r="J61" i="8"/>
  <c r="K30" i="43"/>
  <c r="J61" i="9"/>
  <c r="K16" i="43"/>
  <c r="J61" i="22"/>
  <c r="K44" i="43"/>
  <c r="J64" i="31"/>
  <c r="K51" i="43"/>
  <c r="J61" i="32"/>
  <c r="K9" i="43"/>
  <c r="J61" i="6"/>
  <c r="K37" i="43"/>
  <c r="J61" i="10"/>
  <c r="J48" i="43"/>
  <c r="I50" i="43"/>
  <c r="I53" i="43" s="1"/>
  <c r="J41" i="43"/>
  <c r="J63" i="31" s="1"/>
  <c r="I43" i="43"/>
  <c r="I46" i="43" s="1"/>
  <c r="J34" i="43"/>
  <c r="J60" i="10" s="1"/>
  <c r="I36" i="43"/>
  <c r="I39" i="43" s="1"/>
  <c r="J27" i="43"/>
  <c r="J60" i="9" s="1"/>
  <c r="I29" i="43"/>
  <c r="I32" i="43" s="1"/>
  <c r="J20" i="43"/>
  <c r="I22" i="43"/>
  <c r="I25" i="43" s="1"/>
  <c r="J13" i="43"/>
  <c r="J60" i="22" s="1"/>
  <c r="I15" i="43"/>
  <c r="I18" i="43" s="1"/>
  <c r="O27" i="27" l="1"/>
  <c r="O101" i="27"/>
  <c r="N100" i="27"/>
  <c r="N104" i="27" s="1"/>
  <c r="J62" i="27"/>
  <c r="N78" i="27"/>
  <c r="N80" i="27" s="1"/>
  <c r="N79" i="61"/>
  <c r="N79" i="62"/>
  <c r="N79" i="63"/>
  <c r="J62" i="32"/>
  <c r="J63" i="27" s="1"/>
  <c r="I63" i="62"/>
  <c r="I165" i="62" s="1"/>
  <c r="J60" i="32"/>
  <c r="L22" i="61"/>
  <c r="L22" i="63"/>
  <c r="M19" i="63"/>
  <c r="M20" i="63"/>
  <c r="M19" i="62"/>
  <c r="M150" i="62" s="1"/>
  <c r="L22" i="62"/>
  <c r="M20" i="62"/>
  <c r="M151" i="62" s="1"/>
  <c r="O30" i="44"/>
  <c r="J60" i="8"/>
  <c r="Q7" i="44"/>
  <c r="Q9" i="44"/>
  <c r="Q10" i="44"/>
  <c r="Q8" i="44"/>
  <c r="O114" i="44"/>
  <c r="P100" i="44"/>
  <c r="L52" i="43"/>
  <c r="K62" i="32"/>
  <c r="L44" i="43"/>
  <c r="K64" i="31"/>
  <c r="L17" i="43"/>
  <c r="K62" i="22"/>
  <c r="L38" i="43"/>
  <c r="K62" i="10"/>
  <c r="L9" i="43"/>
  <c r="K61" i="6"/>
  <c r="L31" i="43"/>
  <c r="K62" i="9"/>
  <c r="L30" i="43"/>
  <c r="K61" i="9"/>
  <c r="L45" i="43"/>
  <c r="K65" i="31"/>
  <c r="L37" i="43"/>
  <c r="K61" i="10"/>
  <c r="L16" i="43"/>
  <c r="K61" i="22"/>
  <c r="L51" i="43"/>
  <c r="K61" i="32"/>
  <c r="L10" i="43"/>
  <c r="K62" i="6"/>
  <c r="L23" i="43"/>
  <c r="K61" i="8"/>
  <c r="L24" i="43"/>
  <c r="K62" i="8"/>
  <c r="K48" i="43"/>
  <c r="J50" i="43"/>
  <c r="J53" i="43" s="1"/>
  <c r="K41" i="43"/>
  <c r="K63" i="31" s="1"/>
  <c r="J43" i="43"/>
  <c r="J46" i="43" s="1"/>
  <c r="K34" i="43"/>
  <c r="K60" i="10" s="1"/>
  <c r="J36" i="43"/>
  <c r="J39" i="43" s="1"/>
  <c r="K27" i="43"/>
  <c r="K60" i="9" s="1"/>
  <c r="J29" i="43"/>
  <c r="J32" i="43" s="1"/>
  <c r="K20" i="43"/>
  <c r="K60" i="8" s="1"/>
  <c r="J22" i="43"/>
  <c r="J25" i="43" s="1"/>
  <c r="K13" i="43"/>
  <c r="K60" i="22" s="1"/>
  <c r="J15" i="43"/>
  <c r="J18" i="43" s="1"/>
  <c r="N19" i="63" l="1"/>
  <c r="N203" i="63" s="1"/>
  <c r="M203" i="63"/>
  <c r="N20" i="63"/>
  <c r="N204" i="63" s="1"/>
  <c r="M204" i="63"/>
  <c r="P27" i="27"/>
  <c r="O100" i="27"/>
  <c r="O104" i="27" s="1"/>
  <c r="K62" i="27"/>
  <c r="K63" i="27"/>
  <c r="P101" i="27"/>
  <c r="O78" i="27"/>
  <c r="O80" i="27" s="1"/>
  <c r="O79" i="62"/>
  <c r="O79" i="61"/>
  <c r="O79" i="63"/>
  <c r="Q77" i="62"/>
  <c r="Q77" i="63"/>
  <c r="Q77" i="61"/>
  <c r="J63" i="63"/>
  <c r="J218" i="63" s="1"/>
  <c r="J63" i="62"/>
  <c r="J165" i="62" s="1"/>
  <c r="K60" i="32"/>
  <c r="K63" i="62"/>
  <c r="K165" i="62" s="1"/>
  <c r="K63" i="63"/>
  <c r="K218" i="63" s="1"/>
  <c r="N20" i="62"/>
  <c r="N151" i="62" s="1"/>
  <c r="M22" i="63"/>
  <c r="M22" i="62"/>
  <c r="N19" i="62"/>
  <c r="N150" i="62" s="1"/>
  <c r="M22" i="61"/>
  <c r="P30" i="44"/>
  <c r="Q16" i="44"/>
  <c r="P114" i="44"/>
  <c r="Q100" i="44"/>
  <c r="E108" i="43"/>
  <c r="M30" i="43"/>
  <c r="L61" i="9"/>
  <c r="M17" i="43"/>
  <c r="L62" i="22"/>
  <c r="M23" i="43"/>
  <c r="L61" i="8"/>
  <c r="M9" i="43"/>
  <c r="L61" i="6"/>
  <c r="M24" i="43"/>
  <c r="L62" i="8"/>
  <c r="M31" i="43"/>
  <c r="L62" i="9"/>
  <c r="M51" i="43"/>
  <c r="L61" i="32"/>
  <c r="M38" i="43"/>
  <c r="L62" i="10"/>
  <c r="M37" i="43"/>
  <c r="L61" i="10"/>
  <c r="M44" i="43"/>
  <c r="L64" i="31"/>
  <c r="M10" i="43"/>
  <c r="L62" i="6"/>
  <c r="M16" i="43"/>
  <c r="L61" i="22"/>
  <c r="M45" i="43"/>
  <c r="L65" i="31"/>
  <c r="M52" i="43"/>
  <c r="L62" i="32"/>
  <c r="L48" i="43"/>
  <c r="K50" i="43"/>
  <c r="K53" i="43" s="1"/>
  <c r="L41" i="43"/>
  <c r="L63" i="31" s="1"/>
  <c r="K43" i="43"/>
  <c r="K46" i="43" s="1"/>
  <c r="L34" i="43"/>
  <c r="L60" i="10" s="1"/>
  <c r="K36" i="43"/>
  <c r="K39" i="43" s="1"/>
  <c r="L27" i="43"/>
  <c r="L60" i="9" s="1"/>
  <c r="K29" i="43"/>
  <c r="K32" i="43" s="1"/>
  <c r="L20" i="43"/>
  <c r="L60" i="8" s="1"/>
  <c r="K22" i="43"/>
  <c r="K25" i="43" s="1"/>
  <c r="L13" i="43"/>
  <c r="L60" i="22" s="1"/>
  <c r="K15" i="43"/>
  <c r="K18" i="43" s="1"/>
  <c r="Q100" i="43" l="1"/>
  <c r="L63" i="27"/>
  <c r="P100" i="27"/>
  <c r="P104" i="27" s="1"/>
  <c r="L62" i="27"/>
  <c r="P78" i="27"/>
  <c r="P80" i="27" s="1"/>
  <c r="Q79" i="61"/>
  <c r="R77" i="61"/>
  <c r="R77" i="63"/>
  <c r="Q79" i="63"/>
  <c r="R77" i="62"/>
  <c r="Q79" i="62"/>
  <c r="P79" i="63"/>
  <c r="Q220" i="63"/>
  <c r="P79" i="61"/>
  <c r="Q167" i="61"/>
  <c r="P79" i="62"/>
  <c r="Q167" i="62"/>
  <c r="E131" i="61"/>
  <c r="E131" i="62"/>
  <c r="E131" i="63"/>
  <c r="L60" i="32"/>
  <c r="L63" i="62"/>
  <c r="L165" i="62" s="1"/>
  <c r="L63" i="63"/>
  <c r="L218" i="63" s="1"/>
  <c r="N22" i="62"/>
  <c r="O19" i="62"/>
  <c r="O150" i="62" s="1"/>
  <c r="O20" i="62"/>
  <c r="O151" i="62" s="1"/>
  <c r="N22" i="61"/>
  <c r="N22" i="63"/>
  <c r="Q30" i="44"/>
  <c r="Q114" i="44"/>
  <c r="F108" i="43"/>
  <c r="Q101" i="43"/>
  <c r="N51" i="43"/>
  <c r="M61" i="32"/>
  <c r="N44" i="43"/>
  <c r="O44" i="43" s="1"/>
  <c r="M64" i="31"/>
  <c r="N9" i="43"/>
  <c r="O9" i="43" s="1"/>
  <c r="M61" i="6"/>
  <c r="N23" i="43"/>
  <c r="O23" i="43" s="1"/>
  <c r="M61" i="8"/>
  <c r="N37" i="43"/>
  <c r="O37" i="43" s="1"/>
  <c r="M61" i="10"/>
  <c r="N17" i="43"/>
  <c r="O17" i="43" s="1"/>
  <c r="M62" i="22"/>
  <c r="N45" i="43"/>
  <c r="O45" i="43" s="1"/>
  <c r="M65" i="31"/>
  <c r="N31" i="43"/>
  <c r="O31" i="43" s="1"/>
  <c r="M62" i="9"/>
  <c r="N16" i="43"/>
  <c r="O16" i="43" s="1"/>
  <c r="M61" i="22"/>
  <c r="N52" i="43"/>
  <c r="M62" i="32"/>
  <c r="N24" i="43"/>
  <c r="O24" i="43" s="1"/>
  <c r="M62" i="8"/>
  <c r="N10" i="43"/>
  <c r="O10" i="43" s="1"/>
  <c r="M62" i="6"/>
  <c r="N38" i="43"/>
  <c r="O38" i="43" s="1"/>
  <c r="M62" i="10"/>
  <c r="N30" i="43"/>
  <c r="O30" i="43" s="1"/>
  <c r="M61" i="9"/>
  <c r="M48" i="43"/>
  <c r="L50" i="43"/>
  <c r="L53" i="43" s="1"/>
  <c r="M41" i="43"/>
  <c r="M63" i="31" s="1"/>
  <c r="L43" i="43"/>
  <c r="L46" i="43" s="1"/>
  <c r="M34" i="43"/>
  <c r="M60" i="10" s="1"/>
  <c r="L36" i="43"/>
  <c r="L39" i="43" s="1"/>
  <c r="M27" i="43"/>
  <c r="M60" i="9" s="1"/>
  <c r="L29" i="43"/>
  <c r="L32" i="43" s="1"/>
  <c r="M20" i="43"/>
  <c r="M60" i="8" s="1"/>
  <c r="L22" i="43"/>
  <c r="L25" i="43" s="1"/>
  <c r="M13" i="43"/>
  <c r="M60" i="22" s="1"/>
  <c r="L15" i="43"/>
  <c r="L18" i="43" s="1"/>
  <c r="G43" i="8"/>
  <c r="G206" i="8" s="1"/>
  <c r="Q47" i="22"/>
  <c r="Q34" i="22"/>
  <c r="H590" i="38"/>
  <c r="H591" i="38"/>
  <c r="H592" i="38"/>
  <c r="H593" i="38"/>
  <c r="H594" i="38"/>
  <c r="H595" i="38"/>
  <c r="H596" i="38"/>
  <c r="H597" i="38"/>
  <c r="H598" i="38"/>
  <c r="H599" i="38"/>
  <c r="H600" i="38"/>
  <c r="H601" i="38"/>
  <c r="H583" i="38"/>
  <c r="H584" i="38"/>
  <c r="H585" i="38"/>
  <c r="H586" i="38"/>
  <c r="H587" i="38"/>
  <c r="H588" i="38"/>
  <c r="H589" i="38"/>
  <c r="H552" i="38"/>
  <c r="H553" i="38"/>
  <c r="H554" i="38"/>
  <c r="H555" i="38"/>
  <c r="H556" i="38"/>
  <c r="H557" i="38"/>
  <c r="H569" i="38"/>
  <c r="H570" i="38"/>
  <c r="Q49" i="6"/>
  <c r="R49" i="6" s="1"/>
  <c r="Q48" i="6"/>
  <c r="R48" i="6" s="1"/>
  <c r="H418" i="38"/>
  <c r="H419" i="38"/>
  <c r="H420" i="38"/>
  <c r="H421" i="38"/>
  <c r="H422" i="38"/>
  <c r="H423" i="38"/>
  <c r="H424" i="38"/>
  <c r="H425" i="38"/>
  <c r="H426" i="38"/>
  <c r="H427" i="38"/>
  <c r="H428" i="38"/>
  <c r="H429" i="38"/>
  <c r="H379" i="38"/>
  <c r="H380" i="38"/>
  <c r="H381" i="38"/>
  <c r="H370" i="38"/>
  <c r="H371" i="38"/>
  <c r="H372" i="38"/>
  <c r="H373" i="38"/>
  <c r="H374" i="38"/>
  <c r="H375" i="38"/>
  <c r="H376" i="38"/>
  <c r="H377" i="38"/>
  <c r="H378" i="38"/>
  <c r="H451" i="38"/>
  <c r="H452" i="38"/>
  <c r="H453" i="38"/>
  <c r="H454" i="38"/>
  <c r="H455" i="38"/>
  <c r="H456" i="38"/>
  <c r="H457" i="38"/>
  <c r="H458" i="38"/>
  <c r="H459" i="38"/>
  <c r="H460" i="38"/>
  <c r="H461" i="38"/>
  <c r="H462" i="38"/>
  <c r="H238" i="38"/>
  <c r="H239" i="38"/>
  <c r="H240" i="38"/>
  <c r="H241" i="38"/>
  <c r="H242" i="38"/>
  <c r="H243" i="38"/>
  <c r="H244" i="38"/>
  <c r="H245" i="38"/>
  <c r="H246" i="38"/>
  <c r="H247" i="38"/>
  <c r="H248" i="38"/>
  <c r="H249" i="38"/>
  <c r="H250" i="38"/>
  <c r="H251" i="38"/>
  <c r="H252" i="38"/>
  <c r="H253" i="38"/>
  <c r="H254" i="38"/>
  <c r="H255" i="38"/>
  <c r="H256" i="38"/>
  <c r="H257" i="38"/>
  <c r="H258" i="38"/>
  <c r="H259" i="38"/>
  <c r="H260" i="38"/>
  <c r="H261" i="38"/>
  <c r="H92" i="38"/>
  <c r="H93" i="38"/>
  <c r="H94" i="38"/>
  <c r="H119" i="38"/>
  <c r="H120" i="38"/>
  <c r="H121" i="38"/>
  <c r="H122" i="38"/>
  <c r="H123" i="38"/>
  <c r="H124" i="38"/>
  <c r="H125" i="38"/>
  <c r="H126" i="38"/>
  <c r="H127" i="38"/>
  <c r="H128" i="38"/>
  <c r="H129" i="38"/>
  <c r="H130" i="38"/>
  <c r="H131" i="38"/>
  <c r="H132" i="38"/>
  <c r="H133" i="38"/>
  <c r="H134" i="38"/>
  <c r="H135" i="38"/>
  <c r="H136" i="38"/>
  <c r="H95" i="38"/>
  <c r="H96" i="38"/>
  <c r="H97" i="38"/>
  <c r="H98" i="38"/>
  <c r="H99" i="38"/>
  <c r="H100" i="38"/>
  <c r="H101" i="38"/>
  <c r="H102" i="38"/>
  <c r="H103" i="38"/>
  <c r="H104" i="38"/>
  <c r="H105" i="38"/>
  <c r="H106" i="38"/>
  <c r="H48" i="38"/>
  <c r="H49" i="38"/>
  <c r="H50" i="38"/>
  <c r="H51" i="38"/>
  <c r="H52" i="38"/>
  <c r="H53" i="38"/>
  <c r="H54" i="38"/>
  <c r="H55" i="38"/>
  <c r="H56" i="38"/>
  <c r="H57" i="38"/>
  <c r="H58" i="38"/>
  <c r="H59" i="38"/>
  <c r="H26" i="38"/>
  <c r="H27" i="38"/>
  <c r="H28" i="38"/>
  <c r="H29" i="38"/>
  <c r="H30" i="38"/>
  <c r="H31" i="38"/>
  <c r="H32" i="38"/>
  <c r="H33" i="38"/>
  <c r="H34" i="38"/>
  <c r="H35" i="38"/>
  <c r="H36" i="38"/>
  <c r="H37" i="38"/>
  <c r="H91" i="38"/>
  <c r="H90" i="38"/>
  <c r="H89" i="38"/>
  <c r="H88" i="38"/>
  <c r="H87" i="38"/>
  <c r="H86" i="38"/>
  <c r="H85" i="38"/>
  <c r="H84" i="38"/>
  <c r="R79" i="63" l="1"/>
  <c r="T79" i="63"/>
  <c r="R79" i="62"/>
  <c r="T79" i="62"/>
  <c r="R79" i="61"/>
  <c r="T79" i="61"/>
  <c r="M63" i="27"/>
  <c r="M62" i="27"/>
  <c r="F131" i="63"/>
  <c r="F131" i="62"/>
  <c r="F131" i="61"/>
  <c r="O52" i="43"/>
  <c r="O51" i="43"/>
  <c r="M60" i="32"/>
  <c r="M63" i="63"/>
  <c r="M218" i="63" s="1"/>
  <c r="M63" i="62"/>
  <c r="M165" i="62" s="1"/>
  <c r="O22" i="61"/>
  <c r="O22" i="63"/>
  <c r="P20" i="62"/>
  <c r="P151" i="62" s="1"/>
  <c r="O22" i="62"/>
  <c r="P19" i="62"/>
  <c r="P150" i="62" s="1"/>
  <c r="G108" i="43"/>
  <c r="N65" i="31"/>
  <c r="N61" i="8"/>
  <c r="N62" i="32"/>
  <c r="N61" i="6"/>
  <c r="N62" i="10"/>
  <c r="N61" i="10"/>
  <c r="N62" i="6"/>
  <c r="N61" i="22"/>
  <c r="N64" i="31"/>
  <c r="N61" i="9"/>
  <c r="N62" i="22"/>
  <c r="N62" i="8"/>
  <c r="N62" i="9"/>
  <c r="N61" i="32"/>
  <c r="N48" i="43"/>
  <c r="M50" i="43"/>
  <c r="M53" i="43" s="1"/>
  <c r="N41" i="43"/>
  <c r="O41" i="43" s="1"/>
  <c r="O43" i="43" s="1"/>
  <c r="M43" i="43"/>
  <c r="M46" i="43" s="1"/>
  <c r="N34" i="43"/>
  <c r="O34" i="43" s="1"/>
  <c r="O36" i="43" s="1"/>
  <c r="M36" i="43"/>
  <c r="M39" i="43" s="1"/>
  <c r="N27" i="43"/>
  <c r="O27" i="43" s="1"/>
  <c r="O29" i="43" s="1"/>
  <c r="M29" i="43"/>
  <c r="M32" i="43" s="1"/>
  <c r="N20" i="43"/>
  <c r="O20" i="43" s="1"/>
  <c r="O22" i="43" s="1"/>
  <c r="M22" i="43"/>
  <c r="M25" i="43" s="1"/>
  <c r="N13" i="43"/>
  <c r="O13" i="43" s="1"/>
  <c r="O15" i="43" s="1"/>
  <c r="M15" i="43"/>
  <c r="M18" i="43" s="1"/>
  <c r="N63" i="27" l="1"/>
  <c r="N62" i="27"/>
  <c r="G131" i="63"/>
  <c r="G131" i="61"/>
  <c r="G131" i="62"/>
  <c r="O48" i="43"/>
  <c r="N63" i="62"/>
  <c r="N165" i="62" s="1"/>
  <c r="N63" i="63"/>
  <c r="N218" i="63" s="1"/>
  <c r="Q151" i="62"/>
  <c r="Q20" i="62"/>
  <c r="P22" i="62"/>
  <c r="Q19" i="62"/>
  <c r="T19" i="62" s="1"/>
  <c r="Q151" i="61"/>
  <c r="Q20" i="61"/>
  <c r="P22" i="63"/>
  <c r="Q19" i="63"/>
  <c r="T19" i="63" s="1"/>
  <c r="P22" i="61"/>
  <c r="Q19" i="61"/>
  <c r="T19" i="61" s="1"/>
  <c r="Q204" i="63"/>
  <c r="Q20" i="63"/>
  <c r="H108" i="43"/>
  <c r="O62" i="22"/>
  <c r="P17" i="43"/>
  <c r="P51" i="43"/>
  <c r="O61" i="32"/>
  <c r="P31" i="43"/>
  <c r="O62" i="9"/>
  <c r="N60" i="22"/>
  <c r="O62" i="32"/>
  <c r="P52" i="43"/>
  <c r="P30" i="43"/>
  <c r="O61" i="9"/>
  <c r="N63" i="31"/>
  <c r="O64" i="31"/>
  <c r="P44" i="43"/>
  <c r="P23" i="43"/>
  <c r="O61" i="8"/>
  <c r="O62" i="8"/>
  <c r="P24" i="43"/>
  <c r="P38" i="43"/>
  <c r="O62" i="10"/>
  <c r="N60" i="9"/>
  <c r="O62" i="6"/>
  <c r="P10" i="43"/>
  <c r="O61" i="10"/>
  <c r="P37" i="43"/>
  <c r="N60" i="8"/>
  <c r="O61" i="6"/>
  <c r="P9" i="43"/>
  <c r="N60" i="10"/>
  <c r="N60" i="32"/>
  <c r="O61" i="22"/>
  <c r="P16" i="43"/>
  <c r="O65" i="31"/>
  <c r="P45" i="43"/>
  <c r="N50" i="43"/>
  <c r="N53" i="43" s="1"/>
  <c r="N43" i="43"/>
  <c r="N46" i="43" s="1"/>
  <c r="N36" i="43"/>
  <c r="N39" i="43" s="1"/>
  <c r="N29" i="43"/>
  <c r="N32" i="43" s="1"/>
  <c r="N22" i="43"/>
  <c r="N25" i="43" s="1"/>
  <c r="N15" i="43"/>
  <c r="N18" i="43" s="1"/>
  <c r="H382" i="38"/>
  <c r="H369" i="38"/>
  <c r="H368" i="38"/>
  <c r="H367" i="38"/>
  <c r="H366" i="38"/>
  <c r="R20" i="63" l="1"/>
  <c r="T20" i="63"/>
  <c r="R20" i="62"/>
  <c r="T20" i="62"/>
  <c r="R20" i="61"/>
  <c r="T20" i="61"/>
  <c r="O62" i="27"/>
  <c r="O63" i="27"/>
  <c r="H131" i="62"/>
  <c r="H131" i="63"/>
  <c r="H131" i="61"/>
  <c r="Q62" i="61"/>
  <c r="R62" i="61" s="1"/>
  <c r="Q62" i="63"/>
  <c r="R62" i="63" s="1"/>
  <c r="Q62" i="62"/>
  <c r="R62" i="62" s="1"/>
  <c r="Q61" i="62"/>
  <c r="Q61" i="61"/>
  <c r="Q61" i="63"/>
  <c r="O50" i="43"/>
  <c r="O53" i="43" s="1"/>
  <c r="O63" i="62"/>
  <c r="O165" i="62" s="1"/>
  <c r="O63" i="63"/>
  <c r="O218" i="63" s="1"/>
  <c r="Q22" i="63"/>
  <c r="T22" i="63" s="1"/>
  <c r="R19" i="63"/>
  <c r="Q203" i="63"/>
  <c r="R19" i="62"/>
  <c r="Q22" i="62"/>
  <c r="T22" i="62" s="1"/>
  <c r="Q150" i="62"/>
  <c r="R19" i="61"/>
  <c r="Q22" i="61"/>
  <c r="T22" i="61" s="1"/>
  <c r="Q150" i="61"/>
  <c r="P62" i="32"/>
  <c r="Q52" i="43"/>
  <c r="P61" i="32"/>
  <c r="Q51" i="43"/>
  <c r="P64" i="31"/>
  <c r="Q44" i="43"/>
  <c r="P65" i="31"/>
  <c r="Q45" i="43"/>
  <c r="P62" i="10"/>
  <c r="Q38" i="43"/>
  <c r="P61" i="10"/>
  <c r="Q37" i="43"/>
  <c r="P62" i="6"/>
  <c r="Q10" i="43"/>
  <c r="P61" i="6"/>
  <c r="Q9" i="43"/>
  <c r="P61" i="9"/>
  <c r="Q30" i="43"/>
  <c r="P62" i="9"/>
  <c r="Q31" i="43"/>
  <c r="P62" i="8"/>
  <c r="Q24" i="43"/>
  <c r="P61" i="8"/>
  <c r="Q23" i="43"/>
  <c r="P61" i="22"/>
  <c r="Q16" i="43"/>
  <c r="P62" i="22"/>
  <c r="Q17" i="43"/>
  <c r="I108" i="43"/>
  <c r="O18" i="43"/>
  <c r="O60" i="22"/>
  <c r="P13" i="43"/>
  <c r="Q13" i="43" s="1"/>
  <c r="Q15" i="43" s="1"/>
  <c r="P27" i="43"/>
  <c r="Q27" i="43" s="1"/>
  <c r="Q29" i="43" s="1"/>
  <c r="O60" i="9"/>
  <c r="O32" i="43"/>
  <c r="O46" i="43"/>
  <c r="P41" i="43"/>
  <c r="Q41" i="43" s="1"/>
  <c r="Q43" i="43" s="1"/>
  <c r="O63" i="31"/>
  <c r="O60" i="32"/>
  <c r="P48" i="43"/>
  <c r="O39" i="43"/>
  <c r="P34" i="43"/>
  <c r="Q34" i="43" s="1"/>
  <c r="Q36" i="43" s="1"/>
  <c r="O60" i="10"/>
  <c r="O25" i="43"/>
  <c r="O60" i="8"/>
  <c r="P20" i="43"/>
  <c r="Q20" i="43" s="1"/>
  <c r="Q22" i="43" s="1"/>
  <c r="R61" i="61" l="1"/>
  <c r="M19" i="46"/>
  <c r="R61" i="62"/>
  <c r="N19" i="46"/>
  <c r="R61" i="63"/>
  <c r="O19" i="46"/>
  <c r="P63" i="27"/>
  <c r="P62" i="27"/>
  <c r="Q54" i="63"/>
  <c r="Q54" i="62"/>
  <c r="Q54" i="61"/>
  <c r="I131" i="63"/>
  <c r="I131" i="61"/>
  <c r="I131" i="62"/>
  <c r="Q39" i="43"/>
  <c r="Q48" i="43"/>
  <c r="Q50" i="43" s="1"/>
  <c r="Q53" i="43" s="1"/>
  <c r="R22" i="62"/>
  <c r="R22" i="63"/>
  <c r="R22" i="61"/>
  <c r="Q46" i="43"/>
  <c r="Q25" i="43"/>
  <c r="Q32" i="43"/>
  <c r="Q18" i="43"/>
  <c r="J108" i="43"/>
  <c r="P63" i="31"/>
  <c r="P43" i="43"/>
  <c r="P46" i="43" s="1"/>
  <c r="P36" i="43"/>
  <c r="P39" i="43" s="1"/>
  <c r="P60" i="10"/>
  <c r="P22" i="43"/>
  <c r="P25" i="43" s="1"/>
  <c r="P60" i="8"/>
  <c r="P60" i="32"/>
  <c r="P50" i="43"/>
  <c r="P53" i="43" s="1"/>
  <c r="P60" i="22"/>
  <c r="P15" i="43"/>
  <c r="P18" i="43" s="1"/>
  <c r="P60" i="9"/>
  <c r="P29" i="43"/>
  <c r="P32" i="43" s="1"/>
  <c r="R54" i="63" l="1"/>
  <c r="T54" i="63" s="1"/>
  <c r="R54" i="61"/>
  <c r="T54" i="61" s="1"/>
  <c r="R54" i="62"/>
  <c r="T54" i="62" s="1"/>
  <c r="J131" i="61"/>
  <c r="J131" i="63"/>
  <c r="J131" i="62"/>
  <c r="Q60" i="61"/>
  <c r="P63" i="63"/>
  <c r="P218" i="63" s="1"/>
  <c r="Q60" i="63"/>
  <c r="O15" i="46" s="1"/>
  <c r="P63" i="62"/>
  <c r="P165" i="62" s="1"/>
  <c r="Q60" i="62"/>
  <c r="N15" i="46" s="1"/>
  <c r="K108" i="43"/>
  <c r="G256" i="27"/>
  <c r="H317" i="38"/>
  <c r="Q63" i="61" l="1"/>
  <c r="M15" i="46"/>
  <c r="T63" i="61"/>
  <c r="K131" i="61"/>
  <c r="K131" i="63"/>
  <c r="R60" i="61"/>
  <c r="K131" i="62"/>
  <c r="Q63" i="63"/>
  <c r="R60" i="63"/>
  <c r="R63" i="61"/>
  <c r="R60" i="62"/>
  <c r="Q63" i="62"/>
  <c r="Q165" i="61"/>
  <c r="L108" i="43"/>
  <c r="H256" i="27"/>
  <c r="I256" i="27" s="1"/>
  <c r="J256" i="27" s="1"/>
  <c r="K256" i="27" s="1"/>
  <c r="L256" i="27" s="1"/>
  <c r="M256" i="27" s="1"/>
  <c r="N256" i="27" s="1"/>
  <c r="O256" i="27" s="1"/>
  <c r="P256" i="27" s="1"/>
  <c r="T63" i="63" l="1"/>
  <c r="T63" i="62"/>
  <c r="L131" i="61"/>
  <c r="L131" i="62"/>
  <c r="L131" i="63"/>
  <c r="Q218" i="63"/>
  <c r="R63" i="62"/>
  <c r="Q165" i="62"/>
  <c r="R63" i="63"/>
  <c r="M108" i="43"/>
  <c r="Q256" i="27"/>
  <c r="Q27" i="32"/>
  <c r="T27" i="32" s="1"/>
  <c r="L5" i="46" l="1"/>
  <c r="M131" i="62"/>
  <c r="M131" i="61"/>
  <c r="M131" i="63"/>
  <c r="N108" i="43"/>
  <c r="N131" i="61" l="1"/>
  <c r="N131" i="62"/>
  <c r="N131" i="63"/>
  <c r="Q99" i="43"/>
  <c r="O108" i="43"/>
  <c r="O131" i="61" l="1"/>
  <c r="O131" i="62"/>
  <c r="O131" i="63"/>
  <c r="Q108" i="43"/>
  <c r="P108" i="43"/>
  <c r="P131" i="61" l="1"/>
  <c r="Q181" i="61"/>
  <c r="Q128" i="61"/>
  <c r="T128" i="61" s="1"/>
  <c r="Q181" i="62"/>
  <c r="P131" i="62"/>
  <c r="Q128" i="62"/>
  <c r="T128" i="62" s="1"/>
  <c r="P131" i="63"/>
  <c r="Q237" i="63"/>
  <c r="Q128" i="63"/>
  <c r="T128" i="63" s="1"/>
  <c r="Q131" i="62" l="1"/>
  <c r="R128" i="62"/>
  <c r="R128" i="63"/>
  <c r="Q131" i="63"/>
  <c r="Q131" i="61"/>
  <c r="R128" i="61"/>
  <c r="R131" i="63" l="1"/>
  <c r="T131" i="63"/>
  <c r="R131" i="62"/>
  <c r="T131" i="62"/>
  <c r="R131" i="61"/>
  <c r="T131" i="61"/>
  <c r="H487" i="38"/>
  <c r="H486" i="38"/>
  <c r="H485" i="38"/>
  <c r="H484" i="38"/>
  <c r="H483" i="38"/>
  <c r="H482" i="38"/>
  <c r="H481" i="38"/>
  <c r="H480" i="38"/>
  <c r="H479" i="38"/>
  <c r="H478" i="38"/>
  <c r="H477" i="38"/>
  <c r="H476" i="38"/>
  <c r="Q52" i="32" l="1"/>
  <c r="L10" i="46" l="1"/>
  <c r="T52" i="32"/>
  <c r="Q29" i="10"/>
  <c r="I6" i="46" s="1"/>
  <c r="P67" i="9"/>
  <c r="P207" i="9" s="1"/>
  <c r="O67" i="9"/>
  <c r="O207" i="9" s="1"/>
  <c r="N67" i="9"/>
  <c r="N207" i="9" s="1"/>
  <c r="M67" i="9"/>
  <c r="M207" i="9" s="1"/>
  <c r="L67" i="9"/>
  <c r="L207" i="9" s="1"/>
  <c r="K67" i="9"/>
  <c r="K207" i="9" s="1"/>
  <c r="J67" i="9"/>
  <c r="J207" i="9" s="1"/>
  <c r="I67" i="9"/>
  <c r="I207" i="9" s="1"/>
  <c r="H67" i="9"/>
  <c r="H207" i="9" s="1"/>
  <c r="G67" i="9"/>
  <c r="G207" i="9" s="1"/>
  <c r="F67" i="9"/>
  <c r="F207" i="9" s="1"/>
  <c r="E67" i="9"/>
  <c r="E207" i="9" s="1"/>
  <c r="Q207" i="9" l="1"/>
  <c r="R29" i="10"/>
  <c r="T29" i="10"/>
  <c r="H503" i="38"/>
  <c r="H502" i="38"/>
  <c r="H501" i="38"/>
  <c r="H500" i="38"/>
  <c r="H499" i="38"/>
  <c r="H498" i="38"/>
  <c r="H497" i="38"/>
  <c r="H496" i="38"/>
  <c r="H495" i="38"/>
  <c r="H494" i="38"/>
  <c r="H493" i="38"/>
  <c r="H492" i="38"/>
  <c r="F88" i="43" l="1"/>
  <c r="G88" i="43" l="1"/>
  <c r="F86" i="43"/>
  <c r="G86" i="43" s="1"/>
  <c r="H86" i="43" s="1"/>
  <c r="I86" i="43" s="1"/>
  <c r="J86" i="43" s="1"/>
  <c r="K86" i="43" s="1"/>
  <c r="L86" i="43" s="1"/>
  <c r="M86" i="43" s="1"/>
  <c r="N86" i="43" s="1"/>
  <c r="O86" i="43" s="1"/>
  <c r="P86" i="43" s="1"/>
  <c r="F71" i="62" l="1"/>
  <c r="F71" i="63"/>
  <c r="F71" i="61"/>
  <c r="H88" i="43"/>
  <c r="F82" i="43"/>
  <c r="G82" i="43" s="1"/>
  <c r="H82" i="43" s="1"/>
  <c r="I82" i="43" s="1"/>
  <c r="J82" i="43" s="1"/>
  <c r="K82" i="43" s="1"/>
  <c r="L82" i="43" s="1"/>
  <c r="M82" i="43" s="1"/>
  <c r="N82" i="43" s="1"/>
  <c r="O82" i="43" s="1"/>
  <c r="P82" i="43" s="1"/>
  <c r="G71" i="62" l="1"/>
  <c r="G71" i="61"/>
  <c r="I88" i="43"/>
  <c r="G71" i="63"/>
  <c r="F83" i="43"/>
  <c r="G83" i="43" s="1"/>
  <c r="H83" i="43" s="1"/>
  <c r="I83" i="43" s="1"/>
  <c r="J83" i="43" s="1"/>
  <c r="K83" i="43" s="1"/>
  <c r="L83" i="43" s="1"/>
  <c r="M83" i="43" s="1"/>
  <c r="N83" i="43" s="1"/>
  <c r="O83" i="43" s="1"/>
  <c r="P83" i="43" s="1"/>
  <c r="H71" i="62" l="1"/>
  <c r="H71" i="61"/>
  <c r="H71" i="63"/>
  <c r="J88" i="43"/>
  <c r="F87" i="43"/>
  <c r="G87" i="43" s="1"/>
  <c r="H87" i="43" s="1"/>
  <c r="I87" i="43" s="1"/>
  <c r="J87" i="43" s="1"/>
  <c r="K87" i="43" s="1"/>
  <c r="L87" i="43" s="1"/>
  <c r="M87" i="43" s="1"/>
  <c r="N87" i="43" s="1"/>
  <c r="O87" i="43" s="1"/>
  <c r="P87" i="43" s="1"/>
  <c r="I71" i="63" l="1"/>
  <c r="I71" i="61"/>
  <c r="I71" i="62"/>
  <c r="K88" i="43"/>
  <c r="E81" i="43"/>
  <c r="E93" i="43" s="1"/>
  <c r="J71" i="63" l="1"/>
  <c r="J71" i="61"/>
  <c r="J71" i="62"/>
  <c r="L88" i="43"/>
  <c r="F81" i="43"/>
  <c r="G81" i="43" l="1"/>
  <c r="K71" i="61"/>
  <c r="K71" i="62"/>
  <c r="M88" i="43"/>
  <c r="K71" i="63"/>
  <c r="H81" i="43"/>
  <c r="L71" i="61" l="1"/>
  <c r="L71" i="62"/>
  <c r="N88" i="43"/>
  <c r="L71" i="63"/>
  <c r="I81" i="43"/>
  <c r="O88" i="43" l="1"/>
  <c r="M71" i="62"/>
  <c r="M71" i="63"/>
  <c r="M71" i="61"/>
  <c r="J81" i="43"/>
  <c r="Q86" i="10"/>
  <c r="R86" i="10" s="1"/>
  <c r="Q52" i="8"/>
  <c r="T52" i="8" s="1"/>
  <c r="Q38" i="31"/>
  <c r="Q36" i="31"/>
  <c r="R36" i="31" s="1"/>
  <c r="Q65" i="8"/>
  <c r="R65" i="8" s="1"/>
  <c r="Q56" i="6"/>
  <c r="Q31" i="10"/>
  <c r="T31" i="10" s="1"/>
  <c r="R38" i="31" l="1"/>
  <c r="N71" i="61"/>
  <c r="N71" i="62"/>
  <c r="N71" i="63"/>
  <c r="P88" i="43"/>
  <c r="I7" i="46"/>
  <c r="R31" i="10"/>
  <c r="G10" i="46"/>
  <c r="R52" i="8"/>
  <c r="E11" i="46"/>
  <c r="R56" i="6"/>
  <c r="K81" i="43"/>
  <c r="H2" i="38"/>
  <c r="H3" i="38"/>
  <c r="H4" i="38"/>
  <c r="H5" i="38"/>
  <c r="H6" i="38"/>
  <c r="H7" i="38"/>
  <c r="H8" i="38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38" i="38"/>
  <c r="H39" i="38"/>
  <c r="H40" i="38"/>
  <c r="H41" i="38"/>
  <c r="H42" i="38"/>
  <c r="H43" i="38"/>
  <c r="H44" i="38"/>
  <c r="H45" i="38"/>
  <c r="H46" i="38"/>
  <c r="H47" i="38"/>
  <c r="H60" i="38"/>
  <c r="H61" i="38"/>
  <c r="H62" i="38"/>
  <c r="H63" i="38"/>
  <c r="H64" i="38"/>
  <c r="H65" i="38"/>
  <c r="H66" i="38"/>
  <c r="H67" i="38"/>
  <c r="H68" i="38"/>
  <c r="H69" i="38"/>
  <c r="H70" i="38"/>
  <c r="H71" i="38"/>
  <c r="H72" i="38"/>
  <c r="H73" i="38"/>
  <c r="H74" i="38"/>
  <c r="H75" i="38"/>
  <c r="H76" i="38"/>
  <c r="H77" i="38"/>
  <c r="H78" i="38"/>
  <c r="H79" i="38"/>
  <c r="H80" i="38"/>
  <c r="H81" i="38"/>
  <c r="H82" i="38"/>
  <c r="H83" i="38"/>
  <c r="H107" i="38"/>
  <c r="H108" i="38"/>
  <c r="H109" i="38"/>
  <c r="H110" i="38"/>
  <c r="H111" i="38"/>
  <c r="H112" i="38"/>
  <c r="H113" i="38"/>
  <c r="H114" i="38"/>
  <c r="H115" i="38"/>
  <c r="H116" i="38"/>
  <c r="H117" i="38"/>
  <c r="H118" i="38"/>
  <c r="H137" i="38"/>
  <c r="H138" i="38"/>
  <c r="H139" i="38"/>
  <c r="H140" i="38"/>
  <c r="H141" i="38"/>
  <c r="H142" i="38"/>
  <c r="H143" i="38"/>
  <c r="H144" i="38"/>
  <c r="H145" i="38"/>
  <c r="H146" i="38"/>
  <c r="H147" i="38"/>
  <c r="H148" i="38"/>
  <c r="H149" i="38"/>
  <c r="H150" i="38"/>
  <c r="H151" i="38"/>
  <c r="H152" i="38"/>
  <c r="H153" i="38"/>
  <c r="H154" i="38"/>
  <c r="H155" i="38"/>
  <c r="H156" i="38"/>
  <c r="H157" i="38"/>
  <c r="H158" i="38"/>
  <c r="H159" i="38"/>
  <c r="H160" i="38"/>
  <c r="H161" i="38"/>
  <c r="H162" i="38"/>
  <c r="H163" i="38"/>
  <c r="H164" i="38"/>
  <c r="H165" i="38"/>
  <c r="H166" i="38"/>
  <c r="H167" i="38"/>
  <c r="H168" i="38"/>
  <c r="H169" i="38"/>
  <c r="H170" i="38"/>
  <c r="H171" i="38"/>
  <c r="H172" i="38"/>
  <c r="H173" i="38"/>
  <c r="H174" i="38"/>
  <c r="H175" i="38"/>
  <c r="H176" i="38"/>
  <c r="H177" i="38"/>
  <c r="H178" i="38"/>
  <c r="H179" i="38"/>
  <c r="H180" i="38"/>
  <c r="H181" i="38"/>
  <c r="H182" i="38"/>
  <c r="H183" i="38"/>
  <c r="H184" i="38"/>
  <c r="H185" i="38"/>
  <c r="H186" i="38"/>
  <c r="H203" i="38"/>
  <c r="H204" i="38"/>
  <c r="H205" i="38"/>
  <c r="H206" i="38"/>
  <c r="H207" i="38"/>
  <c r="H208" i="38"/>
  <c r="H209" i="38"/>
  <c r="H211" i="38"/>
  <c r="H212" i="38"/>
  <c r="H213" i="38"/>
  <c r="H214" i="38"/>
  <c r="H215" i="38"/>
  <c r="H216" i="38"/>
  <c r="H217" i="38"/>
  <c r="H218" i="38"/>
  <c r="H219" i="38"/>
  <c r="H220" i="38"/>
  <c r="H221" i="38"/>
  <c r="H222" i="38"/>
  <c r="H223" i="38"/>
  <c r="H224" i="38"/>
  <c r="H225" i="38"/>
  <c r="H226" i="38"/>
  <c r="H227" i="38"/>
  <c r="H228" i="38"/>
  <c r="H229" i="38"/>
  <c r="H230" i="38"/>
  <c r="H231" i="38"/>
  <c r="H232" i="38"/>
  <c r="H233" i="38"/>
  <c r="H234" i="38"/>
  <c r="H235" i="38"/>
  <c r="H236" i="38"/>
  <c r="H237" i="38"/>
  <c r="H262" i="38"/>
  <c r="H263" i="38"/>
  <c r="H264" i="38"/>
  <c r="H265" i="38"/>
  <c r="H266" i="38"/>
  <c r="H267" i="38"/>
  <c r="H268" i="38"/>
  <c r="H269" i="38"/>
  <c r="H270" i="38"/>
  <c r="H271" i="38"/>
  <c r="H272" i="38"/>
  <c r="H273" i="38"/>
  <c r="H274" i="38"/>
  <c r="H275" i="38"/>
  <c r="H276" i="38"/>
  <c r="H277" i="38"/>
  <c r="H278" i="38"/>
  <c r="H279" i="38"/>
  <c r="H280" i="38"/>
  <c r="H281" i="38"/>
  <c r="H282" i="38"/>
  <c r="H283" i="38"/>
  <c r="H284" i="38"/>
  <c r="H285" i="38"/>
  <c r="H286" i="38"/>
  <c r="H287" i="38"/>
  <c r="H288" i="38"/>
  <c r="H289" i="38"/>
  <c r="H290" i="38"/>
  <c r="H291" i="38"/>
  <c r="H292" i="38"/>
  <c r="H293" i="38"/>
  <c r="H294" i="38"/>
  <c r="H295" i="38"/>
  <c r="H296" i="38"/>
  <c r="H297" i="38"/>
  <c r="H298" i="38"/>
  <c r="H299" i="38"/>
  <c r="H300" i="38"/>
  <c r="H301" i="38"/>
  <c r="H302" i="38"/>
  <c r="H303" i="38"/>
  <c r="H304" i="38"/>
  <c r="H305" i="38"/>
  <c r="H306" i="38"/>
  <c r="H307" i="38"/>
  <c r="H308" i="38"/>
  <c r="H309" i="38"/>
  <c r="H310" i="38"/>
  <c r="H311" i="38"/>
  <c r="H312" i="38"/>
  <c r="H313" i="38"/>
  <c r="H314" i="38"/>
  <c r="H315" i="38"/>
  <c r="H316" i="38"/>
  <c r="H318" i="38"/>
  <c r="H319" i="38"/>
  <c r="H320" i="38"/>
  <c r="H321" i="38"/>
  <c r="H322" i="38"/>
  <c r="H323" i="38"/>
  <c r="H324" i="38"/>
  <c r="H325" i="38"/>
  <c r="H326" i="38"/>
  <c r="H327" i="38"/>
  <c r="H328" i="38"/>
  <c r="H329" i="38"/>
  <c r="H330" i="38"/>
  <c r="H331" i="38"/>
  <c r="H332" i="38"/>
  <c r="H333" i="38"/>
  <c r="H334" i="38"/>
  <c r="H335" i="38"/>
  <c r="H336" i="38"/>
  <c r="H337" i="38"/>
  <c r="H338" i="38"/>
  <c r="H339" i="38"/>
  <c r="H340" i="38"/>
  <c r="H341" i="38"/>
  <c r="H342" i="38"/>
  <c r="H343" i="38"/>
  <c r="H344" i="38"/>
  <c r="H345" i="38"/>
  <c r="H346" i="38"/>
  <c r="H347" i="38"/>
  <c r="H348" i="38"/>
  <c r="H349" i="38"/>
  <c r="H350" i="38"/>
  <c r="H351" i="38"/>
  <c r="H352" i="38"/>
  <c r="H353" i="38"/>
  <c r="H354" i="38"/>
  <c r="H355" i="38"/>
  <c r="H356" i="38"/>
  <c r="H357" i="38"/>
  <c r="H358" i="38"/>
  <c r="H359" i="38"/>
  <c r="H360" i="38"/>
  <c r="H361" i="38"/>
  <c r="H362" i="38"/>
  <c r="H363" i="38"/>
  <c r="H364" i="38"/>
  <c r="H365" i="38"/>
  <c r="H383" i="38"/>
  <c r="H384" i="38"/>
  <c r="H385" i="38"/>
  <c r="H386" i="38"/>
  <c r="H387" i="38"/>
  <c r="H388" i="38"/>
  <c r="H389" i="38"/>
  <c r="H390" i="38"/>
  <c r="H391" i="38"/>
  <c r="H392" i="38"/>
  <c r="H393" i="38"/>
  <c r="H394" i="38"/>
  <c r="H395" i="38"/>
  <c r="H396" i="38"/>
  <c r="H397" i="38"/>
  <c r="H398" i="38"/>
  <c r="H399" i="38"/>
  <c r="H400" i="38"/>
  <c r="H401" i="38"/>
  <c r="H402" i="38"/>
  <c r="H403" i="38"/>
  <c r="H404" i="38"/>
  <c r="H405" i="38"/>
  <c r="H406" i="38"/>
  <c r="H407" i="38"/>
  <c r="H408" i="38"/>
  <c r="H409" i="38"/>
  <c r="H410" i="38"/>
  <c r="H411" i="38"/>
  <c r="H412" i="38"/>
  <c r="H413" i="38"/>
  <c r="H414" i="38"/>
  <c r="H415" i="38"/>
  <c r="H416" i="38"/>
  <c r="H417" i="38"/>
  <c r="H430" i="38"/>
  <c r="H431" i="38"/>
  <c r="H432" i="38"/>
  <c r="H433" i="38"/>
  <c r="H434" i="38"/>
  <c r="H435" i="38"/>
  <c r="H436" i="38"/>
  <c r="H437" i="38"/>
  <c r="H438" i="38"/>
  <c r="H439" i="38"/>
  <c r="H440" i="38"/>
  <c r="H441" i="38"/>
  <c r="H442" i="38"/>
  <c r="H443" i="38"/>
  <c r="H444" i="38"/>
  <c r="H445" i="38"/>
  <c r="H446" i="38"/>
  <c r="H447" i="38"/>
  <c r="H448" i="38"/>
  <c r="H449" i="38"/>
  <c r="H450" i="38"/>
  <c r="H463" i="38"/>
  <c r="H464" i="38"/>
  <c r="H465" i="38"/>
  <c r="H466" i="38"/>
  <c r="H467" i="38"/>
  <c r="H468" i="38"/>
  <c r="H469" i="38"/>
  <c r="H470" i="38"/>
  <c r="H471" i="38"/>
  <c r="H472" i="38"/>
  <c r="H473" i="38"/>
  <c r="H474" i="38"/>
  <c r="H475" i="38"/>
  <c r="H488" i="38"/>
  <c r="H489" i="38"/>
  <c r="H490" i="38"/>
  <c r="H491" i="38"/>
  <c r="H504" i="38"/>
  <c r="H505" i="38"/>
  <c r="H506" i="38"/>
  <c r="H507" i="38"/>
  <c r="H508" i="38"/>
  <c r="H509" i="38"/>
  <c r="H510" i="38"/>
  <c r="H511" i="38"/>
  <c r="H512" i="38"/>
  <c r="H513" i="38"/>
  <c r="H514" i="38"/>
  <c r="H515" i="38"/>
  <c r="H516" i="38"/>
  <c r="H517" i="38"/>
  <c r="H518" i="38"/>
  <c r="H519" i="38"/>
  <c r="H520" i="38"/>
  <c r="H521" i="38"/>
  <c r="H522" i="38"/>
  <c r="H523" i="38"/>
  <c r="H524" i="38"/>
  <c r="H525" i="38"/>
  <c r="H526" i="38"/>
  <c r="H527" i="38"/>
  <c r="H528" i="38"/>
  <c r="H529" i="38"/>
  <c r="H530" i="38"/>
  <c r="H531" i="38"/>
  <c r="H532" i="38"/>
  <c r="H533" i="38"/>
  <c r="H534" i="38"/>
  <c r="H535" i="38"/>
  <c r="H536" i="38"/>
  <c r="H537" i="38"/>
  <c r="H538" i="38"/>
  <c r="H539" i="38"/>
  <c r="H540" i="38"/>
  <c r="H541" i="38"/>
  <c r="H542" i="38"/>
  <c r="H543" i="38"/>
  <c r="H544" i="38"/>
  <c r="H545" i="38"/>
  <c r="H546" i="38"/>
  <c r="H547" i="38"/>
  <c r="H548" i="38"/>
  <c r="H549" i="38"/>
  <c r="H550" i="38"/>
  <c r="H551" i="38"/>
  <c r="H571" i="38"/>
  <c r="H572" i="38"/>
  <c r="H573" i="38"/>
  <c r="H574" i="38"/>
  <c r="H575" i="38"/>
  <c r="H576" i="38"/>
  <c r="H577" i="38"/>
  <c r="H578" i="38"/>
  <c r="H579" i="38"/>
  <c r="H580" i="38"/>
  <c r="H581" i="38"/>
  <c r="H582" i="38"/>
  <c r="H602" i="38"/>
  <c r="H603" i="38"/>
  <c r="H604" i="38"/>
  <c r="H605" i="38"/>
  <c r="H606" i="38"/>
  <c r="H607" i="38"/>
  <c r="H608" i="38"/>
  <c r="H609" i="38"/>
  <c r="H610" i="38"/>
  <c r="H611" i="38"/>
  <c r="H612" i="38"/>
  <c r="H613" i="38"/>
  <c r="Q29" i="6"/>
  <c r="R29" i="6" l="1"/>
  <c r="E6" i="46"/>
  <c r="I10" i="9"/>
  <c r="I187" i="9" s="1"/>
  <c r="H10" i="9"/>
  <c r="H187" i="9" s="1"/>
  <c r="E10" i="9"/>
  <c r="N10" i="9"/>
  <c r="N187" i="9" s="1"/>
  <c r="M10" i="9"/>
  <c r="M187" i="9" s="1"/>
  <c r="G10" i="9"/>
  <c r="G187" i="9" s="1"/>
  <c r="K10" i="9"/>
  <c r="K187" i="9" s="1"/>
  <c r="F10" i="9"/>
  <c r="F187" i="9" s="1"/>
  <c r="P10" i="9"/>
  <c r="P187" i="9" s="1"/>
  <c r="J10" i="9"/>
  <c r="J187" i="9" s="1"/>
  <c r="O10" i="9"/>
  <c r="O187" i="9" s="1"/>
  <c r="L10" i="9"/>
  <c r="L187" i="9" s="1"/>
  <c r="P10" i="8"/>
  <c r="P196" i="8" s="1"/>
  <c r="O10" i="8"/>
  <c r="O196" i="8" s="1"/>
  <c r="M10" i="8"/>
  <c r="M196" i="8" s="1"/>
  <c r="K10" i="8"/>
  <c r="K196" i="8" s="1"/>
  <c r="N10" i="8"/>
  <c r="N196" i="8" s="1"/>
  <c r="J10" i="8"/>
  <c r="J196" i="8" s="1"/>
  <c r="H10" i="8"/>
  <c r="H196" i="8" s="1"/>
  <c r="L10" i="8"/>
  <c r="L196" i="8" s="1"/>
  <c r="G10" i="8"/>
  <c r="G196" i="8" s="1"/>
  <c r="I10" i="8"/>
  <c r="I196" i="8" s="1"/>
  <c r="F10" i="8"/>
  <c r="F196" i="8" s="1"/>
  <c r="E10" i="8"/>
  <c r="E196" i="8" s="1"/>
  <c r="P10" i="61"/>
  <c r="P147" i="61" s="1"/>
  <c r="O10" i="61"/>
  <c r="O147" i="61" s="1"/>
  <c r="F10" i="61"/>
  <c r="F147" i="61" s="1"/>
  <c r="E10" i="61"/>
  <c r="E147" i="61" s="1"/>
  <c r="K10" i="61"/>
  <c r="K147" i="61" s="1"/>
  <c r="N10" i="61"/>
  <c r="N147" i="61" s="1"/>
  <c r="M10" i="61"/>
  <c r="M147" i="61" s="1"/>
  <c r="J10" i="61"/>
  <c r="J147" i="61" s="1"/>
  <c r="H10" i="61"/>
  <c r="H147" i="61" s="1"/>
  <c r="L10" i="61"/>
  <c r="L147" i="61" s="1"/>
  <c r="G10" i="61"/>
  <c r="G147" i="61" s="1"/>
  <c r="I10" i="61"/>
  <c r="I147" i="61" s="1"/>
  <c r="E10" i="62"/>
  <c r="E147" i="62" s="1"/>
  <c r="F10" i="62"/>
  <c r="F147" i="62" s="1"/>
  <c r="O10" i="62"/>
  <c r="O147" i="62" s="1"/>
  <c r="P10" i="62"/>
  <c r="P147" i="62" s="1"/>
  <c r="M10" i="62"/>
  <c r="M147" i="62" s="1"/>
  <c r="L10" i="62"/>
  <c r="L147" i="62" s="1"/>
  <c r="J10" i="62"/>
  <c r="J147" i="62" s="1"/>
  <c r="N10" i="62"/>
  <c r="N147" i="62" s="1"/>
  <c r="K10" i="62"/>
  <c r="K147" i="62" s="1"/>
  <c r="I10" i="62"/>
  <c r="I147" i="62" s="1"/>
  <c r="H10" i="62"/>
  <c r="H147" i="62" s="1"/>
  <c r="G10" i="62"/>
  <c r="G147" i="62" s="1"/>
  <c r="M10" i="31"/>
  <c r="M253" i="31" s="1"/>
  <c r="L10" i="31"/>
  <c r="L253" i="31" s="1"/>
  <c r="I10" i="31"/>
  <c r="I253" i="31" s="1"/>
  <c r="K10" i="31"/>
  <c r="K253" i="31" s="1"/>
  <c r="J10" i="31"/>
  <c r="J253" i="31" s="1"/>
  <c r="G10" i="31"/>
  <c r="G253" i="31" s="1"/>
  <c r="F10" i="31"/>
  <c r="F253" i="31" s="1"/>
  <c r="O10" i="31"/>
  <c r="O253" i="31" s="1"/>
  <c r="H10" i="31"/>
  <c r="H253" i="31" s="1"/>
  <c r="P10" i="31"/>
  <c r="P253" i="31" s="1"/>
  <c r="E10" i="31"/>
  <c r="E253" i="31" s="1"/>
  <c r="N10" i="31"/>
  <c r="N253" i="31" s="1"/>
  <c r="P10" i="10"/>
  <c r="P147" i="10" s="1"/>
  <c r="M10" i="10"/>
  <c r="M147" i="10" s="1"/>
  <c r="G10" i="10"/>
  <c r="G147" i="10" s="1"/>
  <c r="L10" i="10"/>
  <c r="L147" i="10" s="1"/>
  <c r="F10" i="10"/>
  <c r="F147" i="10" s="1"/>
  <c r="N10" i="10"/>
  <c r="N147" i="10" s="1"/>
  <c r="E10" i="10"/>
  <c r="E147" i="10" s="1"/>
  <c r="O10" i="10"/>
  <c r="O147" i="10" s="1"/>
  <c r="K10" i="10"/>
  <c r="K147" i="10" s="1"/>
  <c r="H10" i="10"/>
  <c r="H147" i="10" s="1"/>
  <c r="I10" i="10"/>
  <c r="I147" i="10" s="1"/>
  <c r="J10" i="10"/>
  <c r="J147" i="10" s="1"/>
  <c r="O10" i="32"/>
  <c r="O147" i="32" s="1"/>
  <c r="K10" i="32"/>
  <c r="K147" i="32" s="1"/>
  <c r="I10" i="32"/>
  <c r="I147" i="32" s="1"/>
  <c r="H10" i="32"/>
  <c r="H147" i="32" s="1"/>
  <c r="F10" i="32"/>
  <c r="F147" i="32" s="1"/>
  <c r="N10" i="32"/>
  <c r="N147" i="32" s="1"/>
  <c r="P10" i="32"/>
  <c r="P147" i="32" s="1"/>
  <c r="M10" i="32"/>
  <c r="M147" i="32" s="1"/>
  <c r="E10" i="32"/>
  <c r="E147" i="32" s="1"/>
  <c r="L10" i="32"/>
  <c r="L147" i="32" s="1"/>
  <c r="G10" i="32"/>
  <c r="G147" i="32" s="1"/>
  <c r="J10" i="32"/>
  <c r="J147" i="32" s="1"/>
  <c r="O71" i="61"/>
  <c r="Q58" i="63"/>
  <c r="O71" i="63"/>
  <c r="O71" i="62"/>
  <c r="L81" i="43"/>
  <c r="E153" i="9" l="1"/>
  <c r="E187" i="9"/>
  <c r="E174" i="8"/>
  <c r="F174" i="8"/>
  <c r="I174" i="8"/>
  <c r="G174" i="8"/>
  <c r="L174" i="8"/>
  <c r="H174" i="8"/>
  <c r="J174" i="8"/>
  <c r="N174" i="8"/>
  <c r="K174" i="8"/>
  <c r="M174" i="8"/>
  <c r="O174" i="8"/>
  <c r="P174" i="8"/>
  <c r="T58" i="63"/>
  <c r="O20" i="46"/>
  <c r="O168" i="9"/>
  <c r="O153" i="9"/>
  <c r="J168" i="9"/>
  <c r="J153" i="9"/>
  <c r="P168" i="9"/>
  <c r="P153" i="9"/>
  <c r="F168" i="9"/>
  <c r="F153" i="9"/>
  <c r="K168" i="9"/>
  <c r="K153" i="9"/>
  <c r="G168" i="9"/>
  <c r="G153" i="9"/>
  <c r="M168" i="9"/>
  <c r="M153" i="9"/>
  <c r="N168" i="9"/>
  <c r="N153" i="9"/>
  <c r="E168" i="9"/>
  <c r="H168" i="9"/>
  <c r="H153" i="9"/>
  <c r="L168" i="9"/>
  <c r="L153" i="9"/>
  <c r="I168" i="9"/>
  <c r="I153" i="9"/>
  <c r="F213" i="31"/>
  <c r="F177" i="31"/>
  <c r="K213" i="31"/>
  <c r="K177" i="31"/>
  <c r="I213" i="31"/>
  <c r="I177" i="31"/>
  <c r="O213" i="31"/>
  <c r="O177" i="31"/>
  <c r="L213" i="31"/>
  <c r="L177" i="31"/>
  <c r="G213" i="31"/>
  <c r="G177" i="31"/>
  <c r="M213" i="31"/>
  <c r="M177" i="31"/>
  <c r="N213" i="31"/>
  <c r="N177" i="31"/>
  <c r="J213" i="31"/>
  <c r="J177" i="31"/>
  <c r="E213" i="31"/>
  <c r="E177" i="31"/>
  <c r="P213" i="31"/>
  <c r="P177" i="31"/>
  <c r="H213" i="31"/>
  <c r="H177" i="31"/>
  <c r="G15" i="61"/>
  <c r="G24" i="61" s="1"/>
  <c r="G90" i="61" s="1"/>
  <c r="G162" i="61" s="1"/>
  <c r="G15" i="62"/>
  <c r="G24" i="62" s="1"/>
  <c r="G90" i="62" s="1"/>
  <c r="G162" i="62" s="1"/>
  <c r="G183" i="62" s="1"/>
  <c r="L15" i="61"/>
  <c r="L24" i="61" s="1"/>
  <c r="L90" i="61" s="1"/>
  <c r="L162" i="61" s="1"/>
  <c r="P15" i="61"/>
  <c r="P24" i="61" s="1"/>
  <c r="P90" i="61" s="1"/>
  <c r="P162" i="61" s="1"/>
  <c r="F15" i="62"/>
  <c r="F24" i="62" s="1"/>
  <c r="F90" i="62" s="1"/>
  <c r="F162" i="62" s="1"/>
  <c r="F183" i="62" s="1"/>
  <c r="K15" i="62"/>
  <c r="K24" i="62" s="1"/>
  <c r="K90" i="62" s="1"/>
  <c r="K162" i="62" s="1"/>
  <c r="K183" i="62" s="1"/>
  <c r="M15" i="61"/>
  <c r="M24" i="61" s="1"/>
  <c r="M90" i="61" s="1"/>
  <c r="M162" i="61" s="1"/>
  <c r="O15" i="62"/>
  <c r="O24" i="62" s="1"/>
  <c r="O90" i="62" s="1"/>
  <c r="O162" i="62" s="1"/>
  <c r="O183" i="62" s="1"/>
  <c r="J15" i="61"/>
  <c r="J24" i="61" s="1"/>
  <c r="J90" i="61" s="1"/>
  <c r="J162" i="61" s="1"/>
  <c r="J183" i="61" s="1"/>
  <c r="N15" i="62"/>
  <c r="N24" i="62" s="1"/>
  <c r="N90" i="62" s="1"/>
  <c r="N162" i="62" s="1"/>
  <c r="N183" i="62" s="1"/>
  <c r="J15" i="62"/>
  <c r="J24" i="62" s="1"/>
  <c r="J90" i="62" s="1"/>
  <c r="J162" i="62" s="1"/>
  <c r="J183" i="62" s="1"/>
  <c r="K15" i="61"/>
  <c r="K24" i="61" s="1"/>
  <c r="K90" i="61" s="1"/>
  <c r="K162" i="61" s="1"/>
  <c r="Q10" i="62"/>
  <c r="E15" i="62"/>
  <c r="E24" i="62" s="1"/>
  <c r="E90" i="62" s="1"/>
  <c r="H15" i="62"/>
  <c r="H24" i="62" s="1"/>
  <c r="H90" i="62" s="1"/>
  <c r="H162" i="62" s="1"/>
  <c r="H183" i="62" s="1"/>
  <c r="L15" i="62"/>
  <c r="L24" i="62" s="1"/>
  <c r="L90" i="62" s="1"/>
  <c r="L162" i="62" s="1"/>
  <c r="L183" i="62" s="1"/>
  <c r="Q10" i="61"/>
  <c r="E15" i="61"/>
  <c r="E24" i="61" s="1"/>
  <c r="E90" i="61" s="1"/>
  <c r="I15" i="61"/>
  <c r="I24" i="61" s="1"/>
  <c r="I90" i="61" s="1"/>
  <c r="I162" i="61" s="1"/>
  <c r="I183" i="61" s="1"/>
  <c r="N15" i="61"/>
  <c r="N24" i="61" s="1"/>
  <c r="N90" i="61" s="1"/>
  <c r="N162" i="61" s="1"/>
  <c r="N183" i="61" s="1"/>
  <c r="M15" i="62"/>
  <c r="M24" i="62" s="1"/>
  <c r="M90" i="62" s="1"/>
  <c r="M162" i="62" s="1"/>
  <c r="M183" i="62" s="1"/>
  <c r="F15" i="61"/>
  <c r="F24" i="61" s="1"/>
  <c r="F90" i="61" s="1"/>
  <c r="F162" i="61" s="1"/>
  <c r="H15" i="61"/>
  <c r="H24" i="61" s="1"/>
  <c r="H90" i="61" s="1"/>
  <c r="H162" i="61" s="1"/>
  <c r="I15" i="62"/>
  <c r="I24" i="62" s="1"/>
  <c r="I90" i="62" s="1"/>
  <c r="I162" i="62" s="1"/>
  <c r="I183" i="62" s="1"/>
  <c r="P15" i="62"/>
  <c r="P24" i="62" s="1"/>
  <c r="P90" i="62" s="1"/>
  <c r="P162" i="62" s="1"/>
  <c r="O15" i="61"/>
  <c r="O24" i="61" s="1"/>
  <c r="O90" i="61" s="1"/>
  <c r="O162" i="61" s="1"/>
  <c r="P71" i="63"/>
  <c r="P71" i="62"/>
  <c r="Q58" i="62"/>
  <c r="P71" i="61"/>
  <c r="R58" i="63"/>
  <c r="Q71" i="63"/>
  <c r="T71" i="63" s="1"/>
  <c r="Q164" i="61"/>
  <c r="Q58" i="61"/>
  <c r="M81" i="43"/>
  <c r="C14" i="66" l="1"/>
  <c r="E162" i="62"/>
  <c r="Q162" i="62" s="1"/>
  <c r="L183" i="61"/>
  <c r="H183" i="61"/>
  <c r="G183" i="61"/>
  <c r="C13" i="66"/>
  <c r="E162" i="61"/>
  <c r="Q162" i="61" s="1"/>
  <c r="F183" i="61"/>
  <c r="M183" i="61"/>
  <c r="K183" i="61"/>
  <c r="O183" i="61"/>
  <c r="J105" i="62"/>
  <c r="J108" i="62" s="1"/>
  <c r="J111" i="62" s="1"/>
  <c r="J125" i="62" s="1"/>
  <c r="J134" i="62" s="1"/>
  <c r="J184" i="62" s="1"/>
  <c r="H14" i="66"/>
  <c r="P105" i="61"/>
  <c r="P108" i="61" s="1"/>
  <c r="P111" i="61" s="1"/>
  <c r="P125" i="61" s="1"/>
  <c r="P134" i="61" s="1"/>
  <c r="N13" i="66"/>
  <c r="H105" i="62"/>
  <c r="H108" i="62" s="1"/>
  <c r="H111" i="62" s="1"/>
  <c r="H125" i="62" s="1"/>
  <c r="H134" i="62" s="1"/>
  <c r="H184" i="62" s="1"/>
  <c r="F14" i="66"/>
  <c r="L105" i="61"/>
  <c r="L108" i="61" s="1"/>
  <c r="L111" i="61" s="1"/>
  <c r="L125" i="61" s="1"/>
  <c r="L134" i="61" s="1"/>
  <c r="J13" i="66"/>
  <c r="I105" i="62"/>
  <c r="I108" i="62" s="1"/>
  <c r="I111" i="62" s="1"/>
  <c r="I125" i="62" s="1"/>
  <c r="I134" i="62" s="1"/>
  <c r="I184" i="62" s="1"/>
  <c r="G14" i="66"/>
  <c r="G105" i="62"/>
  <c r="G108" i="62" s="1"/>
  <c r="G111" i="62" s="1"/>
  <c r="G125" i="62" s="1"/>
  <c r="G134" i="62" s="1"/>
  <c r="G184" i="62" s="1"/>
  <c r="E14" i="66"/>
  <c r="G105" i="61"/>
  <c r="G108" i="61" s="1"/>
  <c r="G111" i="61" s="1"/>
  <c r="G125" i="61" s="1"/>
  <c r="G134" i="61" s="1"/>
  <c r="G184" i="61" s="1"/>
  <c r="E13" i="66"/>
  <c r="M105" i="61"/>
  <c r="M108" i="61" s="1"/>
  <c r="M111" i="61" s="1"/>
  <c r="M125" i="61" s="1"/>
  <c r="M134" i="61" s="1"/>
  <c r="K13" i="66"/>
  <c r="F105" i="61"/>
  <c r="F108" i="61" s="1"/>
  <c r="F111" i="61" s="1"/>
  <c r="F125" i="61" s="1"/>
  <c r="F134" i="61" s="1"/>
  <c r="D13" i="66"/>
  <c r="M105" i="62"/>
  <c r="M108" i="62" s="1"/>
  <c r="M111" i="62" s="1"/>
  <c r="M125" i="62" s="1"/>
  <c r="M134" i="62" s="1"/>
  <c r="M184" i="62" s="1"/>
  <c r="K14" i="66"/>
  <c r="K105" i="62"/>
  <c r="K108" i="62" s="1"/>
  <c r="K111" i="62" s="1"/>
  <c r="K125" i="62" s="1"/>
  <c r="K134" i="62" s="1"/>
  <c r="K184" i="62" s="1"/>
  <c r="I14" i="66"/>
  <c r="J105" i="61"/>
  <c r="J108" i="61" s="1"/>
  <c r="J111" i="61" s="1"/>
  <c r="J125" i="61" s="1"/>
  <c r="J134" i="61" s="1"/>
  <c r="J184" i="61" s="1"/>
  <c r="H13" i="66"/>
  <c r="N105" i="61"/>
  <c r="N108" i="61" s="1"/>
  <c r="N111" i="61" s="1"/>
  <c r="N125" i="61" s="1"/>
  <c r="N134" i="61" s="1"/>
  <c r="N184" i="61" s="1"/>
  <c r="L13" i="66"/>
  <c r="L105" i="62"/>
  <c r="L108" i="62" s="1"/>
  <c r="L111" i="62" s="1"/>
  <c r="L125" i="62" s="1"/>
  <c r="L134" i="62" s="1"/>
  <c r="L184" i="62" s="1"/>
  <c r="J14" i="66"/>
  <c r="O105" i="62"/>
  <c r="O108" i="62" s="1"/>
  <c r="O111" i="62" s="1"/>
  <c r="O125" i="62" s="1"/>
  <c r="O134" i="62" s="1"/>
  <c r="O184" i="62" s="1"/>
  <c r="M14" i="66"/>
  <c r="F105" i="62"/>
  <c r="F108" i="62" s="1"/>
  <c r="F111" i="62" s="1"/>
  <c r="F125" i="62" s="1"/>
  <c r="F134" i="62" s="1"/>
  <c r="F184" i="62" s="1"/>
  <c r="D14" i="66"/>
  <c r="P105" i="62"/>
  <c r="P108" i="62" s="1"/>
  <c r="P111" i="62" s="1"/>
  <c r="P125" i="62" s="1"/>
  <c r="P134" i="62" s="1"/>
  <c r="N14" i="66"/>
  <c r="N105" i="62"/>
  <c r="N108" i="62" s="1"/>
  <c r="N111" i="62" s="1"/>
  <c r="N125" i="62" s="1"/>
  <c r="N134" i="62" s="1"/>
  <c r="N184" i="62" s="1"/>
  <c r="L14" i="66"/>
  <c r="H105" i="61"/>
  <c r="H108" i="61" s="1"/>
  <c r="H111" i="61" s="1"/>
  <c r="H125" i="61" s="1"/>
  <c r="H134" i="61" s="1"/>
  <c r="H184" i="61" s="1"/>
  <c r="F13" i="66"/>
  <c r="I105" i="61"/>
  <c r="I108" i="61" s="1"/>
  <c r="I111" i="61" s="1"/>
  <c r="I125" i="61" s="1"/>
  <c r="I134" i="61" s="1"/>
  <c r="I184" i="61" s="1"/>
  <c r="G13" i="66"/>
  <c r="K105" i="61"/>
  <c r="K108" i="61" s="1"/>
  <c r="K111" i="61" s="1"/>
  <c r="K125" i="61" s="1"/>
  <c r="K134" i="61" s="1"/>
  <c r="I13" i="66"/>
  <c r="O105" i="61"/>
  <c r="O108" i="61" s="1"/>
  <c r="O111" i="61" s="1"/>
  <c r="O125" i="61" s="1"/>
  <c r="O134" i="61" s="1"/>
  <c r="M13" i="66"/>
  <c r="T58" i="61"/>
  <c r="M20" i="46"/>
  <c r="T58" i="62"/>
  <c r="N20" i="46"/>
  <c r="Q147" i="61"/>
  <c r="E105" i="61"/>
  <c r="E108" i="61" s="1"/>
  <c r="E111" i="61" s="1"/>
  <c r="E125" i="61" s="1"/>
  <c r="E134" i="61" s="1"/>
  <c r="Q90" i="61"/>
  <c r="R10" i="62"/>
  <c r="T10" i="62"/>
  <c r="Q15" i="62"/>
  <c r="R10" i="61"/>
  <c r="T10" i="61"/>
  <c r="Q15" i="61"/>
  <c r="P183" i="61"/>
  <c r="E105" i="62"/>
  <c r="E108" i="62" s="1"/>
  <c r="E111" i="62" s="1"/>
  <c r="E125" i="62" s="1"/>
  <c r="E134" i="62" s="1"/>
  <c r="E184" i="62" s="1"/>
  <c r="Q90" i="62"/>
  <c r="Q147" i="62"/>
  <c r="E183" i="62"/>
  <c r="R71" i="63"/>
  <c r="R58" i="61"/>
  <c r="Q71" i="61"/>
  <c r="T71" i="61" s="1"/>
  <c r="R58" i="62"/>
  <c r="Q71" i="62"/>
  <c r="T71" i="62" s="1"/>
  <c r="P183" i="62"/>
  <c r="Q164" i="62"/>
  <c r="Q217" i="63"/>
  <c r="N81" i="43"/>
  <c r="P184" i="62" l="1"/>
  <c r="Q183" i="61"/>
  <c r="L184" i="61"/>
  <c r="M184" i="61"/>
  <c r="O184" i="61"/>
  <c r="F184" i="61"/>
  <c r="K184" i="61"/>
  <c r="E183" i="61"/>
  <c r="E184" i="61" s="1"/>
  <c r="P184" i="61"/>
  <c r="O13" i="66"/>
  <c r="O14" i="66"/>
  <c r="Q183" i="62"/>
  <c r="R15" i="62"/>
  <c r="T15" i="62"/>
  <c r="Q24" i="62"/>
  <c r="R15" i="61"/>
  <c r="T15" i="61"/>
  <c r="Q24" i="61"/>
  <c r="T90" i="61"/>
  <c r="R90" i="61"/>
  <c r="Q105" i="61"/>
  <c r="T90" i="62"/>
  <c r="R90" i="62"/>
  <c r="Q105" i="62"/>
  <c r="R71" i="62"/>
  <c r="R71" i="61"/>
  <c r="O81" i="43"/>
  <c r="T24" i="61" l="1"/>
  <c r="R24" i="61"/>
  <c r="R105" i="62"/>
  <c r="T105" i="62"/>
  <c r="R105" i="61"/>
  <c r="T105" i="61"/>
  <c r="T24" i="62"/>
  <c r="R24" i="62"/>
  <c r="Q108" i="61"/>
  <c r="T108" i="61" s="1"/>
  <c r="Q108" i="62"/>
  <c r="T108" i="62" s="1"/>
  <c r="P81" i="43"/>
  <c r="Q111" i="61" l="1"/>
  <c r="T111" i="61" s="1"/>
  <c r="R108" i="61"/>
  <c r="Q111" i="62"/>
  <c r="T111" i="62" s="1"/>
  <c r="R108" i="62"/>
  <c r="Q114" i="8"/>
  <c r="R114" i="8" s="1"/>
  <c r="Q55" i="31"/>
  <c r="Q52" i="10"/>
  <c r="T52" i="10" s="1"/>
  <c r="Q52" i="9"/>
  <c r="T52" i="9" s="1"/>
  <c r="Q52" i="22"/>
  <c r="Q52" i="6"/>
  <c r="T55" i="31" l="1"/>
  <c r="J10" i="46"/>
  <c r="K10" i="46"/>
  <c r="Q125" i="62"/>
  <c r="T125" i="62" s="1"/>
  <c r="R111" i="62"/>
  <c r="Q125" i="61"/>
  <c r="T125" i="61" s="1"/>
  <c r="R111" i="61"/>
  <c r="R55" i="31"/>
  <c r="I10" i="46"/>
  <c r="R52" i="10"/>
  <c r="H10" i="46"/>
  <c r="R52" i="9"/>
  <c r="F10" i="46"/>
  <c r="E10" i="46"/>
  <c r="R52" i="6"/>
  <c r="Q134" i="62" l="1"/>
  <c r="R125" i="62"/>
  <c r="R125" i="61"/>
  <c r="Q134" i="61"/>
  <c r="D10" i="46"/>
  <c r="Q68" i="31"/>
  <c r="R68" i="31" s="1"/>
  <c r="Q65" i="10"/>
  <c r="R65" i="10" s="1"/>
  <c r="Q65" i="9"/>
  <c r="R65" i="9" s="1"/>
  <c r="T134" i="62" l="1"/>
  <c r="Q184" i="62"/>
  <c r="T134" i="61"/>
  <c r="Q184" i="61"/>
  <c r="R134" i="62"/>
  <c r="R134" i="61"/>
  <c r="G39" i="31"/>
  <c r="G262" i="31" s="1"/>
  <c r="Q49" i="22"/>
  <c r="Q48" i="22"/>
  <c r="Q46" i="22"/>
  <c r="Q45" i="22"/>
  <c r="Q42" i="22"/>
  <c r="Q41" i="22"/>
  <c r="Q40" i="22"/>
  <c r="F13" i="46" l="1"/>
  <c r="Q50" i="22"/>
  <c r="H50" i="22"/>
  <c r="H158" i="22" s="1"/>
  <c r="I50" i="22"/>
  <c r="I158" i="22" s="1"/>
  <c r="J50" i="22"/>
  <c r="J158" i="22" s="1"/>
  <c r="K50" i="22"/>
  <c r="K158" i="22" s="1"/>
  <c r="G50" i="22"/>
  <c r="G158" i="22" s="1"/>
  <c r="O50" i="6"/>
  <c r="O185" i="6" s="1"/>
  <c r="H50" i="6"/>
  <c r="H185" i="6" s="1"/>
  <c r="I50" i="6"/>
  <c r="I185" i="6" s="1"/>
  <c r="J50" i="6"/>
  <c r="J185" i="6" s="1"/>
  <c r="K50" i="6"/>
  <c r="K185" i="6" s="1"/>
  <c r="L50" i="6"/>
  <c r="L185" i="6" s="1"/>
  <c r="M50" i="6"/>
  <c r="M185" i="6" s="1"/>
  <c r="N50" i="6"/>
  <c r="N185" i="6" s="1"/>
  <c r="G50" i="6"/>
  <c r="G185" i="6" s="1"/>
  <c r="F50" i="6"/>
  <c r="F185" i="6" s="1"/>
  <c r="P50" i="6"/>
  <c r="P185" i="6" s="1"/>
  <c r="E50" i="6"/>
  <c r="E185" i="6" s="1"/>
  <c r="Q21" i="9" l="1"/>
  <c r="T21" i="9" s="1"/>
  <c r="J1" i="22"/>
  <c r="J1" i="8" s="1"/>
  <c r="J1" i="9" s="1"/>
  <c r="J1" i="10" s="1"/>
  <c r="J1" i="31" s="1"/>
  <c r="R21" i="9" l="1"/>
  <c r="J1" i="32"/>
  <c r="J1" i="62"/>
  <c r="J1" i="63"/>
  <c r="J1" i="61"/>
  <c r="Q27" i="6"/>
  <c r="E5" i="46" l="1"/>
  <c r="R27" i="6"/>
  <c r="Q34" i="6"/>
  <c r="R34" i="6" s="1"/>
  <c r="Q77" i="10" l="1"/>
  <c r="R77" i="10" s="1"/>
  <c r="Q77" i="22"/>
  <c r="R80" i="31"/>
  <c r="Q77" i="32"/>
  <c r="Q77" i="9" l="1"/>
  <c r="R77" i="9" s="1"/>
  <c r="Q77" i="8"/>
  <c r="R77" i="8" s="1"/>
  <c r="Q124" i="31"/>
  <c r="R124" i="31" s="1"/>
  <c r="Q121" i="9" l="1"/>
  <c r="R121" i="9" s="1"/>
  <c r="Q121" i="22"/>
  <c r="H614" i="38"/>
  <c r="H615" i="38"/>
  <c r="H619" i="38"/>
  <c r="H620" i="38"/>
  <c r="H621" i="38"/>
  <c r="H622" i="38"/>
  <c r="H623" i="38"/>
  <c r="H624" i="38"/>
  <c r="J10" i="63" l="1"/>
  <c r="J199" i="63" s="1"/>
  <c r="I10" i="63"/>
  <c r="I199" i="63" s="1"/>
  <c r="K10" i="63"/>
  <c r="K199" i="63" s="1"/>
  <c r="M10" i="63"/>
  <c r="M199" i="63" s="1"/>
  <c r="N10" i="63"/>
  <c r="N199" i="63" s="1"/>
  <c r="L10" i="63"/>
  <c r="L199" i="63" s="1"/>
  <c r="G10" i="63"/>
  <c r="G199" i="63" s="1"/>
  <c r="P10" i="63"/>
  <c r="P199" i="63" s="1"/>
  <c r="O10" i="63"/>
  <c r="O199" i="63" s="1"/>
  <c r="E10" i="63"/>
  <c r="E199" i="63" s="1"/>
  <c r="H10" i="63"/>
  <c r="H199" i="63" s="1"/>
  <c r="F10" i="63"/>
  <c r="F199" i="63" s="1"/>
  <c r="Q121" i="8"/>
  <c r="R121" i="8" s="1"/>
  <c r="Q199" i="63" l="1"/>
  <c r="E176" i="63"/>
  <c r="E157" i="63"/>
  <c r="Q10" i="63"/>
  <c r="E15" i="63"/>
  <c r="E24" i="63" s="1"/>
  <c r="E90" i="63" s="1"/>
  <c r="O176" i="63"/>
  <c r="O157" i="63"/>
  <c r="O15" i="63"/>
  <c r="O24" i="63" s="1"/>
  <c r="O90" i="63" s="1"/>
  <c r="O215" i="63" s="1"/>
  <c r="O239" i="63" s="1"/>
  <c r="L176" i="63"/>
  <c r="L157" i="63"/>
  <c r="L15" i="63"/>
  <c r="L24" i="63" s="1"/>
  <c r="L90" i="63" s="1"/>
  <c r="L215" i="63" s="1"/>
  <c r="L239" i="63" s="1"/>
  <c r="F176" i="63"/>
  <c r="F157" i="63"/>
  <c r="F15" i="63"/>
  <c r="F24" i="63" s="1"/>
  <c r="F90" i="63" s="1"/>
  <c r="F215" i="63" s="1"/>
  <c r="F239" i="63" s="1"/>
  <c r="P176" i="63"/>
  <c r="P157" i="63"/>
  <c r="P15" i="63"/>
  <c r="P24" i="63" s="1"/>
  <c r="P90" i="63" s="1"/>
  <c r="M176" i="63"/>
  <c r="M157" i="63"/>
  <c r="M15" i="63"/>
  <c r="M24" i="63" s="1"/>
  <c r="M90" i="63" s="1"/>
  <c r="M215" i="63" s="1"/>
  <c r="M239" i="63" s="1"/>
  <c r="G176" i="63"/>
  <c r="G157" i="63"/>
  <c r="G15" i="63"/>
  <c r="G24" i="63" s="1"/>
  <c r="G90" i="63" s="1"/>
  <c r="G215" i="63" s="1"/>
  <c r="G239" i="63" s="1"/>
  <c r="K176" i="63"/>
  <c r="K157" i="63"/>
  <c r="K15" i="63"/>
  <c r="K24" i="63" s="1"/>
  <c r="K90" i="63" s="1"/>
  <c r="K215" i="63" s="1"/>
  <c r="K239" i="63" s="1"/>
  <c r="H176" i="63"/>
  <c r="H157" i="63"/>
  <c r="H15" i="63"/>
  <c r="H24" i="63" s="1"/>
  <c r="H90" i="63" s="1"/>
  <c r="H215" i="63" s="1"/>
  <c r="H239" i="63" s="1"/>
  <c r="N176" i="63"/>
  <c r="N157" i="63"/>
  <c r="N15" i="63"/>
  <c r="N24" i="63" s="1"/>
  <c r="N90" i="63" s="1"/>
  <c r="N215" i="63" s="1"/>
  <c r="N239" i="63" s="1"/>
  <c r="I176" i="63"/>
  <c r="I157" i="63"/>
  <c r="I15" i="63"/>
  <c r="I24" i="63" s="1"/>
  <c r="I90" i="63" s="1"/>
  <c r="I215" i="63" s="1"/>
  <c r="I239" i="63" s="1"/>
  <c r="J176" i="63"/>
  <c r="J157" i="63"/>
  <c r="J15" i="63"/>
  <c r="J24" i="63" s="1"/>
  <c r="J90" i="63" s="1"/>
  <c r="J215" i="63" s="1"/>
  <c r="J239" i="63" s="1"/>
  <c r="E6" i="43"/>
  <c r="P215" i="63" l="1"/>
  <c r="P239" i="63" s="1"/>
  <c r="C15" i="66"/>
  <c r="E215" i="63"/>
  <c r="H105" i="63"/>
  <c r="H108" i="63" s="1"/>
  <c r="H111" i="63" s="1"/>
  <c r="H125" i="63" s="1"/>
  <c r="H134" i="63" s="1"/>
  <c r="H240" i="63" s="1"/>
  <c r="F15" i="66"/>
  <c r="N105" i="63"/>
  <c r="N108" i="63" s="1"/>
  <c r="N111" i="63" s="1"/>
  <c r="N125" i="63" s="1"/>
  <c r="N134" i="63" s="1"/>
  <c r="N240" i="63" s="1"/>
  <c r="L15" i="66"/>
  <c r="P105" i="63"/>
  <c r="P108" i="63" s="1"/>
  <c r="P111" i="63" s="1"/>
  <c r="P125" i="63" s="1"/>
  <c r="P134" i="63" s="1"/>
  <c r="N15" i="66"/>
  <c r="L105" i="63"/>
  <c r="L108" i="63" s="1"/>
  <c r="L111" i="63" s="1"/>
  <c r="L125" i="63" s="1"/>
  <c r="L134" i="63" s="1"/>
  <c r="L240" i="63" s="1"/>
  <c r="J15" i="66"/>
  <c r="K105" i="63"/>
  <c r="K108" i="63" s="1"/>
  <c r="K111" i="63" s="1"/>
  <c r="K125" i="63" s="1"/>
  <c r="K134" i="63" s="1"/>
  <c r="K240" i="63" s="1"/>
  <c r="I15" i="66"/>
  <c r="F105" i="63"/>
  <c r="F108" i="63" s="1"/>
  <c r="F111" i="63" s="1"/>
  <c r="F125" i="63" s="1"/>
  <c r="F134" i="63" s="1"/>
  <c r="F240" i="63" s="1"/>
  <c r="D15" i="66"/>
  <c r="M105" i="63"/>
  <c r="M108" i="63" s="1"/>
  <c r="M111" i="63" s="1"/>
  <c r="M125" i="63" s="1"/>
  <c r="M134" i="63" s="1"/>
  <c r="M240" i="63" s="1"/>
  <c r="K15" i="66"/>
  <c r="O105" i="63"/>
  <c r="O108" i="63" s="1"/>
  <c r="O111" i="63" s="1"/>
  <c r="O125" i="63" s="1"/>
  <c r="O134" i="63" s="1"/>
  <c r="O240" i="63" s="1"/>
  <c r="M15" i="66"/>
  <c r="J105" i="63"/>
  <c r="J108" i="63" s="1"/>
  <c r="J111" i="63" s="1"/>
  <c r="J125" i="63" s="1"/>
  <c r="J134" i="63" s="1"/>
  <c r="J240" i="63" s="1"/>
  <c r="H15" i="66"/>
  <c r="I105" i="63"/>
  <c r="I108" i="63" s="1"/>
  <c r="I111" i="63" s="1"/>
  <c r="I125" i="63" s="1"/>
  <c r="I134" i="63" s="1"/>
  <c r="I240" i="63" s="1"/>
  <c r="G15" i="66"/>
  <c r="G105" i="63"/>
  <c r="G108" i="63" s="1"/>
  <c r="G111" i="63" s="1"/>
  <c r="G125" i="63" s="1"/>
  <c r="G134" i="63" s="1"/>
  <c r="G240" i="63" s="1"/>
  <c r="E15" i="66"/>
  <c r="Q176" i="63"/>
  <c r="R10" i="63"/>
  <c r="T10" i="63"/>
  <c r="Q15" i="63"/>
  <c r="Q157" i="63"/>
  <c r="E105" i="63"/>
  <c r="E108" i="63" s="1"/>
  <c r="E111" i="63" s="1"/>
  <c r="E125" i="63" s="1"/>
  <c r="E134" i="63" s="1"/>
  <c r="Q90" i="63"/>
  <c r="E8" i="43"/>
  <c r="Q27" i="22"/>
  <c r="P240" i="63" l="1"/>
  <c r="Q215" i="63"/>
  <c r="Q239" i="63" s="1"/>
  <c r="E239" i="63"/>
  <c r="E240" i="63" s="1"/>
  <c r="O15" i="66"/>
  <c r="Q105" i="63"/>
  <c r="T90" i="63"/>
  <c r="R90" i="63"/>
  <c r="R15" i="63"/>
  <c r="T15" i="63"/>
  <c r="Q24" i="63"/>
  <c r="F5" i="46"/>
  <c r="E11" i="43"/>
  <c r="E76" i="43" s="1"/>
  <c r="T24" i="63" l="1"/>
  <c r="R24" i="63"/>
  <c r="R105" i="63"/>
  <c r="T105" i="63"/>
  <c r="Q108" i="63"/>
  <c r="E62" i="9"/>
  <c r="E61" i="6"/>
  <c r="E62" i="6"/>
  <c r="E61" i="9"/>
  <c r="E61" i="10"/>
  <c r="E61" i="32"/>
  <c r="E62" i="32"/>
  <c r="E64" i="31"/>
  <c r="E65" i="31"/>
  <c r="E62" i="10"/>
  <c r="E62" i="8"/>
  <c r="E61" i="8"/>
  <c r="E62" i="22"/>
  <c r="E61" i="22"/>
  <c r="T108" i="63" l="1"/>
  <c r="R108" i="63"/>
  <c r="Q111" i="63"/>
  <c r="E62" i="27"/>
  <c r="E63" i="27"/>
  <c r="Q59" i="31"/>
  <c r="T59" i="31" l="1"/>
  <c r="K11" i="46"/>
  <c r="T111" i="63"/>
  <c r="Q125" i="63"/>
  <c r="R111" i="63"/>
  <c r="R59" i="31"/>
  <c r="E60" i="9"/>
  <c r="T125" i="63" l="1"/>
  <c r="R125" i="63"/>
  <c r="Q134" i="63"/>
  <c r="Q240" i="63" s="1"/>
  <c r="E60" i="32"/>
  <c r="E63" i="31"/>
  <c r="E60" i="10"/>
  <c r="E60" i="8"/>
  <c r="E60" i="22"/>
  <c r="F6" i="43"/>
  <c r="E60" i="6"/>
  <c r="T134" i="63" l="1"/>
  <c r="R134" i="63"/>
  <c r="E61" i="27"/>
  <c r="F60" i="6"/>
  <c r="G6" i="43"/>
  <c r="G60" i="6" s="1"/>
  <c r="F8" i="43"/>
  <c r="F11" i="43" s="1"/>
  <c r="F76" i="43" s="1"/>
  <c r="DD24" i="41"/>
  <c r="DE24" i="41"/>
  <c r="DM24" i="41"/>
  <c r="DW24" i="41"/>
  <c r="DC24" i="41"/>
  <c r="G61" i="27" l="1"/>
  <c r="G64" i="27" s="1"/>
  <c r="F61" i="27"/>
  <c r="F64" i="27" s="1"/>
  <c r="DQ24" i="41"/>
  <c r="DU24" i="41"/>
  <c r="DY24" i="41"/>
  <c r="DG24" i="41"/>
  <c r="DB24" i="41"/>
  <c r="DL24" i="41"/>
  <c r="DF24" i="41"/>
  <c r="H6" i="43"/>
  <c r="H60" i="6" s="1"/>
  <c r="G8" i="43"/>
  <c r="G11" i="43" s="1"/>
  <c r="G76" i="43" s="1"/>
  <c r="DT24" i="41"/>
  <c r="DK24" i="41"/>
  <c r="DR24" i="41"/>
  <c r="DJ24" i="41"/>
  <c r="DX24" i="41"/>
  <c r="DO24" i="41"/>
  <c r="DS24" i="41"/>
  <c r="DI24" i="41"/>
  <c r="DL42" i="41"/>
  <c r="DP24" i="41"/>
  <c r="DH24" i="41"/>
  <c r="DV24" i="41"/>
  <c r="DY68" i="41"/>
  <c r="DO68" i="41"/>
  <c r="DI42" i="41"/>
  <c r="DN42" i="41"/>
  <c r="DN44" i="41" s="1"/>
  <c r="DB68" i="41"/>
  <c r="Q10" i="10"/>
  <c r="R10" i="10" l="1"/>
  <c r="H61" i="27"/>
  <c r="H64" i="27" s="1"/>
  <c r="DI44" i="41"/>
  <c r="DL44" i="41"/>
  <c r="DW68" i="41"/>
  <c r="DM68" i="41"/>
  <c r="DN68" i="41"/>
  <c r="DP68" i="41"/>
  <c r="DC68" i="41"/>
  <c r="DD68" i="41"/>
  <c r="DU68" i="41"/>
  <c r="DV68" i="41"/>
  <c r="DQ68" i="41"/>
  <c r="DJ68" i="41"/>
  <c r="DX68" i="41"/>
  <c r="DK68" i="41"/>
  <c r="DL68" i="41"/>
  <c r="DG68" i="41"/>
  <c r="DR68" i="41"/>
  <c r="DH68" i="41"/>
  <c r="DS68" i="41"/>
  <c r="DT68" i="41"/>
  <c r="DE68" i="41"/>
  <c r="DF68" i="41"/>
  <c r="DI68" i="41"/>
  <c r="DQ42" i="41"/>
  <c r="DQ44" i="41" s="1"/>
  <c r="DX42" i="41"/>
  <c r="DX44" i="41" s="1"/>
  <c r="DO42" i="41"/>
  <c r="DO44" i="41" s="1"/>
  <c r="DH42" i="41"/>
  <c r="DH44" i="41" s="1"/>
  <c r="DJ42" i="41"/>
  <c r="DJ44" i="41" s="1"/>
  <c r="DE42" i="41"/>
  <c r="DE44" i="41" s="1"/>
  <c r="DM42" i="41"/>
  <c r="DM44" i="41" s="1"/>
  <c r="DR42" i="41"/>
  <c r="DR44" i="41" s="1"/>
  <c r="DP42" i="41"/>
  <c r="DP44" i="41" s="1"/>
  <c r="DW42" i="41"/>
  <c r="DW44" i="41" s="1"/>
  <c r="DG42" i="41"/>
  <c r="DG44" i="41" s="1"/>
  <c r="DK42" i="41"/>
  <c r="DK44" i="41" s="1"/>
  <c r="DC42" i="41"/>
  <c r="DC44" i="41" s="1"/>
  <c r="DY42" i="41"/>
  <c r="DY44" i="41" s="1"/>
  <c r="DT42" i="41"/>
  <c r="DT44" i="41" s="1"/>
  <c r="DV42" i="41"/>
  <c r="DV44" i="41" s="1"/>
  <c r="DS42" i="41"/>
  <c r="DS44" i="41" s="1"/>
  <c r="DU42" i="41"/>
  <c r="DU44" i="41" s="1"/>
  <c r="DF42" i="41"/>
  <c r="DF44" i="41" s="1"/>
  <c r="DB42" i="41"/>
  <c r="DB44" i="41" s="1"/>
  <c r="DD42" i="41"/>
  <c r="DD44" i="41" s="1"/>
  <c r="I6" i="43"/>
  <c r="H8" i="43"/>
  <c r="H11" i="43" s="1"/>
  <c r="H76" i="43" s="1"/>
  <c r="G123" i="9"/>
  <c r="I60" i="6" l="1"/>
  <c r="J6" i="43"/>
  <c r="J60" i="6" s="1"/>
  <c r="I8" i="43"/>
  <c r="I11" i="43" s="1"/>
  <c r="I76" i="43" s="1"/>
  <c r="Q31" i="6"/>
  <c r="Q33" i="6"/>
  <c r="R33" i="6" s="1"/>
  <c r="Q35" i="6"/>
  <c r="R35" i="6" s="1"/>
  <c r="Q29" i="32"/>
  <c r="Q31" i="32"/>
  <c r="T31" i="32" s="1"/>
  <c r="Q33" i="32"/>
  <c r="Q34" i="32"/>
  <c r="Q35" i="32"/>
  <c r="Q27" i="31"/>
  <c r="Q29" i="31"/>
  <c r="Q33" i="31"/>
  <c r="K7" i="46" s="1"/>
  <c r="Q35" i="31"/>
  <c r="Q27" i="10"/>
  <c r="T27" i="10" s="1"/>
  <c r="Q33" i="10"/>
  <c r="R33" i="10" s="1"/>
  <c r="Q34" i="10"/>
  <c r="R34" i="10" s="1"/>
  <c r="Q35" i="10"/>
  <c r="R35" i="10" s="1"/>
  <c r="Q27" i="9"/>
  <c r="Q31" i="9"/>
  <c r="T31" i="9" s="1"/>
  <c r="Q33" i="9"/>
  <c r="R33" i="9" s="1"/>
  <c r="Q34" i="9"/>
  <c r="R34" i="9" s="1"/>
  <c r="Q35" i="9"/>
  <c r="R35" i="9" s="1"/>
  <c r="Q27" i="8"/>
  <c r="T27" i="8" s="1"/>
  <c r="Q29" i="8"/>
  <c r="G6" i="46" s="1"/>
  <c r="Q31" i="8"/>
  <c r="T31" i="8" s="1"/>
  <c r="Q33" i="8"/>
  <c r="R33" i="8" s="1"/>
  <c r="Q34" i="8"/>
  <c r="R34" i="8" s="1"/>
  <c r="Q35" i="8"/>
  <c r="R35" i="8" s="1"/>
  <c r="Q29" i="22"/>
  <c r="F6" i="46" s="1"/>
  <c r="F7" i="46"/>
  <c r="Q33" i="22"/>
  <c r="Q35" i="22"/>
  <c r="Q41" i="6"/>
  <c r="R41" i="6" s="1"/>
  <c r="Q42" i="6"/>
  <c r="R42" i="6" s="1"/>
  <c r="Q41" i="32"/>
  <c r="Q42" i="32"/>
  <c r="Q44" i="31"/>
  <c r="R44" i="31" s="1"/>
  <c r="Q45" i="31"/>
  <c r="Q41" i="10"/>
  <c r="R41" i="10" s="1"/>
  <c r="Q42" i="10"/>
  <c r="R42" i="10" s="1"/>
  <c r="Q41" i="9"/>
  <c r="R41" i="9" s="1"/>
  <c r="Q42" i="9"/>
  <c r="R42" i="9" s="1"/>
  <c r="Q41" i="8"/>
  <c r="R41" i="8" s="1"/>
  <c r="Q42" i="8"/>
  <c r="R42" i="8" s="1"/>
  <c r="Q45" i="6"/>
  <c r="Q47" i="6"/>
  <c r="R47" i="6" s="1"/>
  <c r="Q45" i="32"/>
  <c r="Q47" i="32"/>
  <c r="Q48" i="32"/>
  <c r="Q48" i="31"/>
  <c r="Q50" i="31"/>
  <c r="R50" i="31" s="1"/>
  <c r="Q51" i="31"/>
  <c r="R51" i="31" s="1"/>
  <c r="Q45" i="10"/>
  <c r="T45" i="10" s="1"/>
  <c r="Q47" i="10"/>
  <c r="R47" i="10" s="1"/>
  <c r="Q48" i="10"/>
  <c r="R48" i="10" s="1"/>
  <c r="Q45" i="9"/>
  <c r="T45" i="9" s="1"/>
  <c r="Q47" i="9"/>
  <c r="R47" i="9" s="1"/>
  <c r="Q48" i="9"/>
  <c r="R48" i="9" s="1"/>
  <c r="Q45" i="8"/>
  <c r="T45" i="8" s="1"/>
  <c r="Q47" i="8"/>
  <c r="R47" i="8" s="1"/>
  <c r="Q48" i="8"/>
  <c r="R48" i="8" s="1"/>
  <c r="L6" i="46" l="1"/>
  <c r="T29" i="32"/>
  <c r="L13" i="46"/>
  <c r="T45" i="32"/>
  <c r="T48" i="31"/>
  <c r="J13" i="46"/>
  <c r="K13" i="46"/>
  <c r="K6" i="46"/>
  <c r="T27" i="31"/>
  <c r="J5" i="46"/>
  <c r="K5" i="46"/>
  <c r="J6" i="46"/>
  <c r="T33" i="31"/>
  <c r="R29" i="8"/>
  <c r="T29" i="8"/>
  <c r="T27" i="9"/>
  <c r="L7" i="46"/>
  <c r="R29" i="31"/>
  <c r="T29" i="31"/>
  <c r="R45" i="31"/>
  <c r="J61" i="27"/>
  <c r="J64" i="27" s="1"/>
  <c r="I61" i="27"/>
  <c r="I64" i="27" s="1"/>
  <c r="R48" i="31"/>
  <c r="R27" i="31"/>
  <c r="Q39" i="31"/>
  <c r="R35" i="31"/>
  <c r="R33" i="31"/>
  <c r="I13" i="46"/>
  <c r="R45" i="10"/>
  <c r="I5" i="46"/>
  <c r="R27" i="10"/>
  <c r="H5" i="46"/>
  <c r="R27" i="9"/>
  <c r="H13" i="46"/>
  <c r="R45" i="9"/>
  <c r="H7" i="46"/>
  <c r="R31" i="9"/>
  <c r="G7" i="46"/>
  <c r="R31" i="8"/>
  <c r="G13" i="46"/>
  <c r="R45" i="8"/>
  <c r="G5" i="46"/>
  <c r="R27" i="8"/>
  <c r="E7" i="46"/>
  <c r="R31" i="6"/>
  <c r="E13" i="46"/>
  <c r="R45" i="6"/>
  <c r="K6" i="43"/>
  <c r="K60" i="6" s="1"/>
  <c r="J8" i="43"/>
  <c r="J11" i="43" s="1"/>
  <c r="J76" i="43" s="1"/>
  <c r="Q11" i="32"/>
  <c r="Q11" i="31"/>
  <c r="D6" i="46" l="1"/>
  <c r="T39" i="31"/>
  <c r="J8" i="46"/>
  <c r="R11" i="31"/>
  <c r="K61" i="27"/>
  <c r="K64" i="27" s="1"/>
  <c r="D13" i="46"/>
  <c r="D5" i="46"/>
  <c r="D7" i="46"/>
  <c r="R39" i="31"/>
  <c r="Q11" i="22"/>
  <c r="L6" i="43"/>
  <c r="L60" i="6" s="1"/>
  <c r="K8" i="43"/>
  <c r="K11" i="43" s="1"/>
  <c r="K76" i="43" s="1"/>
  <c r="L61" i="27" l="1"/>
  <c r="L64" i="27" s="1"/>
  <c r="M6" i="43"/>
  <c r="M60" i="6" s="1"/>
  <c r="L8" i="43"/>
  <c r="L11" i="43" s="1"/>
  <c r="L76" i="43" s="1"/>
  <c r="Q11" i="10"/>
  <c r="R11" i="10" l="1"/>
  <c r="T10" i="10"/>
  <c r="M61" i="27"/>
  <c r="M64" i="27" s="1"/>
  <c r="N6" i="43"/>
  <c r="O6" i="43" s="1"/>
  <c r="M8" i="43"/>
  <c r="M11" i="43" s="1"/>
  <c r="M76" i="43" s="1"/>
  <c r="N60" i="6" l="1"/>
  <c r="N8" i="43"/>
  <c r="N11" i="43" s="1"/>
  <c r="N76" i="43" s="1"/>
  <c r="F84" i="43"/>
  <c r="Q282" i="31"/>
  <c r="Q172" i="22"/>
  <c r="P311" i="27"/>
  <c r="O311" i="27"/>
  <c r="N311" i="27"/>
  <c r="M311" i="27"/>
  <c r="L311" i="27"/>
  <c r="K311" i="27"/>
  <c r="J311" i="27"/>
  <c r="I311" i="27"/>
  <c r="H311" i="27"/>
  <c r="G311" i="27"/>
  <c r="F311" i="27"/>
  <c r="E311" i="27"/>
  <c r="P310" i="27"/>
  <c r="O310" i="27"/>
  <c r="N310" i="27"/>
  <c r="M310" i="27"/>
  <c r="L310" i="27"/>
  <c r="K310" i="27"/>
  <c r="J310" i="27"/>
  <c r="I310" i="27"/>
  <c r="H310" i="27"/>
  <c r="G310" i="27"/>
  <c r="P307" i="27"/>
  <c r="O307" i="27"/>
  <c r="N307" i="27"/>
  <c r="M307" i="27"/>
  <c r="L307" i="27"/>
  <c r="K307" i="27"/>
  <c r="J307" i="27"/>
  <c r="I307" i="27"/>
  <c r="H307" i="27"/>
  <c r="G307" i="27"/>
  <c r="Q306" i="27"/>
  <c r="F305" i="27"/>
  <c r="F310" i="27" s="1"/>
  <c r="E305" i="27"/>
  <c r="E310" i="27" s="1"/>
  <c r="P302" i="27"/>
  <c r="O302" i="27"/>
  <c r="N302" i="27"/>
  <c r="M302" i="27"/>
  <c r="L302" i="27"/>
  <c r="K302" i="27"/>
  <c r="J302" i="27"/>
  <c r="I302" i="27"/>
  <c r="H302" i="27"/>
  <c r="G302" i="27"/>
  <c r="F302" i="27"/>
  <c r="E302" i="27"/>
  <c r="Q301" i="27"/>
  <c r="Q300" i="27"/>
  <c r="E290" i="27"/>
  <c r="F287" i="27" s="1"/>
  <c r="F58" i="9" l="1"/>
  <c r="F205" i="9" s="1"/>
  <c r="F93" i="43"/>
  <c r="N61" i="27"/>
  <c r="N64" i="27" s="1"/>
  <c r="G84" i="43"/>
  <c r="P6" i="43"/>
  <c r="Q6" i="43" s="1"/>
  <c r="Q8" i="43" s="1"/>
  <c r="Q11" i="43" s="1"/>
  <c r="Q76" i="43" s="1"/>
  <c r="O8" i="43"/>
  <c r="O11" i="43" s="1"/>
  <c r="O76" i="43" s="1"/>
  <c r="O60" i="6"/>
  <c r="Q172" i="10"/>
  <c r="K312" i="27"/>
  <c r="H312" i="27"/>
  <c r="I312" i="27"/>
  <c r="P312" i="27"/>
  <c r="G312" i="27"/>
  <c r="M312" i="27"/>
  <c r="F286" i="27"/>
  <c r="F288" i="27"/>
  <c r="L312" i="27"/>
  <c r="Q302" i="27"/>
  <c r="F307" i="27"/>
  <c r="Q310" i="27"/>
  <c r="E312" i="27"/>
  <c r="F289" i="27"/>
  <c r="F283" i="27"/>
  <c r="J270" i="27" s="1"/>
  <c r="O312" i="27"/>
  <c r="F284" i="27"/>
  <c r="Q305" i="27"/>
  <c r="Q307" i="27" s="1"/>
  <c r="F285" i="27"/>
  <c r="J312" i="27"/>
  <c r="N312" i="27"/>
  <c r="Q311" i="27"/>
  <c r="Q174" i="32"/>
  <c r="Q221" i="8"/>
  <c r="Q173" i="32"/>
  <c r="F312" i="27"/>
  <c r="E307" i="27"/>
  <c r="G58" i="9" l="1"/>
  <c r="G205" i="9" s="1"/>
  <c r="G93" i="43"/>
  <c r="O61" i="27"/>
  <c r="O64" i="27" s="1"/>
  <c r="H84" i="43"/>
  <c r="P8" i="43"/>
  <c r="P11" i="43" s="1"/>
  <c r="P76" i="43" s="1"/>
  <c r="P60" i="6"/>
  <c r="Q222" i="8"/>
  <c r="F270" i="27"/>
  <c r="O270" i="27"/>
  <c r="L270" i="27"/>
  <c r="H270" i="27"/>
  <c r="G270" i="27"/>
  <c r="N270" i="27"/>
  <c r="P270" i="27"/>
  <c r="M270" i="27"/>
  <c r="I270" i="27"/>
  <c r="E270" i="27"/>
  <c r="Q312" i="27"/>
  <c r="K270" i="27"/>
  <c r="F290" i="27"/>
  <c r="H58" i="9" l="1"/>
  <c r="H205" i="9" s="1"/>
  <c r="H93" i="43"/>
  <c r="P61" i="27"/>
  <c r="P64" i="27" s="1"/>
  <c r="I84" i="43"/>
  <c r="M264" i="27"/>
  <c r="N264" i="27"/>
  <c r="I265" i="27"/>
  <c r="I275" i="27" s="1"/>
  <c r="P264" i="27"/>
  <c r="F264" i="27"/>
  <c r="H264" i="27"/>
  <c r="P265" i="27"/>
  <c r="G269" i="27"/>
  <c r="G271" i="27" s="1"/>
  <c r="J264" i="27"/>
  <c r="G264" i="27"/>
  <c r="O269" i="27"/>
  <c r="O271" i="27" s="1"/>
  <c r="N265" i="27"/>
  <c r="N275" i="27" s="1"/>
  <c r="N269" i="27"/>
  <c r="N271" i="27" s="1"/>
  <c r="O264" i="27"/>
  <c r="M265" i="27"/>
  <c r="M275" i="27" s="1"/>
  <c r="F265" i="27"/>
  <c r="F275" i="27" s="1"/>
  <c r="L265" i="27"/>
  <c r="L275" i="27" s="1"/>
  <c r="I264" i="27"/>
  <c r="Q270" i="27"/>
  <c r="L264" i="27"/>
  <c r="K264" i="27"/>
  <c r="M269" i="27"/>
  <c r="M271" i="27" s="1"/>
  <c r="J269" i="27"/>
  <c r="J271" i="27" s="1"/>
  <c r="I269" i="27"/>
  <c r="I271" i="27" s="1"/>
  <c r="J265" i="27"/>
  <c r="J275" i="27" s="1"/>
  <c r="E264" i="27"/>
  <c r="K269" i="27"/>
  <c r="K265" i="27"/>
  <c r="K275" i="27" s="1"/>
  <c r="E265" i="27"/>
  <c r="E275" i="27" s="1"/>
  <c r="H265" i="27"/>
  <c r="H275" i="27" s="1"/>
  <c r="G265" i="27"/>
  <c r="G275" i="27" s="1"/>
  <c r="L269" i="27"/>
  <c r="L271" i="27" s="1"/>
  <c r="H269" i="27"/>
  <c r="H271" i="27" s="1"/>
  <c r="O265" i="27"/>
  <c r="O275" i="27" s="1"/>
  <c r="E269" i="27"/>
  <c r="P269" i="27"/>
  <c r="F269" i="27"/>
  <c r="F271" i="27" s="1"/>
  <c r="I58" i="9" l="1"/>
  <c r="I205" i="9" s="1"/>
  <c r="I93" i="43"/>
  <c r="J84" i="43"/>
  <c r="P266" i="27"/>
  <c r="I266" i="27"/>
  <c r="E274" i="27"/>
  <c r="E276" i="27" s="1"/>
  <c r="P275" i="27"/>
  <c r="Q275" i="27" s="1"/>
  <c r="N274" i="27"/>
  <c r="N276" i="27" s="1"/>
  <c r="G274" i="27"/>
  <c r="G276" i="27" s="1"/>
  <c r="J274" i="27"/>
  <c r="J276" i="27" s="1"/>
  <c r="M274" i="27"/>
  <c r="M276" i="27" s="1"/>
  <c r="F266" i="27"/>
  <c r="Q264" i="27"/>
  <c r="N266" i="27"/>
  <c r="M266" i="27"/>
  <c r="L266" i="27"/>
  <c r="O274" i="27"/>
  <c r="O276" i="27" s="1"/>
  <c r="O266" i="27"/>
  <c r="I274" i="27"/>
  <c r="I276" i="27" s="1"/>
  <c r="J266" i="27"/>
  <c r="E266" i="27"/>
  <c r="H274" i="27"/>
  <c r="H276" i="27" s="1"/>
  <c r="G266" i="27"/>
  <c r="L274" i="27"/>
  <c r="L276" i="27" s="1"/>
  <c r="K266" i="27"/>
  <c r="K271" i="27"/>
  <c r="K274" i="27"/>
  <c r="K276" i="27" s="1"/>
  <c r="E271" i="27"/>
  <c r="H266" i="27"/>
  <c r="Q265" i="27"/>
  <c r="Q269" i="27"/>
  <c r="Q271" i="27" s="1"/>
  <c r="P271" i="27"/>
  <c r="P274" i="27"/>
  <c r="F274" i="27"/>
  <c r="F276" i="27" s="1"/>
  <c r="J58" i="9" l="1"/>
  <c r="J205" i="9" s="1"/>
  <c r="J93" i="43"/>
  <c r="K84" i="43"/>
  <c r="P276" i="27"/>
  <c r="Q266" i="27"/>
  <c r="Q274" i="27"/>
  <c r="Q276" i="27" s="1"/>
  <c r="K58" i="9" l="1"/>
  <c r="K205" i="9" s="1"/>
  <c r="K93" i="43"/>
  <c r="L84" i="43"/>
  <c r="L58" i="9" l="1"/>
  <c r="L205" i="9" s="1"/>
  <c r="L93" i="43"/>
  <c r="M84" i="43"/>
  <c r="M58" i="9" l="1"/>
  <c r="M205" i="9" s="1"/>
  <c r="M93" i="43"/>
  <c r="N84" i="43"/>
  <c r="N58" i="9" l="1"/>
  <c r="N205" i="9" s="1"/>
  <c r="N93" i="43"/>
  <c r="O84" i="43"/>
  <c r="O58" i="9" l="1"/>
  <c r="O205" i="9" s="1"/>
  <c r="O93" i="43"/>
  <c r="P84" i="43"/>
  <c r="Q198" i="6"/>
  <c r="E117" i="9"/>
  <c r="F117" i="9"/>
  <c r="G117" i="9"/>
  <c r="H117" i="9"/>
  <c r="I117" i="9"/>
  <c r="J117" i="9"/>
  <c r="K117" i="9"/>
  <c r="L117" i="9"/>
  <c r="M117" i="9"/>
  <c r="N117" i="9"/>
  <c r="O117" i="9"/>
  <c r="P117" i="9"/>
  <c r="P58" i="9" l="1"/>
  <c r="P205" i="9" s="1"/>
  <c r="Q205" i="9" s="1"/>
  <c r="P93" i="43"/>
  <c r="Q283" i="31"/>
  <c r="Q98" i="9"/>
  <c r="R98" i="9" s="1"/>
  <c r="P373" i="27"/>
  <c r="O373" i="27"/>
  <c r="N373" i="27"/>
  <c r="M373" i="27"/>
  <c r="L373" i="27"/>
  <c r="K373" i="27"/>
  <c r="J373" i="27"/>
  <c r="I373" i="27"/>
  <c r="H373" i="27"/>
  <c r="G373" i="27"/>
  <c r="F373" i="27"/>
  <c r="E373" i="27"/>
  <c r="P371" i="27"/>
  <c r="O371" i="27"/>
  <c r="N371" i="27"/>
  <c r="M371" i="27"/>
  <c r="L371" i="27"/>
  <c r="K371" i="27"/>
  <c r="J371" i="27"/>
  <c r="I371" i="27"/>
  <c r="H371" i="27"/>
  <c r="G371" i="27"/>
  <c r="F371" i="27"/>
  <c r="E371" i="27"/>
  <c r="Q21" i="32"/>
  <c r="T21" i="32" s="1"/>
  <c r="P88" i="32"/>
  <c r="P169" i="32" s="1"/>
  <c r="O88" i="32"/>
  <c r="O169" i="32" s="1"/>
  <c r="N88" i="32"/>
  <c r="N169" i="32" s="1"/>
  <c r="M88" i="32"/>
  <c r="M169" i="32" s="1"/>
  <c r="L88" i="32"/>
  <c r="L169" i="32" s="1"/>
  <c r="K88" i="32"/>
  <c r="K169" i="32" s="1"/>
  <c r="J88" i="32"/>
  <c r="J169" i="32" s="1"/>
  <c r="I88" i="32"/>
  <c r="I169" i="32" s="1"/>
  <c r="H88" i="32"/>
  <c r="H169" i="32" s="1"/>
  <c r="G88" i="32"/>
  <c r="G169" i="32" s="1"/>
  <c r="E88" i="32"/>
  <c r="E169" i="32" s="1"/>
  <c r="F88" i="32"/>
  <c r="F169" i="32" s="1"/>
  <c r="P67" i="32"/>
  <c r="P166" i="32" s="1"/>
  <c r="O67" i="32"/>
  <c r="O166" i="32" s="1"/>
  <c r="N67" i="32"/>
  <c r="N166" i="32" s="1"/>
  <c r="M67" i="32"/>
  <c r="M166" i="32" s="1"/>
  <c r="L67" i="32"/>
  <c r="L166" i="32" s="1"/>
  <c r="K67" i="32"/>
  <c r="K166" i="32" s="1"/>
  <c r="J67" i="32"/>
  <c r="J166" i="32" s="1"/>
  <c r="I67" i="32"/>
  <c r="I166" i="32" s="1"/>
  <c r="H67" i="32"/>
  <c r="H166" i="32" s="1"/>
  <c r="G67" i="32"/>
  <c r="G166" i="32" s="1"/>
  <c r="E67" i="32"/>
  <c r="E166" i="32" s="1"/>
  <c r="F67" i="32"/>
  <c r="F166" i="32" s="1"/>
  <c r="P63" i="32"/>
  <c r="P165" i="32" s="1"/>
  <c r="P36" i="32"/>
  <c r="P156" i="32" s="1"/>
  <c r="P43" i="32"/>
  <c r="P158" i="32" s="1"/>
  <c r="O63" i="32"/>
  <c r="O165" i="32" s="1"/>
  <c r="N63" i="32"/>
  <c r="N165" i="32" s="1"/>
  <c r="M63" i="32"/>
  <c r="M165" i="32" s="1"/>
  <c r="L63" i="32"/>
  <c r="L165" i="32" s="1"/>
  <c r="K63" i="32"/>
  <c r="K165" i="32" s="1"/>
  <c r="J63" i="32"/>
  <c r="J165" i="32" s="1"/>
  <c r="I63" i="32"/>
  <c r="I165" i="32" s="1"/>
  <c r="H63" i="32"/>
  <c r="H165" i="32" s="1"/>
  <c r="G63" i="32"/>
  <c r="G165" i="32" s="1"/>
  <c r="F63" i="32"/>
  <c r="F165" i="32" s="1"/>
  <c r="E63" i="32"/>
  <c r="E165" i="32" s="1"/>
  <c r="P15" i="32"/>
  <c r="O15" i="32"/>
  <c r="N15" i="32"/>
  <c r="M15" i="32"/>
  <c r="L15" i="32"/>
  <c r="K15" i="32"/>
  <c r="J15" i="32"/>
  <c r="I15" i="32"/>
  <c r="H15" i="32"/>
  <c r="G15" i="32"/>
  <c r="F15" i="32"/>
  <c r="E15" i="32"/>
  <c r="O43" i="32"/>
  <c r="O158" i="32" s="1"/>
  <c r="N43" i="32"/>
  <c r="N158" i="32" s="1"/>
  <c r="M43" i="32"/>
  <c r="M158" i="32" s="1"/>
  <c r="L43" i="32"/>
  <c r="L158" i="32" s="1"/>
  <c r="K43" i="32"/>
  <c r="K158" i="32" s="1"/>
  <c r="J43" i="32"/>
  <c r="J158" i="32" s="1"/>
  <c r="I43" i="32"/>
  <c r="I158" i="32" s="1"/>
  <c r="H43" i="32"/>
  <c r="H158" i="32" s="1"/>
  <c r="G43" i="32"/>
  <c r="G158" i="32" s="1"/>
  <c r="F43" i="32"/>
  <c r="F158" i="32" s="1"/>
  <c r="E43" i="32"/>
  <c r="E158" i="32" s="1"/>
  <c r="O36" i="32"/>
  <c r="O156" i="32" s="1"/>
  <c r="N36" i="32"/>
  <c r="N156" i="32" s="1"/>
  <c r="M36" i="32"/>
  <c r="M156" i="32" s="1"/>
  <c r="L36" i="32"/>
  <c r="L156" i="32" s="1"/>
  <c r="K36" i="32"/>
  <c r="K156" i="32" s="1"/>
  <c r="J36" i="32"/>
  <c r="J156" i="32" s="1"/>
  <c r="I36" i="32"/>
  <c r="I156" i="32" s="1"/>
  <c r="H36" i="32"/>
  <c r="H156" i="32" s="1"/>
  <c r="G36" i="32"/>
  <c r="G156" i="32" s="1"/>
  <c r="F36" i="32"/>
  <c r="F156" i="32" s="1"/>
  <c r="E36" i="32"/>
  <c r="E156" i="32" s="1"/>
  <c r="M126" i="31"/>
  <c r="J126" i="31"/>
  <c r="P91" i="31"/>
  <c r="P278" i="31" s="1"/>
  <c r="O91" i="31"/>
  <c r="O278" i="31" s="1"/>
  <c r="N91" i="31"/>
  <c r="N278" i="31" s="1"/>
  <c r="M91" i="31"/>
  <c r="M278" i="31" s="1"/>
  <c r="L91" i="31"/>
  <c r="L278" i="31" s="1"/>
  <c r="K91" i="31"/>
  <c r="K278" i="31" s="1"/>
  <c r="J91" i="31"/>
  <c r="J278" i="31" s="1"/>
  <c r="I91" i="31"/>
  <c r="I278" i="31" s="1"/>
  <c r="H91" i="31"/>
  <c r="H278" i="31" s="1"/>
  <c r="G91" i="31"/>
  <c r="G278" i="31" s="1"/>
  <c r="F91" i="31"/>
  <c r="F278" i="31" s="1"/>
  <c r="E91" i="31"/>
  <c r="E278" i="31" s="1"/>
  <c r="M82" i="31"/>
  <c r="J82" i="31"/>
  <c r="P66" i="31"/>
  <c r="P271" i="31" s="1"/>
  <c r="O66" i="31"/>
  <c r="O271" i="31" s="1"/>
  <c r="N66" i="31"/>
  <c r="N271" i="31" s="1"/>
  <c r="M66" i="31"/>
  <c r="M271" i="31" s="1"/>
  <c r="L66" i="31"/>
  <c r="L271" i="31" s="1"/>
  <c r="K66" i="31"/>
  <c r="K271" i="31" s="1"/>
  <c r="J66" i="31"/>
  <c r="J271" i="31" s="1"/>
  <c r="I66" i="31"/>
  <c r="I271" i="31" s="1"/>
  <c r="H66" i="31"/>
  <c r="H271" i="31" s="1"/>
  <c r="G66" i="31"/>
  <c r="G271" i="31" s="1"/>
  <c r="F66" i="31"/>
  <c r="F271" i="31" s="1"/>
  <c r="E66" i="31"/>
  <c r="E271" i="31" s="1"/>
  <c r="P15" i="31"/>
  <c r="O15" i="31"/>
  <c r="N15" i="31"/>
  <c r="M15" i="31"/>
  <c r="L15" i="31"/>
  <c r="K15" i="31"/>
  <c r="J15" i="31"/>
  <c r="I15" i="31"/>
  <c r="H15" i="31"/>
  <c r="G15" i="31"/>
  <c r="F15" i="31"/>
  <c r="E15" i="31"/>
  <c r="E24" i="31" s="1"/>
  <c r="P46" i="31"/>
  <c r="P264" i="31" s="1"/>
  <c r="O46" i="31"/>
  <c r="O264" i="31" s="1"/>
  <c r="N46" i="31"/>
  <c r="N264" i="31" s="1"/>
  <c r="M46" i="31"/>
  <c r="M264" i="31" s="1"/>
  <c r="L46" i="31"/>
  <c r="L264" i="31" s="1"/>
  <c r="K46" i="31"/>
  <c r="K264" i="31" s="1"/>
  <c r="J46" i="31"/>
  <c r="J264" i="31" s="1"/>
  <c r="I46" i="31"/>
  <c r="I264" i="31" s="1"/>
  <c r="H46" i="31"/>
  <c r="H264" i="31" s="1"/>
  <c r="G46" i="31"/>
  <c r="G264" i="31" s="1"/>
  <c r="F46" i="31"/>
  <c r="F264" i="31" s="1"/>
  <c r="E46" i="31"/>
  <c r="E264" i="31" s="1"/>
  <c r="E15" i="10"/>
  <c r="F15" i="10"/>
  <c r="G15" i="10"/>
  <c r="H15" i="10"/>
  <c r="I15" i="10"/>
  <c r="J15" i="10"/>
  <c r="K15" i="10"/>
  <c r="L15" i="10"/>
  <c r="M15" i="10"/>
  <c r="N15" i="10"/>
  <c r="O15" i="10"/>
  <c r="P15" i="10"/>
  <c r="Q10" i="32"/>
  <c r="T10" i="32" s="1"/>
  <c r="Q10" i="31"/>
  <c r="Q12" i="31"/>
  <c r="P356" i="27"/>
  <c r="O356" i="27"/>
  <c r="N356" i="27"/>
  <c r="M356" i="27"/>
  <c r="L356" i="27"/>
  <c r="K356" i="27"/>
  <c r="J356" i="27"/>
  <c r="I356" i="27"/>
  <c r="G356" i="27"/>
  <c r="E356" i="27"/>
  <c r="F356" i="27"/>
  <c r="P355" i="27"/>
  <c r="O355" i="27"/>
  <c r="N355" i="27"/>
  <c r="M355" i="27"/>
  <c r="L355" i="27"/>
  <c r="K355" i="27"/>
  <c r="J355" i="27"/>
  <c r="I355" i="27"/>
  <c r="G355" i="27"/>
  <c r="E355" i="27"/>
  <c r="F355" i="27"/>
  <c r="O354" i="27"/>
  <c r="N354" i="27"/>
  <c r="M354" i="27"/>
  <c r="G354" i="27"/>
  <c r="F354" i="27"/>
  <c r="E354" i="27"/>
  <c r="P353" i="27"/>
  <c r="O353" i="27"/>
  <c r="N353" i="27"/>
  <c r="M353" i="27"/>
  <c r="L353" i="27"/>
  <c r="K353" i="27"/>
  <c r="J353" i="27"/>
  <c r="I353" i="27"/>
  <c r="G353" i="27"/>
  <c r="E353" i="27"/>
  <c r="F353" i="27"/>
  <c r="P352" i="27"/>
  <c r="O352" i="27"/>
  <c r="N352" i="27"/>
  <c r="M352" i="27"/>
  <c r="L352" i="27"/>
  <c r="K352" i="27"/>
  <c r="J352" i="27"/>
  <c r="I352" i="27"/>
  <c r="G352" i="27"/>
  <c r="E352" i="27"/>
  <c r="F352" i="27"/>
  <c r="O351" i="27"/>
  <c r="N351" i="27"/>
  <c r="M351" i="27"/>
  <c r="J351" i="27"/>
  <c r="I351" i="27"/>
  <c r="G351" i="27"/>
  <c r="F351" i="27"/>
  <c r="E351" i="27"/>
  <c r="P349" i="27"/>
  <c r="O349" i="27"/>
  <c r="M349" i="27"/>
  <c r="J349" i="27"/>
  <c r="H349" i="27"/>
  <c r="G349" i="27"/>
  <c r="P346" i="27"/>
  <c r="O346" i="27"/>
  <c r="N346" i="27"/>
  <c r="M346" i="27"/>
  <c r="L346" i="27"/>
  <c r="K346" i="27"/>
  <c r="J346" i="27"/>
  <c r="I346" i="27"/>
  <c r="H346" i="27"/>
  <c r="G346" i="27"/>
  <c r="E346" i="27"/>
  <c r="F346" i="27"/>
  <c r="P345" i="27"/>
  <c r="O345" i="27"/>
  <c r="N345" i="27"/>
  <c r="K345" i="27"/>
  <c r="H345" i="27"/>
  <c r="G345" i="27"/>
  <c r="O341" i="27"/>
  <c r="K341" i="27"/>
  <c r="J341" i="27"/>
  <c r="I341" i="27"/>
  <c r="G341" i="27"/>
  <c r="E341" i="27"/>
  <c r="F341" i="27"/>
  <c r="P15" i="22"/>
  <c r="O15" i="22"/>
  <c r="N15" i="22"/>
  <c r="M15" i="22"/>
  <c r="L15" i="22"/>
  <c r="K15" i="22"/>
  <c r="J15" i="22"/>
  <c r="I15" i="22"/>
  <c r="H15" i="22"/>
  <c r="G15" i="22"/>
  <c r="F15" i="22"/>
  <c r="E15" i="22"/>
  <c r="O339" i="27"/>
  <c r="N339" i="27"/>
  <c r="L339" i="27"/>
  <c r="J339" i="27"/>
  <c r="I339" i="27"/>
  <c r="G339" i="27"/>
  <c r="P337" i="27"/>
  <c r="K337" i="27"/>
  <c r="J337" i="27"/>
  <c r="H337" i="27"/>
  <c r="E337" i="27"/>
  <c r="L334" i="27"/>
  <c r="K334" i="27"/>
  <c r="J334" i="27"/>
  <c r="E334" i="27"/>
  <c r="P333" i="27"/>
  <c r="J333" i="27"/>
  <c r="H333" i="27"/>
  <c r="F333" i="27"/>
  <c r="O332" i="27"/>
  <c r="L332" i="27"/>
  <c r="J332" i="27"/>
  <c r="E332" i="27"/>
  <c r="P331" i="27"/>
  <c r="N331" i="27"/>
  <c r="H331" i="27"/>
  <c r="E331" i="27"/>
  <c r="P328" i="27"/>
  <c r="N328" i="27"/>
  <c r="K328" i="27"/>
  <c r="J328" i="27"/>
  <c r="I328" i="27"/>
  <c r="E50" i="32"/>
  <c r="E160" i="32" s="1"/>
  <c r="E79" i="32"/>
  <c r="E84" i="32"/>
  <c r="E103" i="32"/>
  <c r="E117" i="32"/>
  <c r="E123" i="32"/>
  <c r="F50" i="32"/>
  <c r="F160" i="32" s="1"/>
  <c r="F79" i="32"/>
  <c r="F84" i="32"/>
  <c r="F103" i="32"/>
  <c r="F117" i="32"/>
  <c r="F123" i="32"/>
  <c r="G50" i="32"/>
  <c r="G160" i="32" s="1"/>
  <c r="G79" i="32"/>
  <c r="G84" i="32"/>
  <c r="G103" i="32"/>
  <c r="G117" i="32"/>
  <c r="G123" i="32"/>
  <c r="H50" i="32"/>
  <c r="H160" i="32" s="1"/>
  <c r="H79" i="32"/>
  <c r="H84" i="32"/>
  <c r="H103" i="32"/>
  <c r="H117" i="32"/>
  <c r="H123" i="32"/>
  <c r="I50" i="32"/>
  <c r="I160" i="32" s="1"/>
  <c r="I79" i="32"/>
  <c r="I84" i="32"/>
  <c r="I103" i="32"/>
  <c r="I117" i="32"/>
  <c r="I123" i="32"/>
  <c r="J50" i="32"/>
  <c r="J160" i="32" s="1"/>
  <c r="J79" i="32"/>
  <c r="J84" i="32"/>
  <c r="J103" i="32"/>
  <c r="J117" i="32"/>
  <c r="J123" i="32"/>
  <c r="K50" i="32"/>
  <c r="K160" i="32" s="1"/>
  <c r="K79" i="32"/>
  <c r="K84" i="32"/>
  <c r="K103" i="32"/>
  <c r="K117" i="32"/>
  <c r="K123" i="32"/>
  <c r="L50" i="32"/>
  <c r="L160" i="32" s="1"/>
  <c r="L79" i="32"/>
  <c r="L84" i="32"/>
  <c r="L103" i="32"/>
  <c r="L117" i="32"/>
  <c r="L123" i="32"/>
  <c r="M50" i="32"/>
  <c r="M160" i="32" s="1"/>
  <c r="M79" i="32"/>
  <c r="M84" i="32"/>
  <c r="M103" i="32"/>
  <c r="M117" i="32"/>
  <c r="M123" i="32"/>
  <c r="N50" i="32"/>
  <c r="N160" i="32" s="1"/>
  <c r="N79" i="32"/>
  <c r="N84" i="32"/>
  <c r="N103" i="32"/>
  <c r="N117" i="32"/>
  <c r="N123" i="32"/>
  <c r="O50" i="32"/>
  <c r="O160" i="32" s="1"/>
  <c r="O79" i="32"/>
  <c r="O84" i="32"/>
  <c r="O103" i="32"/>
  <c r="O117" i="32"/>
  <c r="O123" i="32"/>
  <c r="P50" i="32"/>
  <c r="P160" i="32" s="1"/>
  <c r="P79" i="32"/>
  <c r="P84" i="32"/>
  <c r="P103" i="32"/>
  <c r="P117" i="32"/>
  <c r="P123" i="32"/>
  <c r="Q12" i="32"/>
  <c r="T12" i="32" s="1"/>
  <c r="Q13" i="32"/>
  <c r="T13" i="32" s="1"/>
  <c r="Q14" i="32"/>
  <c r="T14" i="32" s="1"/>
  <c r="Q38" i="32"/>
  <c r="Q40" i="32"/>
  <c r="Q49" i="32"/>
  <c r="Q56" i="32"/>
  <c r="Q60" i="32"/>
  <c r="L15" i="46" s="1"/>
  <c r="Q61" i="32"/>
  <c r="L19" i="46" s="1"/>
  <c r="Q62" i="32"/>
  <c r="Q65" i="32"/>
  <c r="Q66" i="32"/>
  <c r="Q69" i="32"/>
  <c r="T69" i="32" s="1"/>
  <c r="Q75" i="32"/>
  <c r="T75" i="32" s="1"/>
  <c r="Q78" i="32"/>
  <c r="Q81" i="32"/>
  <c r="Q82" i="32"/>
  <c r="Q83" i="32"/>
  <c r="Q86" i="32"/>
  <c r="Q87" i="32"/>
  <c r="Q96" i="32"/>
  <c r="T96" i="32" s="1"/>
  <c r="Q98" i="32"/>
  <c r="Q99" i="32"/>
  <c r="Q100" i="32"/>
  <c r="Q101" i="32"/>
  <c r="Q102" i="32"/>
  <c r="Q113" i="32"/>
  <c r="Q114" i="32"/>
  <c r="Q115" i="32"/>
  <c r="Q116" i="32"/>
  <c r="Q119" i="32"/>
  <c r="T119" i="32" s="1"/>
  <c r="Q121" i="32"/>
  <c r="Q122" i="32"/>
  <c r="Q130" i="32"/>
  <c r="E39" i="31"/>
  <c r="E262" i="31" s="1"/>
  <c r="E53" i="31"/>
  <c r="E266" i="31" s="1"/>
  <c r="E70" i="31"/>
  <c r="E272" i="31" s="1"/>
  <c r="E82" i="31"/>
  <c r="E87" i="31"/>
  <c r="E106" i="31"/>
  <c r="E120" i="31"/>
  <c r="E126" i="31"/>
  <c r="F39" i="31"/>
  <c r="F262" i="31" s="1"/>
  <c r="F53" i="31"/>
  <c r="F266" i="31" s="1"/>
  <c r="F70" i="31"/>
  <c r="F272" i="31" s="1"/>
  <c r="F82" i="31"/>
  <c r="F87" i="31"/>
  <c r="F106" i="31"/>
  <c r="F120" i="31"/>
  <c r="F126" i="31"/>
  <c r="G53" i="31"/>
  <c r="G266" i="31" s="1"/>
  <c r="G70" i="31"/>
  <c r="G272" i="31" s="1"/>
  <c r="G82" i="31"/>
  <c r="G87" i="31"/>
  <c r="G106" i="31"/>
  <c r="G120" i="31"/>
  <c r="G126" i="31"/>
  <c r="H39" i="31"/>
  <c r="H262" i="31" s="1"/>
  <c r="H53" i="31"/>
  <c r="H266" i="31" s="1"/>
  <c r="H70" i="31"/>
  <c r="H272" i="31" s="1"/>
  <c r="H82" i="31"/>
  <c r="H87" i="31"/>
  <c r="H106" i="31"/>
  <c r="H120" i="31"/>
  <c r="H126" i="31"/>
  <c r="I39" i="31"/>
  <c r="I262" i="31" s="1"/>
  <c r="I53" i="31"/>
  <c r="I266" i="31" s="1"/>
  <c r="I70" i="31"/>
  <c r="I272" i="31" s="1"/>
  <c r="I82" i="31"/>
  <c r="I87" i="31"/>
  <c r="I106" i="31"/>
  <c r="I120" i="31"/>
  <c r="I126" i="31"/>
  <c r="J39" i="31"/>
  <c r="J262" i="31" s="1"/>
  <c r="J53" i="31"/>
  <c r="J266" i="31" s="1"/>
  <c r="J70" i="31"/>
  <c r="J272" i="31" s="1"/>
  <c r="J87" i="31"/>
  <c r="J106" i="31"/>
  <c r="J120" i="31"/>
  <c r="K39" i="31"/>
  <c r="K262" i="31" s="1"/>
  <c r="K53" i="31"/>
  <c r="K266" i="31" s="1"/>
  <c r="K70" i="31"/>
  <c r="K272" i="31" s="1"/>
  <c r="K82" i="31"/>
  <c r="K87" i="31"/>
  <c r="K106" i="31"/>
  <c r="K120" i="31"/>
  <c r="K126" i="31"/>
  <c r="L39" i="31"/>
  <c r="L262" i="31" s="1"/>
  <c r="L53" i="31"/>
  <c r="L266" i="31" s="1"/>
  <c r="L70" i="31"/>
  <c r="L272" i="31" s="1"/>
  <c r="L82" i="31"/>
  <c r="L87" i="31"/>
  <c r="L106" i="31"/>
  <c r="L120" i="31"/>
  <c r="L126" i="31"/>
  <c r="M39" i="31"/>
  <c r="M262" i="31" s="1"/>
  <c r="M53" i="31"/>
  <c r="M266" i="31" s="1"/>
  <c r="M70" i="31"/>
  <c r="M272" i="31" s="1"/>
  <c r="M87" i="31"/>
  <c r="M106" i="31"/>
  <c r="M120" i="31"/>
  <c r="N39" i="31"/>
  <c r="N262" i="31" s="1"/>
  <c r="N53" i="31"/>
  <c r="N266" i="31" s="1"/>
  <c r="N70" i="31"/>
  <c r="N272" i="31" s="1"/>
  <c r="N82" i="31"/>
  <c r="N87" i="31"/>
  <c r="N106" i="31"/>
  <c r="N120" i="31"/>
  <c r="N126" i="31"/>
  <c r="O39" i="31"/>
  <c r="O262" i="31" s="1"/>
  <c r="O53" i="31"/>
  <c r="O266" i="31" s="1"/>
  <c r="O70" i="31"/>
  <c r="O272" i="31" s="1"/>
  <c r="O82" i="31"/>
  <c r="O87" i="31"/>
  <c r="O106" i="31"/>
  <c r="O120" i="31"/>
  <c r="O126" i="31"/>
  <c r="P39" i="31"/>
  <c r="P262" i="31" s="1"/>
  <c r="P53" i="31"/>
  <c r="P266" i="31" s="1"/>
  <c r="P70" i="31"/>
  <c r="P272" i="31" s="1"/>
  <c r="P82" i="31"/>
  <c r="P87" i="31"/>
  <c r="P106" i="31"/>
  <c r="P120" i="31"/>
  <c r="P126" i="31"/>
  <c r="Q13" i="31"/>
  <c r="Q14" i="31"/>
  <c r="Q21" i="31"/>
  <c r="Q41" i="31"/>
  <c r="Q43" i="31"/>
  <c r="Q52" i="31"/>
  <c r="Q63" i="31"/>
  <c r="Q64" i="31"/>
  <c r="Q65" i="31"/>
  <c r="Q69" i="31"/>
  <c r="Q72" i="31"/>
  <c r="Q78" i="31"/>
  <c r="Q81" i="31"/>
  <c r="Q84" i="31"/>
  <c r="R84" i="31" s="1"/>
  <c r="Q85" i="31"/>
  <c r="R85" i="31" s="1"/>
  <c r="Q86" i="31"/>
  <c r="Q89" i="31"/>
  <c r="R89" i="31" s="1"/>
  <c r="Q90" i="31"/>
  <c r="Q99" i="31"/>
  <c r="Q101" i="31"/>
  <c r="R101" i="31" s="1"/>
  <c r="Q102" i="31"/>
  <c r="R102" i="31" s="1"/>
  <c r="Q103" i="31"/>
  <c r="R103" i="31" s="1"/>
  <c r="Q104" i="31"/>
  <c r="R104" i="31" s="1"/>
  <c r="Q105" i="31"/>
  <c r="Q116" i="31"/>
  <c r="R116" i="31" s="1"/>
  <c r="Q117" i="31"/>
  <c r="R117" i="31" s="1"/>
  <c r="Q118" i="31"/>
  <c r="R118" i="31" s="1"/>
  <c r="Q119" i="31"/>
  <c r="Q122" i="31"/>
  <c r="Q125" i="31"/>
  <c r="Q133" i="31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P88" i="10"/>
  <c r="P168" i="10" s="1"/>
  <c r="O88" i="10"/>
  <c r="O168" i="10" s="1"/>
  <c r="N88" i="10"/>
  <c r="N168" i="10" s="1"/>
  <c r="M88" i="10"/>
  <c r="M168" i="10" s="1"/>
  <c r="L88" i="10"/>
  <c r="L168" i="10" s="1"/>
  <c r="K88" i="10"/>
  <c r="K168" i="10" s="1"/>
  <c r="J88" i="10"/>
  <c r="J168" i="10" s="1"/>
  <c r="I88" i="10"/>
  <c r="I168" i="10" s="1"/>
  <c r="H88" i="10"/>
  <c r="H168" i="10" s="1"/>
  <c r="G88" i="10"/>
  <c r="G168" i="10" s="1"/>
  <c r="F88" i="10"/>
  <c r="F168" i="10" s="1"/>
  <c r="E88" i="10"/>
  <c r="E168" i="10" s="1"/>
  <c r="P79" i="10"/>
  <c r="O79" i="10"/>
  <c r="N79" i="10"/>
  <c r="M79" i="10"/>
  <c r="L79" i="10"/>
  <c r="K79" i="10"/>
  <c r="J79" i="10"/>
  <c r="I79" i="10"/>
  <c r="H79" i="10"/>
  <c r="G79" i="10"/>
  <c r="F79" i="10"/>
  <c r="E79" i="10"/>
  <c r="P67" i="10"/>
  <c r="P165" i="10" s="1"/>
  <c r="O67" i="10"/>
  <c r="O165" i="10" s="1"/>
  <c r="N67" i="10"/>
  <c r="N165" i="10" s="1"/>
  <c r="M67" i="10"/>
  <c r="M165" i="10" s="1"/>
  <c r="L67" i="10"/>
  <c r="L165" i="10" s="1"/>
  <c r="K67" i="10"/>
  <c r="K165" i="10" s="1"/>
  <c r="J67" i="10"/>
  <c r="J165" i="10" s="1"/>
  <c r="I67" i="10"/>
  <c r="I165" i="10" s="1"/>
  <c r="H67" i="10"/>
  <c r="H165" i="10" s="1"/>
  <c r="G67" i="10"/>
  <c r="G165" i="10" s="1"/>
  <c r="F67" i="10"/>
  <c r="F165" i="10" s="1"/>
  <c r="E67" i="10"/>
  <c r="E165" i="10" s="1"/>
  <c r="P63" i="10"/>
  <c r="P164" i="10" s="1"/>
  <c r="O63" i="10"/>
  <c r="O164" i="10" s="1"/>
  <c r="N63" i="10"/>
  <c r="N164" i="10" s="1"/>
  <c r="M63" i="10"/>
  <c r="M164" i="10" s="1"/>
  <c r="L63" i="10"/>
  <c r="L164" i="10" s="1"/>
  <c r="K63" i="10"/>
  <c r="K164" i="10" s="1"/>
  <c r="J63" i="10"/>
  <c r="J164" i="10" s="1"/>
  <c r="I63" i="10"/>
  <c r="I164" i="10" s="1"/>
  <c r="H63" i="10"/>
  <c r="H164" i="10" s="1"/>
  <c r="G63" i="10"/>
  <c r="G164" i="10" s="1"/>
  <c r="F63" i="10"/>
  <c r="F164" i="10" s="1"/>
  <c r="E63" i="10"/>
  <c r="E164" i="10" s="1"/>
  <c r="P50" i="10"/>
  <c r="P159" i="10" s="1"/>
  <c r="O50" i="10"/>
  <c r="O159" i="10" s="1"/>
  <c r="N50" i="10"/>
  <c r="N159" i="10" s="1"/>
  <c r="M50" i="10"/>
  <c r="M159" i="10" s="1"/>
  <c r="L50" i="10"/>
  <c r="L159" i="10" s="1"/>
  <c r="K50" i="10"/>
  <c r="K159" i="10" s="1"/>
  <c r="J50" i="10"/>
  <c r="J159" i="10" s="1"/>
  <c r="I50" i="10"/>
  <c r="I159" i="10" s="1"/>
  <c r="H50" i="10"/>
  <c r="H159" i="10" s="1"/>
  <c r="G50" i="10"/>
  <c r="G159" i="10" s="1"/>
  <c r="F50" i="10"/>
  <c r="F159" i="10" s="1"/>
  <c r="E50" i="10"/>
  <c r="E159" i="10" s="1"/>
  <c r="P43" i="10"/>
  <c r="P157" i="10" s="1"/>
  <c r="O43" i="10"/>
  <c r="O157" i="10" s="1"/>
  <c r="N43" i="10"/>
  <c r="N157" i="10" s="1"/>
  <c r="M43" i="10"/>
  <c r="M157" i="10" s="1"/>
  <c r="L43" i="10"/>
  <c r="L157" i="10" s="1"/>
  <c r="K43" i="10"/>
  <c r="K157" i="10" s="1"/>
  <c r="J43" i="10"/>
  <c r="J157" i="10" s="1"/>
  <c r="I43" i="10"/>
  <c r="I157" i="10" s="1"/>
  <c r="H43" i="10"/>
  <c r="H157" i="10" s="1"/>
  <c r="G43" i="10"/>
  <c r="G157" i="10" s="1"/>
  <c r="F43" i="10"/>
  <c r="F157" i="10" s="1"/>
  <c r="E43" i="10"/>
  <c r="E157" i="10" s="1"/>
  <c r="P36" i="10"/>
  <c r="P155" i="10" s="1"/>
  <c r="O36" i="10"/>
  <c r="O155" i="10" s="1"/>
  <c r="N36" i="10"/>
  <c r="N155" i="10" s="1"/>
  <c r="M36" i="10"/>
  <c r="M155" i="10" s="1"/>
  <c r="L36" i="10"/>
  <c r="L155" i="10" s="1"/>
  <c r="K36" i="10"/>
  <c r="K155" i="10" s="1"/>
  <c r="J36" i="10"/>
  <c r="J155" i="10" s="1"/>
  <c r="I36" i="10"/>
  <c r="I155" i="10" s="1"/>
  <c r="H36" i="10"/>
  <c r="H155" i="10" s="1"/>
  <c r="G36" i="10"/>
  <c r="G155" i="10" s="1"/>
  <c r="F36" i="10"/>
  <c r="F155" i="10" s="1"/>
  <c r="E36" i="10"/>
  <c r="E155" i="10" s="1"/>
  <c r="P123" i="9"/>
  <c r="O123" i="9"/>
  <c r="M123" i="9"/>
  <c r="L123" i="9"/>
  <c r="K123" i="9"/>
  <c r="F12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P88" i="9"/>
  <c r="P213" i="9" s="1"/>
  <c r="O88" i="9"/>
  <c r="O213" i="9" s="1"/>
  <c r="N88" i="9"/>
  <c r="N213" i="9" s="1"/>
  <c r="M88" i="9"/>
  <c r="M213" i="9" s="1"/>
  <c r="L88" i="9"/>
  <c r="L213" i="9" s="1"/>
  <c r="K88" i="9"/>
  <c r="K213" i="9" s="1"/>
  <c r="J88" i="9"/>
  <c r="J213" i="9" s="1"/>
  <c r="I88" i="9"/>
  <c r="I213" i="9" s="1"/>
  <c r="H88" i="9"/>
  <c r="H213" i="9" s="1"/>
  <c r="G88" i="9"/>
  <c r="G213" i="9" s="1"/>
  <c r="F88" i="9"/>
  <c r="F213" i="9" s="1"/>
  <c r="E88" i="9"/>
  <c r="E213" i="9" s="1"/>
  <c r="L84" i="9"/>
  <c r="P79" i="9"/>
  <c r="O79" i="9"/>
  <c r="N79" i="9"/>
  <c r="M79" i="9"/>
  <c r="L79" i="9"/>
  <c r="K79" i="9"/>
  <c r="J79" i="9"/>
  <c r="I79" i="9"/>
  <c r="H79" i="9"/>
  <c r="G79" i="9"/>
  <c r="F79" i="9"/>
  <c r="E79" i="9"/>
  <c r="P63" i="9"/>
  <c r="P206" i="9" s="1"/>
  <c r="O63" i="9"/>
  <c r="O206" i="9" s="1"/>
  <c r="N63" i="9"/>
  <c r="N206" i="9" s="1"/>
  <c r="M63" i="9"/>
  <c r="M206" i="9" s="1"/>
  <c r="L63" i="9"/>
  <c r="L206" i="9" s="1"/>
  <c r="K63" i="9"/>
  <c r="K206" i="9" s="1"/>
  <c r="J63" i="9"/>
  <c r="J206" i="9" s="1"/>
  <c r="I63" i="9"/>
  <c r="I206" i="9" s="1"/>
  <c r="H63" i="9"/>
  <c r="H206" i="9" s="1"/>
  <c r="G63" i="9"/>
  <c r="G206" i="9" s="1"/>
  <c r="F63" i="9"/>
  <c r="F206" i="9" s="1"/>
  <c r="E63" i="9"/>
  <c r="E206" i="9" s="1"/>
  <c r="P50" i="9"/>
  <c r="P201" i="9" s="1"/>
  <c r="O50" i="9"/>
  <c r="O201" i="9" s="1"/>
  <c r="N50" i="9"/>
  <c r="N201" i="9" s="1"/>
  <c r="M50" i="9"/>
  <c r="M201" i="9" s="1"/>
  <c r="L50" i="9"/>
  <c r="L201" i="9" s="1"/>
  <c r="K50" i="9"/>
  <c r="K201" i="9" s="1"/>
  <c r="J50" i="9"/>
  <c r="J201" i="9" s="1"/>
  <c r="I50" i="9"/>
  <c r="I201" i="9" s="1"/>
  <c r="H50" i="9"/>
  <c r="H201" i="9" s="1"/>
  <c r="G50" i="9"/>
  <c r="G201" i="9" s="1"/>
  <c r="F50" i="9"/>
  <c r="F201" i="9" s="1"/>
  <c r="E50" i="9"/>
  <c r="E201" i="9" s="1"/>
  <c r="P43" i="9"/>
  <c r="P199" i="9" s="1"/>
  <c r="O43" i="9"/>
  <c r="O199" i="9" s="1"/>
  <c r="N43" i="9"/>
  <c r="N199" i="9" s="1"/>
  <c r="M43" i="9"/>
  <c r="M199" i="9" s="1"/>
  <c r="L43" i="9"/>
  <c r="L199" i="9" s="1"/>
  <c r="K43" i="9"/>
  <c r="K199" i="9" s="1"/>
  <c r="J43" i="9"/>
  <c r="J199" i="9" s="1"/>
  <c r="I43" i="9"/>
  <c r="I199" i="9" s="1"/>
  <c r="H43" i="9"/>
  <c r="H199" i="9" s="1"/>
  <c r="G43" i="9"/>
  <c r="G199" i="9" s="1"/>
  <c r="F43" i="9"/>
  <c r="F199" i="9" s="1"/>
  <c r="E43" i="9"/>
  <c r="E199" i="9" s="1"/>
  <c r="P36" i="9"/>
  <c r="P197" i="9" s="1"/>
  <c r="O36" i="9"/>
  <c r="O197" i="9" s="1"/>
  <c r="N36" i="9"/>
  <c r="N197" i="9" s="1"/>
  <c r="M36" i="9"/>
  <c r="M197" i="9" s="1"/>
  <c r="L36" i="9"/>
  <c r="L197" i="9" s="1"/>
  <c r="K36" i="9"/>
  <c r="K197" i="9" s="1"/>
  <c r="J36" i="9"/>
  <c r="J197" i="9" s="1"/>
  <c r="I36" i="9"/>
  <c r="I197" i="9" s="1"/>
  <c r="H36" i="9"/>
  <c r="H197" i="9" s="1"/>
  <c r="G36" i="9"/>
  <c r="G197" i="9" s="1"/>
  <c r="F36" i="9"/>
  <c r="F197" i="9" s="1"/>
  <c r="E36" i="9"/>
  <c r="E197" i="9" s="1"/>
  <c r="P123" i="8"/>
  <c r="O123" i="8"/>
  <c r="N123" i="8"/>
  <c r="M123" i="8"/>
  <c r="L123" i="8"/>
  <c r="K123" i="8"/>
  <c r="J123" i="8"/>
  <c r="I123" i="8"/>
  <c r="H123" i="8"/>
  <c r="G123" i="8"/>
  <c r="F123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P79" i="8"/>
  <c r="O79" i="8"/>
  <c r="N79" i="8"/>
  <c r="M79" i="8"/>
  <c r="L79" i="8"/>
  <c r="K79" i="8"/>
  <c r="J79" i="8"/>
  <c r="I79" i="8"/>
  <c r="H79" i="8"/>
  <c r="G79" i="8"/>
  <c r="F79" i="8"/>
  <c r="E79" i="8"/>
  <c r="P67" i="8"/>
  <c r="P214" i="8" s="1"/>
  <c r="O67" i="8"/>
  <c r="O214" i="8" s="1"/>
  <c r="N67" i="8"/>
  <c r="N214" i="8" s="1"/>
  <c r="M67" i="8"/>
  <c r="M214" i="8" s="1"/>
  <c r="L67" i="8"/>
  <c r="L214" i="8" s="1"/>
  <c r="K67" i="8"/>
  <c r="K214" i="8" s="1"/>
  <c r="J67" i="8"/>
  <c r="J214" i="8" s="1"/>
  <c r="I67" i="8"/>
  <c r="I214" i="8" s="1"/>
  <c r="H67" i="8"/>
  <c r="H214" i="8" s="1"/>
  <c r="G67" i="8"/>
  <c r="G214" i="8" s="1"/>
  <c r="F67" i="8"/>
  <c r="F214" i="8" s="1"/>
  <c r="E67" i="8"/>
  <c r="E214" i="8" s="1"/>
  <c r="P63" i="8"/>
  <c r="P213" i="8" s="1"/>
  <c r="O63" i="8"/>
  <c r="O213" i="8" s="1"/>
  <c r="N63" i="8"/>
  <c r="N213" i="8" s="1"/>
  <c r="M63" i="8"/>
  <c r="M213" i="8" s="1"/>
  <c r="L63" i="8"/>
  <c r="L213" i="8" s="1"/>
  <c r="K63" i="8"/>
  <c r="K213" i="8" s="1"/>
  <c r="J63" i="8"/>
  <c r="J213" i="8" s="1"/>
  <c r="I63" i="8"/>
  <c r="I213" i="8" s="1"/>
  <c r="H63" i="8"/>
  <c r="H213" i="8" s="1"/>
  <c r="G63" i="8"/>
  <c r="G213" i="8" s="1"/>
  <c r="F63" i="8"/>
  <c r="F213" i="8" s="1"/>
  <c r="E63" i="8"/>
  <c r="E213" i="8" s="1"/>
  <c r="P50" i="8"/>
  <c r="P208" i="8" s="1"/>
  <c r="O50" i="8"/>
  <c r="O208" i="8" s="1"/>
  <c r="N50" i="8"/>
  <c r="N208" i="8" s="1"/>
  <c r="M50" i="8"/>
  <c r="M208" i="8" s="1"/>
  <c r="L50" i="8"/>
  <c r="L208" i="8" s="1"/>
  <c r="K50" i="8"/>
  <c r="K208" i="8" s="1"/>
  <c r="J50" i="8"/>
  <c r="J208" i="8" s="1"/>
  <c r="I50" i="8"/>
  <c r="I208" i="8" s="1"/>
  <c r="H50" i="8"/>
  <c r="H208" i="8" s="1"/>
  <c r="G50" i="8"/>
  <c r="G208" i="8" s="1"/>
  <c r="F50" i="8"/>
  <c r="F208" i="8" s="1"/>
  <c r="E50" i="8"/>
  <c r="E208" i="8" s="1"/>
  <c r="P43" i="8"/>
  <c r="P206" i="8" s="1"/>
  <c r="O43" i="8"/>
  <c r="O206" i="8" s="1"/>
  <c r="N43" i="8"/>
  <c r="N206" i="8" s="1"/>
  <c r="M43" i="8"/>
  <c r="M206" i="8" s="1"/>
  <c r="L43" i="8"/>
  <c r="L206" i="8" s="1"/>
  <c r="K43" i="8"/>
  <c r="K206" i="8" s="1"/>
  <c r="J43" i="8"/>
  <c r="J206" i="8" s="1"/>
  <c r="I43" i="8"/>
  <c r="I206" i="8" s="1"/>
  <c r="H43" i="8"/>
  <c r="H206" i="8" s="1"/>
  <c r="F43" i="8"/>
  <c r="F206" i="8" s="1"/>
  <c r="E43" i="8"/>
  <c r="E206" i="8" s="1"/>
  <c r="P36" i="8"/>
  <c r="P204" i="8" s="1"/>
  <c r="O36" i="8"/>
  <c r="O204" i="8" s="1"/>
  <c r="N36" i="8"/>
  <c r="N204" i="8" s="1"/>
  <c r="M36" i="8"/>
  <c r="M204" i="8" s="1"/>
  <c r="L36" i="8"/>
  <c r="L204" i="8" s="1"/>
  <c r="K36" i="8"/>
  <c r="K204" i="8" s="1"/>
  <c r="J36" i="8"/>
  <c r="J204" i="8" s="1"/>
  <c r="I36" i="8"/>
  <c r="I204" i="8" s="1"/>
  <c r="H36" i="8"/>
  <c r="H204" i="8" s="1"/>
  <c r="G36" i="8"/>
  <c r="G204" i="8" s="1"/>
  <c r="F36" i="8"/>
  <c r="F204" i="8" s="1"/>
  <c r="E36" i="8"/>
  <c r="E204" i="8" s="1"/>
  <c r="P123" i="22"/>
  <c r="O123" i="22"/>
  <c r="N123" i="22"/>
  <c r="M123" i="22"/>
  <c r="L123" i="22"/>
  <c r="K123" i="22"/>
  <c r="J123" i="22"/>
  <c r="I123" i="22"/>
  <c r="H123" i="22"/>
  <c r="G123" i="22"/>
  <c r="F123" i="22"/>
  <c r="E123" i="22"/>
  <c r="P103" i="22"/>
  <c r="O103" i="22"/>
  <c r="N103" i="22"/>
  <c r="M103" i="22"/>
  <c r="L103" i="22"/>
  <c r="K103" i="22"/>
  <c r="J103" i="22"/>
  <c r="I103" i="22"/>
  <c r="H103" i="22"/>
  <c r="G103" i="22"/>
  <c r="F103" i="22"/>
  <c r="E103" i="22"/>
  <c r="P88" i="22"/>
  <c r="P168" i="22" s="1"/>
  <c r="O88" i="22"/>
  <c r="O168" i="22" s="1"/>
  <c r="N88" i="22"/>
  <c r="N168" i="22" s="1"/>
  <c r="M88" i="22"/>
  <c r="M168" i="22" s="1"/>
  <c r="L88" i="22"/>
  <c r="L168" i="22" s="1"/>
  <c r="K88" i="22"/>
  <c r="K168" i="22" s="1"/>
  <c r="J88" i="22"/>
  <c r="J168" i="22" s="1"/>
  <c r="I88" i="22"/>
  <c r="I168" i="22" s="1"/>
  <c r="H88" i="22"/>
  <c r="H168" i="22" s="1"/>
  <c r="G88" i="22"/>
  <c r="G168" i="22" s="1"/>
  <c r="F88" i="22"/>
  <c r="F168" i="22" s="1"/>
  <c r="E88" i="22"/>
  <c r="E168" i="22" s="1"/>
  <c r="P84" i="22"/>
  <c r="O84" i="22"/>
  <c r="N84" i="22"/>
  <c r="M84" i="22"/>
  <c r="L84" i="22"/>
  <c r="K84" i="22"/>
  <c r="J84" i="22"/>
  <c r="I84" i="22"/>
  <c r="H84" i="22"/>
  <c r="G84" i="22"/>
  <c r="F84" i="22"/>
  <c r="E84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P67" i="22"/>
  <c r="P164" i="22" s="1"/>
  <c r="O67" i="22"/>
  <c r="O164" i="22" s="1"/>
  <c r="N67" i="22"/>
  <c r="N164" i="22" s="1"/>
  <c r="M67" i="22"/>
  <c r="M164" i="22" s="1"/>
  <c r="L67" i="22"/>
  <c r="L164" i="22" s="1"/>
  <c r="K67" i="22"/>
  <c r="K164" i="22" s="1"/>
  <c r="J67" i="22"/>
  <c r="J164" i="22" s="1"/>
  <c r="I67" i="22"/>
  <c r="I164" i="22" s="1"/>
  <c r="H67" i="22"/>
  <c r="H164" i="22" s="1"/>
  <c r="G67" i="22"/>
  <c r="G164" i="22" s="1"/>
  <c r="F67" i="22"/>
  <c r="F164" i="22" s="1"/>
  <c r="E67" i="22"/>
  <c r="E164" i="22" s="1"/>
  <c r="P63" i="22"/>
  <c r="P163" i="22" s="1"/>
  <c r="O63" i="22"/>
  <c r="O163" i="22" s="1"/>
  <c r="N63" i="22"/>
  <c r="N163" i="22" s="1"/>
  <c r="M63" i="22"/>
  <c r="M163" i="22" s="1"/>
  <c r="L63" i="22"/>
  <c r="L163" i="22" s="1"/>
  <c r="K63" i="22"/>
  <c r="K163" i="22" s="1"/>
  <c r="J63" i="22"/>
  <c r="J163" i="22" s="1"/>
  <c r="I63" i="22"/>
  <c r="I163" i="22" s="1"/>
  <c r="H63" i="22"/>
  <c r="H163" i="22" s="1"/>
  <c r="G63" i="22"/>
  <c r="G163" i="22" s="1"/>
  <c r="F63" i="22"/>
  <c r="F163" i="22" s="1"/>
  <c r="E63" i="22"/>
  <c r="E163" i="22" s="1"/>
  <c r="P50" i="22"/>
  <c r="P158" i="22" s="1"/>
  <c r="F50" i="22"/>
  <c r="F158" i="22" s="1"/>
  <c r="E50" i="22"/>
  <c r="E158" i="22" s="1"/>
  <c r="P43" i="22"/>
  <c r="P156" i="22" s="1"/>
  <c r="O43" i="22"/>
  <c r="O156" i="22" s="1"/>
  <c r="N43" i="22"/>
  <c r="N156" i="22" s="1"/>
  <c r="M43" i="22"/>
  <c r="M156" i="22" s="1"/>
  <c r="L43" i="22"/>
  <c r="L156" i="22" s="1"/>
  <c r="K43" i="22"/>
  <c r="K156" i="22" s="1"/>
  <c r="J43" i="22"/>
  <c r="J156" i="22" s="1"/>
  <c r="I43" i="22"/>
  <c r="I156" i="22" s="1"/>
  <c r="H43" i="22"/>
  <c r="H156" i="22" s="1"/>
  <c r="G43" i="22"/>
  <c r="G156" i="22" s="1"/>
  <c r="F43" i="22"/>
  <c r="F156" i="22" s="1"/>
  <c r="E43" i="22"/>
  <c r="E156" i="22" s="1"/>
  <c r="P36" i="22"/>
  <c r="P155" i="22" s="1"/>
  <c r="O36" i="22"/>
  <c r="O155" i="22" s="1"/>
  <c r="M36" i="22"/>
  <c r="M155" i="22" s="1"/>
  <c r="L36" i="22"/>
  <c r="L155" i="22" s="1"/>
  <c r="K36" i="22"/>
  <c r="K155" i="22" s="1"/>
  <c r="J36" i="22"/>
  <c r="J155" i="22" s="1"/>
  <c r="I36" i="22"/>
  <c r="I155" i="22" s="1"/>
  <c r="H36" i="22"/>
  <c r="H155" i="22" s="1"/>
  <c r="G36" i="22"/>
  <c r="G155" i="22" s="1"/>
  <c r="F36" i="22"/>
  <c r="F155" i="22" s="1"/>
  <c r="E36" i="22"/>
  <c r="E155" i="22" s="1"/>
  <c r="P123" i="6"/>
  <c r="P117" i="6"/>
  <c r="O123" i="6"/>
  <c r="O117" i="6"/>
  <c r="N123" i="6"/>
  <c r="N117" i="6"/>
  <c r="M123" i="6"/>
  <c r="M117" i="6"/>
  <c r="L123" i="6"/>
  <c r="L117" i="6"/>
  <c r="K123" i="6"/>
  <c r="K117" i="6"/>
  <c r="J123" i="6"/>
  <c r="J117" i="6"/>
  <c r="I123" i="6"/>
  <c r="I117" i="6"/>
  <c r="H123" i="6"/>
  <c r="H117" i="6"/>
  <c r="G123" i="6"/>
  <c r="G117" i="6"/>
  <c r="F123" i="6"/>
  <c r="F117" i="6"/>
  <c r="E117" i="6"/>
  <c r="P103" i="6"/>
  <c r="P88" i="6"/>
  <c r="P194" i="6" s="1"/>
  <c r="P84" i="6"/>
  <c r="P79" i="6"/>
  <c r="O103" i="6"/>
  <c r="O88" i="6"/>
  <c r="O194" i="6" s="1"/>
  <c r="O84" i="6"/>
  <c r="O79" i="6"/>
  <c r="N103" i="6"/>
  <c r="N79" i="6"/>
  <c r="N84" i="6"/>
  <c r="N88" i="6"/>
  <c r="N194" i="6" s="1"/>
  <c r="M103" i="6"/>
  <c r="M88" i="6"/>
  <c r="M194" i="6" s="1"/>
  <c r="M84" i="6"/>
  <c r="M79" i="6"/>
  <c r="L103" i="6"/>
  <c r="L88" i="6"/>
  <c r="L194" i="6" s="1"/>
  <c r="L84" i="6"/>
  <c r="L79" i="6"/>
  <c r="K103" i="6"/>
  <c r="K88" i="6"/>
  <c r="K194" i="6" s="1"/>
  <c r="K84" i="6"/>
  <c r="K79" i="6"/>
  <c r="J103" i="6"/>
  <c r="J88" i="6"/>
  <c r="J194" i="6" s="1"/>
  <c r="J84" i="6"/>
  <c r="J79" i="6"/>
  <c r="I103" i="6"/>
  <c r="I88" i="6"/>
  <c r="I194" i="6" s="1"/>
  <c r="I84" i="6"/>
  <c r="I79" i="6"/>
  <c r="H103" i="6"/>
  <c r="H88" i="6"/>
  <c r="H194" i="6" s="1"/>
  <c r="H84" i="6"/>
  <c r="H79" i="6"/>
  <c r="G103" i="6"/>
  <c r="G88" i="6"/>
  <c r="G194" i="6" s="1"/>
  <c r="G84" i="6"/>
  <c r="G79" i="6"/>
  <c r="F103" i="6"/>
  <c r="F88" i="6"/>
  <c r="F194" i="6" s="1"/>
  <c r="F84" i="6"/>
  <c r="E84" i="6"/>
  <c r="F79" i="6"/>
  <c r="E88" i="6"/>
  <c r="E194" i="6" s="1"/>
  <c r="E79" i="6"/>
  <c r="P67" i="6"/>
  <c r="P191" i="6" s="1"/>
  <c r="P63" i="6"/>
  <c r="P190" i="6" s="1"/>
  <c r="P43" i="6"/>
  <c r="P183" i="6" s="1"/>
  <c r="P36" i="6"/>
  <c r="P181" i="6" s="1"/>
  <c r="O67" i="6"/>
  <c r="O191" i="6" s="1"/>
  <c r="O63" i="6"/>
  <c r="O190" i="6" s="1"/>
  <c r="O43" i="6"/>
  <c r="O183" i="6" s="1"/>
  <c r="O36" i="6"/>
  <c r="O181" i="6" s="1"/>
  <c r="N67" i="6"/>
  <c r="N191" i="6" s="1"/>
  <c r="N63" i="6"/>
  <c r="N190" i="6" s="1"/>
  <c r="N43" i="6"/>
  <c r="N183" i="6" s="1"/>
  <c r="N36" i="6"/>
  <c r="N181" i="6" s="1"/>
  <c r="M67" i="6"/>
  <c r="M191" i="6" s="1"/>
  <c r="M63" i="6"/>
  <c r="M190" i="6" s="1"/>
  <c r="M43" i="6"/>
  <c r="M183" i="6" s="1"/>
  <c r="M36" i="6"/>
  <c r="M181" i="6" s="1"/>
  <c r="L67" i="6"/>
  <c r="L191" i="6" s="1"/>
  <c r="L63" i="6"/>
  <c r="L190" i="6" s="1"/>
  <c r="L43" i="6"/>
  <c r="L183" i="6" s="1"/>
  <c r="L36" i="6"/>
  <c r="L181" i="6" s="1"/>
  <c r="K67" i="6"/>
  <c r="K191" i="6" s="1"/>
  <c r="K63" i="6"/>
  <c r="K190" i="6" s="1"/>
  <c r="K43" i="6"/>
  <c r="K183" i="6" s="1"/>
  <c r="K36" i="6"/>
  <c r="K181" i="6" s="1"/>
  <c r="J67" i="6"/>
  <c r="J191" i="6" s="1"/>
  <c r="J63" i="6"/>
  <c r="J190" i="6" s="1"/>
  <c r="J43" i="6"/>
  <c r="J183" i="6" s="1"/>
  <c r="J36" i="6"/>
  <c r="J181" i="6" s="1"/>
  <c r="I67" i="6"/>
  <c r="I191" i="6" s="1"/>
  <c r="I63" i="6"/>
  <c r="I190" i="6" s="1"/>
  <c r="I43" i="6"/>
  <c r="I183" i="6" s="1"/>
  <c r="I36" i="6"/>
  <c r="I181" i="6" s="1"/>
  <c r="H67" i="6"/>
  <c r="H191" i="6" s="1"/>
  <c r="H63" i="6"/>
  <c r="H190" i="6" s="1"/>
  <c r="H43" i="6"/>
  <c r="H183" i="6" s="1"/>
  <c r="H36" i="6"/>
  <c r="H181" i="6" s="1"/>
  <c r="G67" i="6"/>
  <c r="G191" i="6" s="1"/>
  <c r="G63" i="6"/>
  <c r="G190" i="6" s="1"/>
  <c r="G43" i="6"/>
  <c r="G183" i="6" s="1"/>
  <c r="E43" i="6"/>
  <c r="E183" i="6" s="1"/>
  <c r="F43" i="6"/>
  <c r="F183" i="6" s="1"/>
  <c r="G36" i="6"/>
  <c r="G181" i="6" s="1"/>
  <c r="F67" i="6"/>
  <c r="F191" i="6" s="1"/>
  <c r="F63" i="6"/>
  <c r="F190" i="6" s="1"/>
  <c r="F36" i="6"/>
  <c r="F181" i="6" s="1"/>
  <c r="E67" i="6"/>
  <c r="E191" i="6" s="1"/>
  <c r="E63" i="6"/>
  <c r="E190" i="6" s="1"/>
  <c r="E36" i="6"/>
  <c r="E181" i="6" s="1"/>
  <c r="Q10" i="6"/>
  <c r="Q122" i="6"/>
  <c r="R122" i="6" s="1"/>
  <c r="Q40" i="8"/>
  <c r="Q66" i="8"/>
  <c r="R66" i="8" s="1"/>
  <c r="Q38" i="8"/>
  <c r="G9" i="46" s="1"/>
  <c r="Q49" i="8"/>
  <c r="Q56" i="8"/>
  <c r="T56" i="8" s="1"/>
  <c r="Q60" i="8"/>
  <c r="Q61" i="8"/>
  <c r="Q62" i="8"/>
  <c r="R62" i="8" s="1"/>
  <c r="Q66" i="22"/>
  <c r="Q119" i="8"/>
  <c r="Q119" i="6"/>
  <c r="R119" i="6" s="1"/>
  <c r="Q121" i="6"/>
  <c r="R121" i="6" s="1"/>
  <c r="Q10" i="22"/>
  <c r="Q12" i="22"/>
  <c r="Q13" i="22"/>
  <c r="Q14" i="22"/>
  <c r="Q21" i="22"/>
  <c r="Q38" i="22"/>
  <c r="F9" i="46" s="1"/>
  <c r="Q43" i="22"/>
  <c r="F14" i="46"/>
  <c r="Q56" i="22"/>
  <c r="Q60" i="22"/>
  <c r="F15" i="46" s="1"/>
  <c r="Q61" i="22"/>
  <c r="F19" i="46" s="1"/>
  <c r="Q62" i="22"/>
  <c r="Q69" i="22"/>
  <c r="Q75" i="22"/>
  <c r="Q78" i="22"/>
  <c r="Q81" i="22"/>
  <c r="Q82" i="22"/>
  <c r="Q83" i="22"/>
  <c r="Q86" i="22"/>
  <c r="Q87" i="22"/>
  <c r="Q96" i="22"/>
  <c r="Q98" i="22"/>
  <c r="Q99" i="22"/>
  <c r="Q100" i="22"/>
  <c r="Q101" i="22"/>
  <c r="Q102" i="22"/>
  <c r="Q113" i="22"/>
  <c r="Q114" i="22"/>
  <c r="Q115" i="22"/>
  <c r="Q116" i="22"/>
  <c r="Q119" i="22"/>
  <c r="Q122" i="22"/>
  <c r="Q130" i="22"/>
  <c r="Q62" i="9"/>
  <c r="R62" i="9" s="1"/>
  <c r="Q14" i="10"/>
  <c r="Q12" i="10"/>
  <c r="Q13" i="10"/>
  <c r="Q21" i="10"/>
  <c r="Q14" i="6"/>
  <c r="R14" i="6" s="1"/>
  <c r="Q12" i="6"/>
  <c r="R12" i="6" s="1"/>
  <c r="Q13" i="6"/>
  <c r="R13" i="6" s="1"/>
  <c r="Q21" i="6"/>
  <c r="R21" i="6" s="1"/>
  <c r="Q21" i="8"/>
  <c r="Q14" i="8"/>
  <c r="Q10" i="8"/>
  <c r="Q174" i="8" s="1"/>
  <c r="Q12" i="8"/>
  <c r="Q13" i="8"/>
  <c r="Q14" i="9"/>
  <c r="T14" i="9" s="1"/>
  <c r="Q12" i="9"/>
  <c r="T12" i="9" s="1"/>
  <c r="Q13" i="9"/>
  <c r="T13" i="9" s="1"/>
  <c r="Q36" i="10"/>
  <c r="T36" i="10" s="1"/>
  <c r="Q38" i="10"/>
  <c r="I9" i="46" s="1"/>
  <c r="Q40" i="10"/>
  <c r="Q49" i="10"/>
  <c r="I11" i="46"/>
  <c r="Q60" i="10"/>
  <c r="Q61" i="10"/>
  <c r="Q62" i="10"/>
  <c r="R62" i="10" s="1"/>
  <c r="Q66" i="10"/>
  <c r="R66" i="10" s="1"/>
  <c r="Q69" i="10"/>
  <c r="Q75" i="10"/>
  <c r="Q78" i="10"/>
  <c r="R78" i="10" s="1"/>
  <c r="Q81" i="10"/>
  <c r="R81" i="10" s="1"/>
  <c r="Q82" i="10"/>
  <c r="R82" i="10" s="1"/>
  <c r="Q83" i="10"/>
  <c r="R83" i="10" s="1"/>
  <c r="E84" i="10"/>
  <c r="F84" i="10"/>
  <c r="G84" i="10"/>
  <c r="H84" i="10"/>
  <c r="I84" i="10"/>
  <c r="J84" i="10"/>
  <c r="K84" i="10"/>
  <c r="L84" i="10"/>
  <c r="M84" i="10"/>
  <c r="N84" i="10"/>
  <c r="O84" i="10"/>
  <c r="P84" i="10"/>
  <c r="Q87" i="10"/>
  <c r="R87" i="10" s="1"/>
  <c r="Q96" i="10"/>
  <c r="Q98" i="10"/>
  <c r="R98" i="10" s="1"/>
  <c r="Q99" i="10"/>
  <c r="R99" i="10" s="1"/>
  <c r="Q100" i="10"/>
  <c r="R100" i="10" s="1"/>
  <c r="Q101" i="10"/>
  <c r="R101" i="10" s="1"/>
  <c r="Q102" i="10"/>
  <c r="R102" i="10" s="1"/>
  <c r="Q113" i="10"/>
  <c r="R113" i="10" s="1"/>
  <c r="Q114" i="10"/>
  <c r="R114" i="10" s="1"/>
  <c r="Q115" i="10"/>
  <c r="R115" i="10" s="1"/>
  <c r="Q116" i="10"/>
  <c r="R116" i="10" s="1"/>
  <c r="Q119" i="10"/>
  <c r="Q121" i="10"/>
  <c r="R121" i="10" s="1"/>
  <c r="Q122" i="10"/>
  <c r="R122" i="10" s="1"/>
  <c r="Q130" i="10"/>
  <c r="R130" i="10" s="1"/>
  <c r="Q36" i="9"/>
  <c r="Q38" i="9"/>
  <c r="Q40" i="9"/>
  <c r="Q49" i="9"/>
  <c r="Q56" i="9"/>
  <c r="T56" i="9" s="1"/>
  <c r="Q60" i="9"/>
  <c r="Q61" i="9"/>
  <c r="Q66" i="9"/>
  <c r="R66" i="9" s="1"/>
  <c r="Q69" i="9"/>
  <c r="T69" i="9" s="1"/>
  <c r="Q75" i="9"/>
  <c r="T75" i="9" s="1"/>
  <c r="Q78" i="9"/>
  <c r="R78" i="9" s="1"/>
  <c r="Q81" i="9"/>
  <c r="R81" i="9" s="1"/>
  <c r="Q82" i="9"/>
  <c r="R82" i="9" s="1"/>
  <c r="Q83" i="9"/>
  <c r="R83" i="9" s="1"/>
  <c r="E84" i="9"/>
  <c r="F84" i="9"/>
  <c r="G84" i="9"/>
  <c r="H84" i="9"/>
  <c r="I84" i="9"/>
  <c r="J84" i="9"/>
  <c r="K84" i="9"/>
  <c r="M84" i="9"/>
  <c r="N84" i="9"/>
  <c r="O84" i="9"/>
  <c r="P84" i="9"/>
  <c r="Q86" i="9"/>
  <c r="R86" i="9" s="1"/>
  <c r="Q87" i="9"/>
  <c r="R87" i="9" s="1"/>
  <c r="Q96" i="9"/>
  <c r="T96" i="9" s="1"/>
  <c r="Q99" i="9"/>
  <c r="R99" i="9" s="1"/>
  <c r="Q100" i="9"/>
  <c r="R100" i="9" s="1"/>
  <c r="Q101" i="9"/>
  <c r="R101" i="9" s="1"/>
  <c r="Q102" i="9"/>
  <c r="R102" i="9" s="1"/>
  <c r="Q69" i="8"/>
  <c r="Q75" i="8"/>
  <c r="Q78" i="8"/>
  <c r="Q81" i="8"/>
  <c r="R81" i="8" s="1"/>
  <c r="Q82" i="8"/>
  <c r="R82" i="8" s="1"/>
  <c r="Q83" i="8"/>
  <c r="R83" i="8" s="1"/>
  <c r="E84" i="8"/>
  <c r="F84" i="8"/>
  <c r="G84" i="8"/>
  <c r="H84" i="8"/>
  <c r="I84" i="8"/>
  <c r="J84" i="8"/>
  <c r="K84" i="8"/>
  <c r="L84" i="8"/>
  <c r="M84" i="8"/>
  <c r="N84" i="8"/>
  <c r="O84" i="8"/>
  <c r="P84" i="8"/>
  <c r="Q86" i="8"/>
  <c r="R86" i="8" s="1"/>
  <c r="Q87" i="8"/>
  <c r="R87" i="8" s="1"/>
  <c r="Q96" i="8"/>
  <c r="Q98" i="8"/>
  <c r="R98" i="8" s="1"/>
  <c r="Q99" i="8"/>
  <c r="R99" i="8" s="1"/>
  <c r="Q100" i="8"/>
  <c r="R100" i="8" s="1"/>
  <c r="Q101" i="8"/>
  <c r="R101" i="8" s="1"/>
  <c r="Q102" i="8"/>
  <c r="R102" i="8" s="1"/>
  <c r="Q122" i="8"/>
  <c r="R122" i="8" s="1"/>
  <c r="Q130" i="8"/>
  <c r="R130" i="8" s="1"/>
  <c r="Q38" i="6"/>
  <c r="Q40" i="6"/>
  <c r="Q50" i="6"/>
  <c r="Q60" i="6"/>
  <c r="Q61" i="6"/>
  <c r="E19" i="46" s="1"/>
  <c r="Q62" i="6"/>
  <c r="R62" i="6" s="1"/>
  <c r="Q66" i="6"/>
  <c r="R66" i="6" s="1"/>
  <c r="Q69" i="6"/>
  <c r="R69" i="6" s="1"/>
  <c r="Q75" i="6"/>
  <c r="R75" i="6" s="1"/>
  <c r="Q77" i="6"/>
  <c r="R77" i="6" s="1"/>
  <c r="Q78" i="6"/>
  <c r="R78" i="6" s="1"/>
  <c r="Q81" i="6"/>
  <c r="R81" i="6" s="1"/>
  <c r="Q82" i="6"/>
  <c r="R82" i="6" s="1"/>
  <c r="Q83" i="6"/>
  <c r="R83" i="6" s="1"/>
  <c r="Q86" i="6"/>
  <c r="R86" i="6" s="1"/>
  <c r="Q87" i="6"/>
  <c r="R87" i="6" s="1"/>
  <c r="Q94" i="6"/>
  <c r="R94" i="6" s="1"/>
  <c r="Q98" i="6"/>
  <c r="R98" i="6" s="1"/>
  <c r="Q99" i="6"/>
  <c r="R99" i="6" s="1"/>
  <c r="Q100" i="6"/>
  <c r="R100" i="6" s="1"/>
  <c r="Q101" i="6"/>
  <c r="R101" i="6" s="1"/>
  <c r="Q102" i="6"/>
  <c r="R102" i="6" s="1"/>
  <c r="Q113" i="6"/>
  <c r="R113" i="6" s="1"/>
  <c r="Q114" i="6"/>
  <c r="R114" i="6" s="1"/>
  <c r="Q115" i="6"/>
  <c r="R115" i="6" s="1"/>
  <c r="Q116" i="6"/>
  <c r="R116" i="6" s="1"/>
  <c r="Q130" i="6"/>
  <c r="R130" i="6" s="1"/>
  <c r="I131" i="6"/>
  <c r="J131" i="6"/>
  <c r="K131" i="6"/>
  <c r="L131" i="6"/>
  <c r="M131" i="6"/>
  <c r="N131" i="6"/>
  <c r="O131" i="6"/>
  <c r="P131" i="6"/>
  <c r="Q36" i="22"/>
  <c r="Q36" i="8"/>
  <c r="T36" i="8" s="1"/>
  <c r="Q36" i="32"/>
  <c r="Q36" i="6"/>
  <c r="L8" i="46" l="1"/>
  <c r="T36" i="32"/>
  <c r="L11" i="46"/>
  <c r="T56" i="32"/>
  <c r="L9" i="46"/>
  <c r="T38" i="32"/>
  <c r="J19" i="46"/>
  <c r="K19" i="46"/>
  <c r="J15" i="46"/>
  <c r="K15" i="46"/>
  <c r="J9" i="46"/>
  <c r="K9" i="46"/>
  <c r="Q213" i="9"/>
  <c r="Q206" i="9"/>
  <c r="Q201" i="9"/>
  <c r="Q199" i="9"/>
  <c r="Q197" i="9"/>
  <c r="T38" i="9"/>
  <c r="H9" i="46"/>
  <c r="R38" i="6"/>
  <c r="E9" i="46"/>
  <c r="Q177" i="31"/>
  <c r="Q213" i="31"/>
  <c r="R64" i="31"/>
  <c r="R63" i="31"/>
  <c r="R60" i="6"/>
  <c r="E15" i="46"/>
  <c r="R61" i="9"/>
  <c r="H19" i="46"/>
  <c r="R61" i="10"/>
  <c r="I19" i="46"/>
  <c r="R60" i="8"/>
  <c r="G15" i="46"/>
  <c r="R60" i="10"/>
  <c r="I15" i="46"/>
  <c r="R60" i="9"/>
  <c r="H15" i="46"/>
  <c r="R61" i="8"/>
  <c r="G19" i="46"/>
  <c r="R10" i="6"/>
  <c r="T36" i="9"/>
  <c r="R75" i="8"/>
  <c r="T75" i="8"/>
  <c r="R13" i="8"/>
  <c r="T13" i="8"/>
  <c r="R38" i="8"/>
  <c r="T38" i="8"/>
  <c r="R14" i="8"/>
  <c r="T14" i="8"/>
  <c r="R21" i="8"/>
  <c r="T21" i="8"/>
  <c r="R12" i="8"/>
  <c r="T12" i="8"/>
  <c r="R69" i="8"/>
  <c r="T69" i="8"/>
  <c r="R119" i="8"/>
  <c r="T119" i="8"/>
  <c r="R41" i="31"/>
  <c r="T41" i="31"/>
  <c r="R122" i="31"/>
  <c r="T122" i="31"/>
  <c r="R78" i="31"/>
  <c r="T78" i="31"/>
  <c r="R72" i="31"/>
  <c r="T72" i="31"/>
  <c r="R10" i="8"/>
  <c r="R99" i="31"/>
  <c r="T99" i="31"/>
  <c r="R96" i="8"/>
  <c r="T96" i="8"/>
  <c r="R12" i="31"/>
  <c r="T12" i="31"/>
  <c r="R10" i="31"/>
  <c r="T10" i="31"/>
  <c r="R133" i="31"/>
  <c r="R21" i="31"/>
  <c r="T21" i="31"/>
  <c r="R105" i="31"/>
  <c r="R65" i="31"/>
  <c r="R90" i="31"/>
  <c r="R86" i="31"/>
  <c r="R13" i="31"/>
  <c r="T13" i="31"/>
  <c r="R125" i="31"/>
  <c r="R119" i="31"/>
  <c r="R14" i="31"/>
  <c r="T14" i="31"/>
  <c r="R12" i="10"/>
  <c r="T12" i="10"/>
  <c r="R14" i="10"/>
  <c r="T14" i="10"/>
  <c r="R119" i="10"/>
  <c r="T119" i="10"/>
  <c r="R75" i="10"/>
  <c r="T75" i="10"/>
  <c r="R69" i="10"/>
  <c r="T69" i="10"/>
  <c r="R38" i="10"/>
  <c r="T38" i="10"/>
  <c r="R96" i="10"/>
  <c r="T96" i="10"/>
  <c r="R21" i="10"/>
  <c r="T21" i="10"/>
  <c r="R13" i="10"/>
  <c r="T13" i="10"/>
  <c r="R12" i="9"/>
  <c r="R14" i="9"/>
  <c r="R96" i="9"/>
  <c r="R75" i="9"/>
  <c r="R13" i="9"/>
  <c r="R69" i="9"/>
  <c r="R38" i="9"/>
  <c r="R61" i="6"/>
  <c r="T73" i="6"/>
  <c r="L124" i="27"/>
  <c r="J124" i="27"/>
  <c r="M124" i="27"/>
  <c r="N124" i="27"/>
  <c r="F124" i="27"/>
  <c r="G124" i="27"/>
  <c r="H124" i="27"/>
  <c r="K124" i="27"/>
  <c r="Q179" i="22"/>
  <c r="E124" i="27"/>
  <c r="O124" i="27"/>
  <c r="I124" i="27"/>
  <c r="P124" i="27"/>
  <c r="Q156" i="32"/>
  <c r="Q50" i="32"/>
  <c r="Q43" i="32"/>
  <c r="Q79" i="32"/>
  <c r="T79" i="32" s="1"/>
  <c r="Q82" i="31"/>
  <c r="R81" i="31"/>
  <c r="Q70" i="31"/>
  <c r="K16" i="46" s="1"/>
  <c r="R69" i="31"/>
  <c r="Q53" i="31"/>
  <c r="R52" i="31"/>
  <c r="Q46" i="31"/>
  <c r="R43" i="31"/>
  <c r="Q50" i="10"/>
  <c r="R49" i="10"/>
  <c r="Q43" i="10"/>
  <c r="R40" i="10"/>
  <c r="H11" i="46"/>
  <c r="R56" i="9"/>
  <c r="Q50" i="9"/>
  <c r="T50" i="9" s="1"/>
  <c r="R49" i="9"/>
  <c r="Q43" i="9"/>
  <c r="T43" i="9" s="1"/>
  <c r="R40" i="9"/>
  <c r="Q43" i="8"/>
  <c r="R40" i="8"/>
  <c r="Q50" i="8"/>
  <c r="R49" i="8"/>
  <c r="G11" i="46"/>
  <c r="R56" i="8"/>
  <c r="Q79" i="8"/>
  <c r="R78" i="8"/>
  <c r="Q79" i="22"/>
  <c r="Q67" i="22"/>
  <c r="F16" i="46" s="1"/>
  <c r="F11" i="46"/>
  <c r="Q43" i="6"/>
  <c r="E12" i="46" s="1"/>
  <c r="R40" i="6"/>
  <c r="Q123" i="22"/>
  <c r="I8" i="46"/>
  <c r="R36" i="10"/>
  <c r="H8" i="46"/>
  <c r="R36" i="9"/>
  <c r="G8" i="46"/>
  <c r="R36" i="8"/>
  <c r="F12" i="46"/>
  <c r="F8" i="46"/>
  <c r="E14" i="46"/>
  <c r="R50" i="6"/>
  <c r="E8" i="46"/>
  <c r="R36" i="6"/>
  <c r="K358" i="27"/>
  <c r="Q173" i="10"/>
  <c r="Q173" i="22"/>
  <c r="M357" i="27"/>
  <c r="M358" i="27"/>
  <c r="G357" i="27"/>
  <c r="G358" i="27"/>
  <c r="L357" i="27"/>
  <c r="P357" i="27"/>
  <c r="H339" i="27"/>
  <c r="L347" i="27"/>
  <c r="Q180" i="32"/>
  <c r="J375" i="27"/>
  <c r="H341" i="27"/>
  <c r="G343" i="27"/>
  <c r="M347" i="27"/>
  <c r="L335" i="27"/>
  <c r="Q117" i="32"/>
  <c r="T117" i="32" s="1"/>
  <c r="Q88" i="32"/>
  <c r="T88" i="32" s="1"/>
  <c r="Q84" i="10"/>
  <c r="Q63" i="22"/>
  <c r="Q67" i="8"/>
  <c r="T67" i="8" s="1"/>
  <c r="Q84" i="9"/>
  <c r="T84" i="9" s="1"/>
  <c r="G337" i="27"/>
  <c r="K343" i="27"/>
  <c r="Q91" i="31"/>
  <c r="Q79" i="9"/>
  <c r="T79" i="9" s="1"/>
  <c r="K357" i="27"/>
  <c r="F357" i="27"/>
  <c r="O357" i="27"/>
  <c r="Q159" i="22"/>
  <c r="G338" i="27"/>
  <c r="I354" i="27"/>
  <c r="K339" i="27"/>
  <c r="O337" i="27"/>
  <c r="P339" i="27"/>
  <c r="P341" i="27"/>
  <c r="Q206" i="8"/>
  <c r="Q67" i="32"/>
  <c r="T67" i="32" s="1"/>
  <c r="Q88" i="9"/>
  <c r="T88" i="9" s="1"/>
  <c r="Q120" i="31"/>
  <c r="Q87" i="31"/>
  <c r="Q84" i="6"/>
  <c r="R84" i="6" s="1"/>
  <c r="E349" i="27"/>
  <c r="Q67" i="6"/>
  <c r="E85" i="27"/>
  <c r="Q117" i="8"/>
  <c r="F331" i="27"/>
  <c r="Q123" i="8"/>
  <c r="Q84" i="8"/>
  <c r="Q149" i="32"/>
  <c r="Q176" i="32"/>
  <c r="Q200" i="8"/>
  <c r="Q155" i="22"/>
  <c r="Q88" i="8"/>
  <c r="Q88" i="10"/>
  <c r="Q161" i="32"/>
  <c r="Q224" i="8"/>
  <c r="Q177" i="10"/>
  <c r="G375" i="27"/>
  <c r="Q126" i="31"/>
  <c r="Q117" i="6"/>
  <c r="R117" i="6" s="1"/>
  <c r="Q103" i="8"/>
  <c r="Q84" i="22"/>
  <c r="Q103" i="22"/>
  <c r="Q203" i="6"/>
  <c r="Q201" i="6"/>
  <c r="Q193" i="6"/>
  <c r="Q186" i="6"/>
  <c r="Q117" i="9"/>
  <c r="T117" i="9" s="1"/>
  <c r="Q223" i="8"/>
  <c r="Q194" i="6"/>
  <c r="Q267" i="31"/>
  <c r="I331" i="27"/>
  <c r="Q123" i="10"/>
  <c r="Q79" i="10"/>
  <c r="Q163" i="32"/>
  <c r="Q179" i="32"/>
  <c r="Q171" i="10"/>
  <c r="I334" i="27"/>
  <c r="Q255" i="31"/>
  <c r="Q174" i="10"/>
  <c r="Q168" i="32"/>
  <c r="F328" i="27"/>
  <c r="Q202" i="6"/>
  <c r="Q175" i="22"/>
  <c r="Q177" i="22"/>
  <c r="Q84" i="32"/>
  <c r="T84" i="32" s="1"/>
  <c r="Q15" i="10"/>
  <c r="I332" i="27"/>
  <c r="Q175" i="32"/>
  <c r="K375" i="27"/>
  <c r="Q88" i="6"/>
  <c r="R88" i="6" s="1"/>
  <c r="Q117" i="22"/>
  <c r="Q152" i="32"/>
  <c r="Q157" i="22"/>
  <c r="Q284" i="31"/>
  <c r="Q67" i="9"/>
  <c r="T67" i="9" s="1"/>
  <c r="Q67" i="10"/>
  <c r="T67" i="10" s="1"/>
  <c r="Q106" i="31"/>
  <c r="Q215" i="8"/>
  <c r="Q151" i="10"/>
  <c r="Q220" i="8"/>
  <c r="Q88" i="22"/>
  <c r="Q15" i="31"/>
  <c r="Q15" i="32"/>
  <c r="T15" i="32" s="1"/>
  <c r="Q174" i="22"/>
  <c r="Q216" i="8"/>
  <c r="Q225" i="8"/>
  <c r="Q63" i="6"/>
  <c r="R63" i="6" s="1"/>
  <c r="Q174" i="6"/>
  <c r="Q207" i="8"/>
  <c r="Q227" i="8"/>
  <c r="Q177" i="6"/>
  <c r="M343" i="27"/>
  <c r="Q165" i="22"/>
  <c r="Q167" i="22"/>
  <c r="Q178" i="22"/>
  <c r="Q151" i="22"/>
  <c r="M338" i="27"/>
  <c r="M333" i="27"/>
  <c r="M331" i="27"/>
  <c r="J345" i="27"/>
  <c r="N375" i="27"/>
  <c r="Q15" i="22"/>
  <c r="L337" i="27"/>
  <c r="Q63" i="32"/>
  <c r="T63" i="32" s="1"/>
  <c r="Q66" i="31"/>
  <c r="Q63" i="10"/>
  <c r="T63" i="10" s="1"/>
  <c r="Q63" i="9"/>
  <c r="T63" i="9" s="1"/>
  <c r="Q63" i="8"/>
  <c r="N335" i="27"/>
  <c r="I338" i="27"/>
  <c r="G347" i="27"/>
  <c r="O347" i="27"/>
  <c r="E375" i="27"/>
  <c r="F375" i="27"/>
  <c r="Q79" i="6"/>
  <c r="R79" i="6" s="1"/>
  <c r="E80" i="27"/>
  <c r="Q192" i="6"/>
  <c r="E345" i="27"/>
  <c r="Q200" i="6"/>
  <c r="K335" i="27"/>
  <c r="O335" i="27"/>
  <c r="J338" i="27"/>
  <c r="Q199" i="6"/>
  <c r="Q103" i="6"/>
  <c r="R103" i="6" s="1"/>
  <c r="Q172" i="32"/>
  <c r="N349" i="27"/>
  <c r="Q281" i="31"/>
  <c r="Q103" i="32"/>
  <c r="T103" i="32" s="1"/>
  <c r="Q203" i="8"/>
  <c r="Q160" i="10"/>
  <c r="Q209" i="8"/>
  <c r="Q272" i="31"/>
  <c r="Q165" i="10"/>
  <c r="Q148" i="10"/>
  <c r="Q197" i="8"/>
  <c r="Q148" i="22"/>
  <c r="E333" i="27"/>
  <c r="O328" i="27"/>
  <c r="Q258" i="31"/>
  <c r="Q175" i="10"/>
  <c r="Q117" i="10"/>
  <c r="Q123" i="32"/>
  <c r="T123" i="32" s="1"/>
  <c r="Q178" i="10"/>
  <c r="Q123" i="6"/>
  <c r="R123" i="6" s="1"/>
  <c r="Q204" i="6"/>
  <c r="Q176" i="22"/>
  <c r="Q176" i="10"/>
  <c r="Q226" i="8"/>
  <c r="Q177" i="32"/>
  <c r="Q219" i="8"/>
  <c r="Q168" i="10"/>
  <c r="Q169" i="32"/>
  <c r="Q167" i="32"/>
  <c r="Q277" i="31"/>
  <c r="Q164" i="22"/>
  <c r="Q191" i="6"/>
  <c r="Q188" i="6"/>
  <c r="Q184" i="6"/>
  <c r="Q183" i="6"/>
  <c r="Q152" i="10"/>
  <c r="Q153" i="32"/>
  <c r="Q179" i="6"/>
  <c r="Q178" i="6"/>
  <c r="Q147" i="10"/>
  <c r="Q147" i="32"/>
  <c r="Q253" i="31"/>
  <c r="Q259" i="31"/>
  <c r="M332" i="27"/>
  <c r="Q153" i="22"/>
  <c r="Q202" i="8"/>
  <c r="Q154" i="10"/>
  <c r="Q181" i="6"/>
  <c r="F334" i="27"/>
  <c r="Q155" i="10"/>
  <c r="Q180" i="6"/>
  <c r="Q154" i="22"/>
  <c r="Q152" i="22"/>
  <c r="Q201" i="8"/>
  <c r="Q155" i="32"/>
  <c r="Q153" i="10"/>
  <c r="Q154" i="32"/>
  <c r="Q156" i="22"/>
  <c r="Q158" i="10"/>
  <c r="Q159" i="32"/>
  <c r="Q265" i="31"/>
  <c r="N338" i="27"/>
  <c r="Q266" i="31"/>
  <c r="L341" i="27"/>
  <c r="Q161" i="22"/>
  <c r="Q211" i="8"/>
  <c r="Q163" i="22"/>
  <c r="Q165" i="32"/>
  <c r="Q164" i="10"/>
  <c r="Q162" i="10"/>
  <c r="Q190" i="6"/>
  <c r="Q213" i="8"/>
  <c r="Q271" i="31"/>
  <c r="Q269" i="31"/>
  <c r="Q158" i="22"/>
  <c r="Q160" i="32"/>
  <c r="Q208" i="8"/>
  <c r="Q159" i="10"/>
  <c r="Q185" i="6"/>
  <c r="Q204" i="8"/>
  <c r="Q260" i="31"/>
  <c r="M334" i="27"/>
  <c r="I333" i="27"/>
  <c r="F332" i="27"/>
  <c r="Q262" i="31"/>
  <c r="M335" i="27"/>
  <c r="Q261" i="31"/>
  <c r="Q170" i="10"/>
  <c r="Q171" i="22"/>
  <c r="Q103" i="9"/>
  <c r="T103" i="9" s="1"/>
  <c r="Q196" i="6"/>
  <c r="Q103" i="10"/>
  <c r="Q170" i="22"/>
  <c r="Q171" i="32"/>
  <c r="Q280" i="31"/>
  <c r="E104" i="27"/>
  <c r="N332" i="27"/>
  <c r="N334" i="27"/>
  <c r="G328" i="27"/>
  <c r="N333" i="27"/>
  <c r="J331" i="27"/>
  <c r="E118" i="27"/>
  <c r="J354" i="27"/>
  <c r="K349" i="27"/>
  <c r="O375" i="27"/>
  <c r="K336" i="27"/>
  <c r="E51" i="27"/>
  <c r="Q63" i="27"/>
  <c r="H344" i="27"/>
  <c r="Q178" i="32"/>
  <c r="Q166" i="10"/>
  <c r="Q273" i="31"/>
  <c r="Q286" i="31"/>
  <c r="Q287" i="31"/>
  <c r="Q167" i="10"/>
  <c r="Q61" i="27"/>
  <c r="Q88" i="27"/>
  <c r="Q100" i="27"/>
  <c r="Q101" i="27"/>
  <c r="F336" i="27"/>
  <c r="M344" i="27"/>
  <c r="H334" i="27"/>
  <c r="P334" i="27"/>
  <c r="H332" i="27"/>
  <c r="F339" i="27"/>
  <c r="L333" i="27"/>
  <c r="P332" i="27"/>
  <c r="E328" i="27"/>
  <c r="N341" i="27"/>
  <c r="E64" i="27"/>
  <c r="N336" i="27"/>
  <c r="K354" i="27"/>
  <c r="L349" i="27"/>
  <c r="L345" i="27"/>
  <c r="N337" i="27"/>
  <c r="K351" i="27"/>
  <c r="L331" i="27"/>
  <c r="Q46" i="27"/>
  <c r="Q21" i="27"/>
  <c r="Q29" i="27"/>
  <c r="Q31" i="27"/>
  <c r="G335" i="27"/>
  <c r="Q42" i="27"/>
  <c r="Q62" i="27"/>
  <c r="Q70" i="27"/>
  <c r="Q84" i="27"/>
  <c r="Q117" i="27"/>
  <c r="K344" i="27"/>
  <c r="G344" i="27"/>
  <c r="J344" i="27"/>
  <c r="Q12" i="27"/>
  <c r="Q76" i="27"/>
  <c r="Q78" i="27"/>
  <c r="F345" i="27"/>
  <c r="I345" i="27"/>
  <c r="M345" i="27"/>
  <c r="Q82" i="27"/>
  <c r="Q83" i="27"/>
  <c r="Q87" i="27"/>
  <c r="E89" i="27"/>
  <c r="F349" i="27"/>
  <c r="Q95" i="27"/>
  <c r="I349" i="27"/>
  <c r="H351" i="27"/>
  <c r="L351" i="27"/>
  <c r="H352" i="27"/>
  <c r="Q352" i="27" s="1"/>
  <c r="Q102" i="27"/>
  <c r="H353" i="27"/>
  <c r="Q353" i="27" s="1"/>
  <c r="Q103" i="27"/>
  <c r="H354" i="27"/>
  <c r="Q114" i="27"/>
  <c r="L354" i="27"/>
  <c r="P354" i="27"/>
  <c r="H355" i="27"/>
  <c r="Q355" i="27" s="1"/>
  <c r="Q115" i="27"/>
  <c r="H356" i="27"/>
  <c r="Q356" i="27" s="1"/>
  <c r="Q116" i="27"/>
  <c r="Q14" i="27"/>
  <c r="Q18" i="27"/>
  <c r="H328" i="27"/>
  <c r="L328" i="27"/>
  <c r="O331" i="27"/>
  <c r="G332" i="27"/>
  <c r="Q27" i="27"/>
  <c r="K333" i="27"/>
  <c r="E37" i="27"/>
  <c r="E44" i="27"/>
  <c r="Q41" i="27"/>
  <c r="F337" i="27"/>
  <c r="E339" i="27"/>
  <c r="Q53" i="27"/>
  <c r="M339" i="27"/>
  <c r="Q57" i="27"/>
  <c r="M341" i="27"/>
  <c r="Q13" i="27"/>
  <c r="Q49" i="27"/>
  <c r="Q50" i="27"/>
  <c r="Q39" i="27"/>
  <c r="Q48" i="27"/>
  <c r="G331" i="27"/>
  <c r="K331" i="27"/>
  <c r="K332" i="27"/>
  <c r="G333" i="27"/>
  <c r="O333" i="27"/>
  <c r="G334" i="27"/>
  <c r="O334" i="27"/>
  <c r="I337" i="27"/>
  <c r="M337" i="27"/>
  <c r="M328" i="27"/>
  <c r="E68" i="27"/>
  <c r="Q67" i="27"/>
  <c r="Q288" i="31"/>
  <c r="Q285" i="31"/>
  <c r="Q43" i="27"/>
  <c r="Q66" i="27"/>
  <c r="H375" i="27"/>
  <c r="L375" i="27"/>
  <c r="P375" i="27"/>
  <c r="I375" i="27"/>
  <c r="M375" i="27"/>
  <c r="Q289" i="31"/>
  <c r="Q79" i="27"/>
  <c r="Q346" i="27"/>
  <c r="Q147" i="22"/>
  <c r="L12" i="46" l="1"/>
  <c r="T43" i="32"/>
  <c r="L14" i="46"/>
  <c r="T50" i="32"/>
  <c r="K14" i="46"/>
  <c r="J14" i="46"/>
  <c r="D9" i="46"/>
  <c r="K12" i="46"/>
  <c r="J12" i="46"/>
  <c r="R88" i="8"/>
  <c r="T88" i="8"/>
  <c r="R63" i="8"/>
  <c r="T63" i="8"/>
  <c r="R50" i="8"/>
  <c r="T50" i="8"/>
  <c r="R117" i="8"/>
  <c r="T117" i="8"/>
  <c r="G12" i="46"/>
  <c r="T43" i="8"/>
  <c r="R84" i="8"/>
  <c r="T84" i="8"/>
  <c r="R123" i="8"/>
  <c r="T123" i="8"/>
  <c r="R66" i="31"/>
  <c r="T66" i="31"/>
  <c r="R87" i="31"/>
  <c r="T87" i="31"/>
  <c r="T46" i="31"/>
  <c r="R120" i="31"/>
  <c r="T120" i="31"/>
  <c r="T53" i="31"/>
  <c r="T70" i="31"/>
  <c r="R126" i="31"/>
  <c r="T126" i="31"/>
  <c r="R91" i="31"/>
  <c r="T91" i="31"/>
  <c r="R106" i="31"/>
  <c r="T106" i="31"/>
  <c r="R103" i="8"/>
  <c r="T103" i="8"/>
  <c r="R82" i="31"/>
  <c r="T82" i="31"/>
  <c r="R79" i="8"/>
  <c r="T79" i="8"/>
  <c r="R15" i="31"/>
  <c r="T15" i="31"/>
  <c r="I12" i="46"/>
  <c r="T43" i="10"/>
  <c r="R84" i="10"/>
  <c r="T84" i="10"/>
  <c r="I14" i="46"/>
  <c r="T50" i="10"/>
  <c r="R103" i="10"/>
  <c r="T103" i="10"/>
  <c r="R15" i="10"/>
  <c r="T15" i="10"/>
  <c r="R79" i="10"/>
  <c r="T79" i="10"/>
  <c r="R88" i="10"/>
  <c r="T88" i="10"/>
  <c r="R117" i="10"/>
  <c r="T117" i="10"/>
  <c r="R123" i="10"/>
  <c r="T123" i="10"/>
  <c r="R103" i="9"/>
  <c r="R84" i="9"/>
  <c r="R67" i="9"/>
  <c r="H12" i="46"/>
  <c r="R88" i="9"/>
  <c r="H14" i="46"/>
  <c r="R79" i="9"/>
  <c r="N16" i="46"/>
  <c r="N17" i="46" s="1"/>
  <c r="O16" i="46"/>
  <c r="O17" i="46" s="1"/>
  <c r="M16" i="46"/>
  <c r="M17" i="46" s="1"/>
  <c r="R70" i="31"/>
  <c r="R46" i="31"/>
  <c r="D11" i="46"/>
  <c r="D8" i="46"/>
  <c r="R117" i="9"/>
  <c r="R53" i="31"/>
  <c r="G14" i="46"/>
  <c r="R43" i="8"/>
  <c r="R43" i="10"/>
  <c r="R43" i="9"/>
  <c r="R43" i="6"/>
  <c r="R50" i="10"/>
  <c r="R50" i="9"/>
  <c r="G16" i="46"/>
  <c r="R67" i="8"/>
  <c r="E16" i="46"/>
  <c r="R67" i="6"/>
  <c r="L16" i="46"/>
  <c r="R63" i="10"/>
  <c r="I16" i="46"/>
  <c r="R67" i="10"/>
  <c r="R63" i="9"/>
  <c r="Q168" i="22"/>
  <c r="Q264" i="31"/>
  <c r="I347" i="27"/>
  <c r="J347" i="27"/>
  <c r="Q157" i="10"/>
  <c r="H16" i="46"/>
  <c r="K347" i="27"/>
  <c r="Q166" i="32"/>
  <c r="P351" i="27"/>
  <c r="Q351" i="27" s="1"/>
  <c r="Q99" i="27"/>
  <c r="K338" i="27"/>
  <c r="F338" i="27"/>
  <c r="O343" i="27"/>
  <c r="P347" i="27"/>
  <c r="Q217" i="8"/>
  <c r="I335" i="27"/>
  <c r="Q205" i="6"/>
  <c r="O338" i="27"/>
  <c r="L358" i="27"/>
  <c r="Q179" i="10"/>
  <c r="Q228" i="8"/>
  <c r="F358" i="27"/>
  <c r="P358" i="27"/>
  <c r="H347" i="27"/>
  <c r="Q278" i="31"/>
  <c r="Q158" i="32"/>
  <c r="Q214" i="8"/>
  <c r="I343" i="27"/>
  <c r="H343" i="27"/>
  <c r="O336" i="27"/>
  <c r="L343" i="27"/>
  <c r="Q349" i="27"/>
  <c r="N347" i="27"/>
  <c r="F347" i="27"/>
  <c r="P343" i="27"/>
  <c r="P335" i="27"/>
  <c r="J335" i="27"/>
  <c r="I344" i="27"/>
  <c r="P344" i="27"/>
  <c r="P336" i="27"/>
  <c r="F343" i="27"/>
  <c r="E338" i="27"/>
  <c r="N344" i="27"/>
  <c r="Q339" i="27"/>
  <c r="Q345" i="27"/>
  <c r="Q64" i="27"/>
  <c r="Q354" i="27"/>
  <c r="Q328" i="27"/>
  <c r="E347" i="27"/>
  <c r="J336" i="27"/>
  <c r="Q89" i="27"/>
  <c r="Q118" i="27"/>
  <c r="E343" i="27"/>
  <c r="Q341" i="27"/>
  <c r="Q332" i="27"/>
  <c r="F344" i="27"/>
  <c r="Q85" i="27"/>
  <c r="J343" i="27"/>
  <c r="N343" i="27"/>
  <c r="O344" i="27"/>
  <c r="M336" i="27"/>
  <c r="E336" i="27"/>
  <c r="E335" i="27"/>
  <c r="I336" i="27"/>
  <c r="F335" i="27"/>
  <c r="Q333" i="27"/>
  <c r="Q68" i="27"/>
  <c r="Q334" i="27"/>
  <c r="Q337" i="27"/>
  <c r="E344" i="27"/>
  <c r="L344" i="27"/>
  <c r="Q331" i="27"/>
  <c r="L338" i="27"/>
  <c r="Q51" i="27"/>
  <c r="P338" i="27"/>
  <c r="H335" i="27"/>
  <c r="G336" i="27"/>
  <c r="H336" i="27"/>
  <c r="H338" i="27"/>
  <c r="Q44" i="27"/>
  <c r="L336" i="27"/>
  <c r="Q80" i="27"/>
  <c r="O358" i="27"/>
  <c r="K17" i="46" l="1"/>
  <c r="D12" i="46"/>
  <c r="D14" i="46"/>
  <c r="D16" i="46"/>
  <c r="Q104" i="27"/>
  <c r="Q347" i="27"/>
  <c r="Q343" i="27"/>
  <c r="Q344" i="27"/>
  <c r="Q335" i="27"/>
  <c r="Q338" i="27"/>
  <c r="Q336" i="27"/>
  <c r="E348" i="27" l="1"/>
  <c r="F348" i="27" l="1"/>
  <c r="G348" i="27" l="1"/>
  <c r="H348" i="27" l="1"/>
  <c r="I348" i="27" l="1"/>
  <c r="J348" i="27" l="1"/>
  <c r="K348" i="27" l="1"/>
  <c r="L348" i="27" l="1"/>
  <c r="M348" i="27" l="1"/>
  <c r="N348" i="27" l="1"/>
  <c r="Q92" i="9" l="1"/>
  <c r="T92" i="9" s="1"/>
  <c r="Q95" i="31"/>
  <c r="Q92" i="22"/>
  <c r="Q92" i="32"/>
  <c r="T92" i="32" s="1"/>
  <c r="Q218" i="8"/>
  <c r="Q92" i="8"/>
  <c r="Q92" i="10"/>
  <c r="O348" i="27"/>
  <c r="Q195" i="6"/>
  <c r="Q92" i="6"/>
  <c r="R92" i="6" s="1"/>
  <c r="R95" i="31" l="1"/>
  <c r="T95" i="31"/>
  <c r="R92" i="8"/>
  <c r="T92" i="8"/>
  <c r="R92" i="10"/>
  <c r="T92" i="10"/>
  <c r="R92" i="9"/>
  <c r="Q169" i="22"/>
  <c r="Q169" i="10"/>
  <c r="Q170" i="32"/>
  <c r="Q279" i="31"/>
  <c r="P348" i="27"/>
  <c r="Q348" i="27" s="1"/>
  <c r="Q93" i="27"/>
  <c r="L58" i="32" l="1"/>
  <c r="L164" i="32" s="1"/>
  <c r="F58" i="32"/>
  <c r="F164" i="32" s="1"/>
  <c r="L61" i="31"/>
  <c r="F61" i="31"/>
  <c r="L58" i="10"/>
  <c r="L163" i="10" s="1"/>
  <c r="F58" i="10"/>
  <c r="F163" i="10" s="1"/>
  <c r="L58" i="8"/>
  <c r="L212" i="8" s="1"/>
  <c r="F58" i="8"/>
  <c r="F212" i="8" s="1"/>
  <c r="L58" i="22"/>
  <c r="L162" i="22" s="1"/>
  <c r="F58" i="22"/>
  <c r="F162" i="22" s="1"/>
  <c r="L58" i="6"/>
  <c r="L189" i="6" s="1"/>
  <c r="F58" i="6"/>
  <c r="F189" i="6" s="1"/>
  <c r="K58" i="32"/>
  <c r="K164" i="32" s="1"/>
  <c r="K61" i="31"/>
  <c r="K58" i="10"/>
  <c r="K163" i="10" s="1"/>
  <c r="K58" i="8"/>
  <c r="K212" i="8" s="1"/>
  <c r="K58" i="22"/>
  <c r="K162" i="22" s="1"/>
  <c r="K58" i="6"/>
  <c r="K189" i="6" s="1"/>
  <c r="P58" i="32"/>
  <c r="P164" i="32" s="1"/>
  <c r="J58" i="32"/>
  <c r="J164" i="32" s="1"/>
  <c r="P61" i="31"/>
  <c r="P270" i="31" s="1"/>
  <c r="J61" i="31"/>
  <c r="P58" i="10"/>
  <c r="P163" i="10" s="1"/>
  <c r="J58" i="10"/>
  <c r="J163" i="10" s="1"/>
  <c r="P58" i="8"/>
  <c r="P212" i="8" s="1"/>
  <c r="J58" i="8"/>
  <c r="J212" i="8" s="1"/>
  <c r="P58" i="22"/>
  <c r="P162" i="22" s="1"/>
  <c r="J58" i="22"/>
  <c r="J162" i="22" s="1"/>
  <c r="P58" i="6"/>
  <c r="P189" i="6" s="1"/>
  <c r="J58" i="6"/>
  <c r="J189" i="6" s="1"/>
  <c r="O58" i="32"/>
  <c r="O164" i="32" s="1"/>
  <c r="I58" i="32"/>
  <c r="I164" i="32" s="1"/>
  <c r="O61" i="31"/>
  <c r="I61" i="31"/>
  <c r="O58" i="10"/>
  <c r="O163" i="10" s="1"/>
  <c r="I58" i="10"/>
  <c r="I163" i="10" s="1"/>
  <c r="O58" i="8"/>
  <c r="O212" i="8" s="1"/>
  <c r="I58" i="8"/>
  <c r="I212" i="8" s="1"/>
  <c r="O58" i="22"/>
  <c r="O162" i="22" s="1"/>
  <c r="I58" i="22"/>
  <c r="I162" i="22" s="1"/>
  <c r="O58" i="6"/>
  <c r="O189" i="6" s="1"/>
  <c r="I58" i="6"/>
  <c r="I189" i="6" s="1"/>
  <c r="N58" i="32"/>
  <c r="N164" i="32" s="1"/>
  <c r="H58" i="32"/>
  <c r="H164" i="32" s="1"/>
  <c r="N61" i="31"/>
  <c r="H61" i="31"/>
  <c r="N58" i="10"/>
  <c r="N163" i="10" s="1"/>
  <c r="H58" i="10"/>
  <c r="H163" i="10" s="1"/>
  <c r="N58" i="8"/>
  <c r="N212" i="8" s="1"/>
  <c r="H58" i="8"/>
  <c r="H212" i="8" s="1"/>
  <c r="N58" i="22"/>
  <c r="N162" i="22" s="1"/>
  <c r="H58" i="22"/>
  <c r="H162" i="22" s="1"/>
  <c r="N58" i="6"/>
  <c r="N189" i="6" s="1"/>
  <c r="H58" i="6"/>
  <c r="H189" i="6" s="1"/>
  <c r="M58" i="32"/>
  <c r="M164" i="32" s="1"/>
  <c r="G58" i="32"/>
  <c r="G164" i="32" s="1"/>
  <c r="M61" i="31"/>
  <c r="G61" i="31"/>
  <c r="M58" i="10"/>
  <c r="M163" i="10" s="1"/>
  <c r="G58" i="10"/>
  <c r="G163" i="10" s="1"/>
  <c r="M58" i="8"/>
  <c r="M212" i="8" s="1"/>
  <c r="G58" i="8"/>
  <c r="G212" i="8" s="1"/>
  <c r="M58" i="22"/>
  <c r="M162" i="22" s="1"/>
  <c r="G58" i="22"/>
  <c r="G162" i="22" s="1"/>
  <c r="M58" i="6"/>
  <c r="M189" i="6" s="1"/>
  <c r="K74" i="31" l="1"/>
  <c r="K270" i="31"/>
  <c r="P74" i="31"/>
  <c r="O74" i="31"/>
  <c r="O270" i="31"/>
  <c r="H74" i="31"/>
  <c r="H270" i="31"/>
  <c r="F74" i="31"/>
  <c r="F270" i="31"/>
  <c r="N74" i="31"/>
  <c r="N270" i="31"/>
  <c r="L74" i="31"/>
  <c r="L270" i="31"/>
  <c r="J74" i="31"/>
  <c r="J270" i="31"/>
  <c r="I74" i="31"/>
  <c r="I270" i="31"/>
  <c r="G74" i="31"/>
  <c r="G270" i="31"/>
  <c r="M74" i="31"/>
  <c r="M270" i="31"/>
  <c r="O59" i="27"/>
  <c r="I59" i="27"/>
  <c r="H59" i="27"/>
  <c r="F59" i="27"/>
  <c r="N59" i="27"/>
  <c r="L59" i="27"/>
  <c r="M59" i="27"/>
  <c r="J59" i="27"/>
  <c r="K59" i="27"/>
  <c r="P59" i="27"/>
  <c r="E58" i="8"/>
  <c r="E212" i="8" s="1"/>
  <c r="E58" i="6"/>
  <c r="E189" i="6" s="1"/>
  <c r="G58" i="6"/>
  <c r="E58" i="32"/>
  <c r="E164" i="32" s="1"/>
  <c r="E61" i="31"/>
  <c r="E58" i="22"/>
  <c r="E162" i="22" s="1"/>
  <c r="E58" i="10"/>
  <c r="E163" i="10" s="1"/>
  <c r="G59" i="27" l="1"/>
  <c r="G189" i="6"/>
  <c r="E74" i="31"/>
  <c r="E270" i="31"/>
  <c r="E59" i="27"/>
  <c r="I342" i="27"/>
  <c r="P342" i="27"/>
  <c r="L342" i="27"/>
  <c r="Q163" i="10"/>
  <c r="Q58" i="10"/>
  <c r="I20" i="46" s="1"/>
  <c r="Q58" i="6"/>
  <c r="E20" i="46" s="1"/>
  <c r="N342" i="27"/>
  <c r="Q164" i="32"/>
  <c r="Q58" i="32"/>
  <c r="H342" i="27"/>
  <c r="F342" i="27"/>
  <c r="Q162" i="22"/>
  <c r="Q58" i="22"/>
  <c r="F20" i="46" s="1"/>
  <c r="M342" i="27"/>
  <c r="Q212" i="8"/>
  <c r="Q58" i="8"/>
  <c r="G20" i="46" s="1"/>
  <c r="O342" i="27"/>
  <c r="Q61" i="31"/>
  <c r="Q270" i="31"/>
  <c r="Q58" i="9"/>
  <c r="H20" i="46" s="1"/>
  <c r="K342" i="27"/>
  <c r="J342" i="27"/>
  <c r="K20" i="46" l="1"/>
  <c r="J20" i="46"/>
  <c r="L20" i="46"/>
  <c r="T58" i="32"/>
  <c r="T58" i="9"/>
  <c r="R58" i="8"/>
  <c r="T58" i="8"/>
  <c r="R61" i="31"/>
  <c r="T61" i="31"/>
  <c r="R58" i="10"/>
  <c r="T58" i="10"/>
  <c r="R58" i="9"/>
  <c r="R58" i="6"/>
  <c r="T72" i="6"/>
  <c r="Q189" i="6"/>
  <c r="G342" i="27"/>
  <c r="E342" i="27"/>
  <c r="Q59" i="27"/>
  <c r="D25" i="46" l="1"/>
  <c r="H27" i="46"/>
  <c r="Q342" i="27"/>
  <c r="E350" i="27" l="1"/>
  <c r="F350" i="27" l="1"/>
  <c r="G350" i="27" l="1"/>
  <c r="H350" i="27" l="1"/>
  <c r="I350" i="27" l="1"/>
  <c r="J350" i="27" l="1"/>
  <c r="K350" i="27" l="1"/>
  <c r="L350" i="27" l="1"/>
  <c r="M350" i="27" l="1"/>
  <c r="N350" i="27" l="1"/>
  <c r="O350" i="27" l="1"/>
  <c r="Q96" i="6"/>
  <c r="R96" i="6" s="1"/>
  <c r="P350" i="27" l="1"/>
  <c r="Q97" i="27"/>
  <c r="Q197" i="6"/>
  <c r="Q350" i="27" l="1"/>
  <c r="K129" i="27" l="1"/>
  <c r="M129" i="27"/>
  <c r="J129" i="27"/>
  <c r="N129" i="27"/>
  <c r="O129" i="27"/>
  <c r="I129" i="27"/>
  <c r="L129" i="27"/>
  <c r="P129" i="27"/>
  <c r="M359" i="27"/>
  <c r="K359" i="27"/>
  <c r="J359" i="27" l="1"/>
  <c r="I359" i="27"/>
  <c r="N359" i="27"/>
  <c r="P359" i="27"/>
  <c r="O359" i="27"/>
  <c r="L359" i="27"/>
  <c r="O131" i="10" l="1"/>
  <c r="P131" i="32"/>
  <c r="N131" i="32"/>
  <c r="J131" i="8"/>
  <c r="P130" i="27" l="1"/>
  <c r="P132" i="27" s="1"/>
  <c r="N130" i="27"/>
  <c r="N132" i="27" s="1"/>
  <c r="I130" i="27"/>
  <c r="I132" i="27" s="1"/>
  <c r="J130" i="27"/>
  <c r="J132" i="27" s="1"/>
  <c r="L130" i="27"/>
  <c r="L132" i="27" s="1"/>
  <c r="K130" i="27"/>
  <c r="K132" i="27" s="1"/>
  <c r="O130" i="27"/>
  <c r="O132" i="27" s="1"/>
  <c r="M131" i="9"/>
  <c r="M130" i="27"/>
  <c r="M132" i="27" s="1"/>
  <c r="K131" i="22"/>
  <c r="P131" i="22"/>
  <c r="L131" i="9"/>
  <c r="P131" i="9"/>
  <c r="J131" i="10"/>
  <c r="J134" i="31"/>
  <c r="K134" i="31"/>
  <c r="M134" i="31"/>
  <c r="I134" i="31"/>
  <c r="L134" i="31"/>
  <c r="O131" i="32"/>
  <c r="I131" i="8"/>
  <c r="O131" i="8"/>
  <c r="L131" i="22"/>
  <c r="I131" i="9"/>
  <c r="L131" i="32"/>
  <c r="P360" i="27"/>
  <c r="N134" i="31"/>
  <c r="O134" i="31"/>
  <c r="P134" i="31"/>
  <c r="M131" i="10"/>
  <c r="N131" i="9"/>
  <c r="O131" i="9"/>
  <c r="L131" i="8"/>
  <c r="K131" i="8"/>
  <c r="M131" i="8"/>
  <c r="K131" i="9"/>
  <c r="J131" i="9"/>
  <c r="I131" i="32"/>
  <c r="J131" i="32"/>
  <c r="J131" i="22"/>
  <c r="P131" i="8"/>
  <c r="M131" i="32"/>
  <c r="N131" i="8"/>
  <c r="K131" i="32"/>
  <c r="I131" i="10"/>
  <c r="L131" i="10"/>
  <c r="P131" i="10"/>
  <c r="N131" i="10"/>
  <c r="N131" i="22"/>
  <c r="M131" i="22"/>
  <c r="K131" i="10"/>
  <c r="I131" i="22"/>
  <c r="O131" i="22"/>
  <c r="J360" i="27" l="1"/>
  <c r="I360" i="27"/>
  <c r="N360" i="27"/>
  <c r="L360" i="27"/>
  <c r="O360" i="27"/>
  <c r="M360" i="27"/>
  <c r="K360" i="27"/>
  <c r="J123" i="9" l="1"/>
  <c r="E357" i="27" l="1"/>
  <c r="Q119" i="9"/>
  <c r="T119" i="9" s="1"/>
  <c r="E123" i="9"/>
  <c r="R119" i="9" l="1"/>
  <c r="N357" i="27"/>
  <c r="J357" i="27"/>
  <c r="I357" i="27"/>
  <c r="H123" i="9"/>
  <c r="H357" i="27"/>
  <c r="H358" i="27" l="1"/>
  <c r="Q122" i="9"/>
  <c r="R122" i="9" s="1"/>
  <c r="N123" i="9"/>
  <c r="J358" i="27"/>
  <c r="I123" i="9"/>
  <c r="Q11" i="9"/>
  <c r="Q183" i="9" s="1"/>
  <c r="Q357" i="27"/>
  <c r="E358" i="27"/>
  <c r="Q123" i="9" l="1"/>
  <c r="T123" i="9" s="1"/>
  <c r="R11" i="9"/>
  <c r="N358" i="27"/>
  <c r="R123" i="9" l="1"/>
  <c r="I358" i="27"/>
  <c r="Q358" i="27" s="1"/>
  <c r="E19" i="10" l="1"/>
  <c r="E149" i="10" s="1"/>
  <c r="F19" i="10" l="1"/>
  <c r="F149" i="10" s="1"/>
  <c r="G19" i="10" l="1"/>
  <c r="G149" i="10" s="1"/>
  <c r="H19" i="10" l="1"/>
  <c r="H149" i="10" s="1"/>
  <c r="I19" i="10" l="1"/>
  <c r="I149" i="10" s="1"/>
  <c r="J19" i="10" l="1"/>
  <c r="J149" i="10" s="1"/>
  <c r="K19" i="10" l="1"/>
  <c r="K149" i="10" s="1"/>
  <c r="L19" i="10" l="1"/>
  <c r="L149" i="10" s="1"/>
  <c r="M19" i="10" l="1"/>
  <c r="M149" i="10" s="1"/>
  <c r="N19" i="10" l="1"/>
  <c r="N149" i="10" s="1"/>
  <c r="O19" i="10" l="1"/>
  <c r="O149" i="10" s="1"/>
  <c r="P19" i="10" l="1"/>
  <c r="P149" i="10" s="1"/>
  <c r="Q19" i="10" l="1"/>
  <c r="R19" i="10" l="1"/>
  <c r="T19" i="10"/>
  <c r="Q149" i="10"/>
  <c r="E19" i="32" l="1"/>
  <c r="E150" i="32" s="1"/>
  <c r="F19" i="32" l="1"/>
  <c r="F150" i="32" s="1"/>
  <c r="G19" i="32" l="1"/>
  <c r="G150" i="32" s="1"/>
  <c r="H19" i="32" l="1"/>
  <c r="H150" i="32" s="1"/>
  <c r="I19" i="32" l="1"/>
  <c r="I150" i="32" s="1"/>
  <c r="J19" i="32" l="1"/>
  <c r="J150" i="32" s="1"/>
  <c r="K19" i="32" l="1"/>
  <c r="K150" i="32" s="1"/>
  <c r="L19" i="32" l="1"/>
  <c r="L150" i="32" s="1"/>
  <c r="M19" i="32" l="1"/>
  <c r="M150" i="32" s="1"/>
  <c r="N19" i="32" l="1"/>
  <c r="N150" i="32" s="1"/>
  <c r="O19" i="32" l="1"/>
  <c r="O150" i="32" s="1"/>
  <c r="P19" i="32" l="1"/>
  <c r="P150" i="32" s="1"/>
  <c r="Q19" i="32" l="1"/>
  <c r="T19" i="32" s="1"/>
  <c r="Q150" i="32" l="1"/>
  <c r="H129" i="27" l="1"/>
  <c r="G129" i="27"/>
  <c r="Q128" i="10"/>
  <c r="E129" i="27"/>
  <c r="Q131" i="31"/>
  <c r="T131" i="31" s="1"/>
  <c r="Q128" i="6"/>
  <c r="R128" i="6" s="1"/>
  <c r="Q128" i="32"/>
  <c r="T128" i="32" s="1"/>
  <c r="Q128" i="22"/>
  <c r="R131" i="31" l="1"/>
  <c r="R128" i="10"/>
  <c r="T128" i="10"/>
  <c r="F129" i="27"/>
  <c r="Q129" i="27" s="1"/>
  <c r="Q128" i="8"/>
  <c r="E359" i="27"/>
  <c r="Q229" i="8"/>
  <c r="Q180" i="10"/>
  <c r="F359" i="27"/>
  <c r="G359" i="27"/>
  <c r="Q290" i="31"/>
  <c r="Q181" i="32"/>
  <c r="Q206" i="6"/>
  <c r="Q180" i="22"/>
  <c r="H359" i="27"/>
  <c r="R128" i="8" l="1"/>
  <c r="T128" i="8"/>
  <c r="Q359" i="27"/>
  <c r="H131" i="8" l="1"/>
  <c r="G131" i="10"/>
  <c r="F131" i="22"/>
  <c r="H130" i="27" l="1"/>
  <c r="H132" i="27" s="1"/>
  <c r="F130" i="27"/>
  <c r="F132" i="27" s="1"/>
  <c r="G130" i="27"/>
  <c r="G132" i="27" s="1"/>
  <c r="H131" i="10"/>
  <c r="G131" i="8"/>
  <c r="F131" i="8"/>
  <c r="F134" i="31"/>
  <c r="F131" i="9"/>
  <c r="H131" i="6"/>
  <c r="E134" i="31"/>
  <c r="Q132" i="31"/>
  <c r="T132" i="31" s="1"/>
  <c r="H131" i="9"/>
  <c r="G131" i="6"/>
  <c r="H131" i="32"/>
  <c r="F131" i="6"/>
  <c r="Q129" i="6"/>
  <c r="G131" i="22"/>
  <c r="F131" i="10"/>
  <c r="E131" i="9"/>
  <c r="Q129" i="9"/>
  <c r="T129" i="9" s="1"/>
  <c r="F131" i="32"/>
  <c r="Q129" i="10"/>
  <c r="T129" i="10" s="1"/>
  <c r="E131" i="10"/>
  <c r="G134" i="31"/>
  <c r="Q129" i="22"/>
  <c r="E131" i="22"/>
  <c r="H131" i="22"/>
  <c r="E131" i="6"/>
  <c r="H134" i="31"/>
  <c r="G131" i="32"/>
  <c r="G131" i="9"/>
  <c r="E130" i="27" l="1"/>
  <c r="E132" i="27" s="1"/>
  <c r="R129" i="9"/>
  <c r="R131" i="9" s="1"/>
  <c r="Q131" i="9"/>
  <c r="T131" i="9" s="1"/>
  <c r="Q134" i="31"/>
  <c r="R132" i="31"/>
  <c r="Q131" i="10"/>
  <c r="R129" i="10"/>
  <c r="Q131" i="6"/>
  <c r="R131" i="6" s="1"/>
  <c r="R129" i="6"/>
  <c r="Q131" i="22"/>
  <c r="Q129" i="32"/>
  <c r="T129" i="32" s="1"/>
  <c r="E131" i="32"/>
  <c r="H360" i="27"/>
  <c r="Q181" i="22"/>
  <c r="Q291" i="31"/>
  <c r="Q181" i="10"/>
  <c r="Q207" i="6"/>
  <c r="Q129" i="8"/>
  <c r="T129" i="8" s="1"/>
  <c r="E131" i="8"/>
  <c r="F360" i="27"/>
  <c r="G360" i="27"/>
  <c r="R134" i="31" l="1"/>
  <c r="T134" i="31"/>
  <c r="Q130" i="27"/>
  <c r="Q132" i="27" s="1"/>
  <c r="R131" i="10"/>
  <c r="T131" i="10"/>
  <c r="Q131" i="32"/>
  <c r="T131" i="32" s="1"/>
  <c r="Q131" i="8"/>
  <c r="R129" i="8"/>
  <c r="Q230" i="8"/>
  <c r="Q182" i="32"/>
  <c r="E360" i="27"/>
  <c r="R131" i="8" l="1"/>
  <c r="T131" i="8"/>
  <c r="Q360" i="27"/>
  <c r="F19" i="31" l="1"/>
  <c r="F256" i="31" l="1"/>
  <c r="G19" i="31"/>
  <c r="G256" i="31" l="1"/>
  <c r="H19" i="31"/>
  <c r="H256" i="31" l="1"/>
  <c r="I19" i="31"/>
  <c r="I256" i="31" l="1"/>
  <c r="J19" i="31"/>
  <c r="J256" i="31" l="1"/>
  <c r="K19" i="31"/>
  <c r="K256" i="31" l="1"/>
  <c r="L19" i="31"/>
  <c r="L256" i="31" l="1"/>
  <c r="M19" i="31"/>
  <c r="M256" i="31" l="1"/>
  <c r="N19" i="31"/>
  <c r="N256" i="31" l="1"/>
  <c r="O19" i="31"/>
  <c r="O256" i="31" l="1"/>
  <c r="P19" i="31"/>
  <c r="P256" i="31" l="1"/>
  <c r="Q19" i="31"/>
  <c r="R19" i="31" l="1"/>
  <c r="T19" i="31"/>
  <c r="Q256" i="31"/>
  <c r="F20" i="31" l="1"/>
  <c r="F257" i="31" l="1"/>
  <c r="F22" i="31"/>
  <c r="E93" i="31"/>
  <c r="G20" i="31"/>
  <c r="F24" i="31"/>
  <c r="F93" i="31" s="1"/>
  <c r="G257" i="31" l="1"/>
  <c r="G22" i="31"/>
  <c r="D11" i="66"/>
  <c r="F268" i="31"/>
  <c r="C11" i="66"/>
  <c r="E268" i="31"/>
  <c r="H20" i="31"/>
  <c r="G24" i="31"/>
  <c r="G93" i="31" s="1"/>
  <c r="F108" i="31"/>
  <c r="H257" i="31" l="1"/>
  <c r="H22" i="31"/>
  <c r="E11" i="66"/>
  <c r="G268" i="31"/>
  <c r="G108" i="31"/>
  <c r="I20" i="31"/>
  <c r="H24" i="31"/>
  <c r="H93" i="31" s="1"/>
  <c r="E108" i="31"/>
  <c r="F292" i="31"/>
  <c r="F111" i="31"/>
  <c r="F114" i="31" s="1"/>
  <c r="F128" i="31" s="1"/>
  <c r="F137" i="31" s="1"/>
  <c r="I257" i="31" l="1"/>
  <c r="I22" i="31"/>
  <c r="F293" i="31"/>
  <c r="F11" i="66"/>
  <c r="H268" i="31"/>
  <c r="E111" i="31"/>
  <c r="G111" i="31"/>
  <c r="G114" i="31" s="1"/>
  <c r="G128" i="31" s="1"/>
  <c r="G137" i="31" s="1"/>
  <c r="G292" i="31"/>
  <c r="E292" i="31"/>
  <c r="J20" i="31"/>
  <c r="I24" i="31"/>
  <c r="I93" i="31" s="1"/>
  <c r="G293" i="31" l="1"/>
  <c r="J257" i="31"/>
  <c r="J22" i="31"/>
  <c r="G11" i="66"/>
  <c r="I268" i="31"/>
  <c r="I108" i="31"/>
  <c r="K20" i="31"/>
  <c r="J24" i="31"/>
  <c r="J93" i="31" s="1"/>
  <c r="E114" i="31"/>
  <c r="H108" i="31"/>
  <c r="K257" i="31" l="1"/>
  <c r="K22" i="31"/>
  <c r="H11" i="66"/>
  <c r="J268" i="31"/>
  <c r="H111" i="31"/>
  <c r="H114" i="31" s="1"/>
  <c r="H128" i="31" s="1"/>
  <c r="H137" i="31" s="1"/>
  <c r="E128" i="31"/>
  <c r="H292" i="31"/>
  <c r="H293" i="31" s="1"/>
  <c r="I292" i="31"/>
  <c r="I111" i="31"/>
  <c r="L20" i="31"/>
  <c r="K24" i="31"/>
  <c r="K93" i="31" s="1"/>
  <c r="L257" i="31" l="1"/>
  <c r="L22" i="31"/>
  <c r="I11" i="66"/>
  <c r="K268" i="31"/>
  <c r="J108" i="31"/>
  <c r="I114" i="31"/>
  <c r="E137" i="31"/>
  <c r="E293" i="31" s="1"/>
  <c r="K108" i="31"/>
  <c r="J292" i="31"/>
  <c r="M20" i="31"/>
  <c r="L24" i="31"/>
  <c r="L93" i="31" s="1"/>
  <c r="M257" i="31" l="1"/>
  <c r="M22" i="31"/>
  <c r="J11" i="66"/>
  <c r="L268" i="31"/>
  <c r="K111" i="31"/>
  <c r="K114" i="31" s="1"/>
  <c r="K128" i="31" s="1"/>
  <c r="K137" i="31" s="1"/>
  <c r="I128" i="31"/>
  <c r="L108" i="31"/>
  <c r="J111" i="31"/>
  <c r="N20" i="31"/>
  <c r="M24" i="31"/>
  <c r="M93" i="31" s="1"/>
  <c r="N257" i="31" l="1"/>
  <c r="N22" i="31"/>
  <c r="K11" i="66"/>
  <c r="M268" i="31"/>
  <c r="I137" i="31"/>
  <c r="I293" i="31" s="1"/>
  <c r="M108" i="31"/>
  <c r="L111" i="31"/>
  <c r="L114" i="31" s="1"/>
  <c r="L128" i="31" s="1"/>
  <c r="L137" i="31" s="1"/>
  <c r="L292" i="31"/>
  <c r="O20" i="31"/>
  <c r="N24" i="31"/>
  <c r="N93" i="31" s="1"/>
  <c r="J114" i="31"/>
  <c r="K292" i="31"/>
  <c r="K293" i="31" s="1"/>
  <c r="L293" i="31" l="1"/>
  <c r="O257" i="31"/>
  <c r="O22" i="31"/>
  <c r="L11" i="66"/>
  <c r="N268" i="31"/>
  <c r="J128" i="31"/>
  <c r="N108" i="31"/>
  <c r="P20" i="31"/>
  <c r="O24" i="31"/>
  <c r="O93" i="31" s="1"/>
  <c r="M111" i="31"/>
  <c r="M292" i="31"/>
  <c r="P257" i="31" l="1"/>
  <c r="P22" i="31"/>
  <c r="M11" i="66"/>
  <c r="O268" i="31"/>
  <c r="Q20" i="31"/>
  <c r="N111" i="31"/>
  <c r="N114" i="31" s="1"/>
  <c r="N128" i="31" s="1"/>
  <c r="N137" i="31" s="1"/>
  <c r="N292" i="31"/>
  <c r="M114" i="31"/>
  <c r="J137" i="31"/>
  <c r="J293" i="31" s="1"/>
  <c r="O108" i="31"/>
  <c r="N293" i="31" l="1"/>
  <c r="T20" i="31"/>
  <c r="Q22" i="31"/>
  <c r="R20" i="31"/>
  <c r="P24" i="31"/>
  <c r="P93" i="31" s="1"/>
  <c r="P268" i="31" s="1"/>
  <c r="P292" i="31" s="1"/>
  <c r="Q257" i="31"/>
  <c r="M128" i="31"/>
  <c r="O292" i="31"/>
  <c r="O111" i="31"/>
  <c r="O114" i="31" s="1"/>
  <c r="O128" i="31" s="1"/>
  <c r="O137" i="31" s="1"/>
  <c r="O293" i="31" l="1"/>
  <c r="N11" i="66"/>
  <c r="Q24" i="31"/>
  <c r="T22" i="31"/>
  <c r="Q93" i="31"/>
  <c r="T93" i="31" s="1"/>
  <c r="O11" i="66"/>
  <c r="R22" i="31"/>
  <c r="M137" i="31"/>
  <c r="M293" i="31" s="1"/>
  <c r="R93" i="31" l="1"/>
  <c r="T94" i="31"/>
  <c r="R24" i="31"/>
  <c r="T24" i="31"/>
  <c r="Q57" i="31"/>
  <c r="Q74" i="31" s="1"/>
  <c r="P108" i="31"/>
  <c r="R57" i="31" l="1"/>
  <c r="Q108" i="31"/>
  <c r="P111" i="31"/>
  <c r="P114" i="31" s="1"/>
  <c r="J17" i="46"/>
  <c r="Q268" i="31"/>
  <c r="Q292" i="31" s="1"/>
  <c r="R74" i="31" l="1"/>
  <c r="T74" i="31"/>
  <c r="R108" i="31"/>
  <c r="T108" i="31"/>
  <c r="P128" i="31"/>
  <c r="Q111" i="31"/>
  <c r="R111" i="31" l="1"/>
  <c r="T111" i="31"/>
  <c r="Q114" i="31"/>
  <c r="P137" i="31"/>
  <c r="P293" i="31" s="1"/>
  <c r="R114" i="31" l="1"/>
  <c r="T114" i="31"/>
  <c r="Q128" i="31"/>
  <c r="R128" i="31" l="1"/>
  <c r="T128" i="31"/>
  <c r="Q137" i="31"/>
  <c r="Q293" i="31" s="1"/>
  <c r="R137" i="31" l="1"/>
  <c r="T137" i="31"/>
  <c r="E20" i="10" l="1"/>
  <c r="E150" i="10" s="1"/>
  <c r="F20" i="10" l="1"/>
  <c r="F150" i="10" s="1"/>
  <c r="E22" i="10"/>
  <c r="E24" i="10" l="1"/>
  <c r="E90" i="10" s="1"/>
  <c r="G20" i="10"/>
  <c r="G150" i="10" s="1"/>
  <c r="F22" i="10"/>
  <c r="F24" i="10" s="1"/>
  <c r="F90" i="10" s="1"/>
  <c r="D10" i="66" l="1"/>
  <c r="F161" i="10"/>
  <c r="C10" i="66"/>
  <c r="E161" i="10"/>
  <c r="F105" i="10"/>
  <c r="H20" i="10"/>
  <c r="H150" i="10" s="1"/>
  <c r="G22" i="10"/>
  <c r="G24" i="10" l="1"/>
  <c r="G90" i="10" s="1"/>
  <c r="E71" i="10"/>
  <c r="E105" i="10"/>
  <c r="F182" i="10"/>
  <c r="F71" i="10"/>
  <c r="F108" i="10" s="1"/>
  <c r="F111" i="10" s="1"/>
  <c r="F125" i="10" s="1"/>
  <c r="F134" i="10" s="1"/>
  <c r="I20" i="10"/>
  <c r="I150" i="10" s="1"/>
  <c r="H22" i="10"/>
  <c r="H24" i="10" s="1"/>
  <c r="H90" i="10" s="1"/>
  <c r="F10" i="66" l="1"/>
  <c r="H161" i="10"/>
  <c r="E10" i="66"/>
  <c r="G161" i="10"/>
  <c r="F183" i="10"/>
  <c r="E182" i="10"/>
  <c r="E108" i="10"/>
  <c r="H105" i="10"/>
  <c r="J20" i="10"/>
  <c r="J150" i="10" s="1"/>
  <c r="I22" i="10"/>
  <c r="I24" i="10" s="1"/>
  <c r="I90" i="10" s="1"/>
  <c r="G10" i="66" l="1"/>
  <c r="I161" i="10"/>
  <c r="G71" i="10"/>
  <c r="G182" i="10"/>
  <c r="G105" i="10"/>
  <c r="I105" i="10"/>
  <c r="E111" i="10"/>
  <c r="K20" i="10"/>
  <c r="K150" i="10" s="1"/>
  <c r="J22" i="10"/>
  <c r="J24" i="10" s="1"/>
  <c r="J90" i="10" s="1"/>
  <c r="H71" i="10"/>
  <c r="H108" i="10" s="1"/>
  <c r="H111" i="10" s="1"/>
  <c r="H125" i="10" s="1"/>
  <c r="H134" i="10" s="1"/>
  <c r="H10" i="66" l="1"/>
  <c r="J161" i="10"/>
  <c r="G108" i="10"/>
  <c r="G111" i="10" s="1"/>
  <c r="G125" i="10" s="1"/>
  <c r="G134" i="10" s="1"/>
  <c r="G183" i="10" s="1"/>
  <c r="H182" i="10"/>
  <c r="H183" i="10" s="1"/>
  <c r="E125" i="10"/>
  <c r="J105" i="10"/>
  <c r="I71" i="10"/>
  <c r="I182" i="10"/>
  <c r="L20" i="10"/>
  <c r="L150" i="10" s="1"/>
  <c r="K22" i="10"/>
  <c r="I108" i="10" l="1"/>
  <c r="K24" i="10"/>
  <c r="K90" i="10" s="1"/>
  <c r="M20" i="10"/>
  <c r="M150" i="10" s="1"/>
  <c r="L22" i="10"/>
  <c r="L24" i="10" s="1"/>
  <c r="L90" i="10" s="1"/>
  <c r="E134" i="10"/>
  <c r="E183" i="10" s="1"/>
  <c r="J71" i="10"/>
  <c r="J108" i="10" s="1"/>
  <c r="J111" i="10" s="1"/>
  <c r="J125" i="10" s="1"/>
  <c r="J134" i="10" s="1"/>
  <c r="J182" i="10"/>
  <c r="J10" i="66" l="1"/>
  <c r="L161" i="10"/>
  <c r="I10" i="66"/>
  <c r="K161" i="10"/>
  <c r="J183" i="10"/>
  <c r="K105" i="10"/>
  <c r="I111" i="10"/>
  <c r="L105" i="10"/>
  <c r="N20" i="10"/>
  <c r="N150" i="10" s="1"/>
  <c r="M22" i="10"/>
  <c r="M24" i="10" s="1"/>
  <c r="M90" i="10" s="1"/>
  <c r="K10" i="66" l="1"/>
  <c r="M161" i="10"/>
  <c r="K182" i="10"/>
  <c r="K71" i="10"/>
  <c r="K108" i="10" s="1"/>
  <c r="I125" i="10"/>
  <c r="L182" i="10"/>
  <c r="L71" i="10"/>
  <c r="L108" i="10" s="1"/>
  <c r="L111" i="10" s="1"/>
  <c r="L125" i="10" s="1"/>
  <c r="L134" i="10" s="1"/>
  <c r="O20" i="10"/>
  <c r="O150" i="10" s="1"/>
  <c r="N22" i="10"/>
  <c r="N24" i="10" s="1"/>
  <c r="N90" i="10" s="1"/>
  <c r="L10" i="66" l="1"/>
  <c r="N161" i="10"/>
  <c r="L183" i="10"/>
  <c r="I134" i="10"/>
  <c r="I183" i="10" s="1"/>
  <c r="M105" i="10"/>
  <c r="K111" i="10"/>
  <c r="N105" i="10"/>
  <c r="P20" i="10"/>
  <c r="O22" i="10"/>
  <c r="O24" i="10" s="1"/>
  <c r="O90" i="10" s="1"/>
  <c r="M182" i="10"/>
  <c r="M71" i="10"/>
  <c r="Q20" i="10" l="1"/>
  <c r="T20" i="10" s="1"/>
  <c r="P150" i="10"/>
  <c r="M10" i="66"/>
  <c r="O161" i="10"/>
  <c r="Q22" i="10"/>
  <c r="R20" i="10"/>
  <c r="M108" i="10"/>
  <c r="M111" i="10" s="1"/>
  <c r="M125" i="10" s="1"/>
  <c r="M134" i="10" s="1"/>
  <c r="M183" i="10" s="1"/>
  <c r="K125" i="10"/>
  <c r="N182" i="10"/>
  <c r="N71" i="10"/>
  <c r="N108" i="10" s="1"/>
  <c r="N111" i="10" s="1"/>
  <c r="N125" i="10" s="1"/>
  <c r="N134" i="10" s="1"/>
  <c r="O105" i="10"/>
  <c r="P22" i="10"/>
  <c r="N183" i="10" l="1"/>
  <c r="Q24" i="10"/>
  <c r="T22" i="10"/>
  <c r="R22" i="10"/>
  <c r="K134" i="10"/>
  <c r="K183" i="10" s="1"/>
  <c r="P24" i="10"/>
  <c r="P90" i="10" s="1"/>
  <c r="P161" i="10" s="1"/>
  <c r="Q150" i="10"/>
  <c r="O182" i="10"/>
  <c r="O71" i="10"/>
  <c r="O108" i="10" s="1"/>
  <c r="Q90" i="10" l="1"/>
  <c r="N10" i="66"/>
  <c r="O10" i="66" s="1"/>
  <c r="R90" i="10"/>
  <c r="T90" i="10"/>
  <c r="R24" i="10"/>
  <c r="T24" i="10"/>
  <c r="P105" i="10"/>
  <c r="O111" i="10"/>
  <c r="Q54" i="10" l="1"/>
  <c r="R54" i="10" s="1"/>
  <c r="T54" i="10" s="1"/>
  <c r="Q71" i="10"/>
  <c r="I17" i="46"/>
  <c r="P71" i="10"/>
  <c r="P108" i="10" s="1"/>
  <c r="P182" i="10"/>
  <c r="O125" i="10"/>
  <c r="R71" i="10" l="1"/>
  <c r="T71" i="10"/>
  <c r="Q105" i="10"/>
  <c r="Q161" i="10"/>
  <c r="P111" i="10"/>
  <c r="O134" i="10"/>
  <c r="O183" i="10" s="1"/>
  <c r="Q182" i="10" l="1"/>
  <c r="R105" i="10"/>
  <c r="T105" i="10"/>
  <c r="Q108" i="10"/>
  <c r="P125" i="10"/>
  <c r="R108" i="10" l="1"/>
  <c r="T108" i="10"/>
  <c r="Q111" i="10"/>
  <c r="P134" i="10"/>
  <c r="P183" i="10" s="1"/>
  <c r="R111" i="10" l="1"/>
  <c r="T111" i="10"/>
  <c r="Q125" i="10"/>
  <c r="T125" i="10" s="1"/>
  <c r="R125" i="10" l="1"/>
  <c r="Q134" i="10"/>
  <c r="E20" i="32"/>
  <c r="E151" i="32" s="1"/>
  <c r="T134" i="10" l="1"/>
  <c r="Q183" i="10"/>
  <c r="R134" i="10"/>
  <c r="F20" i="32"/>
  <c r="F151" i="32" s="1"/>
  <c r="E22" i="32"/>
  <c r="E24" i="32" s="1"/>
  <c r="E90" i="32" s="1"/>
  <c r="C12" i="66" l="1"/>
  <c r="E162" i="32"/>
  <c r="G20" i="32"/>
  <c r="G151" i="32" s="1"/>
  <c r="F22" i="32"/>
  <c r="F24" i="32" s="1"/>
  <c r="F90" i="32" s="1"/>
  <c r="D12" i="66" l="1"/>
  <c r="F162" i="32"/>
  <c r="E71" i="32"/>
  <c r="E55" i="27"/>
  <c r="H20" i="32"/>
  <c r="H151" i="32" s="1"/>
  <c r="G22" i="32"/>
  <c r="G24" i="32" s="1"/>
  <c r="G90" i="32" s="1"/>
  <c r="E105" i="32"/>
  <c r="F105" i="32"/>
  <c r="F55" i="27"/>
  <c r="E12" i="66" l="1"/>
  <c r="G162" i="32"/>
  <c r="F183" i="32"/>
  <c r="F71" i="32"/>
  <c r="F108" i="32" s="1"/>
  <c r="F111" i="32" s="1"/>
  <c r="F125" i="32" s="1"/>
  <c r="F134" i="32" s="1"/>
  <c r="G105" i="32"/>
  <c r="G55" i="27"/>
  <c r="E183" i="32"/>
  <c r="H22" i="32"/>
  <c r="H24" i="32" s="1"/>
  <c r="H90" i="32" s="1"/>
  <c r="I20" i="32"/>
  <c r="I151" i="32" s="1"/>
  <c r="E108" i="32"/>
  <c r="E111" i="32" s="1"/>
  <c r="E125" i="32" s="1"/>
  <c r="E134" i="32" s="1"/>
  <c r="E184" i="32" l="1"/>
  <c r="F12" i="66"/>
  <c r="H162" i="32"/>
  <c r="F184" i="32"/>
  <c r="H55" i="27"/>
  <c r="G71" i="32"/>
  <c r="G108" i="32" s="1"/>
  <c r="G111" i="32" s="1"/>
  <c r="G125" i="32" s="1"/>
  <c r="G134" i="32" s="1"/>
  <c r="I22" i="32"/>
  <c r="I24" i="32" s="1"/>
  <c r="I90" i="32" s="1"/>
  <c r="J20" i="32"/>
  <c r="J151" i="32" s="1"/>
  <c r="G12" i="66" l="1"/>
  <c r="I162" i="32"/>
  <c r="G183" i="32"/>
  <c r="G184" i="32" s="1"/>
  <c r="J22" i="32"/>
  <c r="J24" i="32" s="1"/>
  <c r="J90" i="32" s="1"/>
  <c r="K20" i="32"/>
  <c r="K151" i="32" s="1"/>
  <c r="H183" i="32"/>
  <c r="H71" i="32"/>
  <c r="I55" i="27"/>
  <c r="I105" i="32"/>
  <c r="H105" i="32"/>
  <c r="H12" i="66" l="1"/>
  <c r="J162" i="32"/>
  <c r="H108" i="32"/>
  <c r="H111" i="32" s="1"/>
  <c r="H125" i="32" s="1"/>
  <c r="H134" i="32" s="1"/>
  <c r="H184" i="32" s="1"/>
  <c r="I71" i="32"/>
  <c r="I108" i="32" s="1"/>
  <c r="I111" i="32" s="1"/>
  <c r="I125" i="32" s="1"/>
  <c r="I134" i="32" s="1"/>
  <c r="I183" i="32"/>
  <c r="K22" i="32"/>
  <c r="K24" i="32" s="1"/>
  <c r="K90" i="32" s="1"/>
  <c r="L20" i="32"/>
  <c r="L151" i="32" s="1"/>
  <c r="J105" i="32"/>
  <c r="J55" i="27"/>
  <c r="I12" i="66" l="1"/>
  <c r="K162" i="32"/>
  <c r="I184" i="32"/>
  <c r="J183" i="32"/>
  <c r="J71" i="32"/>
  <c r="J108" i="32" s="1"/>
  <c r="J111" i="32" s="1"/>
  <c r="J125" i="32" s="1"/>
  <c r="J134" i="32" s="1"/>
  <c r="K55" i="27"/>
  <c r="K105" i="32"/>
  <c r="M20" i="32"/>
  <c r="M151" i="32" s="1"/>
  <c r="L22" i="32"/>
  <c r="L24" i="32" s="1"/>
  <c r="L90" i="32" s="1"/>
  <c r="J12" i="66" l="1"/>
  <c r="L162" i="32"/>
  <c r="J184" i="32"/>
  <c r="L105" i="32"/>
  <c r="L55" i="27"/>
  <c r="N20" i="32"/>
  <c r="N151" i="32" s="1"/>
  <c r="M22" i="32"/>
  <c r="M24" i="32" s="1"/>
  <c r="M90" i="32" s="1"/>
  <c r="K71" i="32"/>
  <c r="K108" i="32" s="1"/>
  <c r="K111" i="32" s="1"/>
  <c r="K125" i="32" s="1"/>
  <c r="K134" i="32" s="1"/>
  <c r="K12" i="66" l="1"/>
  <c r="M162" i="32"/>
  <c r="L71" i="32"/>
  <c r="L108" i="32" s="1"/>
  <c r="L111" i="32" s="1"/>
  <c r="L125" i="32" s="1"/>
  <c r="L134" i="32" s="1"/>
  <c r="L183" i="32"/>
  <c r="M55" i="27"/>
  <c r="M105" i="32"/>
  <c r="O20" i="32"/>
  <c r="O151" i="32" s="1"/>
  <c r="N22" i="32"/>
  <c r="N24" i="32" s="1"/>
  <c r="N90" i="32" s="1"/>
  <c r="K183" i="32"/>
  <c r="K184" i="32" s="1"/>
  <c r="L184" i="32" l="1"/>
  <c r="L12" i="66"/>
  <c r="N162" i="32"/>
  <c r="N105" i="32"/>
  <c r="N55" i="27"/>
  <c r="O22" i="32"/>
  <c r="O24" i="32" s="1"/>
  <c r="O90" i="32" s="1"/>
  <c r="P20" i="32"/>
  <c r="P151" i="32" s="1"/>
  <c r="M183" i="32"/>
  <c r="M71" i="32"/>
  <c r="M108" i="32" s="1"/>
  <c r="M111" i="32" s="1"/>
  <c r="M125" i="32" s="1"/>
  <c r="M134" i="32" s="1"/>
  <c r="M184" i="32" l="1"/>
  <c r="M12" i="66"/>
  <c r="O162" i="32"/>
  <c r="O105" i="32"/>
  <c r="O55" i="27"/>
  <c r="N183" i="32"/>
  <c r="N71" i="32"/>
  <c r="N108" i="32" s="1"/>
  <c r="N111" i="32" s="1"/>
  <c r="N125" i="32" s="1"/>
  <c r="N134" i="32" s="1"/>
  <c r="P22" i="32"/>
  <c r="P24" i="32" s="1"/>
  <c r="P90" i="32" s="1"/>
  <c r="Q20" i="32"/>
  <c r="T20" i="32" s="1"/>
  <c r="N184" i="32" l="1"/>
  <c r="N12" i="66"/>
  <c r="P162" i="32"/>
  <c r="Q90" i="32"/>
  <c r="O12" i="66"/>
  <c r="Q22" i="32"/>
  <c r="T22" i="32" s="1"/>
  <c r="P55" i="27"/>
  <c r="O71" i="32"/>
  <c r="O108" i="32" s="1"/>
  <c r="O111" i="32" s="1"/>
  <c r="O125" i="32" s="1"/>
  <c r="O134" i="32" s="1"/>
  <c r="O183" i="32"/>
  <c r="Q151" i="32"/>
  <c r="O184" i="32" l="1"/>
  <c r="R90" i="32"/>
  <c r="T90" i="32"/>
  <c r="Q24" i="32"/>
  <c r="T24" i="32" s="1"/>
  <c r="P71" i="32"/>
  <c r="Q54" i="32"/>
  <c r="L17" i="46" s="1"/>
  <c r="P105" i="32"/>
  <c r="Q105" i="32" l="1"/>
  <c r="T105" i="32" s="1"/>
  <c r="P108" i="32"/>
  <c r="P111" i="32" s="1"/>
  <c r="P125" i="32" s="1"/>
  <c r="P134" i="32" s="1"/>
  <c r="Q162" i="32"/>
  <c r="Q183" i="32" s="1"/>
  <c r="P183" i="32"/>
  <c r="Q71" i="32"/>
  <c r="T71" i="32" s="1"/>
  <c r="P184" i="32" l="1"/>
  <c r="Q108" i="32"/>
  <c r="T108" i="32" s="1"/>
  <c r="Q111" i="32" l="1"/>
  <c r="T111" i="32" s="1"/>
  <c r="Q125" i="32" l="1"/>
  <c r="T125" i="32" s="1"/>
  <c r="Q134" i="32" l="1"/>
  <c r="T134" i="32" l="1"/>
  <c r="Q184" i="32"/>
  <c r="E20" i="9"/>
  <c r="E192" i="9" s="1"/>
  <c r="F20" i="9" l="1"/>
  <c r="F192" i="9" s="1"/>
  <c r="G20" i="9" l="1"/>
  <c r="G192" i="9" s="1"/>
  <c r="H20" i="9" l="1"/>
  <c r="H192" i="9" s="1"/>
  <c r="I20" i="9" l="1"/>
  <c r="I192" i="9" s="1"/>
  <c r="E71" i="9" l="1"/>
  <c r="J20" i="9"/>
  <c r="J192" i="9" s="1"/>
  <c r="F71" i="9" l="1"/>
  <c r="K20" i="9"/>
  <c r="K192" i="9" s="1"/>
  <c r="G71" i="9" l="1"/>
  <c r="L20" i="9"/>
  <c r="L192" i="9" s="1"/>
  <c r="H71" i="9" l="1"/>
  <c r="M20" i="9"/>
  <c r="M192" i="9" s="1"/>
  <c r="I71" i="9" l="1"/>
  <c r="N20" i="9"/>
  <c r="N192" i="9" s="1"/>
  <c r="J71" i="9" l="1"/>
  <c r="O20" i="9"/>
  <c r="O192" i="9" s="1"/>
  <c r="K71" i="9" l="1"/>
  <c r="P20" i="9"/>
  <c r="P192" i="9" s="1"/>
  <c r="Q192" i="9" s="1"/>
  <c r="L71" i="9" l="1"/>
  <c r="Q20" i="9"/>
  <c r="T20" i="9" s="1"/>
  <c r="R20" i="9" l="1"/>
  <c r="M71" i="9"/>
  <c r="N71" i="9" l="1"/>
  <c r="O71" i="9" l="1"/>
  <c r="Q54" i="9" l="1"/>
  <c r="P71" i="9"/>
  <c r="R54" i="9" l="1"/>
  <c r="T54" i="9" s="1"/>
  <c r="Q71" i="9"/>
  <c r="H17" i="46"/>
  <c r="H26" i="46" l="1"/>
  <c r="E19" i="9" s="1"/>
  <c r="E191" i="9" s="1"/>
  <c r="D23" i="46"/>
  <c r="R71" i="9"/>
  <c r="T71" i="9"/>
  <c r="F19" i="9" l="1"/>
  <c r="F191" i="9" s="1"/>
  <c r="E22" i="9"/>
  <c r="E19" i="8"/>
  <c r="E198" i="8" s="1"/>
  <c r="G19" i="9" l="1"/>
  <c r="G191" i="9" s="1"/>
  <c r="F22" i="9"/>
  <c r="F19" i="8"/>
  <c r="F198" i="8" s="1"/>
  <c r="H19" i="9" l="1"/>
  <c r="H191" i="9" s="1"/>
  <c r="G22" i="9"/>
  <c r="G19" i="8"/>
  <c r="G198" i="8" s="1"/>
  <c r="I19" i="9" l="1"/>
  <c r="I191" i="9" s="1"/>
  <c r="H22" i="9"/>
  <c r="H19" i="8"/>
  <c r="H198" i="8" s="1"/>
  <c r="J19" i="9" l="1"/>
  <c r="J191" i="9" s="1"/>
  <c r="I22" i="9"/>
  <c r="I19" i="8"/>
  <c r="I198" i="8" s="1"/>
  <c r="K19" i="9" l="1"/>
  <c r="K191" i="9" s="1"/>
  <c r="J22" i="9"/>
  <c r="J19" i="8"/>
  <c r="J198" i="8" s="1"/>
  <c r="L19" i="9" l="1"/>
  <c r="L191" i="9" s="1"/>
  <c r="K22" i="9"/>
  <c r="K19" i="8"/>
  <c r="K198" i="8" s="1"/>
  <c r="M19" i="9" l="1"/>
  <c r="M191" i="9" s="1"/>
  <c r="L22" i="9"/>
  <c r="L19" i="8"/>
  <c r="L198" i="8" s="1"/>
  <c r="N19" i="9" l="1"/>
  <c r="N191" i="9" s="1"/>
  <c r="M22" i="9"/>
  <c r="M19" i="8"/>
  <c r="M198" i="8" s="1"/>
  <c r="O19" i="9" l="1"/>
  <c r="O191" i="9" s="1"/>
  <c r="N22" i="9"/>
  <c r="N19" i="8"/>
  <c r="N198" i="8" s="1"/>
  <c r="P19" i="9" l="1"/>
  <c r="P191" i="9" s="1"/>
  <c r="Q191" i="9" s="1"/>
  <c r="O22" i="9"/>
  <c r="O19" i="8"/>
  <c r="O198" i="8" s="1"/>
  <c r="P22" i="9" l="1"/>
  <c r="Q19" i="9"/>
  <c r="P19" i="8"/>
  <c r="P198" i="8" s="1"/>
  <c r="T19" i="9" l="1"/>
  <c r="R19" i="9"/>
  <c r="Q22" i="9"/>
  <c r="Q198" i="8"/>
  <c r="Q19" i="8"/>
  <c r="T22" i="9" l="1"/>
  <c r="R22" i="9"/>
  <c r="R19" i="8"/>
  <c r="T19" i="8"/>
  <c r="F19" i="22"/>
  <c r="F149" i="22" s="1"/>
  <c r="G19" i="22" l="1"/>
  <c r="G149" i="22" s="1"/>
  <c r="H19" i="22" l="1"/>
  <c r="H149" i="22" s="1"/>
  <c r="I19" i="22" l="1"/>
  <c r="I149" i="22" s="1"/>
  <c r="J19" i="22" l="1"/>
  <c r="J149" i="22" s="1"/>
  <c r="K19" i="22" l="1"/>
  <c r="K149" i="22" s="1"/>
  <c r="E20" i="22"/>
  <c r="E150" i="22" s="1"/>
  <c r="L19" i="22" l="1"/>
  <c r="L149" i="22" s="1"/>
  <c r="F20" i="22"/>
  <c r="F150" i="22" s="1"/>
  <c r="E22" i="22"/>
  <c r="E20" i="8"/>
  <c r="E199" i="8" s="1"/>
  <c r="M19" i="22" l="1"/>
  <c r="M149" i="22" s="1"/>
  <c r="E24" i="22"/>
  <c r="E90" i="22" s="1"/>
  <c r="E160" i="22" s="1"/>
  <c r="G20" i="22"/>
  <c r="G150" i="22" s="1"/>
  <c r="F22" i="22"/>
  <c r="F24" i="22" s="1"/>
  <c r="F90" i="22" s="1"/>
  <c r="F160" i="22" s="1"/>
  <c r="F20" i="8"/>
  <c r="F199" i="8" s="1"/>
  <c r="E22" i="8"/>
  <c r="D7" i="66" l="1"/>
  <c r="C7" i="66"/>
  <c r="N19" i="22"/>
  <c r="N149" i="22" s="1"/>
  <c r="H20" i="22"/>
  <c r="H150" i="22" s="1"/>
  <c r="G22" i="22"/>
  <c r="G24" i="22" s="1"/>
  <c r="G90" i="22" s="1"/>
  <c r="G160" i="22" s="1"/>
  <c r="F105" i="22"/>
  <c r="G20" i="8"/>
  <c r="G199" i="8" s="1"/>
  <c r="F22" i="8"/>
  <c r="E7" i="66" l="1"/>
  <c r="O19" i="22"/>
  <c r="O149" i="22" s="1"/>
  <c r="E71" i="22"/>
  <c r="F71" i="22"/>
  <c r="F108" i="22" s="1"/>
  <c r="F111" i="22" s="1"/>
  <c r="F125" i="22" s="1"/>
  <c r="F134" i="22" s="1"/>
  <c r="F182" i="22"/>
  <c r="G105" i="22"/>
  <c r="E105" i="22"/>
  <c r="I20" i="22"/>
  <c r="I150" i="22" s="1"/>
  <c r="H22" i="22"/>
  <c r="H20" i="8"/>
  <c r="H199" i="8" s="1"/>
  <c r="G22" i="8"/>
  <c r="F183" i="22" l="1"/>
  <c r="P19" i="22"/>
  <c r="P149" i="22" s="1"/>
  <c r="G182" i="22"/>
  <c r="G71" i="22"/>
  <c r="G108" i="22" s="1"/>
  <c r="G111" i="22" s="1"/>
  <c r="G125" i="22" s="1"/>
  <c r="G134" i="22" s="1"/>
  <c r="H24" i="22"/>
  <c r="H90" i="22" s="1"/>
  <c r="H160" i="22" s="1"/>
  <c r="E108" i="22"/>
  <c r="J20" i="22"/>
  <c r="J150" i="22" s="1"/>
  <c r="I22" i="22"/>
  <c r="I24" i="22" s="1"/>
  <c r="I90" i="22" s="1"/>
  <c r="I160" i="22" s="1"/>
  <c r="E182" i="22"/>
  <c r="I20" i="8"/>
  <c r="I199" i="8" s="1"/>
  <c r="H22" i="8"/>
  <c r="F7" i="66" l="1"/>
  <c r="G7" i="66"/>
  <c r="G183" i="22"/>
  <c r="Q149" i="22"/>
  <c r="Q19" i="22"/>
  <c r="E111" i="22"/>
  <c r="K20" i="22"/>
  <c r="K150" i="22" s="1"/>
  <c r="J22" i="22"/>
  <c r="I105" i="22"/>
  <c r="I22" i="8"/>
  <c r="J20" i="8"/>
  <c r="J199" i="8" s="1"/>
  <c r="L20" i="22" l="1"/>
  <c r="L150" i="22" s="1"/>
  <c r="K22" i="22"/>
  <c r="K24" i="22" s="1"/>
  <c r="K90" i="22" s="1"/>
  <c r="K160" i="22" s="1"/>
  <c r="I182" i="22"/>
  <c r="I71" i="22"/>
  <c r="I108" i="22" s="1"/>
  <c r="I111" i="22" s="1"/>
  <c r="I125" i="22" s="1"/>
  <c r="I134" i="22" s="1"/>
  <c r="H105" i="22"/>
  <c r="H71" i="22"/>
  <c r="E125" i="22"/>
  <c r="J24" i="22"/>
  <c r="J90" i="22" s="1"/>
  <c r="J160" i="22" s="1"/>
  <c r="K20" i="8"/>
  <c r="K199" i="8" s="1"/>
  <c r="J22" i="8"/>
  <c r="H7" i="66" l="1"/>
  <c r="I183" i="22"/>
  <c r="I7" i="66"/>
  <c r="H108" i="22"/>
  <c r="H111" i="22" s="1"/>
  <c r="H182" i="22"/>
  <c r="K105" i="22"/>
  <c r="E134" i="22"/>
  <c r="E183" i="22" s="1"/>
  <c r="M20" i="22"/>
  <c r="M150" i="22" s="1"/>
  <c r="L22" i="22"/>
  <c r="L20" i="8"/>
  <c r="L199" i="8" s="1"/>
  <c r="K22" i="8"/>
  <c r="K71" i="22" l="1"/>
  <c r="K108" i="22" s="1"/>
  <c r="K111" i="22" s="1"/>
  <c r="K125" i="22" s="1"/>
  <c r="K134" i="22" s="1"/>
  <c r="K182" i="22"/>
  <c r="N20" i="22"/>
  <c r="N150" i="22" s="1"/>
  <c r="M22" i="22"/>
  <c r="M24" i="22" s="1"/>
  <c r="M90" i="22" s="1"/>
  <c r="M160" i="22" s="1"/>
  <c r="J105" i="22"/>
  <c r="H125" i="22"/>
  <c r="J71" i="22"/>
  <c r="L24" i="22"/>
  <c r="L90" i="22" s="1"/>
  <c r="L160" i="22" s="1"/>
  <c r="M20" i="8"/>
  <c r="M199" i="8" s="1"/>
  <c r="L22" i="8"/>
  <c r="K183" i="22" l="1"/>
  <c r="J7" i="66"/>
  <c r="K7" i="66"/>
  <c r="J182" i="22"/>
  <c r="M105" i="22"/>
  <c r="H134" i="22"/>
  <c r="H183" i="22" s="1"/>
  <c r="O20" i="22"/>
  <c r="O150" i="22" s="1"/>
  <c r="N22" i="22"/>
  <c r="N24" i="22" s="1"/>
  <c r="N90" i="22" s="1"/>
  <c r="N160" i="22" s="1"/>
  <c r="J108" i="22"/>
  <c r="M22" i="8"/>
  <c r="N20" i="8"/>
  <c r="N199" i="8" s="1"/>
  <c r="L7" i="66" l="1"/>
  <c r="N105" i="22"/>
  <c r="P20" i="22"/>
  <c r="P150" i="22" s="1"/>
  <c r="O22" i="22"/>
  <c r="O24" i="22" s="1"/>
  <c r="O90" i="22" s="1"/>
  <c r="O160" i="22" s="1"/>
  <c r="J111" i="22"/>
  <c r="L105" i="22"/>
  <c r="M71" i="22"/>
  <c r="M108" i="22" s="1"/>
  <c r="M111" i="22" s="1"/>
  <c r="M125" i="22" s="1"/>
  <c r="M134" i="22" s="1"/>
  <c r="M182" i="22"/>
  <c r="L71" i="22"/>
  <c r="O20" i="8"/>
  <c r="O199" i="8" s="1"/>
  <c r="N22" i="8"/>
  <c r="M183" i="22" l="1"/>
  <c r="M7" i="66"/>
  <c r="L108" i="22"/>
  <c r="L111" i="22" s="1"/>
  <c r="L125" i="22" s="1"/>
  <c r="L134" i="22" s="1"/>
  <c r="L182" i="22"/>
  <c r="J125" i="22"/>
  <c r="O105" i="22"/>
  <c r="P22" i="22"/>
  <c r="Q20" i="22"/>
  <c r="N71" i="22"/>
  <c r="N108" i="22" s="1"/>
  <c r="N182" i="22"/>
  <c r="O22" i="8"/>
  <c r="P20" i="8"/>
  <c r="P199" i="8" s="1"/>
  <c r="L183" i="22" l="1"/>
  <c r="Q22" i="22"/>
  <c r="Q24" i="22" s="1"/>
  <c r="N111" i="22"/>
  <c r="P24" i="22"/>
  <c r="P90" i="22" s="1"/>
  <c r="P160" i="22" s="1"/>
  <c r="Q150" i="22"/>
  <c r="O71" i="22"/>
  <c r="O108" i="22" s="1"/>
  <c r="O111" i="22" s="1"/>
  <c r="O125" i="22" s="1"/>
  <c r="O134" i="22" s="1"/>
  <c r="O182" i="22"/>
  <c r="J134" i="22"/>
  <c r="J183" i="22" s="1"/>
  <c r="P22" i="8"/>
  <c r="Q20" i="8"/>
  <c r="T20" i="8" s="1"/>
  <c r="O183" i="22" l="1"/>
  <c r="N7" i="66"/>
  <c r="Q90" i="22"/>
  <c r="R90" i="22" s="1"/>
  <c r="O7" i="66"/>
  <c r="Q22" i="8"/>
  <c r="R20" i="8"/>
  <c r="N125" i="22"/>
  <c r="Q199" i="8"/>
  <c r="R22" i="8" l="1"/>
  <c r="T22" i="8"/>
  <c r="N134" i="22"/>
  <c r="N183" i="22" s="1"/>
  <c r="P71" i="22"/>
  <c r="Q54" i="22"/>
  <c r="P105" i="22"/>
  <c r="Q105" i="22" l="1"/>
  <c r="Q160" i="22"/>
  <c r="Q182" i="22" s="1"/>
  <c r="P182" i="22"/>
  <c r="Q71" i="22"/>
  <c r="P108" i="22"/>
  <c r="Q108" i="22" l="1"/>
  <c r="P111" i="22"/>
  <c r="Q111" i="22" l="1"/>
  <c r="P125" i="22"/>
  <c r="Q125" i="22" l="1"/>
  <c r="P134" i="22"/>
  <c r="P183" i="22" s="1"/>
  <c r="Q134" i="22" l="1"/>
  <c r="Q183" i="22" s="1"/>
  <c r="D26" i="46"/>
  <c r="E27" i="46" l="1"/>
  <c r="D27" i="46" s="1"/>
  <c r="E19" i="6"/>
  <c r="E19" i="27" l="1"/>
  <c r="E175" i="6"/>
  <c r="E20" i="6"/>
  <c r="F19" i="6"/>
  <c r="F19" i="27" l="1"/>
  <c r="F175" i="6"/>
  <c r="E20" i="27"/>
  <c r="E330" i="27" s="1"/>
  <c r="E176" i="6"/>
  <c r="F20" i="6"/>
  <c r="E22" i="6"/>
  <c r="E329" i="27"/>
  <c r="G19" i="6"/>
  <c r="G19" i="27" l="1"/>
  <c r="G175" i="6"/>
  <c r="G20" i="6"/>
  <c r="F176" i="6"/>
  <c r="F22" i="6"/>
  <c r="F20" i="27"/>
  <c r="F22" i="27" s="1"/>
  <c r="E22" i="27"/>
  <c r="H20" i="6"/>
  <c r="G22" i="6"/>
  <c r="H19" i="6"/>
  <c r="F329" i="27"/>
  <c r="H19" i="27" l="1"/>
  <c r="H175" i="6"/>
  <c r="G20" i="27"/>
  <c r="G22" i="27" s="1"/>
  <c r="G176" i="6"/>
  <c r="H20" i="27"/>
  <c r="H176" i="6"/>
  <c r="F330" i="27"/>
  <c r="G330" i="27"/>
  <c r="I20" i="6"/>
  <c r="G329" i="27"/>
  <c r="H22" i="6"/>
  <c r="I19" i="6"/>
  <c r="H22" i="27" l="1"/>
  <c r="I20" i="27"/>
  <c r="I176" i="6"/>
  <c r="I19" i="27"/>
  <c r="I175" i="6"/>
  <c r="I22" i="27"/>
  <c r="H330" i="27"/>
  <c r="J20" i="6"/>
  <c r="J19" i="6"/>
  <c r="I22" i="6"/>
  <c r="H329" i="27"/>
  <c r="J20" i="27" l="1"/>
  <c r="J176" i="6"/>
  <c r="J19" i="27"/>
  <c r="J175" i="6"/>
  <c r="J22" i="27"/>
  <c r="K20" i="6"/>
  <c r="I330" i="27"/>
  <c r="I329" i="27"/>
  <c r="K19" i="6"/>
  <c r="J22" i="6"/>
  <c r="K19" i="27" l="1"/>
  <c r="K175" i="6"/>
  <c r="K20" i="27"/>
  <c r="K176" i="6"/>
  <c r="K22" i="27"/>
  <c r="E258" i="27"/>
  <c r="J330" i="27"/>
  <c r="L20" i="6"/>
  <c r="L19" i="6"/>
  <c r="K22" i="6"/>
  <c r="J329" i="27"/>
  <c r="L19" i="27" l="1"/>
  <c r="L175" i="6"/>
  <c r="L20" i="27"/>
  <c r="L176" i="6"/>
  <c r="L22" i="27"/>
  <c r="F258" i="27"/>
  <c r="M20" i="6"/>
  <c r="K330" i="27"/>
  <c r="K329" i="27"/>
  <c r="M19" i="6"/>
  <c r="L22" i="6"/>
  <c r="M19" i="27" l="1"/>
  <c r="M175" i="6"/>
  <c r="M20" i="27"/>
  <c r="M176" i="6"/>
  <c r="M22" i="27"/>
  <c r="G258" i="27"/>
  <c r="L330" i="27"/>
  <c r="N20" i="6"/>
  <c r="M22" i="6"/>
  <c r="N19" i="6"/>
  <c r="L329" i="27"/>
  <c r="H258" i="27"/>
  <c r="N20" i="27" l="1"/>
  <c r="N176" i="6"/>
  <c r="N19" i="27"/>
  <c r="N175" i="6"/>
  <c r="N22" i="27"/>
  <c r="M330" i="27"/>
  <c r="O20" i="6"/>
  <c r="O19" i="6"/>
  <c r="N22" i="6"/>
  <c r="M329" i="27"/>
  <c r="O19" i="27" l="1"/>
  <c r="O175" i="6"/>
  <c r="O20" i="27"/>
  <c r="O176" i="6"/>
  <c r="O22" i="27"/>
  <c r="I258" i="27"/>
  <c r="J258" i="27" s="1"/>
  <c r="P20" i="6"/>
  <c r="N330" i="27"/>
  <c r="N329" i="27"/>
  <c r="O22" i="6"/>
  <c r="P19" i="6"/>
  <c r="P19" i="27" l="1"/>
  <c r="P175" i="6"/>
  <c r="P20" i="27"/>
  <c r="P176" i="6"/>
  <c r="O330" i="27"/>
  <c r="Q176" i="6"/>
  <c r="Q20" i="6"/>
  <c r="R20" i="6" s="1"/>
  <c r="O329" i="27"/>
  <c r="P22" i="6"/>
  <c r="Q19" i="6"/>
  <c r="R19" i="6" s="1"/>
  <c r="P22" i="27" l="1"/>
  <c r="K258" i="27"/>
  <c r="L258" i="27" s="1"/>
  <c r="P330" i="27"/>
  <c r="Q330" i="27" s="1"/>
  <c r="Q20" i="27"/>
  <c r="Q22" i="6"/>
  <c r="R22" i="6" s="1"/>
  <c r="Q175" i="6"/>
  <c r="P329" i="27"/>
  <c r="Q19" i="27"/>
  <c r="Q22" i="27" l="1"/>
  <c r="Q329" i="27"/>
  <c r="M258" i="27" l="1"/>
  <c r="N258" i="27" s="1"/>
  <c r="O258" i="27" l="1"/>
  <c r="E15" i="6" l="1"/>
  <c r="E24" i="6" s="1"/>
  <c r="E90" i="6" s="1"/>
  <c r="C6" i="66" l="1"/>
  <c r="E187" i="6"/>
  <c r="E208" i="6" s="1"/>
  <c r="E71" i="6"/>
  <c r="E105" i="6"/>
  <c r="E108" i="6" l="1"/>
  <c r="E111" i="6" s="1"/>
  <c r="E125" i="6" l="1"/>
  <c r="E134" i="6" s="1"/>
  <c r="E209" i="6" s="1"/>
  <c r="I15" i="6" l="1"/>
  <c r="I24" i="6" s="1"/>
  <c r="I71" i="6" l="1"/>
  <c r="I90" i="6"/>
  <c r="O15" i="6"/>
  <c r="O24" i="6" s="1"/>
  <c r="M15" i="6"/>
  <c r="M24" i="6" s="1"/>
  <c r="P15" i="6"/>
  <c r="P24" i="6" s="1"/>
  <c r="N15" i="6"/>
  <c r="N24" i="6" s="1"/>
  <c r="N90" i="6" s="1"/>
  <c r="J15" i="6"/>
  <c r="J24" i="6" s="1"/>
  <c r="L15" i="6"/>
  <c r="L24" i="6" s="1"/>
  <c r="L90" i="6" s="1"/>
  <c r="H15" i="6"/>
  <c r="H24" i="6" s="1"/>
  <c r="H90" i="6" s="1"/>
  <c r="Q11" i="6"/>
  <c r="Q148" i="6" s="1"/>
  <c r="K15" i="6"/>
  <c r="K24" i="6" s="1"/>
  <c r="K90" i="6" s="1"/>
  <c r="F15" i="6"/>
  <c r="F24" i="6" s="1"/>
  <c r="F90" i="6" s="1"/>
  <c r="G15" i="6"/>
  <c r="G24" i="6" s="1"/>
  <c r="G90" i="6" s="1"/>
  <c r="D6" i="66" l="1"/>
  <c r="F187" i="6"/>
  <c r="E6" i="66"/>
  <c r="G187" i="6"/>
  <c r="J6" i="66"/>
  <c r="L187" i="6"/>
  <c r="L6" i="66"/>
  <c r="N187" i="6"/>
  <c r="I6" i="66"/>
  <c r="K187" i="6"/>
  <c r="G6" i="66"/>
  <c r="I187" i="6"/>
  <c r="I208" i="6" s="1"/>
  <c r="F6" i="66"/>
  <c r="H187" i="6"/>
  <c r="I105" i="6"/>
  <c r="I108" i="6" s="1"/>
  <c r="I111" i="6" s="1"/>
  <c r="I125" i="6" s="1"/>
  <c r="I134" i="6" s="1"/>
  <c r="P90" i="6"/>
  <c r="J90" i="6"/>
  <c r="M90" i="6"/>
  <c r="O71" i="6"/>
  <c r="O90" i="6"/>
  <c r="Q15" i="6"/>
  <c r="R15" i="6" s="1"/>
  <c r="R11" i="6"/>
  <c r="H105" i="6"/>
  <c r="L105" i="6"/>
  <c r="N105" i="6"/>
  <c r="Q172" i="6"/>
  <c r="G105" i="6"/>
  <c r="K105" i="6"/>
  <c r="M6" i="66" l="1"/>
  <c r="O187" i="6"/>
  <c r="H6" i="66"/>
  <c r="J187" i="6"/>
  <c r="K6" i="66"/>
  <c r="M187" i="6"/>
  <c r="M208" i="6" s="1"/>
  <c r="N6" i="66"/>
  <c r="P187" i="6"/>
  <c r="P208" i="6" s="1"/>
  <c r="I209" i="6"/>
  <c r="O6" i="66"/>
  <c r="M105" i="6"/>
  <c r="O105" i="6"/>
  <c r="O108" i="6" s="1"/>
  <c r="O111" i="6" s="1"/>
  <c r="O125" i="6" s="1"/>
  <c r="O134" i="6" s="1"/>
  <c r="O208" i="6"/>
  <c r="J105" i="6"/>
  <c r="P105" i="6"/>
  <c r="M71" i="6"/>
  <c r="Q24" i="6"/>
  <c r="R24" i="6" s="1"/>
  <c r="L71" i="6"/>
  <c r="L108" i="6" s="1"/>
  <c r="L111" i="6" s="1"/>
  <c r="L125" i="6" s="1"/>
  <c r="L134" i="6" s="1"/>
  <c r="P71" i="6"/>
  <c r="L208" i="6"/>
  <c r="J208" i="6"/>
  <c r="J71" i="6"/>
  <c r="N208" i="6"/>
  <c r="N71" i="6"/>
  <c r="N108" i="6" s="1"/>
  <c r="N111" i="6" s="1"/>
  <c r="N125" i="6" s="1"/>
  <c r="N134" i="6" s="1"/>
  <c r="H208" i="6"/>
  <c r="H71" i="6"/>
  <c r="H108" i="6" s="1"/>
  <c r="H111" i="6" s="1"/>
  <c r="H125" i="6" s="1"/>
  <c r="H134" i="6" s="1"/>
  <c r="K71" i="6"/>
  <c r="K108" i="6" s="1"/>
  <c r="K111" i="6" s="1"/>
  <c r="K125" i="6" s="1"/>
  <c r="K134" i="6" s="1"/>
  <c r="K208" i="6"/>
  <c r="G208" i="6"/>
  <c r="G71" i="6"/>
  <c r="G108" i="6" s="1"/>
  <c r="G111" i="6" s="1"/>
  <c r="G125" i="6" s="1"/>
  <c r="G134" i="6" s="1"/>
  <c r="Q90" i="6"/>
  <c r="F105" i="6"/>
  <c r="Q54" i="6"/>
  <c r="R54" i="6" s="1"/>
  <c r="F71" i="6"/>
  <c r="H209" i="6" l="1"/>
  <c r="N209" i="6"/>
  <c r="G209" i="6"/>
  <c r="L209" i="6"/>
  <c r="K209" i="6"/>
  <c r="O209" i="6"/>
  <c r="M108" i="6"/>
  <c r="M111" i="6" s="1"/>
  <c r="M125" i="6" s="1"/>
  <c r="M134" i="6" s="1"/>
  <c r="M209" i="6" s="1"/>
  <c r="J108" i="6"/>
  <c r="J111" i="6" s="1"/>
  <c r="J125" i="6" s="1"/>
  <c r="J134" i="6" s="1"/>
  <c r="J209" i="6" s="1"/>
  <c r="P108" i="6"/>
  <c r="P111" i="6" s="1"/>
  <c r="P125" i="6" s="1"/>
  <c r="P134" i="6" s="1"/>
  <c r="P209" i="6" s="1"/>
  <c r="Q105" i="6"/>
  <c r="R105" i="6" s="1"/>
  <c r="R90" i="6"/>
  <c r="F108" i="6"/>
  <c r="F111" i="6" s="1"/>
  <c r="F125" i="6" s="1"/>
  <c r="F134" i="6" s="1"/>
  <c r="E17" i="46"/>
  <c r="Q71" i="6"/>
  <c r="Q187" i="6"/>
  <c r="Q208" i="6" s="1"/>
  <c r="F208" i="6"/>
  <c r="F209" i="6" l="1"/>
  <c r="R71" i="6"/>
  <c r="T71" i="6"/>
  <c r="Q108" i="6"/>
  <c r="R108" i="6" s="1"/>
  <c r="Q111" i="6" l="1"/>
  <c r="R111" i="6" s="1"/>
  <c r="Q125" i="6" l="1"/>
  <c r="Q134" i="6" l="1"/>
  <c r="Q209" i="6" s="1"/>
  <c r="R125" i="6"/>
  <c r="E15" i="8"/>
  <c r="E24" i="8" l="1"/>
  <c r="E156" i="8"/>
  <c r="R134" i="6"/>
  <c r="E90" i="8" l="1"/>
  <c r="E210" i="8" s="1"/>
  <c r="E231" i="8" s="1"/>
  <c r="E105" i="8"/>
  <c r="E71" i="8"/>
  <c r="C8" i="66" l="1"/>
  <c r="E108" i="8"/>
  <c r="E111" i="8" s="1"/>
  <c r="E125" i="8" s="1"/>
  <c r="E134" i="8" s="1"/>
  <c r="E232" i="8" s="1"/>
  <c r="E340" i="27"/>
  <c r="E72" i="27"/>
  <c r="H15" i="8" l="1"/>
  <c r="H24" i="8" l="1"/>
  <c r="H90" i="8" s="1"/>
  <c r="H156" i="8"/>
  <c r="P15" i="8"/>
  <c r="L15" i="8"/>
  <c r="M15" i="8"/>
  <c r="J15" i="8"/>
  <c r="H72" i="27"/>
  <c r="N15" i="8"/>
  <c r="G15" i="8"/>
  <c r="I15" i="8"/>
  <c r="F15" i="8"/>
  <c r="Q11" i="8"/>
  <c r="K15" i="8"/>
  <c r="O15" i="8"/>
  <c r="F8" i="66" l="1"/>
  <c r="H210" i="8"/>
  <c r="H231" i="8" s="1"/>
  <c r="H105" i="8"/>
  <c r="L24" i="8"/>
  <c r="L90" i="8" s="1"/>
  <c r="L156" i="8"/>
  <c r="G24" i="8"/>
  <c r="G90" i="8" s="1"/>
  <c r="G156" i="8"/>
  <c r="N24" i="8"/>
  <c r="N90" i="8" s="1"/>
  <c r="N156" i="8"/>
  <c r="O24" i="8"/>
  <c r="O90" i="8" s="1"/>
  <c r="O156" i="8"/>
  <c r="K24" i="8"/>
  <c r="K90" i="8" s="1"/>
  <c r="K156" i="8"/>
  <c r="J24" i="8"/>
  <c r="J90" i="8" s="1"/>
  <c r="J156" i="8"/>
  <c r="M24" i="8"/>
  <c r="M90" i="8" s="1"/>
  <c r="M156" i="8"/>
  <c r="F24" i="8"/>
  <c r="F90" i="8" s="1"/>
  <c r="F156" i="8"/>
  <c r="P24" i="8"/>
  <c r="P90" i="8" s="1"/>
  <c r="P156" i="8"/>
  <c r="I24" i="8"/>
  <c r="I90" i="8" s="1"/>
  <c r="I156" i="8"/>
  <c r="T10" i="8"/>
  <c r="Q192" i="8"/>
  <c r="M72" i="27"/>
  <c r="J72" i="27"/>
  <c r="L72" i="27"/>
  <c r="Q15" i="8"/>
  <c r="Q156" i="8" s="1"/>
  <c r="R11" i="8"/>
  <c r="P72" i="27"/>
  <c r="Q11" i="27"/>
  <c r="F72" i="27"/>
  <c r="Q196" i="8"/>
  <c r="O72" i="27"/>
  <c r="H71" i="8"/>
  <c r="N72" i="27"/>
  <c r="I72" i="27"/>
  <c r="G72" i="27"/>
  <c r="K72" i="27"/>
  <c r="G8" i="66" l="1"/>
  <c r="I210" i="8"/>
  <c r="I231" i="8" s="1"/>
  <c r="I8" i="66"/>
  <c r="K210" i="8"/>
  <c r="K231" i="8" s="1"/>
  <c r="J8" i="66"/>
  <c r="L210" i="8"/>
  <c r="L231" i="8" s="1"/>
  <c r="M8" i="66"/>
  <c r="O210" i="8"/>
  <c r="O231" i="8" s="1"/>
  <c r="H8" i="66"/>
  <c r="J210" i="8"/>
  <c r="J231" i="8" s="1"/>
  <c r="L8" i="66"/>
  <c r="N210" i="8"/>
  <c r="N231" i="8" s="1"/>
  <c r="K8" i="66"/>
  <c r="M210" i="8"/>
  <c r="M231" i="8" s="1"/>
  <c r="N8" i="66"/>
  <c r="P210" i="8"/>
  <c r="P231" i="8" s="1"/>
  <c r="E8" i="66"/>
  <c r="G210" i="8"/>
  <c r="G231" i="8" s="1"/>
  <c r="D8" i="66"/>
  <c r="F210" i="8"/>
  <c r="N105" i="8"/>
  <c r="L105" i="8"/>
  <c r="H108" i="8"/>
  <c r="H111" i="8" s="1"/>
  <c r="H125" i="8" s="1"/>
  <c r="H134" i="8" s="1"/>
  <c r="H232" i="8" s="1"/>
  <c r="O105" i="8"/>
  <c r="K105" i="8"/>
  <c r="J105" i="8"/>
  <c r="G105" i="8"/>
  <c r="I105" i="8"/>
  <c r="R15" i="8"/>
  <c r="T15" i="8"/>
  <c r="M71" i="8"/>
  <c r="M105" i="8"/>
  <c r="Q90" i="8"/>
  <c r="Q24" i="8"/>
  <c r="J71" i="8"/>
  <c r="L71" i="8"/>
  <c r="L340" i="27"/>
  <c r="P105" i="8"/>
  <c r="P71" i="8"/>
  <c r="P340" i="27"/>
  <c r="K71" i="8"/>
  <c r="I71" i="8"/>
  <c r="H340" i="27"/>
  <c r="F105" i="8"/>
  <c r="G71" i="8"/>
  <c r="N71" i="8"/>
  <c r="M340" i="27"/>
  <c r="O71" i="8"/>
  <c r="Q54" i="8"/>
  <c r="R54" i="8" s="1"/>
  <c r="T54" i="8" s="1"/>
  <c r="F71" i="8"/>
  <c r="N108" i="8" l="1"/>
  <c r="N111" i="8" s="1"/>
  <c r="N125" i="8" s="1"/>
  <c r="N134" i="8" s="1"/>
  <c r="N232" i="8" s="1"/>
  <c r="I108" i="8"/>
  <c r="I111" i="8" s="1"/>
  <c r="I125" i="8" s="1"/>
  <c r="I134" i="8" s="1"/>
  <c r="I232" i="8" s="1"/>
  <c r="L108" i="8"/>
  <c r="L111" i="8" s="1"/>
  <c r="L125" i="8" s="1"/>
  <c r="L134" i="8" s="1"/>
  <c r="L232" i="8" s="1"/>
  <c r="J108" i="8"/>
  <c r="J111" i="8" s="1"/>
  <c r="J125" i="8" s="1"/>
  <c r="J134" i="8" s="1"/>
  <c r="J232" i="8" s="1"/>
  <c r="O108" i="8"/>
  <c r="O111" i="8" s="1"/>
  <c r="O125" i="8" s="1"/>
  <c r="O134" i="8" s="1"/>
  <c r="O232" i="8" s="1"/>
  <c r="G108" i="8"/>
  <c r="G111" i="8" s="1"/>
  <c r="G125" i="8" s="1"/>
  <c r="G134" i="8" s="1"/>
  <c r="G232" i="8" s="1"/>
  <c r="K108" i="8"/>
  <c r="K111" i="8" s="1"/>
  <c r="K125" i="8" s="1"/>
  <c r="K134" i="8" s="1"/>
  <c r="K232" i="8" s="1"/>
  <c r="O8" i="66"/>
  <c r="R24" i="8"/>
  <c r="T24" i="8"/>
  <c r="R90" i="8"/>
  <c r="T90" i="8"/>
  <c r="M108" i="8"/>
  <c r="M111" i="8" s="1"/>
  <c r="M125" i="8" s="1"/>
  <c r="M134" i="8" s="1"/>
  <c r="M232" i="8" s="1"/>
  <c r="P108" i="8"/>
  <c r="P111" i="8" s="1"/>
  <c r="P125" i="8" s="1"/>
  <c r="P134" i="8" s="1"/>
  <c r="P232" i="8" s="1"/>
  <c r="J340" i="27"/>
  <c r="Q105" i="8"/>
  <c r="Q55" i="27"/>
  <c r="O340" i="27"/>
  <c r="K340" i="27"/>
  <c r="F108" i="8"/>
  <c r="F111" i="8" s="1"/>
  <c r="F125" i="8" s="1"/>
  <c r="F134" i="8" s="1"/>
  <c r="N340" i="27"/>
  <c r="F340" i="27"/>
  <c r="Q210" i="8"/>
  <c r="Q231" i="8" s="1"/>
  <c r="F231" i="8"/>
  <c r="I340" i="27"/>
  <c r="Q71" i="8"/>
  <c r="G17" i="46"/>
  <c r="G340" i="27"/>
  <c r="F232" i="8" l="1"/>
  <c r="R71" i="8"/>
  <c r="T71" i="8"/>
  <c r="T105" i="8"/>
  <c r="R105" i="8"/>
  <c r="Q340" i="27"/>
  <c r="Q72" i="27"/>
  <c r="Q108" i="8"/>
  <c r="Q73" i="27"/>
  <c r="R108" i="8" l="1"/>
  <c r="T108" i="8"/>
  <c r="Q111" i="8"/>
  <c r="R111" i="8" l="1"/>
  <c r="T111" i="8"/>
  <c r="Q125" i="8"/>
  <c r="T125" i="8" s="1"/>
  <c r="Q134" i="8" l="1"/>
  <c r="R125" i="8"/>
  <c r="T134" i="8" l="1"/>
  <c r="Q232" i="8"/>
  <c r="R134" i="8"/>
  <c r="AJ31" i="41" l="1" a="1"/>
  <c r="G6" i="22" s="1"/>
  <c r="B28" i="41"/>
  <c r="X31" i="41" a="1"/>
  <c r="X31" i="41" s="1"/>
  <c r="R19" i="22"/>
  <c r="R131" i="22"/>
  <c r="R113" i="22"/>
  <c r="R75" i="22"/>
  <c r="R99" i="22"/>
  <c r="R119" i="22"/>
  <c r="R73" i="22"/>
  <c r="R129" i="22"/>
  <c r="R23" i="22"/>
  <c r="O6" i="22" l="1"/>
  <c r="O7" i="22" s="1"/>
  <c r="R77" i="22"/>
  <c r="R67" i="22"/>
  <c r="R20" i="22"/>
  <c r="R79" i="22"/>
  <c r="R47" i="22"/>
  <c r="R35" i="22"/>
  <c r="R122" i="22"/>
  <c r="R60" i="22"/>
  <c r="R84" i="22"/>
  <c r="R24" i="22"/>
  <c r="J6" i="22"/>
  <c r="J7" i="22" s="1"/>
  <c r="R101" i="22"/>
  <c r="R121" i="22"/>
  <c r="R62" i="22"/>
  <c r="R34" i="22"/>
  <c r="R87" i="22"/>
  <c r="R14" i="22"/>
  <c r="I6" i="22"/>
  <c r="R105" i="22"/>
  <c r="R41" i="22"/>
  <c r="R96" i="22"/>
  <c r="R100" i="22"/>
  <c r="R86" i="22"/>
  <c r="R117" i="22"/>
  <c r="R71" i="22"/>
  <c r="R78" i="22"/>
  <c r="R40" i="22"/>
  <c r="R81" i="22"/>
  <c r="R88" i="22"/>
  <c r="M6" i="22"/>
  <c r="R65" i="22"/>
  <c r="R83" i="22"/>
  <c r="R15" i="22"/>
  <c r="R27" i="22"/>
  <c r="R22" i="22"/>
  <c r="H6" i="22"/>
  <c r="H7" i="22" s="1"/>
  <c r="R63" i="22"/>
  <c r="P6" i="22"/>
  <c r="R21" i="22"/>
  <c r="R42" i="22"/>
  <c r="R12" i="22"/>
  <c r="R108" i="22"/>
  <c r="R49" i="22"/>
  <c r="R98" i="22"/>
  <c r="R61" i="22"/>
  <c r="R56" i="22"/>
  <c r="R92" i="22"/>
  <c r="R111" i="22"/>
  <c r="AJ31" i="41"/>
  <c r="R52" i="22"/>
  <c r="R33" i="22"/>
  <c r="N6" i="22"/>
  <c r="R11" i="22"/>
  <c r="R103" i="22"/>
  <c r="R125" i="22"/>
  <c r="K6" i="22"/>
  <c r="K7" i="22" s="1"/>
  <c r="F6" i="22"/>
  <c r="F7" i="22" s="1"/>
  <c r="R31" i="22"/>
  <c r="R13" i="22"/>
  <c r="R29" i="22"/>
  <c r="R43" i="22"/>
  <c r="R54" i="22"/>
  <c r="G7" i="22"/>
  <c r="R130" i="22"/>
  <c r="R102" i="22"/>
  <c r="R116" i="22"/>
  <c r="R45" i="22"/>
  <c r="R114" i="22"/>
  <c r="R36" i="22"/>
  <c r="R10" i="22"/>
  <c r="R58" i="22"/>
  <c r="R48" i="22"/>
  <c r="R38" i="22"/>
  <c r="R115" i="22"/>
  <c r="R128" i="22"/>
  <c r="R134" i="22"/>
  <c r="L6" i="22"/>
  <c r="R123" i="22"/>
  <c r="R50" i="22"/>
  <c r="R69" i="22"/>
  <c r="R82" i="22"/>
  <c r="R66" i="22"/>
  <c r="I7" i="22" l="1"/>
  <c r="L7" i="22"/>
  <c r="N7" i="22"/>
  <c r="P7" i="22"/>
  <c r="E6" i="22"/>
  <c r="M7" i="22"/>
  <c r="E7" i="22" l="1"/>
  <c r="X141" i="41" a="1"/>
  <c r="X141" i="41" s="1"/>
  <c r="R134" i="32"/>
  <c r="R125" i="32"/>
  <c r="R111" i="32"/>
  <c r="R108" i="32"/>
  <c r="R71" i="32"/>
  <c r="R105" i="32"/>
  <c r="R54" i="32"/>
  <c r="T54" i="32" s="1"/>
  <c r="R24" i="32"/>
  <c r="R22" i="32"/>
  <c r="R20" i="32"/>
  <c r="R131" i="32"/>
  <c r="R129" i="32"/>
  <c r="R128" i="32"/>
  <c r="R19" i="32"/>
  <c r="R58" i="32"/>
  <c r="R92" i="32"/>
  <c r="R84" i="32"/>
  <c r="R103" i="32"/>
  <c r="R117" i="32"/>
  <c r="R88" i="32"/>
  <c r="R67" i="32"/>
  <c r="R15" i="32"/>
  <c r="R123" i="32"/>
  <c r="R63" i="32"/>
  <c r="R79" i="32"/>
  <c r="R121" i="32"/>
  <c r="R66" i="32"/>
  <c r="R87" i="32"/>
  <c r="R86" i="32"/>
  <c r="R43" i="32"/>
  <c r="R81" i="32"/>
  <c r="R130" i="32"/>
  <c r="R49" i="32"/>
  <c r="R115" i="32"/>
  <c r="R60" i="32"/>
  <c r="R100" i="32"/>
  <c r="R122" i="32"/>
  <c r="R50" i="32"/>
  <c r="R14" i="32"/>
  <c r="R98" i="32"/>
  <c r="R56" i="32"/>
  <c r="R82" i="32"/>
  <c r="R62" i="32"/>
  <c r="R36" i="32"/>
  <c r="R116" i="32"/>
  <c r="R65" i="32"/>
  <c r="R13" i="32"/>
  <c r="R12" i="32"/>
  <c r="R21" i="32"/>
  <c r="R101" i="32"/>
  <c r="R114" i="32"/>
  <c r="R38" i="32"/>
  <c r="R69" i="32"/>
  <c r="R99" i="32"/>
  <c r="R78" i="32"/>
  <c r="R40" i="32"/>
  <c r="R83" i="32"/>
  <c r="R102" i="32"/>
  <c r="R96" i="32"/>
  <c r="R119" i="32"/>
  <c r="R75" i="32"/>
  <c r="R61" i="32"/>
  <c r="R10" i="32"/>
  <c r="R113" i="32"/>
  <c r="R11" i="32"/>
  <c r="R45" i="32"/>
  <c r="R31" i="32"/>
  <c r="R29" i="32"/>
  <c r="R47" i="32"/>
  <c r="R33" i="32"/>
  <c r="R41" i="32"/>
  <c r="R48" i="32"/>
  <c r="R42" i="32"/>
  <c r="R35" i="32"/>
  <c r="R34" i="32"/>
  <c r="R77" i="32"/>
  <c r="R52" i="32"/>
  <c r="R27" i="32"/>
  <c r="R73" i="32"/>
  <c r="A138" i="41"/>
  <c r="AJ141" i="41" s="1" a="1"/>
  <c r="R23" i="32"/>
  <c r="B138" i="41" l="1"/>
  <c r="B4" i="27"/>
  <c r="P6" i="32"/>
  <c r="P7" i="32" s="1"/>
  <c r="G7" i="63"/>
  <c r="L7" i="61"/>
  <c r="F7" i="63"/>
  <c r="K7" i="61"/>
  <c r="P7" i="61"/>
  <c r="J7" i="61"/>
  <c r="P7" i="62"/>
  <c r="I7" i="61"/>
  <c r="O7" i="62"/>
  <c r="H7" i="61"/>
  <c r="G7" i="61"/>
  <c r="O7" i="63"/>
  <c r="M7" i="62"/>
  <c r="F7" i="61"/>
  <c r="N7" i="63"/>
  <c r="L7" i="62"/>
  <c r="J7" i="63"/>
  <c r="H7" i="62"/>
  <c r="O7" i="61"/>
  <c r="I7" i="63"/>
  <c r="G7" i="62"/>
  <c r="P7" i="63"/>
  <c r="N7" i="62"/>
  <c r="M7" i="63"/>
  <c r="K7" i="62"/>
  <c r="J7" i="62"/>
  <c r="L7" i="63"/>
  <c r="K7" i="63"/>
  <c r="I7" i="62"/>
  <c r="F7" i="62"/>
  <c r="N7" i="61"/>
  <c r="H7" i="63"/>
  <c r="M7" i="61"/>
  <c r="K6" i="32"/>
  <c r="O6" i="32"/>
  <c r="J6" i="32"/>
  <c r="F6" i="32"/>
  <c r="I6" i="32"/>
  <c r="AJ141" i="41"/>
  <c r="M6" i="32"/>
  <c r="H6" i="32"/>
  <c r="N6" i="32"/>
  <c r="L6" i="32"/>
  <c r="G6" i="32"/>
  <c r="P6" i="27" l="1"/>
  <c r="E7" i="62"/>
  <c r="E7" i="63"/>
  <c r="E7" i="61"/>
  <c r="E6" i="32"/>
  <c r="G7" i="32"/>
  <c r="G6" i="27" s="1"/>
  <c r="I7" i="32"/>
  <c r="I6" i="27" s="1"/>
  <c r="L7" i="32"/>
  <c r="L6" i="27" s="1"/>
  <c r="F7" i="32"/>
  <c r="F6" i="27" s="1"/>
  <c r="N7" i="32"/>
  <c r="N6" i="27" s="1"/>
  <c r="J7" i="32"/>
  <c r="J6" i="27" s="1"/>
  <c r="O7" i="32"/>
  <c r="O6" i="27" s="1"/>
  <c r="K7" i="32"/>
  <c r="K6" i="27" s="1"/>
  <c r="H7" i="32"/>
  <c r="H6" i="27" s="1"/>
  <c r="M7" i="32"/>
  <c r="M6" i="27" s="1"/>
  <c r="E7" i="32" l="1"/>
  <c r="E6" i="27" s="1"/>
  <c r="J10" i="27" l="1"/>
  <c r="M15" i="9"/>
  <c r="M24" i="9" s="1"/>
  <c r="L10" i="27"/>
  <c r="P15" i="9"/>
  <c r="P24" i="9" s="1"/>
  <c r="N10" i="27"/>
  <c r="F10" i="27"/>
  <c r="I15" i="9"/>
  <c r="I24" i="9" s="1"/>
  <c r="H15" i="9"/>
  <c r="H24" i="9" s="1"/>
  <c r="K15" i="9"/>
  <c r="K24" i="9" s="1"/>
  <c r="Q10" i="9" l="1"/>
  <c r="J15" i="9"/>
  <c r="J24" i="9" s="1"/>
  <c r="J90" i="9" s="1"/>
  <c r="L15" i="27"/>
  <c r="L24" i="27" s="1"/>
  <c r="L327" i="27"/>
  <c r="L362" i="27" s="1"/>
  <c r="P90" i="9"/>
  <c r="K90" i="9"/>
  <c r="I90" i="9"/>
  <c r="H90" i="9"/>
  <c r="F15" i="27"/>
  <c r="F24" i="27" s="1"/>
  <c r="F327" i="27"/>
  <c r="F362" i="27" s="1"/>
  <c r="J15" i="27"/>
  <c r="J24" i="27" s="1"/>
  <c r="J327" i="27"/>
  <c r="J362" i="27" s="1"/>
  <c r="M90" i="9"/>
  <c r="T10" i="9"/>
  <c r="R10" i="9"/>
  <c r="Q15" i="9"/>
  <c r="N327" i="27"/>
  <c r="N362" i="27" s="1"/>
  <c r="N15" i="27"/>
  <c r="N24" i="27" s="1"/>
  <c r="I10" i="27"/>
  <c r="H10" i="27"/>
  <c r="P10" i="27"/>
  <c r="G15" i="9"/>
  <c r="G24" i="9" s="1"/>
  <c r="O15" i="9"/>
  <c r="O24" i="9" s="1"/>
  <c r="G10" i="27"/>
  <c r="L15" i="9"/>
  <c r="L24" i="9" s="1"/>
  <c r="E10" i="27"/>
  <c r="N15" i="9"/>
  <c r="N24" i="9" s="1"/>
  <c r="O10" i="27"/>
  <c r="M10" i="27"/>
  <c r="K10" i="27"/>
  <c r="E15" i="9"/>
  <c r="E24" i="9" s="1"/>
  <c r="F15" i="9"/>
  <c r="F24" i="9" s="1"/>
  <c r="I9" i="66" l="1"/>
  <c r="K203" i="9"/>
  <c r="K227" i="9" s="1"/>
  <c r="N9" i="66"/>
  <c r="P203" i="9"/>
  <c r="P227" i="9" s="1"/>
  <c r="G9" i="66"/>
  <c r="I203" i="9"/>
  <c r="I227" i="9" s="1"/>
  <c r="H9" i="66"/>
  <c r="H16" i="66" s="1"/>
  <c r="J203" i="9"/>
  <c r="J227" i="9" s="1"/>
  <c r="K9" i="66"/>
  <c r="M203" i="9"/>
  <c r="M227" i="9" s="1"/>
  <c r="F9" i="66"/>
  <c r="F16" i="66" s="1"/>
  <c r="H203" i="9"/>
  <c r="H227" i="9" s="1"/>
  <c r="Q168" i="9"/>
  <c r="Q153" i="9"/>
  <c r="H15" i="27"/>
  <c r="H24" i="27" s="1"/>
  <c r="H327" i="27"/>
  <c r="H362" i="27" s="1"/>
  <c r="N90" i="9"/>
  <c r="G327" i="27"/>
  <c r="G362" i="27" s="1"/>
  <c r="G15" i="27"/>
  <c r="G24" i="27" s="1"/>
  <c r="K105" i="9"/>
  <c r="K108" i="9" s="1"/>
  <c r="K111" i="9" s="1"/>
  <c r="K125" i="9" s="1"/>
  <c r="K134" i="9" s="1"/>
  <c r="I16" i="66"/>
  <c r="K91" i="27"/>
  <c r="K106" i="27" s="1"/>
  <c r="K109" i="27" s="1"/>
  <c r="M327" i="27"/>
  <c r="M362" i="27" s="1"/>
  <c r="M15" i="27"/>
  <c r="M24" i="27" s="1"/>
  <c r="R15" i="9"/>
  <c r="T15" i="9"/>
  <c r="Q24" i="9"/>
  <c r="O15" i="27"/>
  <c r="O24" i="27" s="1"/>
  <c r="O327" i="27"/>
  <c r="O362" i="27" s="1"/>
  <c r="J91" i="27"/>
  <c r="J106" i="27" s="1"/>
  <c r="J109" i="27" s="1"/>
  <c r="J112" i="27" s="1"/>
  <c r="J126" i="27" s="1"/>
  <c r="J105" i="9"/>
  <c r="J108" i="9" s="1"/>
  <c r="J111" i="9" s="1"/>
  <c r="J125" i="9" s="1"/>
  <c r="J134" i="9" s="1"/>
  <c r="P91" i="27"/>
  <c r="P106" i="27" s="1"/>
  <c r="P109" i="27" s="1"/>
  <c r="P105" i="9"/>
  <c r="P108" i="9" s="1"/>
  <c r="P111" i="9" s="1"/>
  <c r="P125" i="9" s="1"/>
  <c r="P134" i="9" s="1"/>
  <c r="N16" i="66"/>
  <c r="H105" i="9"/>
  <c r="H108" i="9" s="1"/>
  <c r="H111" i="9" s="1"/>
  <c r="H125" i="9" s="1"/>
  <c r="H134" i="9" s="1"/>
  <c r="H91" i="27"/>
  <c r="H106" i="27" s="1"/>
  <c r="H109" i="27" s="1"/>
  <c r="F90" i="9"/>
  <c r="O90" i="9"/>
  <c r="I327" i="27"/>
  <c r="I362" i="27" s="1"/>
  <c r="I15" i="27"/>
  <c r="I24" i="27" s="1"/>
  <c r="K327" i="27"/>
  <c r="K362" i="27" s="1"/>
  <c r="K15" i="27"/>
  <c r="K24" i="27" s="1"/>
  <c r="E327" i="27"/>
  <c r="E15" i="27"/>
  <c r="E24" i="27" s="1"/>
  <c r="Q10" i="27"/>
  <c r="Q15" i="27" s="1"/>
  <c r="Q24" i="27" s="1"/>
  <c r="L90" i="9"/>
  <c r="I91" i="27"/>
  <c r="I106" i="27" s="1"/>
  <c r="I109" i="27" s="1"/>
  <c r="I105" i="9"/>
  <c r="I108" i="9" s="1"/>
  <c r="I111" i="9" s="1"/>
  <c r="I125" i="9" s="1"/>
  <c r="I134" i="9" s="1"/>
  <c r="G16" i="66"/>
  <c r="Q187" i="9"/>
  <c r="E90" i="9"/>
  <c r="E203" i="9" s="1"/>
  <c r="G90" i="9"/>
  <c r="K16" i="66"/>
  <c r="M105" i="9"/>
  <c r="M108" i="9" s="1"/>
  <c r="M111" i="9" s="1"/>
  <c r="M125" i="9" s="1"/>
  <c r="M134" i="9" s="1"/>
  <c r="M91" i="27"/>
  <c r="M106" i="27" s="1"/>
  <c r="M109" i="27" s="1"/>
  <c r="P15" i="27"/>
  <c r="P24" i="27" s="1"/>
  <c r="P327" i="27"/>
  <c r="P362" i="27" s="1"/>
  <c r="E227" i="9" l="1"/>
  <c r="K228" i="9"/>
  <c r="P228" i="9"/>
  <c r="I228" i="9"/>
  <c r="M9" i="66"/>
  <c r="O203" i="9"/>
  <c r="O227" i="9" s="1"/>
  <c r="H228" i="9"/>
  <c r="J9" i="66"/>
  <c r="L203" i="9"/>
  <c r="L227" i="9" s="1"/>
  <c r="J228" i="9"/>
  <c r="L9" i="66"/>
  <c r="L16" i="66" s="1"/>
  <c r="N203" i="9"/>
  <c r="N227" i="9" s="1"/>
  <c r="D9" i="66"/>
  <c r="D16" i="66" s="1"/>
  <c r="F203" i="9"/>
  <c r="F227" i="9" s="1"/>
  <c r="E9" i="66"/>
  <c r="E16" i="66" s="1"/>
  <c r="G203" i="9"/>
  <c r="G227" i="9" s="1"/>
  <c r="M228" i="9"/>
  <c r="P112" i="27"/>
  <c r="P126" i="27" s="1"/>
  <c r="J135" i="27"/>
  <c r="E362" i="27"/>
  <c r="Q327" i="27"/>
  <c r="Q362" i="27" s="1"/>
  <c r="Q363" i="27" s="1"/>
  <c r="L105" i="9"/>
  <c r="L108" i="9" s="1"/>
  <c r="L111" i="9" s="1"/>
  <c r="L125" i="9" s="1"/>
  <c r="L134" i="9" s="1"/>
  <c r="L91" i="27"/>
  <c r="L106" i="27" s="1"/>
  <c r="L109" i="27" s="1"/>
  <c r="L112" i="27" s="1"/>
  <c r="L126" i="27" s="1"/>
  <c r="J16" i="66"/>
  <c r="G91" i="27"/>
  <c r="G106" i="27" s="1"/>
  <c r="G109" i="27" s="1"/>
  <c r="G112" i="27" s="1"/>
  <c r="G126" i="27" s="1"/>
  <c r="G105" i="9"/>
  <c r="G108" i="9" s="1"/>
  <c r="G111" i="9" s="1"/>
  <c r="G125" i="9" s="1"/>
  <c r="G134" i="9" s="1"/>
  <c r="C9" i="66"/>
  <c r="E105" i="9"/>
  <c r="E108" i="9" s="1"/>
  <c r="E111" i="9" s="1"/>
  <c r="E125" i="9" s="1"/>
  <c r="E134" i="9" s="1"/>
  <c r="E228" i="9" s="1"/>
  <c r="Q90" i="9"/>
  <c r="E91" i="27"/>
  <c r="N105" i="9"/>
  <c r="N108" i="9" s="1"/>
  <c r="N111" i="9" s="1"/>
  <c r="N125" i="9" s="1"/>
  <c r="N134" i="9" s="1"/>
  <c r="N91" i="27"/>
  <c r="N106" i="27" s="1"/>
  <c r="N109" i="27" s="1"/>
  <c r="N112" i="27" s="1"/>
  <c r="N126" i="27" s="1"/>
  <c r="M112" i="27"/>
  <c r="M126" i="27" s="1"/>
  <c r="K112" i="27"/>
  <c r="K126" i="27" s="1"/>
  <c r="I112" i="27"/>
  <c r="I126" i="27" s="1"/>
  <c r="M16" i="66"/>
  <c r="O105" i="9"/>
  <c r="O108" i="9" s="1"/>
  <c r="O111" i="9" s="1"/>
  <c r="O125" i="9" s="1"/>
  <c r="O134" i="9" s="1"/>
  <c r="O91" i="27"/>
  <c r="O106" i="27" s="1"/>
  <c r="O109" i="27" s="1"/>
  <c r="O112" i="27" s="1"/>
  <c r="O126" i="27" s="1"/>
  <c r="F91" i="27"/>
  <c r="F106" i="27" s="1"/>
  <c r="F109" i="27" s="1"/>
  <c r="F112" i="27" s="1"/>
  <c r="F126" i="27" s="1"/>
  <c r="F105" i="9"/>
  <c r="F108" i="9" s="1"/>
  <c r="F111" i="9" s="1"/>
  <c r="F125" i="9" s="1"/>
  <c r="F134" i="9" s="1"/>
  <c r="Q25" i="27"/>
  <c r="R24" i="9"/>
  <c r="T24" i="9"/>
  <c r="H112" i="27"/>
  <c r="H126" i="27" s="1"/>
  <c r="Q203" i="9" l="1"/>
  <c r="Q227" i="9" s="1"/>
  <c r="O228" i="9"/>
  <c r="G228" i="9"/>
  <c r="F228" i="9"/>
  <c r="L228" i="9"/>
  <c r="N228" i="9"/>
  <c r="P135" i="27"/>
  <c r="O135" i="27"/>
  <c r="G135" i="27"/>
  <c r="C16" i="66"/>
  <c r="O9" i="66"/>
  <c r="O16" i="66" s="1"/>
  <c r="I135" i="27"/>
  <c r="K135" i="27"/>
  <c r="F135" i="27"/>
  <c r="H135" i="27"/>
  <c r="M135" i="27"/>
  <c r="L135" i="27"/>
  <c r="N135" i="27"/>
  <c r="Q91" i="27"/>
  <c r="Q106" i="27" s="1"/>
  <c r="E106" i="27"/>
  <c r="E109" i="27" s="1"/>
  <c r="E112" i="27" s="1"/>
  <c r="E126" i="27" s="1"/>
  <c r="Q105" i="9"/>
  <c r="T90" i="9"/>
  <c r="R90" i="9"/>
  <c r="Q108" i="9" l="1"/>
  <c r="Q107" i="27"/>
  <c r="Q108" i="27" s="1"/>
  <c r="R105" i="9"/>
  <c r="T105" i="9"/>
  <c r="E135" i="27"/>
  <c r="Q109" i="27"/>
  <c r="Q112" i="27" s="1"/>
  <c r="Q126" i="27" s="1"/>
  <c r="Q135" i="27" s="1"/>
  <c r="Q110" i="27" l="1"/>
  <c r="T108" i="9"/>
  <c r="R108" i="9"/>
  <c r="Q111" i="9"/>
  <c r="T111" i="9" l="1"/>
  <c r="R111" i="9"/>
  <c r="R125" i="9" s="1"/>
  <c r="R134" i="9" s="1"/>
  <c r="Q125" i="9"/>
  <c r="Q134" i="9" l="1"/>
  <c r="Q228" i="9" s="1"/>
  <c r="T125" i="9"/>
  <c r="T134" i="9" l="1"/>
  <c r="Q217" i="31"/>
  <c r="Q248" i="31" s="1"/>
  <c r="Q249" i="31" s="1"/>
  <c r="Q164" i="6"/>
  <c r="Q165" i="6"/>
  <c r="J167" i="6"/>
  <c r="Q162" i="6"/>
  <c r="Q166" i="6"/>
  <c r="Q163" i="6"/>
  <c r="P167" i="6"/>
  <c r="L167" i="6"/>
  <c r="M167" i="6"/>
  <c r="G167" i="6"/>
  <c r="N167" i="6"/>
  <c r="H167" i="6"/>
  <c r="O167" i="6"/>
  <c r="I167" i="6"/>
  <c r="K167" i="6"/>
  <c r="N149" i="6" l="1"/>
  <c r="N168" i="6"/>
  <c r="G149" i="6"/>
  <c r="G168" i="6"/>
  <c r="M149" i="6"/>
  <c r="M168" i="6"/>
  <c r="L149" i="6"/>
  <c r="L168" i="6"/>
  <c r="P149" i="6"/>
  <c r="P168" i="6"/>
  <c r="O149" i="6"/>
  <c r="O168" i="6"/>
  <c r="H149" i="6"/>
  <c r="H168" i="6"/>
  <c r="J149" i="6"/>
  <c r="J168" i="6"/>
  <c r="K149" i="6"/>
  <c r="K168" i="6"/>
  <c r="I149" i="6"/>
  <c r="I168" i="6"/>
  <c r="Q167" i="6"/>
  <c r="F167" i="6"/>
  <c r="E167" i="6"/>
  <c r="Q149" i="6" l="1"/>
  <c r="Q168" i="6"/>
  <c r="E149" i="6"/>
  <c r="E168" i="6"/>
  <c r="F149" i="6"/>
  <c r="F168" i="6"/>
  <c r="D146" i="6"/>
  <c r="F17" i="46"/>
  <c r="D17" i="46" s="1"/>
  <c r="D15" i="4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JM Revenue!$A$1:$H$58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JMRevenueA1H587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<sst xmlns="http://schemas.openxmlformats.org/spreadsheetml/2006/main" count="6908" uniqueCount="616">
  <si>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</si>
  <si>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</si>
  <si>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</si>
  <si>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</si>
  <si>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</si>
  <si>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</si>
  <si>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</si>
  <si>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</si>
  <si>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</si>
  <si>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</si>
  <si>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</si>
  <si>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</si>
  <si>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</si>
  <si>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Occupancy %</t>
  </si>
  <si>
    <t>Revenues</t>
  </si>
  <si>
    <t>Percentage Rents</t>
  </si>
  <si>
    <t>Miscellaneous</t>
  </si>
  <si>
    <t>Interest Income</t>
  </si>
  <si>
    <t>Total Rental and Other</t>
  </si>
  <si>
    <t>Reimbursements</t>
  </si>
  <si>
    <t>Electric</t>
  </si>
  <si>
    <t>Common Area Maintenance</t>
  </si>
  <si>
    <t>Real Estate Taxes</t>
  </si>
  <si>
    <t>Insurance</t>
  </si>
  <si>
    <t>Total Reimbursements</t>
  </si>
  <si>
    <t>TOTAL REVENUES</t>
  </si>
  <si>
    <t>Reimbursable Expenses</t>
  </si>
  <si>
    <t>Maintenance Salaries</t>
  </si>
  <si>
    <t>Water &amp; Sewer</t>
  </si>
  <si>
    <t>Building Maint.-Contractual</t>
  </si>
  <si>
    <t>Building Maint.-Recurring</t>
  </si>
  <si>
    <t>Building Maint.-Big Projects</t>
  </si>
  <si>
    <t>Building Maintenance</t>
  </si>
  <si>
    <t>(SC)</t>
  </si>
  <si>
    <t>Parking Lot Cleaning</t>
  </si>
  <si>
    <t>Parking Lot Maint.-Contractual</t>
  </si>
  <si>
    <t>Parking Lot Maint.-Recurring</t>
  </si>
  <si>
    <t>Parking Lot Maint.-Big Projects</t>
  </si>
  <si>
    <t>Parking Lot Maintenance</t>
  </si>
  <si>
    <t>Snow Removal</t>
  </si>
  <si>
    <t>Landscaping-Contractual</t>
  </si>
  <si>
    <t>Landscaping-Recurring</t>
  </si>
  <si>
    <t>Landscaping-Big Projects</t>
  </si>
  <si>
    <t>Landscaping</t>
  </si>
  <si>
    <t>Security</t>
  </si>
  <si>
    <t>(BP)</t>
  </si>
  <si>
    <t>Management Fee</t>
  </si>
  <si>
    <t>Trash Removal</t>
  </si>
  <si>
    <t>Insurance-Liability</t>
  </si>
  <si>
    <t>Insurabce-Property</t>
  </si>
  <si>
    <t>Insurance-Other</t>
  </si>
  <si>
    <t>Cleaning &amp; Supplies</t>
  </si>
  <si>
    <t>Cleaning &amp; Supplies-Vacancies</t>
  </si>
  <si>
    <t>Other</t>
  </si>
  <si>
    <t>Total Reimbursable Expenses</t>
  </si>
  <si>
    <t>Non-Reimbursable Expenses</t>
  </si>
  <si>
    <t>Bad Debt</t>
  </si>
  <si>
    <t>Salaries &amp; Wages</t>
  </si>
  <si>
    <t>Commissions-Internal Broker</t>
  </si>
  <si>
    <t>Leasing Salaries and Commissions</t>
  </si>
  <si>
    <t>Gas</t>
  </si>
  <si>
    <t>Utilities</t>
  </si>
  <si>
    <t>Management fee</t>
  </si>
  <si>
    <t>Marketing</t>
  </si>
  <si>
    <t>Business Taxes</t>
  </si>
  <si>
    <t>Legal &amp; Accounting</t>
  </si>
  <si>
    <t>Bank Fees</t>
  </si>
  <si>
    <t>Office Supplies</t>
  </si>
  <si>
    <t>Postage</t>
  </si>
  <si>
    <t>Other G&amp;A Expense</t>
  </si>
  <si>
    <t>Other G&amp;A-allocated from LIK</t>
  </si>
  <si>
    <t>General &amp; Administrative</t>
  </si>
  <si>
    <t>Total Non-Reimbursable Expenses</t>
  </si>
  <si>
    <t>TOTAL OPERATING EXPENSES</t>
  </si>
  <si>
    <t>NET OPERATING INCOME</t>
  </si>
  <si>
    <t>Land Improvements</t>
  </si>
  <si>
    <t>Buildings</t>
  </si>
  <si>
    <t>Equipment</t>
  </si>
  <si>
    <t>Capital Improvements</t>
  </si>
  <si>
    <t>Tenant Improvements</t>
  </si>
  <si>
    <t>Deferred Marketing</t>
  </si>
  <si>
    <t>Outside Leasing Commissions</t>
  </si>
  <si>
    <t>CASH FLOW BEFORE DEBT SERVICE</t>
  </si>
  <si>
    <t>Debt Service</t>
  </si>
  <si>
    <t>Interest</t>
  </si>
  <si>
    <t>Mortgage Amortization</t>
  </si>
  <si>
    <t>Loan Proceeds</t>
  </si>
  <si>
    <t>Total Debt Service</t>
  </si>
  <si>
    <t>CASH FLOW AFTER DEBT SERVICE</t>
  </si>
  <si>
    <t>Insurance-Property</t>
  </si>
  <si>
    <t xml:space="preserve"> </t>
  </si>
  <si>
    <t>Water and Sewer</t>
  </si>
  <si>
    <t>Building 5</t>
  </si>
  <si>
    <t>Building 6</t>
  </si>
  <si>
    <t>Building 7</t>
  </si>
  <si>
    <t>Building 8</t>
  </si>
  <si>
    <t>Account</t>
  </si>
  <si>
    <t>4240-8501</t>
  </si>
  <si>
    <t>4710-8502</t>
  </si>
  <si>
    <t>4910-8502</t>
  </si>
  <si>
    <t>4920-8502</t>
  </si>
  <si>
    <t>6030-8502</t>
  </si>
  <si>
    <t>6120-8502</t>
  </si>
  <si>
    <t>6130-8502</t>
  </si>
  <si>
    <t>6220-8502</t>
  </si>
  <si>
    <t>6360-8502</t>
  </si>
  <si>
    <t>6370-8502</t>
  </si>
  <si>
    <t>6380-8502</t>
  </si>
  <si>
    <t>6350-8502</t>
  </si>
  <si>
    <t>6610-8502</t>
  </si>
  <si>
    <t>6270-8502</t>
  </si>
  <si>
    <t>6410-8502</t>
  </si>
  <si>
    <t>6510-8502</t>
  </si>
  <si>
    <t>6250-8502</t>
  </si>
  <si>
    <t>6010-8501</t>
  </si>
  <si>
    <t>6620-8501</t>
  </si>
  <si>
    <t>6220-8501</t>
  </si>
  <si>
    <t>7110-8501</t>
  </si>
  <si>
    <t>8210-8501</t>
  </si>
  <si>
    <t>8310-8501</t>
  </si>
  <si>
    <t>8990-9800</t>
  </si>
  <si>
    <t>1420-0000</t>
  </si>
  <si>
    <t>1430-0000</t>
  </si>
  <si>
    <t>1450-0000</t>
  </si>
  <si>
    <t>1440-0000</t>
  </si>
  <si>
    <t>1940-8501</t>
  </si>
  <si>
    <t>8190-8501</t>
  </si>
  <si>
    <t>8990-8501</t>
  </si>
  <si>
    <t>9210-8501</t>
  </si>
  <si>
    <t>1980-8501</t>
  </si>
  <si>
    <t>BUDGET IMPORT - DO NOT IMPORT - for reconciliation of consolidated total</t>
  </si>
  <si>
    <t>1980-0000</t>
  </si>
  <si>
    <t>4230-8501</t>
  </si>
  <si>
    <t>4990-8501</t>
  </si>
  <si>
    <t>9190-8501</t>
  </si>
  <si>
    <t>4930-8502</t>
  </si>
  <si>
    <t>6330-8502</t>
  </si>
  <si>
    <t>5210-8501</t>
  </si>
  <si>
    <t>6110-8501</t>
  </si>
  <si>
    <t>6120-8501</t>
  </si>
  <si>
    <t>6130-8501</t>
  </si>
  <si>
    <t>6610-8501</t>
  </si>
  <si>
    <t>8930-8501</t>
  </si>
  <si>
    <t>8950-8501</t>
  </si>
  <si>
    <t>5210-0000</t>
  </si>
  <si>
    <t>2740-8501</t>
  </si>
  <si>
    <t>2740-0000</t>
  </si>
  <si>
    <t>Building - Occupancy - SF</t>
  </si>
  <si>
    <t>Building - Total - SF</t>
  </si>
  <si>
    <t>Building - Occupancy - %</t>
  </si>
  <si>
    <t>Liberty Bank</t>
  </si>
  <si>
    <t>Principal</t>
  </si>
  <si>
    <t>CIBC</t>
  </si>
  <si>
    <t>Combined</t>
  </si>
  <si>
    <t>Appraisal Value - 11/22/2013</t>
  </si>
  <si>
    <t>Building A</t>
  </si>
  <si>
    <t>Building B</t>
  </si>
  <si>
    <t>Building C</t>
  </si>
  <si>
    <t>Debt Service - Consolidated</t>
  </si>
  <si>
    <t>Rental Income - In Place</t>
  </si>
  <si>
    <t>Rental Income - New &amp; Renewal</t>
  </si>
  <si>
    <t>Tenant Name</t>
  </si>
  <si>
    <t>Charge Date</t>
  </si>
  <si>
    <t>Charge Code</t>
  </si>
  <si>
    <t>4050</t>
  </si>
  <si>
    <t>RNT</t>
  </si>
  <si>
    <t>4050-113</t>
  </si>
  <si>
    <t>4050-207</t>
  </si>
  <si>
    <t>4050-300</t>
  </si>
  <si>
    <t>4060</t>
  </si>
  <si>
    <t>4060-205</t>
  </si>
  <si>
    <t>4060-207</t>
  </si>
  <si>
    <t>4060-212</t>
  </si>
  <si>
    <t>4060-215</t>
  </si>
  <si>
    <t>4060-300</t>
  </si>
  <si>
    <t>4060-401</t>
  </si>
  <si>
    <t>4060-402</t>
  </si>
  <si>
    <t>4060-600</t>
  </si>
  <si>
    <t>4070</t>
  </si>
  <si>
    <t>4070-103</t>
  </si>
  <si>
    <t>4070-117</t>
  </si>
  <si>
    <t>4070-201</t>
  </si>
  <si>
    <t>4070-301</t>
  </si>
  <si>
    <t>4070-400</t>
  </si>
  <si>
    <t>4070-415</t>
  </si>
  <si>
    <t>4080</t>
  </si>
  <si>
    <t>4080-106</t>
  </si>
  <si>
    <t>4080-117</t>
  </si>
  <si>
    <t>4080-209</t>
  </si>
  <si>
    <t>4080-219</t>
  </si>
  <si>
    <t>4080-221</t>
  </si>
  <si>
    <t>40A0</t>
  </si>
  <si>
    <t>40A0-A</t>
  </si>
  <si>
    <t>40A0-204</t>
  </si>
  <si>
    <t>40B0</t>
  </si>
  <si>
    <t>40B0-1</t>
  </si>
  <si>
    <t>40C0</t>
  </si>
  <si>
    <t>40C0-CP</t>
  </si>
  <si>
    <t>Row Labels</t>
  </si>
  <si>
    <t>Grand Total</t>
  </si>
  <si>
    <t>Column Labels</t>
  </si>
  <si>
    <t>Comm</t>
  </si>
  <si>
    <t>Per Sq Ft</t>
  </si>
  <si>
    <t>Sq Ft</t>
  </si>
  <si>
    <t>Lease Renewals / Vacancy Rent-Ups</t>
  </si>
  <si>
    <t>4080-112</t>
  </si>
  <si>
    <t>Suite #</t>
  </si>
  <si>
    <t>Line 60</t>
  </si>
  <si>
    <t>Line 61</t>
  </si>
  <si>
    <t>General Liability</t>
  </si>
  <si>
    <t>Umbrella</t>
  </si>
  <si>
    <t>Property</t>
  </si>
  <si>
    <t>D&amp;O</t>
  </si>
  <si>
    <t>Month</t>
  </si>
  <si>
    <t>4080-401</t>
  </si>
  <si>
    <t>4050-206</t>
  </si>
  <si>
    <t>4050-119</t>
  </si>
  <si>
    <t>4050-201</t>
  </si>
  <si>
    <t>4050-215</t>
  </si>
  <si>
    <t>4050-315</t>
  </si>
  <si>
    <t>4060-210</t>
  </si>
  <si>
    <t>4080-215</t>
  </si>
  <si>
    <t>4080-400</t>
  </si>
  <si>
    <t>40A0-205</t>
  </si>
  <si>
    <t>4060-211</t>
  </si>
  <si>
    <t>4060-204</t>
  </si>
  <si>
    <t>4070-411</t>
  </si>
  <si>
    <t>4070-107</t>
  </si>
  <si>
    <t>4080-102</t>
  </si>
  <si>
    <t>4080-217</t>
  </si>
  <si>
    <t>Line 58</t>
  </si>
  <si>
    <t>Line 62</t>
  </si>
  <si>
    <t>4070-113</t>
  </si>
  <si>
    <t>2025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</si>
  <si>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</si>
  <si>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</si>
  <si>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</si>
  <si>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</si>
  <si>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</si>
  <si>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</si>
  <si>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</si>
  <si>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</si>
  <si>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</si>
  <si>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</si>
  <si>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</si>
  <si>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</si>
  <si>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4050-307</t>
  </si>
  <si>
    <t>4060-100</t>
  </si>
  <si>
    <t>4060-206</t>
  </si>
  <si>
    <t>4080-100</t>
  </si>
  <si>
    <t>4080-107</t>
  </si>
  <si>
    <t>4080-111</t>
  </si>
  <si>
    <t>4080-305</t>
  </si>
  <si>
    <t>Posting Co.</t>
  </si>
  <si>
    <t>Unit Ref. No.</t>
  </si>
  <si>
    <t>GL Acct No.</t>
  </si>
  <si>
    <t>Charge Amount</t>
  </si>
  <si>
    <t>Cleaning</t>
  </si>
  <si>
    <t>Included in other G&amp;A; paid by LIK</t>
  </si>
  <si>
    <t>Other New Leases</t>
  </si>
  <si>
    <t>2026</t>
  </si>
  <si>
    <t>Reimb</t>
  </si>
  <si>
    <t>Cash Balance 12/31/205</t>
  </si>
  <si>
    <t xml:space="preserve">  Cumulative Cash Flow</t>
  </si>
  <si>
    <t>TOTAL:</t>
  </si>
  <si>
    <t>Operating Budget</t>
  </si>
  <si>
    <t>Total Rental and Other:</t>
  </si>
  <si>
    <t>Total Reimbursements:</t>
  </si>
  <si>
    <t>Budget Line</t>
  </si>
  <si>
    <t>Insurance - Liability</t>
  </si>
  <si>
    <t>TOTAL INSURANCE:</t>
  </si>
  <si>
    <t>SF</t>
  </si>
  <si>
    <t>Maintenance Salaries - Line 27</t>
  </si>
  <si>
    <t>Total:</t>
  </si>
  <si>
    <t>Slaries &amp; Wages - Line 77</t>
  </si>
  <si>
    <t>Marketing - Line 90</t>
  </si>
  <si>
    <t>Legal &amp; Accounting - Line 94</t>
  </si>
  <si>
    <t>Bank Fees (Lock Box Fees) - Line 96</t>
  </si>
  <si>
    <t>Other G&amp;A-allocated from LIK - Line 100</t>
  </si>
  <si>
    <t>Postage - Line XX</t>
  </si>
  <si>
    <t>Office Supplies - Line XX</t>
  </si>
  <si>
    <t>2025 amt grown 3%</t>
  </si>
  <si>
    <t>Notes</t>
  </si>
  <si>
    <t>DW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</si>
  <si>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</si>
  <si>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</si>
  <si>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</si>
  <si>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</si>
  <si>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</si>
  <si>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</si>
  <si>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</si>
  <si>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</si>
  <si>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</si>
  <si>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</si>
  <si>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</si>
  <si>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</si>
  <si>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Skyline Report: General Ledger --&gt; G/L Information --&gt; Budget Rent Increase Calculation</t>
  </si>
  <si>
    <t>Convert Charge Amouts in column G to number once pasted</t>
  </si>
  <si>
    <t>2024 Additions</t>
  </si>
  <si>
    <t>Data\Accounting\2024 Year End\Insurance Renewal 24-25\12. Proposal and Billing/24-25 Korman Commercial Billing and PPD workbook</t>
  </si>
  <si>
    <t>Percentage Rent</t>
  </si>
  <si>
    <t>Total Vacant:</t>
  </si>
  <si>
    <t>Tenant</t>
  </si>
  <si>
    <t>T.I. /sq ft</t>
  </si>
  <si>
    <t>Total Renewals:</t>
  </si>
  <si>
    <t>*Based on July-25 RR</t>
  </si>
  <si>
    <t>Leasing Department Assumptions</t>
  </si>
  <si>
    <t>Rent Start Date</t>
  </si>
  <si>
    <t>Rent Exp. Date</t>
  </si>
  <si>
    <t>Projected TI</t>
  </si>
  <si>
    <t># Years</t>
  </si>
  <si>
    <t>Hidden --&gt;</t>
  </si>
  <si>
    <t>Projected Revenue</t>
  </si>
  <si>
    <t>Procject LC</t>
  </si>
  <si>
    <t>Projected Occ %</t>
  </si>
  <si>
    <t>TI = Sq Ft * T.I /sq ft  all paid up front.</t>
  </si>
  <si>
    <t>LC = Sq Ft * # Years * Per Sq Ft * Comm all paid up front.</t>
  </si>
  <si>
    <t>Total PSF</t>
  </si>
  <si>
    <t>Insurance &amp; Real Estate Tax</t>
  </si>
  <si>
    <t>Neshaminy Interplex, LLC</t>
  </si>
  <si>
    <t>TOTAL REAL ESTATE TAX:</t>
  </si>
  <si>
    <t>Real Estate Tax</t>
  </si>
  <si>
    <t>Debt Service - Interest</t>
  </si>
  <si>
    <t>Occupancy SF</t>
  </si>
  <si>
    <t>Commissions - Internal</t>
  </si>
  <si>
    <t>All Shopping Centers</t>
  </si>
  <si>
    <t>Shopping Centers</t>
  </si>
  <si>
    <t>Shear Sensation</t>
  </si>
  <si>
    <t>Honest Real Estate</t>
  </si>
  <si>
    <t>GNC</t>
  </si>
  <si>
    <t>Foot and Ankle Center of Phila</t>
  </si>
  <si>
    <t>Parkwood Medical Practice</t>
  </si>
  <si>
    <t>Wawa</t>
  </si>
  <si>
    <t>Petroski Physiotherapy</t>
  </si>
  <si>
    <t>Hair Wizards</t>
  </si>
  <si>
    <t>Philadelphia Flower Co</t>
  </si>
  <si>
    <t>Shake4u</t>
  </si>
  <si>
    <t>We Rock the Spectrum</t>
  </si>
  <si>
    <t>Philly Soft Pretzel Factory</t>
  </si>
  <si>
    <t>Dunkin Donuts</t>
  </si>
  <si>
    <t>Vino's Pizza</t>
  </si>
  <si>
    <t>Touch of Class</t>
  </si>
  <si>
    <t>Liang Jiang</t>
  </si>
  <si>
    <t>DKMNK, LLC</t>
  </si>
  <si>
    <t xml:space="preserve">Emily / James </t>
  </si>
  <si>
    <t>Clear Channel</t>
  </si>
  <si>
    <t>4 Sesaons</t>
  </si>
  <si>
    <t>McDonalds</t>
  </si>
  <si>
    <t>2025 Business Plan grown 3%</t>
  </si>
  <si>
    <t>Input</t>
  </si>
  <si>
    <t>Building Maint.-Office Center</t>
  </si>
  <si>
    <t>Cleaning Office Center</t>
  </si>
  <si>
    <t>2300-1817</t>
  </si>
  <si>
    <t>M &amp; T Bank</t>
  </si>
  <si>
    <t>2300-1847</t>
  </si>
  <si>
    <t>Crafty Crab</t>
  </si>
  <si>
    <t>2300-1851</t>
  </si>
  <si>
    <t>National Fitness Partners</t>
  </si>
  <si>
    <t>2300-1861</t>
  </si>
  <si>
    <t>Edible Arrangements</t>
  </si>
  <si>
    <t>2300-1863</t>
  </si>
  <si>
    <t>Cohen Fashion Optical Store</t>
  </si>
  <si>
    <t>2300-1867</t>
  </si>
  <si>
    <t>T-Mobile #PABE002574</t>
  </si>
  <si>
    <t>2300-1869</t>
  </si>
  <si>
    <t>China Sun</t>
  </si>
  <si>
    <t>2300-1871</t>
  </si>
  <si>
    <t>Lee's Hoagie House</t>
  </si>
  <si>
    <t>2300-1877</t>
  </si>
  <si>
    <t>Evolve Nails and Spa</t>
  </si>
  <si>
    <t>2300-1879</t>
  </si>
  <si>
    <t>Anand Patel dba GNC</t>
  </si>
  <si>
    <t>2300-1881</t>
  </si>
  <si>
    <t>Citizens Bank of PA</t>
  </si>
  <si>
    <t>2300-1883</t>
  </si>
  <si>
    <t>Wawa Inc. #267</t>
  </si>
  <si>
    <t>2300-1885</t>
  </si>
  <si>
    <t>Dunkin Donuts #336368</t>
  </si>
  <si>
    <t>4500-2851</t>
  </si>
  <si>
    <t>McDonald's Corp #37-1239</t>
  </si>
  <si>
    <t>4500-2891</t>
  </si>
  <si>
    <t>JP Morgan Chase</t>
  </si>
  <si>
    <t>4500-2895</t>
  </si>
  <si>
    <t>Nail Parlor Salon, LLC</t>
  </si>
  <si>
    <t>4500-2897</t>
  </si>
  <si>
    <t>Victra, Inc.</t>
  </si>
  <si>
    <t>4500-2899</t>
  </si>
  <si>
    <t>Curl &amp; Care , Inc.</t>
  </si>
  <si>
    <t>4500-3001</t>
  </si>
  <si>
    <t>Hilti Power Tools/Fastening</t>
  </si>
  <si>
    <t>4500-3005</t>
  </si>
  <si>
    <t>United States Postal Service</t>
  </si>
  <si>
    <t>4500-3007</t>
  </si>
  <si>
    <t>Pennsylvania LCB</t>
  </si>
  <si>
    <t>4500-3021</t>
  </si>
  <si>
    <t>Wakefern Food Corp</t>
  </si>
  <si>
    <t>5600-6382</t>
  </si>
  <si>
    <t>US Postal Service 416544-006</t>
  </si>
  <si>
    <t>7010-201</t>
  </si>
  <si>
    <t>7010-203</t>
  </si>
  <si>
    <t>Parkwood Medical Practice P.C.</t>
  </si>
  <si>
    <t>7010-1230A</t>
  </si>
  <si>
    <t>Wawa, Inc #8035</t>
  </si>
  <si>
    <t>7010-12311</t>
  </si>
  <si>
    <t>Rite Aid Corp-Store# 01956</t>
  </si>
  <si>
    <t>7010-12315</t>
  </si>
  <si>
    <t>Pat's Pizzeria</t>
  </si>
  <si>
    <t>7010-12319</t>
  </si>
  <si>
    <t>Reen's Deli</t>
  </si>
  <si>
    <t>7010-12325</t>
  </si>
  <si>
    <t>Parkwood Pack and Ship</t>
  </si>
  <si>
    <t>7010-12327</t>
  </si>
  <si>
    <t>The Forge MMA</t>
  </si>
  <si>
    <t>7010-12329</t>
  </si>
  <si>
    <t>Parkwood Valet Cleaners</t>
  </si>
  <si>
    <t>7010-12333</t>
  </si>
  <si>
    <t>Hong Kong Chinese Rest</t>
  </si>
  <si>
    <t>7010-12337</t>
  </si>
  <si>
    <t>Parkwood Hairstylist</t>
  </si>
  <si>
    <t>7010-12339</t>
  </si>
  <si>
    <t>CBRO, LLC</t>
  </si>
  <si>
    <t>7010-12341</t>
  </si>
  <si>
    <t>7010-12343</t>
  </si>
  <si>
    <t>Philadelphia Flower Co.</t>
  </si>
  <si>
    <t>7010-12345</t>
  </si>
  <si>
    <t>Nail Time</t>
  </si>
  <si>
    <t>7010-12347</t>
  </si>
  <si>
    <t>North, Inc.</t>
  </si>
  <si>
    <t>7010-12353</t>
  </si>
  <si>
    <t>Zen Serenity Massage &amp; Facial</t>
  </si>
  <si>
    <t>7010-12357</t>
  </si>
  <si>
    <t>7010-12360</t>
  </si>
  <si>
    <t>Trumark Financial Credit Union</t>
  </si>
  <si>
    <t>7010-12361</t>
  </si>
  <si>
    <t>Senator Joseph S. Picozzi</t>
  </si>
  <si>
    <t>7010-12363</t>
  </si>
  <si>
    <t>7010-12375</t>
  </si>
  <si>
    <t>7200-6412</t>
  </si>
  <si>
    <t>Leevers Supermarkets, Inc.</t>
  </si>
  <si>
    <t>7300-7201</t>
  </si>
  <si>
    <t>K &amp; G Men's Company #208</t>
  </si>
  <si>
    <t>8200-2801</t>
  </si>
  <si>
    <t>McDonald's#0370267</t>
  </si>
  <si>
    <t>8200-2811</t>
  </si>
  <si>
    <t>Four Seasons Diner</t>
  </si>
  <si>
    <t>9510-406</t>
  </si>
  <si>
    <t>Wawa #97</t>
  </si>
  <si>
    <t>9510-408</t>
  </si>
  <si>
    <t>9510-410</t>
  </si>
  <si>
    <t>Kevin Chan aka Hunan Wok</t>
  </si>
  <si>
    <t>9510-412</t>
  </si>
  <si>
    <t>9510-414</t>
  </si>
  <si>
    <t>Hair Concepts</t>
  </si>
  <si>
    <t>9510-420</t>
  </si>
  <si>
    <t>Lafayette Hill Cleaners</t>
  </si>
  <si>
    <t>9510-422</t>
  </si>
  <si>
    <t>9510-426</t>
  </si>
  <si>
    <t>Marvel Agency, Inc.</t>
  </si>
  <si>
    <t>Missing 1100 and 1500</t>
  </si>
  <si>
    <t>9510 - WAWA*</t>
  </si>
  <si>
    <t>* Wawa billed quarterly</t>
  </si>
  <si>
    <t>2025 Business Plan grown 3%. Wawa billed quarterly</t>
  </si>
  <si>
    <t>AK</t>
  </si>
  <si>
    <t>Marketing Salaries- Line 90</t>
  </si>
  <si>
    <t>Annual</t>
  </si>
  <si>
    <t>GM</t>
  </si>
  <si>
    <t>Roof maintenance</t>
  </si>
  <si>
    <t>Pointing/EFIS repairs/Painting/HVAC/Roof Repairs</t>
  </si>
  <si>
    <t>2025 Business Plan grown 3%. Sidewalk repairs</t>
  </si>
  <si>
    <t>Monthly camera fee</t>
  </si>
  <si>
    <t>Restriping</t>
  </si>
  <si>
    <t>2025 Business Plan grown 3% with $1,500 quarterly for illegal dumping</t>
  </si>
  <si>
    <t>Building Maint.-7010 Office Center</t>
  </si>
  <si>
    <t>Consolidated</t>
  </si>
  <si>
    <t>CAM - Recoveries</t>
  </si>
  <si>
    <t>RET - Recoveries</t>
  </si>
  <si>
    <t>CAM - Est.</t>
  </si>
  <si>
    <t>RET - Est.</t>
  </si>
  <si>
    <t>INS - Recoveries</t>
  </si>
  <si>
    <t>From the Boot</t>
  </si>
  <si>
    <t>Total - Recurring</t>
  </si>
  <si>
    <t>Total - Contract</t>
  </si>
  <si>
    <t>Recurring -</t>
  </si>
  <si>
    <t>Sprinkler Inspection</t>
  </si>
  <si>
    <t>Fire Extinguisher Service</t>
  </si>
  <si>
    <t>Misc Expenses</t>
  </si>
  <si>
    <t xml:space="preserve">Contract - </t>
  </si>
  <si>
    <t>Fire Monitoring/Testing</t>
  </si>
  <si>
    <t>HVAC Contracts</t>
  </si>
  <si>
    <t>Backflow Inspections</t>
  </si>
  <si>
    <t>Roof Inspections</t>
  </si>
  <si>
    <t>Copied from 2025</t>
  </si>
  <si>
    <t>Plumbing</t>
  </si>
  <si>
    <t>Includes semi-annual Drain Cleaning</t>
  </si>
  <si>
    <t>Management Fees</t>
  </si>
  <si>
    <t>Var.</t>
  </si>
  <si>
    <t>9/2025 Reprojections</t>
  </si>
  <si>
    <t>Est Misc. Repairs</t>
  </si>
  <si>
    <t>For mowing SC area only</t>
  </si>
  <si>
    <t>Includes $500/mo to mow empty field</t>
  </si>
  <si>
    <t>Includes biweekly Drain Cleaning</t>
  </si>
  <si>
    <t>Misc.</t>
  </si>
  <si>
    <t>Power washing, monthly exterminating, general R&amp;M, general sign, quarterly drain cleaning</t>
  </si>
  <si>
    <t>Suite</t>
  </si>
  <si>
    <t>1100-34</t>
  </si>
  <si>
    <t>1100-36</t>
  </si>
  <si>
    <t>1100-30</t>
  </si>
  <si>
    <t>1100-32</t>
  </si>
  <si>
    <t>1100-12330</t>
  </si>
  <si>
    <t>4500-2893</t>
  </si>
  <si>
    <t>7010-205</t>
  </si>
  <si>
    <t>7010-206</t>
  </si>
  <si>
    <t>7010-208</t>
  </si>
  <si>
    <t>7010-210</t>
  </si>
  <si>
    <t>7010-212</t>
  </si>
  <si>
    <t>7010-214</t>
  </si>
  <si>
    <t>7010-216</t>
  </si>
  <si>
    <t>7010-12331</t>
  </si>
  <si>
    <t>Grays Eye Care</t>
  </si>
  <si>
    <t>4/31/2035</t>
  </si>
  <si>
    <t>9510-400</t>
  </si>
  <si>
    <t>9510-404</t>
  </si>
  <si>
    <t>9510-424</t>
  </si>
  <si>
    <t>9510-500</t>
  </si>
  <si>
    <t>9510-416</t>
  </si>
  <si>
    <t>9510-428</t>
  </si>
  <si>
    <t>$/Mo</t>
  </si>
  <si>
    <t>7010-218</t>
  </si>
  <si>
    <t>7010-12355</t>
  </si>
  <si>
    <t>9510</t>
  </si>
  <si>
    <t>Rental Summary by Month</t>
  </si>
  <si>
    <t>Flat from 2025</t>
  </si>
  <si>
    <t>See Maries Cash Sheet</t>
  </si>
  <si>
    <t>Debt Service - Principal</t>
  </si>
  <si>
    <t>TOTAL DEBT SERVICE - INTEREST:</t>
  </si>
  <si>
    <t>TOTAL DEBT SERVICE - PRINCIPAL:</t>
  </si>
  <si>
    <t>Retail/Office</t>
  </si>
  <si>
    <t>Office</t>
  </si>
  <si>
    <t>* Split Expenses are 86% Retail and 14% Office</t>
  </si>
  <si>
    <t>RETAIL</t>
  </si>
  <si>
    <t>OFFICE</t>
  </si>
  <si>
    <t>Electric - Office Tenants</t>
  </si>
  <si>
    <t>Retail</t>
  </si>
  <si>
    <t>Electric - Common Areas</t>
  </si>
  <si>
    <t>Electric - Office Center Tenants</t>
  </si>
  <si>
    <t>Electric - Vacant Suites</t>
  </si>
  <si>
    <t>Set to Electric - Office Center Tenants</t>
  </si>
  <si>
    <t>Electric - Office Center House</t>
  </si>
  <si>
    <t>Office Direct</t>
  </si>
  <si>
    <t>2025 blend from EMS</t>
  </si>
  <si>
    <t>2025 Actuals from EMS grown 5%</t>
  </si>
  <si>
    <t>2025 Business Plan grown 5%</t>
  </si>
  <si>
    <t>Set to vacancy rate</t>
  </si>
  <si>
    <t>1010-12311</t>
  </si>
  <si>
    <t>From 2026 Payroll Budget</t>
  </si>
  <si>
    <t>46% Allocation of $75K cap on Marketing pass through</t>
  </si>
  <si>
    <t>- Parkwood Professional Building</t>
  </si>
  <si>
    <t>- Eastwick JV I</t>
  </si>
  <si>
    <t>- Brookwood Shopping Center</t>
  </si>
  <si>
    <t>- Gray's Ferry Shopping Center</t>
  </si>
  <si>
    <t>- Hyman Korman Co</t>
  </si>
  <si>
    <t>- Parkwood Shopping Center</t>
  </si>
  <si>
    <t>- Elbridge Shopping Center</t>
  </si>
  <si>
    <t>- Revere Shopping Center</t>
  </si>
  <si>
    <t>- Trust #4</t>
  </si>
  <si>
    <t>- Shops at Lafayette Hill</t>
  </si>
  <si>
    <t>&lt;- Lookup Column</t>
  </si>
  <si>
    <t>Mechanical:</t>
  </si>
  <si>
    <t>Remove existing split systems</t>
  </si>
  <si>
    <t>Install support steel on roof per plan (Allowance - $12,000.00)</t>
  </si>
  <si>
    <t>Install (3) New 5-ton RTUs including all related duct work and gas piping as required</t>
  </si>
  <si>
    <t>Install bathroom exhaust vents for (2) ADA restrooms</t>
  </si>
  <si>
    <t>From the Boot Proposal:</t>
  </si>
  <si>
    <t>Infill CMU wall below floor level according to plans and specifications for new steel support posts. Head off affected floor joist.</t>
  </si>
  <si>
    <t>Sawcut two joints on both sides of wall to accept C channel sandwich beams. Install C channels with bolts and plates according to plans. Install support posts.</t>
  </si>
  <si>
    <t>Sawcut exterior brick and interior CMU. Install steel angle for exterior flush steel door and frame with panic bar and hardware.</t>
  </si>
  <si>
    <t>Install temporary I beam bracing.</t>
  </si>
  <si>
    <t>Overlay entire floor with ¾ Advantech subflooring.</t>
  </si>
  <si>
    <t>Install 3 5/8 metal studs, track and bracing around perimeter walls.</t>
  </si>
  <si>
    <t>Install two-bathroom doors and maintenance closet door. Install all bathroom ADA accessories.</t>
  </si>
  <si>
    <t>Sheet rock all new walls 5/8”.</t>
  </si>
  <si>
    <t>Tape &amp; spackle to paint ready.</t>
  </si>
  <si>
    <t>Install suspended ceiling throughout back kitchen area with 2X4 flat kitchen rite ceiling tiles.</t>
  </si>
  <si>
    <t>Paint all new sheet rock with two coats of white tinted primer.</t>
  </si>
  <si>
    <t>Interior Demo:</t>
  </si>
  <si>
    <t>Remove and dispose of the ceiling framing, plaster, and partial block wall.</t>
  </si>
  <si>
    <t>General Requirements:</t>
  </si>
  <si>
    <t>Electrical:</t>
  </si>
  <si>
    <t>Remove all existing wiring in building</t>
  </si>
  <si>
    <t>Relocate (2) 200amp electrical services from basement to new kitchen</t>
  </si>
  <si>
    <t>Wire (3) new RTUs</t>
  </si>
  <si>
    <t>Install all exit/emergency lighting</t>
  </si>
  <si>
    <t>Install convenience outlets and switches per plan</t>
  </si>
  <si>
    <t>Install 2x4 flat panel LED lights in kitchen only</t>
  </si>
  <si>
    <t>Run circuits for dining area lighting (lighting in DR by others)</t>
  </si>
  <si>
    <t>Wire (2) ADA restrooms (includes dedicated circuit for 6-gal water heater)</t>
  </si>
  <si>
    <t>Run dedicated circuit for tenant sign box</t>
  </si>
  <si>
    <t>All wiring in exposed ceiling to be run in conduit</t>
  </si>
  <si>
    <t>Excludes wiring for tenant equipment, employee restroom, office, &amp; Janitors closet</t>
  </si>
  <si>
    <t>Excludes all tenant equipment</t>
  </si>
  <si>
    <t>Plumbing:</t>
  </si>
  <si>
    <t>Water and sanitary line for (2) ADA Restrooms</t>
  </si>
  <si>
    <t>Install several Tees for future tenant use</t>
  </si>
  <si>
    <t>Excludes all tenant related equipment, employee bathroom, tenant water heater, &amp; Janitors closet</t>
  </si>
  <si>
    <t>From the Boot - Total</t>
  </si>
  <si>
    <t>Façade Proposal</t>
  </si>
  <si>
    <t>Demo existing façade and canopy ($20,000.00)</t>
  </si>
  <si>
    <t>Build front CMU wall according to plans and specifications. Install new customer supplied brick front on CMU wall. Install structural steel over door and window openings.</t>
  </si>
  <si>
    <t>Install new roof trusses according to plans and specifications. Install 5/8” roof plywood and Roof shingles. Install 5/8” exterior plywood to receive siding.</t>
  </si>
  <si>
    <t>Provide and install custom doors and windows according to plans and specifications. (does not include rear and rear side windows)</t>
  </si>
  <si>
    <t>Install Azek trim or equal according to plans and specifications for all façade work.</t>
  </si>
  <si>
    <t>Install horizontal siding according to plans. (Everlast - Allowance $400.00sq)</t>
  </si>
  <si>
    <t>Install R-30 batt insulation on top of existing roof under trusses.</t>
  </si>
  <si>
    <t>See below for From the Boot and Façade proposals dated 1/12/26</t>
  </si>
  <si>
    <t>Insulate all perimeter walls. Build new interior walls according to plans to include hallway, 2 bathrooms, and maintenance closet. Install R-30 batt Insulation between roof rafters above suspended ceiling area.</t>
  </si>
  <si>
    <t xml:space="preserve">New Residential Tenants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</si>
</sst>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5" formatCode="&quot;$&quot;#,##0_);\(&quot;$&quot;#,##0\)"/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_);\(0\)"/>
    <numFmt numFmtId="166" formatCode="mm\/dd\/yyyy"/>
    <numFmt numFmtId="167" formatCode="_(&quot;$&quot;* #,##0_);_(&quot;$&quot;* \(#,##0\);_(&quot;$&quot;* &quot;-&quot;??_);_(@_)"/>
    <numFmt numFmtId="168" formatCode="_(* #,##0_);_(* \(#,##0\);_(* &quot;-&quot;??_);_(@_)"/>
    <numFmt numFmtId="169" formatCode="#,##0.00\ &quot;€&quot;"/>
    <numFmt numFmtId="170" formatCode="[$-409]mmm\-yy;@"/>
    <numFmt numFmtId="171" formatCode="&quot;$&quot;#,##0.00"/>
    <numFmt numFmtId="172" formatCode="&quot;$&quot;#,##0"/>
    <numFmt numFmtId="173" formatCode="yyyy"/>
    <numFmt numFmtId="174" formatCode="00,000\ &quot;SF&quot;"/>
    <numFmt numFmtId="175" formatCode="_(* #,##0.00_);_(* \(#,##0.00\);_(* &quot;-&quot;_);_(@_)"/>
    <numFmt numFmtId="176" formatCode="0,000\ &quot;SF&quot;"/>
  </numFmts>
  <fonts count="44" x14ac:knownFonts="1">
    <font>
      <sz val="10"/>
      <name val="Arial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12"/>
      <color theme="1"/>
      <name val="Century Gothic"/>
      <family val="2"/>
    </font>
    <font>
      <sz val="1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u/>
      <sz val="12"/>
      <name val="Century Gothic"/>
      <family val="2"/>
    </font>
    <font>
      <b/>
      <sz val="24"/>
      <name val="Century Gothic"/>
      <family val="2"/>
    </font>
    <font>
      <b/>
      <sz val="10"/>
      <color rgb="FFFF0000"/>
      <name val="Century Gothic"/>
      <family val="2"/>
    </font>
    <font>
      <i/>
      <vertAlign val="superscript"/>
      <sz val="12"/>
      <name val="Century Gothic"/>
      <family val="2"/>
    </font>
    <font>
      <b/>
      <sz val="12"/>
      <color rgb="FFFF0000"/>
      <name val="Century Gothic"/>
      <family val="2"/>
    </font>
    <font>
      <b/>
      <i/>
      <vertAlign val="superscript"/>
      <sz val="12"/>
      <name val="Century Gothic"/>
      <family val="2"/>
    </font>
    <font>
      <u val="singleAccounting"/>
      <sz val="12"/>
      <name val="Century Gothic"/>
      <family val="2"/>
    </font>
    <font>
      <sz val="16"/>
      <name val="Century Gothic"/>
      <family val="2"/>
    </font>
    <font>
      <b/>
      <u/>
      <sz val="12"/>
      <name val="Century Gothic"/>
      <family val="2"/>
    </font>
    <font>
      <i/>
      <sz val="12"/>
      <name val="Century Gothic"/>
      <family val="2"/>
    </font>
    <font>
      <i/>
      <sz val="11"/>
      <name val="Century Gothic"/>
      <family val="2"/>
    </font>
    <font>
      <b/>
      <sz val="10"/>
      <name val="Century Gothic"/>
      <family val="2"/>
    </font>
    <font>
      <sz val="12"/>
      <color rgb="FFFF0000"/>
      <name val="Century Gothic"/>
      <family val="2"/>
    </font>
    <font>
      <b/>
      <sz val="12"/>
      <color theme="1"/>
      <name val="Century Gothic"/>
      <family val="2"/>
    </font>
    <font>
      <sz val="12"/>
      <name val="Century Gothic"/>
      <family val="2"/>
    </font>
    <font>
      <i/>
      <sz val="10"/>
      <name val="Century Gothic"/>
      <family val="2"/>
    </font>
    <font>
      <sz val="10"/>
      <color rgb="FFFF0000"/>
      <name val="Century Gothic"/>
      <family val="2"/>
    </font>
    <font>
      <b/>
      <sz val="36"/>
      <name val="Century Gothic"/>
      <family val="2"/>
    </font>
    <font>
      <sz val="26"/>
      <name val="Century Gothic"/>
      <family val="2"/>
    </font>
    <font>
      <sz val="28"/>
      <name val="Century Gothic"/>
      <family val="2"/>
    </font>
    <font>
      <sz val="24"/>
      <name val="Century Gothic"/>
      <family val="2"/>
    </font>
    <font>
      <i/>
      <sz val="8"/>
      <name val="Century Gothic"/>
      <family val="2"/>
    </font>
    <font>
      <sz val="18"/>
      <name val="Century Gothic"/>
      <family val="2"/>
    </font>
    <font>
      <sz val="1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</borders>
  <cellStyleXfs count="32">
    <xf numFmtId="41" fontId="0" fillId="0" borderId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3" fontId="8" fillId="0" borderId="0"/>
    <xf numFmtId="9" fontId="3" fillId="0" borderId="0" applyFont="0" applyFill="0" applyBorder="0" applyAlignment="0" applyProtection="0"/>
    <xf numFmtId="43" fontId="9" fillId="0" borderId="0"/>
    <xf numFmtId="9" fontId="8" fillId="0" borderId="0" applyFont="0" applyFill="0" applyBorder="0" applyAlignment="0" applyProtection="0"/>
    <xf numFmtId="41" fontId="3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169" fontId="12" fillId="6" borderId="0" applyFont="0" applyFill="0" applyBorder="0" applyProtection="0">
      <alignment horizontal="right" indent="2"/>
    </xf>
    <xf numFmtId="0" fontId="3" fillId="0" borderId="0"/>
    <xf numFmtId="43" fontId="8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21">
    <xf numFmtId="41" fontId="0" fillId="0" borderId="0" xfId="0"/>
    <xf numFmtId="41" fontId="0" fillId="0" borderId="0" xfId="0" pivotButton="1"/>
    <xf numFmtId="41" fontId="0" fillId="0" borderId="0" xfId="0" applyAlignment="1">
      <alignment horizontal="left"/>
    </xf>
    <xf numFmtId="41" fontId="0" fillId="4" borderId="0" xfId="0" applyFill="1"/>
    <xf numFmtId="41" fontId="0" fillId="0" borderId="0" xfId="0" applyAlignment="1">
      <alignment horizontal="left" indent="1"/>
    </xf>
    <xf numFmtId="170" fontId="16" fillId="4" borderId="7" xfId="0" applyNumberFormat="1" applyFont="1" applyFill="1" applyBorder="1"/>
    <xf numFmtId="41" fontId="16" fillId="4" borderId="0" xfId="0" applyFont="1" applyFill="1"/>
    <xf numFmtId="41" fontId="17" fillId="4" borderId="0" xfId="0" applyFont="1" applyFill="1"/>
    <xf numFmtId="41" fontId="19" fillId="4" borderId="0" xfId="0" applyFont="1" applyFill="1"/>
    <xf numFmtId="41" fontId="18" fillId="4" borderId="0" xfId="0" applyFont="1" applyFill="1"/>
    <xf numFmtId="41" fontId="16" fillId="4" borderId="0" xfId="0" applyFont="1" applyFill="1" applyProtection="1">
      <protection locked="0"/>
    </xf>
    <xf numFmtId="41" fontId="20" fillId="4" borderId="0" xfId="0" applyFont="1" applyFill="1" applyAlignment="1">
      <alignment horizontal="right"/>
    </xf>
    <xf numFmtId="41" fontId="16" fillId="3" borderId="0" xfId="0" applyFont="1" applyFill="1" applyProtection="1">
      <protection locked="0"/>
    </xf>
    <xf numFmtId="41" fontId="16" fillId="4" borderId="0" xfId="0" applyFont="1" applyFill="1" applyAlignment="1">
      <alignment horizontal="right"/>
    </xf>
    <xf numFmtId="41" fontId="16" fillId="3" borderId="7" xfId="0" applyFont="1" applyFill="1" applyBorder="1" applyProtection="1">
      <protection locked="0"/>
    </xf>
    <xf numFmtId="41" fontId="16" fillId="4" borderId="7" xfId="0" applyFont="1" applyFill="1" applyBorder="1"/>
    <xf numFmtId="41" fontId="19" fillId="4" borderId="0" xfId="0" applyFont="1" applyFill="1" applyAlignment="1">
      <alignment horizontal="right"/>
    </xf>
    <xf numFmtId="41" fontId="21" fillId="4" borderId="0" xfId="0" applyFont="1" applyFill="1" applyAlignment="1">
      <alignment horizontal="centerContinuous"/>
    </xf>
    <xf numFmtId="41" fontId="16" fillId="4" borderId="0" xfId="0" applyFont="1" applyFill="1" applyAlignment="1">
      <alignment horizontal="centerContinuous"/>
    </xf>
    <xf numFmtId="41" fontId="27" fillId="4" borderId="0" xfId="0" applyFont="1" applyFill="1" applyAlignment="1">
      <alignment vertical="center"/>
    </xf>
    <xf numFmtId="41" fontId="19" fillId="4" borderId="0" xfId="0" applyFont="1" applyFill="1" applyAlignment="1">
      <alignment vertical="center"/>
    </xf>
    <xf numFmtId="41" fontId="21" fillId="4" borderId="0" xfId="0" applyFont="1" applyFill="1" applyAlignment="1">
      <alignment horizontal="center" vertical="center"/>
    </xf>
    <xf numFmtId="173" fontId="27" fillId="4" borderId="0" xfId="0" applyNumberFormat="1" applyFont="1" applyFill="1" applyAlignment="1">
      <alignment horizontal="right" vertical="center"/>
    </xf>
    <xf numFmtId="41" fontId="16" fillId="4" borderId="0" xfId="0" applyFont="1" applyFill="1" applyAlignment="1">
      <alignment horizontal="center"/>
    </xf>
    <xf numFmtId="41" fontId="17" fillId="4" borderId="7" xfId="0" applyFont="1" applyFill="1" applyBorder="1" applyAlignment="1">
      <alignment horizontal="right"/>
    </xf>
    <xf numFmtId="164" fontId="16" fillId="4" borderId="0" xfId="1" applyNumberFormat="1" applyFont="1" applyFill="1" applyProtection="1"/>
    <xf numFmtId="164" fontId="16" fillId="4" borderId="0" xfId="1" applyNumberFormat="1" applyFont="1" applyFill="1" applyAlignment="1" applyProtection="1"/>
    <xf numFmtId="164" fontId="16" fillId="4" borderId="0" xfId="1" applyNumberFormat="1" applyFont="1" applyFill="1" applyAlignment="1" applyProtection="1">
      <alignment horizontal="right"/>
    </xf>
    <xf numFmtId="41" fontId="16" fillId="4" borderId="1" xfId="0" applyFont="1" applyFill="1" applyBorder="1"/>
    <xf numFmtId="41" fontId="16" fillId="4" borderId="5" xfId="0" applyFont="1" applyFill="1" applyBorder="1"/>
    <xf numFmtId="167" fontId="16" fillId="4" borderId="0" xfId="23" applyNumberFormat="1" applyFont="1" applyFill="1" applyBorder="1"/>
    <xf numFmtId="41" fontId="24" fillId="4" borderId="0" xfId="0" applyFont="1" applyFill="1"/>
    <xf numFmtId="41" fontId="19" fillId="4" borderId="0" xfId="0" applyFont="1" applyFill="1" applyAlignment="1">
      <alignment horizontal="left"/>
    </xf>
    <xf numFmtId="167" fontId="19" fillId="4" borderId="0" xfId="23" applyNumberFormat="1" applyFont="1" applyFill="1"/>
    <xf numFmtId="6" fontId="16" fillId="4" borderId="0" xfId="0" applyNumberFormat="1" applyFont="1" applyFill="1"/>
    <xf numFmtId="41" fontId="26" fillId="4" borderId="0" xfId="0" applyFont="1" applyFill="1" applyProtection="1">
      <protection locked="0"/>
    </xf>
    <xf numFmtId="41" fontId="26" fillId="4" borderId="0" xfId="0" applyFont="1" applyFill="1"/>
    <xf numFmtId="41" fontId="16" fillId="4" borderId="1" xfId="0" applyFont="1" applyFill="1" applyBorder="1" applyProtection="1">
      <protection locked="0"/>
    </xf>
    <xf numFmtId="10" fontId="16" fillId="4" borderId="0" xfId="1" applyNumberFormat="1" applyFont="1" applyFill="1"/>
    <xf numFmtId="10" fontId="16" fillId="4" borderId="1" xfId="1" applyNumberFormat="1" applyFont="1" applyFill="1" applyBorder="1"/>
    <xf numFmtId="41" fontId="16" fillId="4" borderId="13" xfId="0" applyFont="1" applyFill="1" applyBorder="1"/>
    <xf numFmtId="41" fontId="16" fillId="4" borderId="13" xfId="0" applyFont="1" applyFill="1" applyBorder="1" applyProtection="1">
      <protection locked="0"/>
    </xf>
    <xf numFmtId="41" fontId="19" fillId="4" borderId="0" xfId="0" applyFont="1" applyFill="1" applyProtection="1">
      <protection locked="0"/>
    </xf>
    <xf numFmtId="0" fontId="16" fillId="4" borderId="0" xfId="15" applyNumberFormat="1" applyFont="1" applyFill="1" applyAlignment="1">
      <alignment horizontal="right"/>
    </xf>
    <xf numFmtId="41" fontId="16" fillId="4" borderId="0" xfId="0" applyFont="1" applyFill="1" applyAlignment="1" applyProtection="1">
      <alignment horizontal="right"/>
      <protection locked="0"/>
    </xf>
    <xf numFmtId="41" fontId="16" fillId="4" borderId="12" xfId="0" applyFont="1" applyFill="1" applyBorder="1"/>
    <xf numFmtId="44" fontId="24" fillId="4" borderId="0" xfId="23" applyFont="1" applyFill="1" applyProtection="1"/>
    <xf numFmtId="6" fontId="16" fillId="4" borderId="0" xfId="0" applyNumberFormat="1" applyFont="1" applyFill="1" applyAlignment="1">
      <alignment horizontal="right"/>
    </xf>
    <xf numFmtId="41" fontId="17" fillId="4" borderId="0" xfId="0" applyFont="1" applyFill="1" applyAlignment="1">
      <alignment horizontal="center"/>
    </xf>
    <xf numFmtId="41" fontId="19" fillId="4" borderId="7" xfId="0" applyFont="1" applyFill="1" applyBorder="1"/>
    <xf numFmtId="41" fontId="16" fillId="4" borderId="19" xfId="0" applyFont="1" applyFill="1" applyBorder="1"/>
    <xf numFmtId="41" fontId="16" fillId="4" borderId="10" xfId="0" applyFont="1" applyFill="1" applyBorder="1"/>
    <xf numFmtId="41" fontId="16" fillId="4" borderId="17" xfId="0" applyFont="1" applyFill="1" applyBorder="1"/>
    <xf numFmtId="41" fontId="17" fillId="4" borderId="5" xfId="0" applyFont="1" applyFill="1" applyBorder="1"/>
    <xf numFmtId="41" fontId="17" fillId="4" borderId="1" xfId="0" applyFont="1" applyFill="1" applyBorder="1"/>
    <xf numFmtId="41" fontId="16" fillId="2" borderId="0" xfId="0" applyFont="1" applyFill="1"/>
    <xf numFmtId="9" fontId="16" fillId="4" borderId="0" xfId="1" applyFont="1" applyFill="1"/>
    <xf numFmtId="41" fontId="16" fillId="5" borderId="22" xfId="0" applyFont="1" applyFill="1" applyBorder="1"/>
    <xf numFmtId="41" fontId="16" fillId="5" borderId="23" xfId="0" applyFont="1" applyFill="1" applyBorder="1"/>
    <xf numFmtId="41" fontId="16" fillId="5" borderId="24" xfId="0" applyFont="1" applyFill="1" applyBorder="1"/>
    <xf numFmtId="41" fontId="16" fillId="5" borderId="25" xfId="0" applyFont="1" applyFill="1" applyBorder="1"/>
    <xf numFmtId="41" fontId="16" fillId="5" borderId="0" xfId="0" applyFont="1" applyFill="1"/>
    <xf numFmtId="41" fontId="16" fillId="5" borderId="26" xfId="0" applyFont="1" applyFill="1" applyBorder="1"/>
    <xf numFmtId="41" fontId="16" fillId="5" borderId="27" xfId="0" applyFont="1" applyFill="1" applyBorder="1"/>
    <xf numFmtId="41" fontId="16" fillId="5" borderId="28" xfId="0" applyFont="1" applyFill="1" applyBorder="1"/>
    <xf numFmtId="41" fontId="16" fillId="5" borderId="29" xfId="0" applyFont="1" applyFill="1" applyBorder="1"/>
    <xf numFmtId="41" fontId="14" fillId="4" borderId="0" xfId="0" applyFont="1" applyFill="1" applyAlignment="1">
      <alignment horizontal="right"/>
    </xf>
    <xf numFmtId="14" fontId="22" fillId="4" borderId="0" xfId="0" applyNumberFormat="1" applyFont="1" applyFill="1" applyAlignment="1">
      <alignment horizontal="right"/>
    </xf>
    <xf numFmtId="41" fontId="22" fillId="4" borderId="0" xfId="0" applyFont="1" applyFill="1" applyAlignment="1">
      <alignment horizontal="right"/>
    </xf>
    <xf numFmtId="6" fontId="14" fillId="4" borderId="0" xfId="0" applyNumberFormat="1" applyFont="1" applyFill="1" applyAlignment="1">
      <alignment horizontal="right"/>
    </xf>
    <xf numFmtId="41" fontId="16" fillId="3" borderId="12" xfId="0" applyFont="1" applyFill="1" applyBorder="1" applyProtection="1">
      <protection locked="0"/>
    </xf>
    <xf numFmtId="49" fontId="16" fillId="4" borderId="0" xfId="0" applyNumberFormat="1" applyFont="1" applyFill="1" applyAlignment="1">
      <alignment horizontal="center"/>
    </xf>
    <xf numFmtId="168" fontId="16" fillId="4" borderId="0" xfId="22" applyNumberFormat="1" applyFont="1" applyFill="1"/>
    <xf numFmtId="41" fontId="17" fillId="4" borderId="0" xfId="0" applyFont="1" applyFill="1" applyAlignment="1">
      <alignment horizontal="center" vertical="center"/>
    </xf>
    <xf numFmtId="41" fontId="17" fillId="4" borderId="0" xfId="0" applyFont="1" applyFill="1" applyAlignment="1">
      <alignment horizontal="centerContinuous"/>
    </xf>
    <xf numFmtId="41" fontId="16" fillId="4" borderId="7" xfId="0" applyFont="1" applyFill="1" applyBorder="1" applyAlignment="1">
      <alignment horizontal="right"/>
    </xf>
    <xf numFmtId="168" fontId="16" fillId="4" borderId="7" xfId="22" applyNumberFormat="1" applyFont="1" applyFill="1" applyBorder="1"/>
    <xf numFmtId="40" fontId="16" fillId="4" borderId="0" xfId="22" applyNumberFormat="1" applyFont="1" applyFill="1" applyBorder="1" applyAlignment="1" applyProtection="1">
      <alignment horizontal="right"/>
    </xf>
    <xf numFmtId="43" fontId="16" fillId="4" borderId="0" xfId="22" applyFont="1" applyFill="1"/>
    <xf numFmtId="41" fontId="16" fillId="4" borderId="0" xfId="0" applyFont="1" applyFill="1" applyAlignment="1">
      <alignment horizontal="left"/>
    </xf>
    <xf numFmtId="49" fontId="16" fillId="4" borderId="0" xfId="0" applyNumberFormat="1" applyFont="1" applyFill="1" applyAlignment="1">
      <alignment horizontal="left"/>
    </xf>
    <xf numFmtId="41" fontId="15" fillId="4" borderId="0" xfId="0" applyFont="1" applyFill="1" applyAlignment="1">
      <alignment horizontal="center"/>
    </xf>
    <xf numFmtId="41" fontId="29" fillId="4" borderId="0" xfId="0" applyFont="1" applyFill="1"/>
    <xf numFmtId="41" fontId="17" fillId="4" borderId="0" xfId="0" applyFont="1" applyFill="1" applyAlignment="1">
      <alignment horizontal="right"/>
    </xf>
    <xf numFmtId="49" fontId="16" fillId="4" borderId="0" xfId="0" applyNumberFormat="1" applyFont="1" applyFill="1" applyAlignment="1">
      <alignment horizontal="right"/>
    </xf>
    <xf numFmtId="49" fontId="19" fillId="4" borderId="0" xfId="0" applyNumberFormat="1" applyFont="1" applyFill="1" applyAlignment="1">
      <alignment horizontal="right"/>
    </xf>
    <xf numFmtId="43" fontId="19" fillId="4" borderId="0" xfId="22" applyFont="1" applyFill="1" applyBorder="1"/>
    <xf numFmtId="41" fontId="19" fillId="4" borderId="12" xfId="0" applyFont="1" applyFill="1" applyBorder="1"/>
    <xf numFmtId="49" fontId="17" fillId="4" borderId="0" xfId="0" applyNumberFormat="1" applyFont="1" applyFill="1" applyAlignment="1">
      <alignment horizontal="center"/>
    </xf>
    <xf numFmtId="49" fontId="18" fillId="4" borderId="0" xfId="0" applyNumberFormat="1" applyFont="1" applyFill="1" applyAlignment="1">
      <alignment horizontal="right"/>
    </xf>
    <xf numFmtId="41" fontId="18" fillId="4" borderId="1" xfId="0" applyFont="1" applyFill="1" applyBorder="1"/>
    <xf numFmtId="43" fontId="17" fillId="4" borderId="0" xfId="22" applyFont="1" applyFill="1"/>
    <xf numFmtId="40" fontId="16" fillId="3" borderId="12" xfId="22" applyNumberFormat="1" applyFont="1" applyFill="1" applyBorder="1" applyAlignment="1" applyProtection="1">
      <alignment horizontal="right"/>
      <protection locked="0"/>
    </xf>
    <xf numFmtId="40" fontId="16" fillId="3" borderId="7" xfId="22" applyNumberFormat="1" applyFont="1" applyFill="1" applyBorder="1" applyAlignment="1" applyProtection="1">
      <alignment horizontal="right"/>
      <protection locked="0"/>
    </xf>
    <xf numFmtId="168" fontId="16" fillId="2" borderId="0" xfId="22" applyNumberFormat="1" applyFont="1" applyFill="1"/>
    <xf numFmtId="41" fontId="16" fillId="4" borderId="6" xfId="0" applyFont="1" applyFill="1" applyBorder="1" applyAlignment="1">
      <alignment horizontal="right"/>
    </xf>
    <xf numFmtId="10" fontId="13" fillId="4" borderId="20" xfId="1" applyNumberFormat="1" applyFont="1" applyFill="1" applyBorder="1" applyAlignment="1">
      <alignment horizontal="right" vertical="center"/>
    </xf>
    <xf numFmtId="10" fontId="13" fillId="4" borderId="9" xfId="1" applyNumberFormat="1" applyFont="1" applyFill="1" applyBorder="1" applyAlignment="1">
      <alignment horizontal="right" vertical="center"/>
    </xf>
    <xf numFmtId="41" fontId="16" fillId="4" borderId="0" xfId="0" applyFont="1" applyFill="1" applyAlignment="1">
      <alignment horizontal="left" vertical="top"/>
    </xf>
    <xf numFmtId="2" fontId="16" fillId="4" borderId="0" xfId="0" applyNumberFormat="1" applyFont="1" applyFill="1" applyAlignment="1">
      <alignment horizontal="right" vertical="top"/>
    </xf>
    <xf numFmtId="41" fontId="17" fillId="7" borderId="7" xfId="0" applyFont="1" applyFill="1" applyBorder="1" applyAlignment="1">
      <alignment horizontal="right"/>
    </xf>
    <xf numFmtId="41" fontId="16" fillId="7" borderId="0" xfId="0" applyFont="1" applyFill="1"/>
    <xf numFmtId="164" fontId="16" fillId="7" borderId="0" xfId="1" applyNumberFormat="1" applyFont="1" applyFill="1" applyProtection="1"/>
    <xf numFmtId="41" fontId="23" fillId="7" borderId="0" xfId="0" applyFont="1" applyFill="1"/>
    <xf numFmtId="41" fontId="16" fillId="7" borderId="18" xfId="0" applyFont="1" applyFill="1" applyBorder="1"/>
    <xf numFmtId="41" fontId="16" fillId="7" borderId="14" xfId="0" applyFont="1" applyFill="1" applyBorder="1"/>
    <xf numFmtId="41" fontId="16" fillId="7" borderId="16" xfId="0" applyFont="1" applyFill="1" applyBorder="1"/>
    <xf numFmtId="41" fontId="19" fillId="7" borderId="7" xfId="0" applyFont="1" applyFill="1" applyBorder="1"/>
    <xf numFmtId="41" fontId="16" fillId="7" borderId="7" xfId="0" applyFont="1" applyFill="1" applyBorder="1"/>
    <xf numFmtId="41" fontId="17" fillId="7" borderId="1" xfId="0" applyFont="1" applyFill="1" applyBorder="1"/>
    <xf numFmtId="41" fontId="16" fillId="7" borderId="1" xfId="0" applyFont="1" applyFill="1" applyBorder="1"/>
    <xf numFmtId="41" fontId="17" fillId="7" borderId="0" xfId="0" applyFont="1" applyFill="1"/>
    <xf numFmtId="41" fontId="23" fillId="7" borderId="7" xfId="0" applyFont="1" applyFill="1" applyBorder="1"/>
    <xf numFmtId="41" fontId="25" fillId="7" borderId="0" xfId="0" applyFont="1" applyFill="1"/>
    <xf numFmtId="0" fontId="16" fillId="4" borderId="0" xfId="18" applyFont="1" applyFill="1" applyAlignment="1">
      <alignment vertical="top"/>
    </xf>
    <xf numFmtId="168" fontId="16" fillId="4" borderId="0" xfId="22" applyNumberFormat="1" applyFont="1" applyFill="1" applyAlignment="1" applyProtection="1">
      <alignment vertical="top"/>
    </xf>
    <xf numFmtId="167" fontId="16" fillId="4" borderId="0" xfId="18" applyNumberFormat="1" applyFont="1" applyFill="1" applyAlignment="1">
      <alignment vertical="top"/>
    </xf>
    <xf numFmtId="0" fontId="19" fillId="4" borderId="0" xfId="18" applyFont="1" applyFill="1" applyAlignment="1">
      <alignment horizontal="center" vertical="top"/>
    </xf>
    <xf numFmtId="0" fontId="16" fillId="4" borderId="0" xfId="18" applyFont="1" applyFill="1" applyAlignment="1">
      <alignment horizontal="center" vertical="top"/>
    </xf>
    <xf numFmtId="3" fontId="19" fillId="4" borderId="0" xfId="18" applyNumberFormat="1" applyFont="1" applyFill="1" applyAlignment="1">
      <alignment horizontal="left" vertical="top"/>
    </xf>
    <xf numFmtId="0" fontId="28" fillId="4" borderId="0" xfId="18" applyFont="1" applyFill="1" applyAlignment="1">
      <alignment vertical="top"/>
    </xf>
    <xf numFmtId="10" fontId="16" fillId="4" borderId="0" xfId="18" applyNumberFormat="1" applyFont="1" applyFill="1" applyAlignment="1">
      <alignment vertical="top"/>
    </xf>
    <xf numFmtId="167" fontId="19" fillId="4" borderId="11" xfId="18" applyNumberFormat="1" applyFont="1" applyFill="1" applyBorder="1" applyAlignment="1">
      <alignment vertical="top"/>
    </xf>
    <xf numFmtId="3" fontId="16" fillId="4" borderId="0" xfId="22" applyNumberFormat="1" applyFont="1" applyFill="1" applyBorder="1" applyAlignment="1">
      <alignment vertical="top"/>
    </xf>
    <xf numFmtId="3" fontId="19" fillId="4" borderId="0" xfId="22" applyNumberFormat="1" applyFont="1" applyFill="1" applyBorder="1" applyAlignment="1">
      <alignment vertical="top"/>
    </xf>
    <xf numFmtId="14" fontId="16" fillId="4" borderId="0" xfId="18" applyNumberFormat="1" applyFont="1" applyFill="1" applyAlignment="1">
      <alignment vertical="top"/>
    </xf>
    <xf numFmtId="171" fontId="16" fillId="4" borderId="0" xfId="21" applyNumberFormat="1" applyFont="1" applyFill="1" applyBorder="1" applyAlignment="1" applyProtection="1">
      <alignment vertical="top"/>
    </xf>
    <xf numFmtId="9" fontId="16" fillId="4" borderId="0" xfId="19" applyFont="1" applyFill="1" applyBorder="1" applyAlignment="1" applyProtection="1">
      <alignment vertical="top"/>
    </xf>
    <xf numFmtId="0" fontId="16" fillId="4" borderId="7" xfId="18" applyFont="1" applyFill="1" applyBorder="1" applyAlignment="1">
      <alignment vertical="top"/>
    </xf>
    <xf numFmtId="0" fontId="16" fillId="4" borderId="7" xfId="18" applyFont="1" applyFill="1" applyBorder="1" applyAlignment="1">
      <alignment horizontal="center" vertical="top"/>
    </xf>
    <xf numFmtId="3" fontId="16" fillId="4" borderId="7" xfId="22" applyNumberFormat="1" applyFont="1" applyFill="1" applyBorder="1" applyAlignment="1">
      <alignment vertical="top"/>
    </xf>
    <xf numFmtId="0" fontId="16" fillId="4" borderId="16" xfId="18" applyFont="1" applyFill="1" applyBorder="1" applyAlignment="1">
      <alignment horizontal="center" vertical="top"/>
    </xf>
    <xf numFmtId="168" fontId="16" fillId="4" borderId="0" xfId="22" applyNumberFormat="1" applyFont="1" applyFill="1" applyBorder="1" applyAlignment="1" applyProtection="1">
      <alignment vertical="top"/>
    </xf>
    <xf numFmtId="168" fontId="16" fillId="4" borderId="10" xfId="22" applyNumberFormat="1" applyFont="1" applyFill="1" applyBorder="1" applyAlignment="1" applyProtection="1">
      <alignment vertical="top"/>
    </xf>
    <xf numFmtId="168" fontId="16" fillId="4" borderId="14" xfId="22" applyNumberFormat="1" applyFont="1" applyFill="1" applyBorder="1" applyAlignment="1" applyProtection="1">
      <alignment vertical="top"/>
    </xf>
    <xf numFmtId="14" fontId="16" fillId="4" borderId="0" xfId="18" applyNumberFormat="1" applyFont="1" applyFill="1" applyAlignment="1">
      <alignment horizontal="center" vertical="top"/>
    </xf>
    <xf numFmtId="3" fontId="16" fillId="4" borderId="7" xfId="18" applyNumberFormat="1" applyFont="1" applyFill="1" applyBorder="1" applyAlignment="1">
      <alignment horizontal="right" vertical="top"/>
    </xf>
    <xf numFmtId="3" fontId="16" fillId="4" borderId="0" xfId="22" applyNumberFormat="1" applyFont="1" applyFill="1" applyBorder="1" applyAlignment="1">
      <alignment horizontal="right" vertical="top"/>
    </xf>
    <xf numFmtId="3" fontId="16" fillId="4" borderId="7" xfId="22" applyNumberFormat="1" applyFont="1" applyFill="1" applyBorder="1" applyAlignment="1">
      <alignment horizontal="right" vertical="top"/>
    </xf>
    <xf numFmtId="3" fontId="19" fillId="4" borderId="0" xfId="22" applyNumberFormat="1" applyFont="1" applyFill="1" applyBorder="1" applyAlignment="1">
      <alignment horizontal="right" vertical="top"/>
    </xf>
    <xf numFmtId="3" fontId="19" fillId="4" borderId="0" xfId="18" applyNumberFormat="1" applyFont="1" applyFill="1" applyAlignment="1">
      <alignment horizontal="right" vertical="top"/>
    </xf>
    <xf numFmtId="0" fontId="16" fillId="4" borderId="7" xfId="18" applyFont="1" applyFill="1" applyBorder="1" applyAlignment="1">
      <alignment horizontal="right" vertical="top"/>
    </xf>
    <xf numFmtId="1" fontId="17" fillId="4" borderId="0" xfId="18" applyNumberFormat="1" applyFont="1" applyFill="1" applyAlignment="1">
      <alignment horizontal="left" vertical="top"/>
    </xf>
    <xf numFmtId="1" fontId="17" fillId="4" borderId="0" xfId="18" applyNumberFormat="1" applyFont="1" applyFill="1" applyAlignment="1">
      <alignment horizontal="center" vertical="top"/>
    </xf>
    <xf numFmtId="3" fontId="18" fillId="4" borderId="0" xfId="18" applyNumberFormat="1" applyFont="1" applyFill="1" applyAlignment="1">
      <alignment horizontal="left" vertical="top"/>
    </xf>
    <xf numFmtId="14" fontId="16" fillId="4" borderId="0" xfId="18" applyNumberFormat="1" applyFont="1" applyFill="1" applyAlignment="1" applyProtection="1">
      <alignment vertical="top"/>
      <protection locked="0"/>
    </xf>
    <xf numFmtId="171" fontId="16" fillId="4" borderId="0" xfId="21" applyNumberFormat="1" applyFont="1" applyFill="1" applyBorder="1" applyAlignment="1" applyProtection="1">
      <alignment vertical="top"/>
      <protection locked="0"/>
    </xf>
    <xf numFmtId="14" fontId="16" fillId="4" borderId="0" xfId="24" applyNumberFormat="1" applyFont="1" applyFill="1" applyAlignment="1" applyProtection="1">
      <alignment vertical="top"/>
      <protection locked="0"/>
    </xf>
    <xf numFmtId="171" fontId="16" fillId="4" borderId="0" xfId="22" applyNumberFormat="1" applyFont="1" applyFill="1" applyBorder="1" applyAlignment="1" applyProtection="1">
      <alignment vertical="top"/>
      <protection locked="0"/>
    </xf>
    <xf numFmtId="14" fontId="16" fillId="4" borderId="7" xfId="18" applyNumberFormat="1" applyFont="1" applyFill="1" applyBorder="1" applyAlignment="1" applyProtection="1">
      <alignment vertical="top"/>
      <protection locked="0"/>
    </xf>
    <xf numFmtId="171" fontId="16" fillId="4" borderId="7" xfId="21" applyNumberFormat="1" applyFont="1" applyFill="1" applyBorder="1" applyAlignment="1" applyProtection="1">
      <alignment vertical="top"/>
      <protection locked="0"/>
    </xf>
    <xf numFmtId="3" fontId="21" fillId="4" borderId="0" xfId="18" applyNumberFormat="1" applyFont="1" applyFill="1" applyAlignment="1">
      <alignment horizontal="centerContinuous" vertical="top"/>
    </xf>
    <xf numFmtId="0" fontId="16" fillId="4" borderId="0" xfId="18" applyFont="1" applyFill="1" applyAlignment="1">
      <alignment horizontal="centerContinuous" vertical="top"/>
    </xf>
    <xf numFmtId="0" fontId="19" fillId="4" borderId="0" xfId="18" applyFont="1" applyFill="1" applyAlignment="1">
      <alignment horizontal="centerContinuous" vertical="top"/>
    </xf>
    <xf numFmtId="3" fontId="17" fillId="4" borderId="0" xfId="18" applyNumberFormat="1" applyFont="1" applyFill="1" applyAlignment="1">
      <alignment horizontal="centerContinuous" vertical="top"/>
    </xf>
    <xf numFmtId="14" fontId="16" fillId="4" borderId="10" xfId="18" applyNumberFormat="1" applyFont="1" applyFill="1" applyBorder="1" applyAlignment="1" applyProtection="1">
      <alignment vertical="top"/>
      <protection locked="0"/>
    </xf>
    <xf numFmtId="9" fontId="16" fillId="4" borderId="14" xfId="19" applyFont="1" applyFill="1" applyBorder="1" applyAlignment="1" applyProtection="1">
      <alignment vertical="top"/>
      <protection locked="0"/>
    </xf>
    <xf numFmtId="14" fontId="16" fillId="4" borderId="17" xfId="18" applyNumberFormat="1" applyFont="1" applyFill="1" applyBorder="1" applyAlignment="1" applyProtection="1">
      <alignment vertical="top"/>
      <protection locked="0"/>
    </xf>
    <xf numFmtId="9" fontId="16" fillId="4" borderId="16" xfId="19" applyFont="1" applyFill="1" applyBorder="1" applyAlignment="1" applyProtection="1">
      <alignment vertical="top"/>
      <protection locked="0"/>
    </xf>
    <xf numFmtId="0" fontId="16" fillId="4" borderId="17" xfId="18" applyFont="1" applyFill="1" applyBorder="1" applyAlignment="1">
      <alignment horizontal="center" vertical="top"/>
    </xf>
    <xf numFmtId="170" fontId="16" fillId="4" borderId="17" xfId="0" applyNumberFormat="1" applyFont="1" applyFill="1" applyBorder="1"/>
    <xf numFmtId="170" fontId="16" fillId="4" borderId="16" xfId="0" applyNumberFormat="1" applyFont="1" applyFill="1" applyBorder="1"/>
    <xf numFmtId="167" fontId="16" fillId="4" borderId="0" xfId="19" applyNumberFormat="1" applyFont="1" applyFill="1" applyAlignment="1" applyProtection="1">
      <alignment horizontal="center" vertical="top"/>
    </xf>
    <xf numFmtId="167" fontId="29" fillId="4" borderId="0" xfId="18" applyNumberFormat="1" applyFont="1" applyFill="1" applyAlignment="1">
      <alignment vertical="top"/>
    </xf>
    <xf numFmtId="167" fontId="17" fillId="4" borderId="2" xfId="18" applyNumberFormat="1" applyFont="1" applyFill="1" applyBorder="1" applyAlignment="1">
      <alignment vertical="top"/>
    </xf>
    <xf numFmtId="167" fontId="17" fillId="4" borderId="3" xfId="18" applyNumberFormat="1" applyFont="1" applyFill="1" applyBorder="1" applyAlignment="1">
      <alignment vertical="top"/>
    </xf>
    <xf numFmtId="167" fontId="17" fillId="4" borderId="4" xfId="18" applyNumberFormat="1" applyFont="1" applyFill="1" applyBorder="1" applyAlignment="1">
      <alignment vertical="top"/>
    </xf>
    <xf numFmtId="0" fontId="21" fillId="4" borderId="0" xfId="18" applyFont="1" applyFill="1" applyAlignment="1">
      <alignment horizontal="centerContinuous" vertical="top"/>
    </xf>
    <xf numFmtId="14" fontId="16" fillId="4" borderId="0" xfId="18" applyNumberFormat="1" applyFont="1" applyFill="1" applyAlignment="1">
      <alignment horizontal="centerContinuous" vertical="top"/>
    </xf>
    <xf numFmtId="174" fontId="16" fillId="4" borderId="0" xfId="22" applyNumberFormat="1" applyFont="1" applyFill="1" applyAlignment="1">
      <alignment horizontal="right" vertical="top"/>
    </xf>
    <xf numFmtId="173" fontId="17" fillId="4" borderId="0" xfId="0" applyNumberFormat="1" applyFont="1" applyFill="1" applyAlignment="1">
      <alignment horizontal="right" vertical="center"/>
    </xf>
    <xf numFmtId="0" fontId="14" fillId="4" borderId="0" xfId="18" applyFont="1" applyFill="1" applyAlignment="1">
      <alignment vertical="top"/>
    </xf>
    <xf numFmtId="0" fontId="16" fillId="4" borderId="12" xfId="18" applyFont="1" applyFill="1" applyBorder="1" applyAlignment="1">
      <alignment horizontal="center" vertical="top"/>
    </xf>
    <xf numFmtId="164" fontId="16" fillId="4" borderId="14" xfId="1" applyNumberFormat="1" applyFont="1" applyFill="1" applyBorder="1" applyAlignment="1" applyProtection="1">
      <alignment vertical="top"/>
      <protection locked="0"/>
    </xf>
    <xf numFmtId="164" fontId="16" fillId="4" borderId="14" xfId="19" applyNumberFormat="1" applyFont="1" applyFill="1" applyBorder="1" applyAlignment="1" applyProtection="1">
      <alignment vertical="top"/>
      <protection locked="0"/>
    </xf>
    <xf numFmtId="3" fontId="15" fillId="4" borderId="0" xfId="18" applyNumberFormat="1" applyFont="1" applyFill="1" applyAlignment="1">
      <alignment horizontal="centerContinuous" vertical="top"/>
    </xf>
    <xf numFmtId="41" fontId="19" fillId="4" borderId="5" xfId="0" applyFont="1" applyFill="1" applyBorder="1" applyAlignment="1">
      <alignment horizontal="right"/>
    </xf>
    <xf numFmtId="41" fontId="18" fillId="4" borderId="15" xfId="0" applyFont="1" applyFill="1" applyBorder="1"/>
    <xf numFmtId="0" fontId="16" fillId="4" borderId="28" xfId="18" applyFont="1" applyFill="1" applyBorder="1" applyAlignment="1">
      <alignment horizontal="center" vertical="top"/>
    </xf>
    <xf numFmtId="0" fontId="16" fillId="4" borderId="28" xfId="18" applyFont="1" applyFill="1" applyBorder="1" applyAlignment="1">
      <alignment vertical="top"/>
    </xf>
    <xf numFmtId="167" fontId="16" fillId="4" borderId="28" xfId="18" applyNumberFormat="1" applyFont="1" applyFill="1" applyBorder="1" applyAlignment="1">
      <alignment vertical="top"/>
    </xf>
    <xf numFmtId="174" fontId="16" fillId="4" borderId="0" xfId="22" applyNumberFormat="1" applyFont="1" applyFill="1" applyAlignment="1">
      <alignment horizontal="left" vertical="top"/>
    </xf>
    <xf numFmtId="9" fontId="16" fillId="4" borderId="0" xfId="1" applyFont="1" applyFill="1" applyAlignment="1">
      <alignment vertical="top"/>
    </xf>
    <xf numFmtId="3" fontId="18" fillId="4" borderId="0" xfId="18" applyNumberFormat="1" applyFont="1" applyFill="1" applyAlignment="1">
      <alignment horizontal="centerContinuous" vertical="top"/>
    </xf>
    <xf numFmtId="175" fontId="16" fillId="7" borderId="0" xfId="0" applyNumberFormat="1" applyFont="1" applyFill="1"/>
    <xf numFmtId="175" fontId="23" fillId="7" borderId="0" xfId="0" applyNumberFormat="1" applyFont="1" applyFill="1"/>
    <xf numFmtId="175" fontId="16" fillId="7" borderId="18" xfId="0" applyNumberFormat="1" applyFont="1" applyFill="1" applyBorder="1"/>
    <xf numFmtId="175" fontId="16" fillId="7" borderId="14" xfId="0" applyNumberFormat="1" applyFont="1" applyFill="1" applyBorder="1"/>
    <xf numFmtId="175" fontId="16" fillId="7" borderId="16" xfId="0" applyNumberFormat="1" applyFont="1" applyFill="1" applyBorder="1"/>
    <xf numFmtId="175" fontId="16" fillId="7" borderId="7" xfId="0" applyNumberFormat="1" applyFont="1" applyFill="1" applyBorder="1"/>
    <xf numFmtId="175" fontId="17" fillId="7" borderId="1" xfId="0" applyNumberFormat="1" applyFont="1" applyFill="1" applyBorder="1"/>
    <xf numFmtId="175" fontId="16" fillId="7" borderId="1" xfId="0" applyNumberFormat="1" applyFont="1" applyFill="1" applyBorder="1"/>
    <xf numFmtId="175" fontId="17" fillId="7" borderId="0" xfId="0" applyNumberFormat="1" applyFont="1" applyFill="1"/>
    <xf numFmtId="175" fontId="23" fillId="7" borderId="7" xfId="0" applyNumberFormat="1" applyFont="1" applyFill="1" applyBorder="1"/>
    <xf numFmtId="175" fontId="25" fillId="7" borderId="0" xfId="0" applyNumberFormat="1" applyFont="1" applyFill="1"/>
    <xf numFmtId="41" fontId="16" fillId="7" borderId="12" xfId="0" applyFont="1" applyFill="1" applyBorder="1" applyProtection="1">
      <protection locked="0"/>
    </xf>
    <xf numFmtId="41" fontId="16" fillId="7" borderId="0" xfId="0" applyFont="1" applyFill="1" applyProtection="1">
      <protection locked="0"/>
    </xf>
    <xf numFmtId="41" fontId="16" fillId="7" borderId="7" xfId="0" applyFont="1" applyFill="1" applyBorder="1" applyProtection="1">
      <protection locked="0"/>
    </xf>
    <xf numFmtId="41" fontId="16" fillId="7" borderId="12" xfId="0" applyFont="1" applyFill="1" applyBorder="1"/>
    <xf numFmtId="9" fontId="16" fillId="4" borderId="10" xfId="1" applyFont="1" applyFill="1" applyBorder="1" applyAlignment="1" applyProtection="1">
      <alignment vertical="top"/>
    </xf>
    <xf numFmtId="9" fontId="16" fillId="4" borderId="0" xfId="1" applyFont="1" applyFill="1" applyAlignment="1" applyProtection="1">
      <alignment vertical="top"/>
    </xf>
    <xf numFmtId="168" fontId="16" fillId="3" borderId="0" xfId="22" applyNumberFormat="1" applyFont="1" applyFill="1" applyProtection="1">
      <protection locked="0"/>
    </xf>
    <xf numFmtId="41" fontId="18" fillId="2" borderId="0" xfId="0" applyFont="1" applyFill="1"/>
    <xf numFmtId="41" fontId="16" fillId="3" borderId="21" xfId="0" applyFont="1" applyFill="1" applyBorder="1" applyAlignment="1" applyProtection="1">
      <alignment horizontal="center"/>
      <protection locked="0"/>
    </xf>
    <xf numFmtId="1" fontId="16" fillId="5" borderId="0" xfId="0" applyNumberFormat="1" applyFont="1" applyFill="1" applyAlignment="1">
      <alignment horizontal="center"/>
    </xf>
    <xf numFmtId="2" fontId="16" fillId="4" borderId="7" xfId="0" applyNumberFormat="1" applyFont="1" applyFill="1" applyBorder="1" applyAlignment="1">
      <alignment horizontal="center"/>
    </xf>
    <xf numFmtId="41" fontId="16" fillId="4" borderId="0" xfId="0" applyFont="1" applyFill="1" applyAlignment="1" applyProtection="1">
      <alignment horizontal="left" vertical="top"/>
      <protection locked="0"/>
    </xf>
    <xf numFmtId="2" fontId="16" fillId="4" borderId="0" xfId="0" applyNumberFormat="1" applyFont="1" applyFill="1" applyAlignment="1" applyProtection="1">
      <alignment horizontal="right" vertical="top"/>
      <protection locked="0"/>
    </xf>
    <xf numFmtId="9" fontId="16" fillId="4" borderId="20" xfId="1" applyFont="1" applyFill="1" applyBorder="1" applyAlignment="1" applyProtection="1">
      <alignment vertical="top"/>
    </xf>
    <xf numFmtId="168" fontId="16" fillId="4" borderId="20" xfId="22" applyNumberFormat="1" applyFont="1" applyFill="1" applyBorder="1" applyAlignment="1" applyProtection="1">
      <alignment vertical="top"/>
    </xf>
    <xf numFmtId="170" fontId="19" fillId="4" borderId="6" xfId="0" applyNumberFormat="1" applyFont="1" applyFill="1" applyBorder="1"/>
    <xf numFmtId="164" fontId="30" fillId="4" borderId="0" xfId="1" applyNumberFormat="1" applyFont="1" applyFill="1" applyAlignment="1" applyProtection="1">
      <alignment horizontal="right"/>
    </xf>
    <xf numFmtId="9" fontId="30" fillId="4" borderId="0" xfId="1" applyFont="1" applyFill="1" applyProtection="1"/>
    <xf numFmtId="168" fontId="30" fillId="4" borderId="0" xfId="22" applyNumberFormat="1" applyFont="1" applyFill="1" applyProtection="1"/>
    <xf numFmtId="0" fontId="27" fillId="4" borderId="0" xfId="0" applyNumberFormat="1" applyFont="1" applyFill="1" applyAlignment="1">
      <alignment vertical="center"/>
    </xf>
    <xf numFmtId="174" fontId="16" fillId="4" borderId="0" xfId="22" applyNumberFormat="1" applyFont="1" applyFill="1" applyAlignment="1">
      <alignment horizontal="centerContinuous" vertical="top"/>
    </xf>
    <xf numFmtId="0" fontId="16" fillId="4" borderId="0" xfId="0" applyNumberFormat="1" applyFont="1" applyFill="1" applyAlignment="1">
      <alignment horizontal="center"/>
    </xf>
    <xf numFmtId="9" fontId="16" fillId="4" borderId="9" xfId="0" applyNumberFormat="1" applyFont="1" applyFill="1" applyBorder="1" applyAlignment="1">
      <alignment horizontal="right"/>
    </xf>
    <xf numFmtId="41" fontId="31" fillId="4" borderId="0" xfId="0" applyFont="1" applyFill="1" applyAlignment="1">
      <alignment horizontal="right"/>
    </xf>
    <xf numFmtId="41" fontId="18" fillId="5" borderId="2" xfId="0" applyFont="1" applyFill="1" applyBorder="1"/>
    <xf numFmtId="41" fontId="18" fillId="5" borderId="3" xfId="0" applyFont="1" applyFill="1" applyBorder="1"/>
    <xf numFmtId="41" fontId="18" fillId="7" borderId="3" xfId="0" applyFont="1" applyFill="1" applyBorder="1"/>
    <xf numFmtId="175" fontId="18" fillId="7" borderId="4" xfId="0" applyNumberFormat="1" applyFont="1" applyFill="1" applyBorder="1"/>
    <xf numFmtId="41" fontId="18" fillId="4" borderId="2" xfId="0" applyFont="1" applyFill="1" applyBorder="1"/>
    <xf numFmtId="41" fontId="18" fillId="4" borderId="3" xfId="0" applyFont="1" applyFill="1" applyBorder="1"/>
    <xf numFmtId="175" fontId="18" fillId="7" borderId="3" xfId="0" applyNumberFormat="1" applyFont="1" applyFill="1" applyBorder="1"/>
    <xf numFmtId="41" fontId="18" fillId="7" borderId="4" xfId="0" applyFont="1" applyFill="1" applyBorder="1"/>
    <xf numFmtId="41" fontId="16" fillId="4" borderId="7" xfId="0" applyFont="1" applyFill="1" applyBorder="1" applyAlignment="1">
      <alignment horizontal="left"/>
    </xf>
    <xf numFmtId="168" fontId="16" fillId="3" borderId="0" xfId="22" applyNumberFormat="1" applyFont="1" applyFill="1" applyBorder="1" applyProtection="1">
      <protection locked="0"/>
    </xf>
    <xf numFmtId="168" fontId="16" fillId="4" borderId="0" xfId="22" applyNumberFormat="1" applyFont="1" applyFill="1" applyBorder="1"/>
    <xf numFmtId="173" fontId="27" fillId="4" borderId="0" xfId="0" applyNumberFormat="1" applyFont="1" applyFill="1" applyAlignment="1">
      <alignment horizontal="center" vertical="center"/>
    </xf>
    <xf numFmtId="41" fontId="17" fillId="4" borderId="7" xfId="0" applyFont="1" applyFill="1" applyBorder="1" applyAlignment="1">
      <alignment horizontal="center"/>
    </xf>
    <xf numFmtId="164" fontId="16" fillId="4" borderId="0" xfId="1" applyNumberFormat="1" applyFont="1" applyFill="1" applyAlignment="1" applyProtection="1">
      <alignment horizontal="center"/>
    </xf>
    <xf numFmtId="175" fontId="16" fillId="4" borderId="0" xfId="0" applyNumberFormat="1" applyFont="1" applyFill="1" applyAlignment="1">
      <alignment horizontal="center"/>
    </xf>
    <xf numFmtId="175" fontId="23" fillId="4" borderId="0" xfId="0" applyNumberFormat="1" applyFont="1" applyFill="1" applyAlignment="1">
      <alignment horizontal="center"/>
    </xf>
    <xf numFmtId="175" fontId="18" fillId="4" borderId="0" xfId="0" applyNumberFormat="1" applyFont="1" applyFill="1" applyAlignment="1">
      <alignment horizontal="center"/>
    </xf>
    <xf numFmtId="175" fontId="17" fillId="4" borderId="0" xfId="0" applyNumberFormat="1" applyFont="1" applyFill="1" applyAlignment="1">
      <alignment horizontal="center"/>
    </xf>
    <xf numFmtId="175" fontId="25" fillId="4" borderId="0" xfId="0" applyNumberFormat="1" applyFont="1" applyFill="1" applyAlignment="1">
      <alignment horizontal="center"/>
    </xf>
    <xf numFmtId="41" fontId="19" fillId="4" borderId="0" xfId="0" applyFont="1" applyFill="1" applyAlignment="1">
      <alignment horizontal="center"/>
    </xf>
    <xf numFmtId="41" fontId="16" fillId="4" borderId="0" xfId="0" applyFont="1" applyFill="1" applyAlignment="1" applyProtection="1">
      <alignment horizontal="center"/>
      <protection locked="0"/>
    </xf>
    <xf numFmtId="41" fontId="19" fillId="4" borderId="0" xfId="0" applyFont="1" applyFill="1" applyAlignment="1">
      <alignment horizontal="center" vertical="center"/>
    </xf>
    <xf numFmtId="41" fontId="18" fillId="4" borderId="0" xfId="0" applyFont="1" applyFill="1" applyAlignment="1">
      <alignment horizontal="center"/>
    </xf>
    <xf numFmtId="0" fontId="16" fillId="4" borderId="0" xfId="0" applyNumberFormat="1" applyFont="1" applyFill="1" applyAlignment="1" applyProtection="1">
      <alignment horizontal="left" vertical="top"/>
      <protection locked="0"/>
    </xf>
    <xf numFmtId="0" fontId="16" fillId="4" borderId="0" xfId="0" applyNumberFormat="1" applyFont="1" applyFill="1" applyAlignment="1">
      <alignment horizontal="left" vertical="top"/>
    </xf>
    <xf numFmtId="0" fontId="16" fillId="4" borderId="0" xfId="0" applyNumberFormat="1" applyFont="1" applyFill="1" applyAlignment="1" applyProtection="1">
      <alignment horizontal="left"/>
      <protection locked="0"/>
    </xf>
    <xf numFmtId="41" fontId="16" fillId="4" borderId="0" xfId="0" applyFont="1" applyFill="1" applyAlignment="1" applyProtection="1">
      <alignment horizontal="left"/>
      <protection locked="0"/>
    </xf>
    <xf numFmtId="166" fontId="16" fillId="4" borderId="0" xfId="0" applyNumberFormat="1" applyFont="1" applyFill="1" applyAlignment="1" applyProtection="1">
      <alignment horizontal="left" vertical="top"/>
      <protection locked="0"/>
    </xf>
    <xf numFmtId="166" fontId="16" fillId="4" borderId="0" xfId="0" applyNumberFormat="1" applyFont="1" applyFill="1" applyAlignment="1">
      <alignment horizontal="left" vertical="top"/>
    </xf>
    <xf numFmtId="2" fontId="16" fillId="4" borderId="7" xfId="0" applyNumberFormat="1" applyFont="1" applyFill="1" applyBorder="1" applyAlignment="1">
      <alignment horizontal="right"/>
    </xf>
    <xf numFmtId="4" fontId="16" fillId="4" borderId="0" xfId="0" applyNumberFormat="1" applyFont="1" applyFill="1" applyAlignment="1" applyProtection="1">
      <alignment horizontal="right"/>
      <protection locked="0"/>
    </xf>
    <xf numFmtId="2" fontId="16" fillId="4" borderId="0" xfId="0" applyNumberFormat="1" applyFont="1" applyFill="1" applyAlignment="1" applyProtection="1">
      <alignment horizontal="right"/>
      <protection locked="0"/>
    </xf>
    <xf numFmtId="0" fontId="16" fillId="4" borderId="0" xfId="0" applyNumberFormat="1" applyFont="1" applyFill="1" applyAlignment="1" applyProtection="1">
      <alignment horizontal="right"/>
      <protection locked="0"/>
    </xf>
    <xf numFmtId="2" fontId="16" fillId="4" borderId="0" xfId="0" applyNumberFormat="1" applyFont="1" applyFill="1" applyAlignment="1">
      <alignment horizontal="right"/>
    </xf>
    <xf numFmtId="176" fontId="16" fillId="4" borderId="0" xfId="22" applyNumberFormat="1" applyFont="1" applyFill="1" applyAlignment="1">
      <alignment horizontal="centerContinuous" vertical="top"/>
    </xf>
    <xf numFmtId="0" fontId="16" fillId="4" borderId="7" xfId="0" applyNumberFormat="1" applyFont="1" applyFill="1" applyBorder="1" applyAlignment="1">
      <alignment horizontal="center"/>
    </xf>
    <xf numFmtId="41" fontId="11" fillId="4" borderId="0" xfId="0" applyFont="1" applyFill="1"/>
    <xf numFmtId="4" fontId="0" fillId="4" borderId="0" xfId="0" applyNumberFormat="1" applyFill="1"/>
    <xf numFmtId="14" fontId="0" fillId="4" borderId="0" xfId="0" applyNumberFormat="1" applyFill="1"/>
    <xf numFmtId="41" fontId="16" fillId="4" borderId="6" xfId="0" applyFont="1" applyFill="1" applyBorder="1"/>
    <xf numFmtId="168" fontId="16" fillId="4" borderId="12" xfId="22" applyNumberFormat="1" applyFont="1" applyFill="1" applyBorder="1"/>
    <xf numFmtId="175" fontId="18" fillId="5" borderId="3" xfId="0" applyNumberFormat="1" applyFont="1" applyFill="1" applyBorder="1"/>
    <xf numFmtId="0" fontId="16" fillId="4" borderId="0" xfId="26" applyFont="1" applyFill="1" applyAlignment="1">
      <alignment vertical="center"/>
    </xf>
    <xf numFmtId="41" fontId="32" fillId="4" borderId="0" xfId="0" applyFont="1" applyFill="1" applyAlignment="1">
      <alignment horizontal="centerContinuous"/>
    </xf>
    <xf numFmtId="0" fontId="16" fillId="4" borderId="8" xfId="26" applyFont="1" applyFill="1" applyBorder="1" applyAlignment="1">
      <alignment vertical="center"/>
    </xf>
    <xf numFmtId="0" fontId="16" fillId="4" borderId="20" xfId="26" applyFont="1" applyFill="1" applyBorder="1" applyAlignment="1">
      <alignment vertical="center"/>
    </xf>
    <xf numFmtId="0" fontId="16" fillId="4" borderId="9" xfId="26" applyFont="1" applyFill="1" applyBorder="1" applyAlignment="1">
      <alignment vertical="center"/>
    </xf>
    <xf numFmtId="0" fontId="24" fillId="4" borderId="0" xfId="26" applyFont="1" applyFill="1" applyAlignment="1">
      <alignment vertical="center"/>
    </xf>
    <xf numFmtId="172" fontId="16" fillId="3" borderId="0" xfId="22" applyNumberFormat="1" applyFont="1" applyFill="1"/>
    <xf numFmtId="41" fontId="33" fillId="4" borderId="0" xfId="0" applyFont="1" applyFill="1"/>
    <xf numFmtId="41" fontId="33" fillId="4" borderId="0" xfId="0" applyFont="1" applyFill="1" applyAlignment="1">
      <alignment horizontal="right"/>
    </xf>
    <xf numFmtId="41" fontId="33" fillId="4" borderId="0" xfId="0" applyFont="1" applyFill="1" applyAlignment="1">
      <alignment horizontal="center"/>
    </xf>
    <xf numFmtId="10" fontId="16" fillId="4" borderId="0" xfId="1" applyNumberFormat="1" applyFont="1" applyFill="1" applyBorder="1"/>
    <xf numFmtId="165" fontId="16" fillId="4" borderId="0" xfId="22" applyNumberFormat="1" applyFont="1" applyFill="1" applyBorder="1"/>
    <xf numFmtId="10" fontId="16" fillId="4" borderId="0" xfId="0" applyNumberFormat="1" applyFont="1" applyFill="1"/>
    <xf numFmtId="5" fontId="16" fillId="4" borderId="0" xfId="0" applyNumberFormat="1" applyFont="1" applyFill="1"/>
    <xf numFmtId="167" fontId="19" fillId="4" borderId="0" xfId="23" applyNumberFormat="1" applyFont="1" applyFill="1" applyBorder="1"/>
    <xf numFmtId="41" fontId="32" fillId="4" borderId="0" xfId="0" applyFont="1" applyFill="1" applyAlignment="1">
      <alignment horizontal="center"/>
    </xf>
    <xf numFmtId="0" fontId="33" fillId="4" borderId="7" xfId="0" quotePrefix="1" applyNumberFormat="1" applyFont="1" applyFill="1" applyBorder="1" applyAlignment="1">
      <alignment horizontal="center"/>
    </xf>
    <xf numFmtId="0" fontId="33" fillId="4" borderId="7" xfId="0" applyNumberFormat="1" applyFont="1" applyFill="1" applyBorder="1" applyAlignment="1">
      <alignment horizontal="center"/>
    </xf>
    <xf numFmtId="41" fontId="19" fillId="5" borderId="3" xfId="0" applyFont="1" applyFill="1" applyBorder="1"/>
    <xf numFmtId="41" fontId="19" fillId="5" borderId="2" xfId="0" applyFont="1" applyFill="1" applyBorder="1" applyAlignment="1">
      <alignment horizontal="right"/>
    </xf>
    <xf numFmtId="0" fontId="16" fillId="4" borderId="0" xfId="18" applyFont="1" applyFill="1" applyAlignment="1" applyProtection="1">
      <alignment vertical="top"/>
      <protection locked="0"/>
    </xf>
    <xf numFmtId="0" fontId="34" fillId="4" borderId="0" xfId="18" applyFont="1" applyFill="1" applyAlignment="1">
      <alignment horizontal="center" vertical="top"/>
    </xf>
    <xf numFmtId="3" fontId="34" fillId="4" borderId="0" xfId="22" applyNumberFormat="1" applyFont="1" applyFill="1" applyAlignment="1">
      <alignment horizontal="right" vertical="top"/>
    </xf>
    <xf numFmtId="41" fontId="34" fillId="4" borderId="0" xfId="0" applyFont="1" applyFill="1"/>
    <xf numFmtId="41" fontId="19" fillId="4" borderId="7" xfId="0" applyFont="1" applyFill="1" applyBorder="1" applyAlignment="1">
      <alignment horizontal="right"/>
    </xf>
    <xf numFmtId="168" fontId="19" fillId="4" borderId="0" xfId="22" applyNumberFormat="1" applyFont="1" applyFill="1"/>
    <xf numFmtId="41" fontId="0" fillId="4" borderId="0" xfId="0" applyFill="1" applyAlignment="1">
      <alignment horizontal="centerContinuous"/>
    </xf>
    <xf numFmtId="41" fontId="16" fillId="4" borderId="28" xfId="0" applyFont="1" applyFill="1" applyBorder="1"/>
    <xf numFmtId="41" fontId="32" fillId="4" borderId="0" xfId="0" applyFont="1" applyFill="1"/>
    <xf numFmtId="41" fontId="17" fillId="7" borderId="7" xfId="0" applyFont="1" applyFill="1" applyBorder="1"/>
    <xf numFmtId="175" fontId="17" fillId="7" borderId="7" xfId="0" applyNumberFormat="1" applyFont="1" applyFill="1" applyBorder="1"/>
    <xf numFmtId="41" fontId="17" fillId="4" borderId="7" xfId="0" applyFont="1" applyFill="1" applyBorder="1" applyAlignment="1">
      <alignment horizontal="left"/>
    </xf>
    <xf numFmtId="175" fontId="16" fillId="4" borderId="0" xfId="0" applyNumberFormat="1" applyFont="1" applyFill="1"/>
    <xf numFmtId="41" fontId="14" fillId="4" borderId="0" xfId="0" applyFont="1" applyFill="1" applyAlignment="1">
      <alignment horizontal="left"/>
    </xf>
    <xf numFmtId="41" fontId="14" fillId="2" borderId="0" xfId="0" applyFont="1" applyFill="1" applyAlignment="1">
      <alignment horizontal="left"/>
    </xf>
    <xf numFmtId="41" fontId="16" fillId="5" borderId="22" xfId="0" applyFont="1" applyFill="1" applyBorder="1" applyAlignment="1">
      <alignment horizontal="left"/>
    </xf>
    <xf numFmtId="41" fontId="16" fillId="5" borderId="25" xfId="0" applyFont="1" applyFill="1" applyBorder="1" applyAlignment="1">
      <alignment horizontal="left"/>
    </xf>
    <xf numFmtId="41" fontId="16" fillId="5" borderId="27" xfId="0" applyFont="1" applyFill="1" applyBorder="1" applyAlignment="1">
      <alignment horizontal="left"/>
    </xf>
    <xf numFmtId="10" fontId="27" fillId="4" borderId="0" xfId="0" applyNumberFormat="1" applyFont="1" applyFill="1" applyAlignment="1">
      <alignment horizontal="right" vertical="center"/>
    </xf>
    <xf numFmtId="41" fontId="17" fillId="8" borderId="0" xfId="0" applyFont="1" applyFill="1" applyAlignment="1">
      <alignment horizontal="centerContinuous"/>
    </xf>
    <xf numFmtId="10" fontId="17" fillId="8" borderId="0" xfId="0" applyNumberFormat="1" applyFont="1" applyFill="1" applyAlignment="1">
      <alignment horizontal="centerContinuous"/>
    </xf>
    <xf numFmtId="41" fontId="17" fillId="8" borderId="7" xfId="0" applyFont="1" applyFill="1" applyBorder="1" applyAlignment="1">
      <alignment horizontal="right"/>
    </xf>
    <xf numFmtId="10" fontId="17" fillId="8" borderId="7" xfId="0" applyNumberFormat="1" applyFont="1" applyFill="1" applyBorder="1" applyAlignment="1">
      <alignment horizontal="right"/>
    </xf>
    <xf numFmtId="41" fontId="16" fillId="8" borderId="0" xfId="0" applyFont="1" applyFill="1"/>
    <xf numFmtId="10" fontId="16" fillId="8" borderId="0" xfId="0" applyNumberFormat="1" applyFont="1" applyFill="1"/>
    <xf numFmtId="164" fontId="16" fillId="8" borderId="0" xfId="1" applyNumberFormat="1" applyFont="1" applyFill="1" applyProtection="1"/>
    <xf numFmtId="10" fontId="16" fillId="8" borderId="0" xfId="1" applyNumberFormat="1" applyFont="1" applyFill="1" applyBorder="1" applyProtection="1"/>
    <xf numFmtId="10" fontId="16" fillId="8" borderId="0" xfId="1" applyNumberFormat="1" applyFont="1" applyFill="1" applyBorder="1"/>
    <xf numFmtId="41" fontId="16" fillId="8" borderId="1" xfId="0" applyFont="1" applyFill="1" applyBorder="1"/>
    <xf numFmtId="10" fontId="16" fillId="8" borderId="1" xfId="1" applyNumberFormat="1" applyFont="1" applyFill="1" applyBorder="1"/>
    <xf numFmtId="41" fontId="23" fillId="8" borderId="0" xfId="0" applyFont="1" applyFill="1"/>
    <xf numFmtId="10" fontId="23" fillId="8" borderId="0" xfId="1" applyNumberFormat="1" applyFont="1" applyFill="1" applyBorder="1"/>
    <xf numFmtId="41" fontId="18" fillId="8" borderId="2" xfId="0" applyFont="1" applyFill="1" applyBorder="1"/>
    <xf numFmtId="10" fontId="18" fillId="8" borderId="4" xfId="1" applyNumberFormat="1" applyFont="1" applyFill="1" applyBorder="1"/>
    <xf numFmtId="41" fontId="17" fillId="8" borderId="1" xfId="0" applyFont="1" applyFill="1" applyBorder="1"/>
    <xf numFmtId="10" fontId="17" fillId="8" borderId="1" xfId="1" applyNumberFormat="1" applyFont="1" applyFill="1" applyBorder="1"/>
    <xf numFmtId="41" fontId="17" fillId="8" borderId="0" xfId="0" applyFont="1" applyFill="1"/>
    <xf numFmtId="10" fontId="17" fillId="8" borderId="0" xfId="1" applyNumberFormat="1" applyFont="1" applyFill="1" applyBorder="1"/>
    <xf numFmtId="41" fontId="16" fillId="8" borderId="7" xfId="0" applyFont="1" applyFill="1" applyBorder="1"/>
    <xf numFmtId="10" fontId="16" fillId="8" borderId="7" xfId="1" applyNumberFormat="1" applyFont="1" applyFill="1" applyBorder="1"/>
    <xf numFmtId="41" fontId="25" fillId="8" borderId="0" xfId="0" applyFont="1" applyFill="1"/>
    <xf numFmtId="10" fontId="25" fillId="8" borderId="0" xfId="1" applyNumberFormat="1" applyFont="1" applyFill="1" applyBorder="1"/>
    <xf numFmtId="10" fontId="19" fillId="4" borderId="0" xfId="0" applyNumberFormat="1" applyFont="1" applyFill="1"/>
    <xf numFmtId="10" fontId="16" fillId="4" borderId="0" xfId="0" applyNumberFormat="1" applyFont="1" applyFill="1" applyProtection="1">
      <protection locked="0"/>
    </xf>
    <xf numFmtId="10" fontId="16" fillId="4" borderId="0" xfId="0" applyNumberFormat="1" applyFont="1" applyFill="1" applyAlignment="1" applyProtection="1">
      <alignment horizontal="right"/>
      <protection locked="0"/>
    </xf>
    <xf numFmtId="10" fontId="19" fillId="4" borderId="0" xfId="0" applyNumberFormat="1" applyFont="1" applyFill="1" applyProtection="1">
      <protection locked="0"/>
    </xf>
    <xf numFmtId="10" fontId="24" fillId="4" borderId="0" xfId="23" applyNumberFormat="1" applyFont="1" applyFill="1" applyProtection="1"/>
    <xf numFmtId="41" fontId="23" fillId="4" borderId="0" xfId="0" applyFont="1" applyFill="1"/>
    <xf numFmtId="10" fontId="23" fillId="4" borderId="0" xfId="0" applyNumberFormat="1" applyFont="1" applyFill="1"/>
    <xf numFmtId="172" fontId="16" fillId="4" borderId="0" xfId="0" applyNumberFormat="1" applyFont="1" applyFill="1"/>
    <xf numFmtId="10" fontId="18" fillId="4" borderId="0" xfId="0" applyNumberFormat="1" applyFont="1" applyFill="1"/>
    <xf numFmtId="4" fontId="16" fillId="2" borderId="0" xfId="0" applyNumberFormat="1" applyFont="1" applyFill="1" applyAlignment="1" applyProtection="1">
      <alignment horizontal="right"/>
      <protection locked="0"/>
    </xf>
    <xf numFmtId="171" fontId="16" fillId="4" borderId="0" xfId="18" applyNumberFormat="1" applyFont="1" applyFill="1" applyAlignment="1">
      <alignment vertical="top"/>
    </xf>
    <xf numFmtId="3" fontId="34" fillId="4" borderId="18" xfId="22" applyNumberFormat="1" applyFont="1" applyFill="1" applyBorder="1" applyAlignment="1">
      <alignment horizontal="right" vertical="top"/>
    </xf>
    <xf numFmtId="3" fontId="16" fillId="4" borderId="14" xfId="22" applyNumberFormat="1" applyFont="1" applyFill="1" applyBorder="1" applyAlignment="1">
      <alignment horizontal="right" vertical="top"/>
    </xf>
    <xf numFmtId="0" fontId="35" fillId="4" borderId="0" xfId="1" applyNumberFormat="1" applyFont="1" applyFill="1" applyAlignment="1" applyProtection="1">
      <alignment horizontal="center"/>
    </xf>
    <xf numFmtId="41" fontId="16" fillId="4" borderId="7" xfId="0" applyFont="1" applyFill="1" applyBorder="1" applyAlignment="1" applyProtection="1">
      <alignment horizontal="left"/>
      <protection locked="0"/>
    </xf>
    <xf numFmtId="14" fontId="16" fillId="4" borderId="7" xfId="0" applyNumberFormat="1" applyFont="1" applyFill="1" applyBorder="1" applyAlignment="1">
      <alignment horizontal="center"/>
    </xf>
    <xf numFmtId="41" fontId="16" fillId="3" borderId="0" xfId="0" applyFont="1" applyFill="1" applyAlignment="1" applyProtection="1">
      <alignment horizontal="left"/>
      <protection locked="0"/>
    </xf>
    <xf numFmtId="41" fontId="16" fillId="3" borderId="7" xfId="0" applyFont="1" applyFill="1" applyBorder="1" applyAlignment="1" applyProtection="1">
      <alignment horizontal="left"/>
      <protection locked="0"/>
    </xf>
    <xf numFmtId="41" fontId="16" fillId="3" borderId="0" xfId="0" applyFont="1" applyFill="1"/>
    <xf numFmtId="41" fontId="16" fillId="3" borderId="7" xfId="0" applyFont="1" applyFill="1" applyBorder="1"/>
    <xf numFmtId="41" fontId="16" fillId="3" borderId="0" xfId="0" applyFont="1" applyFill="1" applyAlignment="1" applyProtection="1">
      <alignment horizontal="left" vertical="top"/>
      <protection locked="0"/>
    </xf>
    <xf numFmtId="170" fontId="16" fillId="3" borderId="17" xfId="0" applyNumberFormat="1" applyFont="1" applyFill="1" applyBorder="1"/>
    <xf numFmtId="170" fontId="16" fillId="3" borderId="7" xfId="0" applyNumberFormat="1" applyFont="1" applyFill="1" applyBorder="1"/>
    <xf numFmtId="170" fontId="16" fillId="3" borderId="16" xfId="0" applyNumberFormat="1" applyFont="1" applyFill="1" applyBorder="1"/>
    <xf numFmtId="172" fontId="16" fillId="4" borderId="0" xfId="21" applyNumberFormat="1" applyFont="1" applyFill="1" applyBorder="1" applyAlignment="1" applyProtection="1">
      <alignment vertical="top"/>
    </xf>
    <xf numFmtId="172" fontId="16" fillId="4" borderId="7" xfId="21" applyNumberFormat="1" applyFont="1" applyFill="1" applyBorder="1" applyAlignment="1" applyProtection="1">
      <alignment vertical="top"/>
    </xf>
    <xf numFmtId="0" fontId="35" fillId="4" borderId="0" xfId="1" applyNumberFormat="1" applyFont="1" applyFill="1" applyBorder="1" applyAlignment="1" applyProtection="1">
      <alignment horizontal="left"/>
    </xf>
    <xf numFmtId="0" fontId="35" fillId="4" borderId="0" xfId="1" applyNumberFormat="1" applyFont="1" applyFill="1" applyBorder="1" applyAlignment="1" applyProtection="1">
      <alignment horizontal="center"/>
    </xf>
    <xf numFmtId="41" fontId="16" fillId="4" borderId="12" xfId="0" applyFont="1" applyFill="1" applyBorder="1" applyAlignment="1" applyProtection="1">
      <alignment horizontal="left"/>
      <protection locked="0"/>
    </xf>
    <xf numFmtId="41" fontId="18" fillId="4" borderId="0" xfId="0" applyFont="1" applyFill="1" applyAlignment="1">
      <alignment horizontal="left"/>
    </xf>
    <xf numFmtId="0" fontId="35" fillId="2" borderId="0" xfId="1" applyNumberFormat="1" applyFont="1" applyFill="1" applyBorder="1" applyAlignment="1" applyProtection="1">
      <alignment horizontal="left"/>
    </xf>
    <xf numFmtId="0" fontId="35" fillId="2" borderId="0" xfId="1" applyNumberFormat="1" applyFont="1" applyFill="1" applyBorder="1" applyAlignment="1" applyProtection="1">
      <alignment horizontal="center"/>
    </xf>
    <xf numFmtId="41" fontId="16" fillId="3" borderId="12" xfId="0" applyFont="1" applyFill="1" applyBorder="1" applyAlignment="1" applyProtection="1">
      <alignment horizontal="left"/>
      <protection locked="0"/>
    </xf>
    <xf numFmtId="41" fontId="35" fillId="4" borderId="0" xfId="0" quotePrefix="1" applyFont="1" applyFill="1"/>
    <xf numFmtId="41" fontId="16" fillId="4" borderId="12" xfId="0" applyFont="1" applyFill="1" applyBorder="1" applyAlignment="1">
      <alignment horizontal="left"/>
    </xf>
    <xf numFmtId="0" fontId="33" fillId="9" borderId="7" xfId="0" quotePrefix="1" applyNumberFormat="1" applyFont="1" applyFill="1" applyBorder="1" applyAlignment="1">
      <alignment horizontal="center"/>
    </xf>
    <xf numFmtId="0" fontId="16" fillId="4" borderId="31" xfId="26" applyFont="1" applyFill="1" applyBorder="1" applyAlignment="1">
      <alignment vertical="center"/>
    </xf>
    <xf numFmtId="41" fontId="35" fillId="4" borderId="0" xfId="0" applyFont="1" applyFill="1" applyAlignment="1">
      <alignment horizontal="center" vertical="center"/>
    </xf>
    <xf numFmtId="41" fontId="35" fillId="4" borderId="0" xfId="0" applyFont="1" applyFill="1"/>
    <xf numFmtId="41" fontId="16" fillId="4" borderId="18" xfId="0" applyFont="1" applyFill="1" applyBorder="1"/>
    <xf numFmtId="41" fontId="16" fillId="4" borderId="16" xfId="0" applyFont="1" applyFill="1" applyBorder="1"/>
    <xf numFmtId="43" fontId="16" fillId="4" borderId="0" xfId="22" applyFont="1" applyFill="1" applyBorder="1"/>
    <xf numFmtId="171" fontId="8" fillId="4" borderId="0" xfId="21" applyNumberFormat="1" applyFont="1" applyFill="1"/>
    <xf numFmtId="41" fontId="36" fillId="4" borderId="0" xfId="0" applyFont="1" applyFill="1" applyAlignment="1">
      <alignment horizontal="center"/>
    </xf>
    <xf numFmtId="0" fontId="33" fillId="4" borderId="17" xfId="0" applyNumberFormat="1" applyFont="1" applyFill="1" applyBorder="1" applyAlignment="1">
      <alignment horizontal="center"/>
    </xf>
    <xf numFmtId="0" fontId="33" fillId="4" borderId="16" xfId="0" applyNumberFormat="1" applyFont="1" applyFill="1" applyBorder="1" applyAlignment="1">
      <alignment horizontal="center"/>
    </xf>
    <xf numFmtId="41" fontId="1" fillId="4" borderId="10" xfId="0" applyFont="1" applyFill="1" applyBorder="1"/>
    <xf numFmtId="41" fontId="1" fillId="4" borderId="14" xfId="0" applyFont="1" applyFill="1" applyBorder="1"/>
    <xf numFmtId="41" fontId="16" fillId="4" borderId="14" xfId="0" applyFont="1" applyFill="1" applyBorder="1"/>
    <xf numFmtId="41" fontId="23" fillId="4" borderId="0" xfId="0" applyFont="1" applyFill="1" applyAlignment="1">
      <alignment horizontal="right"/>
    </xf>
    <xf numFmtId="41" fontId="16" fillId="2" borderId="0" xfId="0" applyFont="1" applyFill="1" applyAlignment="1">
      <alignment horizontal="left"/>
    </xf>
    <xf numFmtId="41" fontId="16" fillId="2" borderId="0" xfId="0" applyFont="1" applyFill="1" applyAlignment="1">
      <alignment horizontal="right"/>
    </xf>
    <xf numFmtId="43" fontId="16" fillId="2" borderId="0" xfId="22" applyFont="1" applyFill="1"/>
    <xf numFmtId="10" fontId="13" fillId="10" borderId="9" xfId="1" applyNumberFormat="1" applyFont="1" applyFill="1" applyBorder="1" applyAlignment="1">
      <alignment horizontal="right" vertical="center"/>
    </xf>
    <xf numFmtId="41" fontId="16" fillId="10" borderId="17" xfId="0" applyFont="1" applyFill="1" applyBorder="1"/>
    <xf numFmtId="41" fontId="16" fillId="10" borderId="0" xfId="0" applyFont="1" applyFill="1"/>
    <xf numFmtId="168" fontId="16" fillId="10" borderId="0" xfId="22" applyNumberFormat="1" applyFont="1" applyFill="1"/>
    <xf numFmtId="41" fontId="16" fillId="2" borderId="0" xfId="0" applyFont="1" applyFill="1" applyAlignment="1">
      <alignment horizontal="center"/>
    </xf>
    <xf numFmtId="41" fontId="16" fillId="3" borderId="8" xfId="0" applyFont="1" applyFill="1" applyBorder="1" applyProtection="1">
      <protection locked="0"/>
    </xf>
    <xf numFmtId="41" fontId="16" fillId="3" borderId="20" xfId="0" applyFont="1" applyFill="1" applyBorder="1" applyProtection="1">
      <protection locked="0"/>
    </xf>
    <xf numFmtId="41" fontId="16" fillId="3" borderId="9" xfId="0" applyFont="1" applyFill="1" applyBorder="1" applyProtection="1">
      <protection locked="0"/>
    </xf>
    <xf numFmtId="41" fontId="37" fillId="4" borderId="0" xfId="0" applyFont="1" applyFill="1" applyAlignment="1">
      <alignment horizontal="center"/>
    </xf>
    <xf numFmtId="41" fontId="38" fillId="4" borderId="0" xfId="0" applyFont="1" applyFill="1"/>
    <xf numFmtId="173" fontId="39" fillId="4" borderId="0" xfId="0" applyNumberFormat="1" applyFont="1" applyFill="1" applyAlignment="1">
      <alignment horizontal="center" vertical="center"/>
    </xf>
    <xf numFmtId="173" fontId="40" fillId="4" borderId="0" xfId="0" applyNumberFormat="1" applyFont="1" applyFill="1" applyAlignment="1">
      <alignment horizontal="center" vertical="center"/>
    </xf>
    <xf numFmtId="0" fontId="27" fillId="4" borderId="0" xfId="0" quotePrefix="1" applyNumberFormat="1" applyFont="1" applyFill="1" applyAlignment="1">
      <alignment vertical="center"/>
    </xf>
    <xf numFmtId="0" fontId="41" fillId="4" borderId="0" xfId="0" applyNumberFormat="1" applyFont="1" applyFill="1"/>
    <xf numFmtId="41" fontId="41" fillId="4" borderId="0" xfId="0" applyFont="1" applyFill="1"/>
    <xf numFmtId="41" fontId="16" fillId="2" borderId="7" xfId="0" applyFont="1" applyFill="1" applyBorder="1"/>
    <xf numFmtId="14" fontId="16" fillId="2" borderId="7" xfId="0" applyNumberFormat="1" applyFont="1" applyFill="1" applyBorder="1" applyAlignment="1">
      <alignment horizontal="center"/>
    </xf>
    <xf numFmtId="41" fontId="19" fillId="2" borderId="7" xfId="0" applyFont="1" applyFill="1" applyBorder="1" applyAlignment="1">
      <alignment horizontal="right"/>
    </xf>
    <xf numFmtId="41" fontId="16" fillId="2" borderId="12" xfId="0" applyFont="1" applyFill="1" applyBorder="1"/>
    <xf numFmtId="41" fontId="19" fillId="2" borderId="0" xfId="0" applyFont="1" applyFill="1"/>
    <xf numFmtId="41" fontId="16" fillId="2" borderId="7" xfId="0" applyFont="1" applyFill="1" applyBorder="1" applyAlignment="1">
      <alignment horizontal="left"/>
    </xf>
    <xf numFmtId="41" fontId="19" fillId="2" borderId="7" xfId="0" applyFont="1" applyFill="1" applyBorder="1"/>
    <xf numFmtId="41" fontId="0" fillId="2" borderId="0" xfId="0" applyFill="1"/>
    <xf numFmtId="41" fontId="19" fillId="2" borderId="0" xfId="0" applyFont="1" applyFill="1" applyAlignment="1">
      <alignment horizontal="right"/>
    </xf>
    <xf numFmtId="172" fontId="16" fillId="3" borderId="0" xfId="0" applyNumberFormat="1" applyFont="1" applyFill="1" applyProtection="1">
      <protection locked="0"/>
    </xf>
    <xf numFmtId="41" fontId="0" fillId="4" borderId="19" xfId="0" applyFill="1" applyBorder="1"/>
    <xf numFmtId="41" fontId="42" fillId="4" borderId="12" xfId="0" applyFont="1" applyFill="1" applyBorder="1"/>
    <xf numFmtId="41" fontId="16" fillId="4" borderId="12" xfId="0" applyFont="1" applyFill="1" applyBorder="1" applyProtection="1">
      <protection locked="0"/>
    </xf>
    <xf numFmtId="41" fontId="16" fillId="4" borderId="18" xfId="0" applyFont="1" applyFill="1" applyBorder="1" applyProtection="1">
      <protection locked="0"/>
    </xf>
    <xf numFmtId="41" fontId="0" fillId="4" borderId="10" xfId="0" applyFill="1" applyBorder="1"/>
    <xf numFmtId="41" fontId="16" fillId="4" borderId="14" xfId="0" applyFont="1" applyFill="1" applyBorder="1" applyProtection="1">
      <protection locked="0"/>
    </xf>
    <xf numFmtId="172" fontId="19" fillId="4" borderId="10" xfId="0" applyNumberFormat="1" applyFont="1" applyFill="1" applyBorder="1"/>
    <xf numFmtId="41" fontId="0" fillId="4" borderId="17" xfId="0" applyFill="1" applyBorder="1"/>
    <xf numFmtId="41" fontId="43" fillId="4" borderId="10" xfId="0" applyFont="1" applyFill="1" applyBorder="1"/>
    <xf numFmtId="41" fontId="42" fillId="4" borderId="0" xfId="0" applyFont="1" applyFill="1"/>
    <xf numFmtId="174" fontId="16" fillId="4" borderId="0" xfId="22" applyNumberFormat="1" applyFont="1" applyFill="1" applyAlignment="1">
      <alignment horizontal="center" vertical="top"/>
    </xf>
    <xf numFmtId="14" fontId="18" fillId="4" borderId="0" xfId="18" quotePrefix="1" applyNumberFormat="1" applyFont="1" applyFill="1" applyAlignment="1">
      <alignment horizontal="center" vertical="top"/>
    </xf>
    <xf numFmtId="14" fontId="18" fillId="4" borderId="0" xfId="18" applyNumberFormat="1" applyFont="1" applyFill="1" applyAlignment="1">
      <alignment horizontal="center" vertical="top"/>
    </xf>
    <xf numFmtId="0" fontId="19" fillId="4" borderId="19" xfId="18" applyFont="1" applyFill="1" applyBorder="1" applyAlignment="1">
      <alignment horizontal="center" vertical="top"/>
    </xf>
    <xf numFmtId="0" fontId="19" fillId="4" borderId="12" xfId="18" applyFont="1" applyFill="1" applyBorder="1" applyAlignment="1">
      <alignment horizontal="center" vertical="top"/>
    </xf>
    <xf numFmtId="0" fontId="19" fillId="4" borderId="18" xfId="18" applyFont="1" applyFill="1" applyBorder="1" applyAlignment="1">
      <alignment horizontal="center" vertical="top"/>
    </xf>
    <xf numFmtId="0" fontId="18" fillId="4" borderId="0" xfId="18" applyFont="1" applyFill="1" applyAlignment="1">
      <alignment horizontal="center" vertical="top"/>
    </xf>
    <xf numFmtId="14" fontId="18" fillId="4" borderId="30" xfId="18" quotePrefix="1" applyNumberFormat="1" applyFont="1" applyFill="1" applyBorder="1" applyAlignment="1">
      <alignment horizontal="center" vertical="top"/>
    </xf>
    <xf numFmtId="0" fontId="33" fillId="4" borderId="19" xfId="0" applyNumberFormat="1" applyFont="1" applyFill="1" applyBorder="1" applyAlignment="1">
      <alignment horizontal="center"/>
    </xf>
    <xf numFmtId="0" fontId="33" fillId="4" borderId="18" xfId="0" applyNumberFormat="1" applyFont="1" applyFill="1" applyBorder="1" applyAlignment="1">
      <alignment horizontal="center"/>
    </xf>
  </cellXfs>
  <cellStyles count="32">
    <cellStyle name="Comma" xfId="22" builtinId="3"/>
    <cellStyle name="Comma 2" xfId="20" xr:uid="{00000000-0005-0000-0000-000001000000}"/>
    <cellStyle name="Comma 2 2" xfId="30" xr:uid="{00000000-0005-0000-0000-000002000000}"/>
    <cellStyle name="Currency" xfId="23" builtinId="4"/>
    <cellStyle name="Currency 2" xfId="21" xr:uid="{00000000-0005-0000-0000-000004000000}"/>
    <cellStyle name="Currency 2 2" xfId="31" xr:uid="{00000000-0005-0000-0000-000005000000}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Montant du tableau" xfId="25" xr:uid="{00000000-0005-0000-0000-000010000000}"/>
    <cellStyle name="Normal" xfId="0" builtinId="0"/>
    <cellStyle name="Normal 2" xfId="13" xr:uid="{00000000-0005-0000-0000-000012000000}"/>
    <cellStyle name="Normal 2 2" xfId="26" xr:uid="{00000000-0005-0000-0000-000013000000}"/>
    <cellStyle name="Normal 3" xfId="15" xr:uid="{00000000-0005-0000-0000-000014000000}"/>
    <cellStyle name="Normal 3 2" xfId="27" xr:uid="{00000000-0005-0000-0000-000015000000}"/>
    <cellStyle name="Normal 4" xfId="18" xr:uid="{00000000-0005-0000-0000-000016000000}"/>
    <cellStyle name="Normal 4 2" xfId="28" xr:uid="{00000000-0005-0000-0000-000017000000}"/>
    <cellStyle name="Normal 4_Lease Renewals &amp; Vacancy Rent" xfId="24" xr:uid="{00000000-0005-0000-0000-000018000000}"/>
    <cellStyle name="Normal 5 2" xfId="17" xr:uid="{00000000-0005-0000-0000-000019000000}"/>
    <cellStyle name="Percent" xfId="1" builtinId="5"/>
    <cellStyle name="Percent 2" xfId="2" xr:uid="{00000000-0005-0000-0000-00001B000000}"/>
    <cellStyle name="Percent 2 2" xfId="14" xr:uid="{00000000-0005-0000-0000-00001C000000}"/>
    <cellStyle name="Percent 3" xfId="16" xr:uid="{00000000-0005-0000-0000-00001D000000}"/>
    <cellStyle name="Percent 4" xfId="19" xr:uid="{00000000-0005-0000-0000-00001E000000}"/>
    <cellStyle name="Percent 4 2" xfId="29" xr:uid="{00000000-0005-0000-0000-00001F000000}"/>
  </cellStyles>
  <dxfs count="120">
    <dxf>
      <fill>
        <patternFill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9" Type="http://schemas.openxmlformats.org/officeDocument/2006/relationships/customXml" Target="../customXml/item11.xml"/><Relationship Id="rId21" Type="http://schemas.openxmlformats.org/officeDocument/2006/relationships/pivotCacheDefinition" Target="pivotCache/pivotCacheDefinition1.xml"/><Relationship Id="rId34" Type="http://schemas.openxmlformats.org/officeDocument/2006/relationships/customXml" Target="../customXml/item6.xml"/><Relationship Id="rId42" Type="http://schemas.openxmlformats.org/officeDocument/2006/relationships/customXml" Target="../customXml/item14.xml"/><Relationship Id="rId47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4.xml"/><Relationship Id="rId37" Type="http://schemas.openxmlformats.org/officeDocument/2006/relationships/customXml" Target="../customXml/item9.xml"/><Relationship Id="rId40" Type="http://schemas.openxmlformats.org/officeDocument/2006/relationships/customXml" Target="../customXml/item12.xml"/><Relationship Id="rId45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alcChain" Target="calcChain.xml"/><Relationship Id="rId36" Type="http://schemas.openxmlformats.org/officeDocument/2006/relationships/customXml" Target="../customXml/item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4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2.xml"/><Relationship Id="rId35" Type="http://schemas.openxmlformats.org/officeDocument/2006/relationships/customXml" Target="../customXml/item7.xml"/><Relationship Id="rId43" Type="http://schemas.openxmlformats.org/officeDocument/2006/relationships/customXml" Target="../customXml/item15.xml"/><Relationship Id="rId48" Type="http://schemas.microsoft.com/office/2023/09/relationships/Python" Target="pyth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5.xml"/><Relationship Id="rId38" Type="http://schemas.openxmlformats.org/officeDocument/2006/relationships/customXml" Target="../customXml/item10.xml"/><Relationship Id="rId46" Type="http://schemas.openxmlformats.org/officeDocument/2006/relationships/customXml" Target="../customXml/item18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thy Henry" refreshedDate="45138.496187500001" backgroundQuery="1" createdVersion="6" refreshedVersion="6" minRefreshableVersion="3" recordCount="0" supportSubquery="1" supportAdvancedDrill="1" xr:uid="{00000000-000A-0000-FFFF-FFFF00000000}">
  <cacheSource type="external" connectionId="1"/>
  <cacheFields count="3">
    <cacheField name="[Range].[Charge Date (Month)].[Charge Date (Month)]" caption="Charge Date (Month)" numFmtId="0" hierarchy="8" level="1">
      <sharedItems count="12">
        <s v="01/01/2024"/>
        <s v="02/01/2024"/>
        <s v="03/01/2024"/>
        <s v="04/01/2024"/>
        <s v="05/01/2024"/>
        <s v="06/01/2024"/>
        <s v="07/01/2024"/>
        <s v="08/01/2024"/>
        <s v="09/01/2024"/>
        <s v="10/01/2024"/>
        <s v="11/01/2024"/>
        <s v="12/01/2024"/>
      </sharedItems>
    </cacheField>
    <cacheField name="[Range].[Posting Co.].[Posting Co.]" caption="Posting Co." numFmtId="0" level="1">
      <sharedItems count="7">
        <s v="4050"/>
        <s v="4060"/>
        <s v="4070"/>
        <s v="4080"/>
        <s v="40A0"/>
        <s v="40B0"/>
        <s v="40C0"/>
      </sharedItems>
    </cacheField>
    <cacheField name="[Range].[Unit Ref. No.].[Unit Ref. No.]" caption="Unit Ref. No." numFmtId="0" hierarchy="1" level="1">
      <sharedItems count="51">
        <s v="4050-113"/>
        <s v="4050-119"/>
        <s v="4050-201"/>
        <s v="4050-206"/>
        <s v="4050-207"/>
        <s v="4050-215"/>
        <s v="4050-300"/>
        <s v="4050-307"/>
        <s v="4050-315"/>
        <s v="4060-100"/>
        <s v="4060-204"/>
        <s v="4060-205"/>
        <s v="4060-206"/>
        <s v="4060-207"/>
        <s v="4060-210"/>
        <s v="4060-211"/>
        <s v="4060-212"/>
        <s v="4060-215"/>
        <s v="4060-300"/>
        <s v="4060-401"/>
        <s v="4060-402"/>
        <s v="4060-600"/>
        <s v="4070-103"/>
        <s v="4070-107"/>
        <s v="4070-113"/>
        <s v="4070-117"/>
        <s v="4070-201"/>
        <s v="4070-301"/>
        <s v="4070-400"/>
        <s v="4070-411"/>
        <s v="4070-415"/>
        <s v="4080-100"/>
        <s v="4080-102"/>
        <s v="4080-106"/>
        <s v="4080-107"/>
        <s v="4080-111"/>
        <s v="4080-112"/>
        <s v="4080-117"/>
        <s v="4080-209"/>
        <s v="4080-215"/>
        <s v="4080-217"/>
        <s v="4080-219"/>
        <s v="4080-221"/>
        <s v="4080-305"/>
        <s v="4080-400"/>
        <s v="4080-401"/>
        <s v="40A0-204"/>
        <s v="40A0-205"/>
        <s v="40A0-A"/>
        <s v="40B0-1"/>
        <s v="40C0-CP"/>
      </sharedItems>
    </cacheField>
  </cacheFields>
  <cacheHierarchies count="12">
    <cacheHierarchy uniqueName="[Range].[Posting Co.]" caption="Posting Co." attribute="1" defaultMemberUniqueName="[Range].[Posting Co.].[All]" allUniqueName="[Range].[Posting Co.].[All]" dimensionUniqueName="[Range]" displayFolder="" count="2" memberValueDatatype="130" unbalanced="0">
      <fieldsUsage count="2">
        <fieldUsage x="-1"/>
        <fieldUsage x="1"/>
      </fieldsUsage>
    </cacheHierarchy>
    <cacheHierarchy uniqueName="[Range].[Unit Ref. No.]" caption="Unit Ref. No." attribute="1" defaultMemberUniqueName="[Range].[Unit Ref. No.].[All]" allUniqueName="[Range].[Unit Ref. No.].[All]" dimensionUniqueName="[Range]" displayFolder="" count="2" memberValueDatatype="130" unbalanced="0">
      <fieldsUsage count="2">
        <fieldUsage x="-1"/>
        <fieldUsage x="2"/>
      </fieldsUsage>
    </cacheHierarchy>
    <cacheHierarchy uniqueName="[Range].[Tenant Name]" caption="Tenant Name" attribute="1" defaultMemberUniqueName="[Range].[Tenant Name].[All]" allUniqueName="[Range].[Tenant Name].[All]" dimensionUniqueName="[Range]" displayFolder="" count="0" memberValueDatatype="130" unbalanced="0"/>
    <cacheHierarchy uniqueName="[Range].[Charge Date]" caption="Charge Date" attribute="1" defaultMemberUniqueName="[Range].[Charge Date].[All]" allUniqueName="[Range].[Charge Date].[All]" dimensionUniqueName="[Range]" displayFolder="" count="0" memberValueDatatype="130" unbalanced="0"/>
    <cacheHierarchy uniqueName="[Range].[Charge Code]" caption="Charge Code" attribute="1" defaultMemberUniqueName="[Range].[Charge Code].[All]" allUniqueName="[Range].[Charge Code].[All]" dimensionUniqueName="[Range]" displayFolder="" count="0" memberValueDatatype="130" unbalanced="0"/>
    <cacheHierarchy uniqueName="[Range].[GL Acct No.]" caption="GL Acct No." attribute="1" defaultMemberUniqueName="[Range].[GL Acct No.].[All]" allUniqueName="[Range].[GL Acct No.].[All]" dimensionUniqueName="[Range]" displayFolder="" count="0" memberValueDatatype="130" unbalanced="0"/>
    <cacheHierarchy uniqueName="[Range].[Charge Amount]" caption="Charge Amount" attribute="1" defaultMemberUniqueName="[Range].[Charge Amount].[All]" allUniqueName="[Range].[Charge Amount].[All]" dimensionUniqueName="[Range]" displayFolder="" count="0" memberValueDatatype="5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Range].[Charge Date (Month)]" caption="Charge Date (Month)" attribute="1" defaultMemberUniqueName="[Range].[Charge Date (Month)].[All]" allUniqueName="[Range].[Charge 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harge Date (Month Index)]" caption="Charge Date (Month Index)" attribute="1" defaultMemberUniqueName="[Range].[Charge Date (Month Index)].[All]" allUniqueName="[Range].[Charge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2" cacheId="1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3:N63" firstHeaderRow="1" firstDataRow="2" firstDataCol="1"/>
  <pivotFields count="3"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</pivotFields>
  <rowFields count="2">
    <field x="1"/>
    <field x="2"/>
  </rowFields>
  <rowItems count="5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2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3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>
      <x v="4"/>
    </i>
    <i r="1">
      <x v="46"/>
    </i>
    <i r="1">
      <x v="47"/>
    </i>
    <i r="1">
      <x v="48"/>
    </i>
    <i>
      <x v="5"/>
    </i>
    <i r="1">
      <x v="49"/>
    </i>
    <i>
      <x v="6"/>
    </i>
    <i r="1">
      <x v="50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9" showRowHeaders="1" showColHeaders="1" showRowStripes="0" showColStripes="0" showLastColumn="1"/>
  <rowHierarchiesUsage count="2">
    <rowHierarchyUsage hierarchyUsage="0"/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M Revenue!$A$1:$H$587">
        <x15:activeTabTopLevelEntity name="[Rang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view="pageBreakPreview" zoomScale="220" zoomScaleNormal="100" zoomScaleSheetLayoutView="220" workbookViewId="0">
      <selection activeCell="A11" sqref="A11"/>
    </sheetView>
  </sheetViews>
  <sheetFormatPr defaultColWidth="8.7265625" defaultRowHeight="32.5" x14ac:dyDescent="0.6"/>
  <cols>
    <col min="1" max="1" width="64.81640625" style="385" bestFit="1" customWidth="1"/>
    <col min="2" max="4" width="8.7265625" style="385"/>
    <col min="5" max="5" width="22.26953125" style="385" bestFit="1" customWidth="1"/>
    <col min="6" max="16384" width="8.7265625" style="385"/>
  </cols>
  <sheetData>
    <row r="1" spans="1:1" ht="44" x14ac:dyDescent="0.8">
      <c r="A1" s="384" t="str">
        <f>'All Shopping Centers'!J1</f>
        <v>Operating Budget</v>
      </c>
    </row>
    <row r="2" spans="1:1" ht="36.5" x14ac:dyDescent="0.6">
      <c r="A2" s="386" t="str">
        <f>'All Shopping Centers'!J2</f>
        <v>Shopping Centers</v>
      </c>
    </row>
    <row r="3" spans="1:1" x14ac:dyDescent="0.6">
      <c r="A3" s="387">
        <f>'All Shopping Centers'!Q1</f>
        <v>46023</v>
      </c>
    </row>
  </sheetData>
  <printOptions horizontalCentered="1" verticalCentered="1"/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theme="0"/>
  </sheetPr>
  <dimension ref="A1:Q375"/>
  <sheetViews>
    <sheetView topLeftCell="A110" zoomScaleNormal="100" workbookViewId="0">
      <selection activeCell="H25" sqref="H25"/>
    </sheetView>
  </sheetViews>
  <sheetFormatPr defaultColWidth="10.81640625" defaultRowHeight="16" x14ac:dyDescent="0.35"/>
  <cols>
    <col min="1" max="1" width="15.54296875" style="6" bestFit="1" customWidth="1"/>
    <col min="2" max="2" width="11.1796875" style="6" customWidth="1"/>
    <col min="3" max="3" width="2.81640625" style="6" customWidth="1"/>
    <col min="4" max="4" width="37.81640625" style="6" customWidth="1"/>
    <col min="5" max="5" width="13.81640625" style="6" bestFit="1" customWidth="1"/>
    <col min="6" max="6" width="13.54296875" style="6" bestFit="1" customWidth="1"/>
    <col min="7" max="8" width="14.54296875" style="6" bestFit="1" customWidth="1"/>
    <col min="9" max="9" width="13.54296875" style="6" bestFit="1" customWidth="1"/>
    <col min="10" max="10" width="15.81640625" style="6" customWidth="1"/>
    <col min="11" max="12" width="13.54296875" style="6" bestFit="1" customWidth="1"/>
    <col min="13" max="14" width="14.54296875" style="6" bestFit="1" customWidth="1"/>
    <col min="15" max="16" width="13.54296875" style="6" bestFit="1" customWidth="1"/>
    <col min="17" max="17" width="16.81640625" style="6" bestFit="1" customWidth="1"/>
    <col min="18" max="16384" width="10.81640625" style="6"/>
  </cols>
  <sheetData>
    <row r="1" spans="1:17" s="20" customFormat="1" ht="29" x14ac:dyDescent="0.25">
      <c r="B1" s="19" t="s">
        <v>325</v>
      </c>
      <c r="J1" s="21" t="s">
        <v>265</v>
      </c>
      <c r="Q1" s="22">
        <f>DATE(2026,1,1)</f>
        <v>46023</v>
      </c>
    </row>
    <row r="2" spans="1:17" ht="18" x14ac:dyDescent="0.35">
      <c r="J2" s="48" t="s">
        <v>326</v>
      </c>
    </row>
    <row r="4" spans="1:17" s="11" customFormat="1" ht="18" x14ac:dyDescent="0.35">
      <c r="B4" s="411">
        <f>'Renew &amp; Vac '!A6+'Renew &amp; Vac '!A28+'Renew &amp; Vac '!A50+'Renew &amp; Vac '!A72+'Renew &amp; Vac '!A94+'Renew &amp; Vac '!A116+'Renew &amp; Vac '!A138+'7300'!B4+'8200'!B4+'9510'!B4</f>
        <v>296787</v>
      </c>
      <c r="C4" s="411"/>
      <c r="D4" s="13"/>
      <c r="E4" s="24" t="s">
        <v>0</v>
      </c>
      <c r="F4" s="24" t="s">
        <v>1</v>
      </c>
      <c r="G4" s="24" t="s">
        <v>2</v>
      </c>
      <c r="H4" s="24" t="s">
        <v>3</v>
      </c>
      <c r="I4" s="24" t="s">
        <v>4</v>
      </c>
      <c r="J4" s="24" t="s">
        <v>5</v>
      </c>
      <c r="K4" s="24" t="s">
        <v>6</v>
      </c>
      <c r="L4" s="24" t="s">
        <v>7</v>
      </c>
      <c r="M4" s="24" t="s">
        <v>8</v>
      </c>
      <c r="N4" s="24" t="s">
        <v>9</v>
      </c>
      <c r="O4" s="24" t="s">
        <v>10</v>
      </c>
      <c r="P4" s="24" t="s">
        <v>11</v>
      </c>
      <c r="Q4" s="100" t="s">
        <v>12</v>
      </c>
    </row>
    <row r="5" spans="1:17" x14ac:dyDescent="0.35">
      <c r="Q5" s="101"/>
    </row>
    <row r="6" spans="1:17" s="25" customFormat="1" x14ac:dyDescent="0.35">
      <c r="B6" s="26"/>
      <c r="D6" s="27" t="s">
        <v>13</v>
      </c>
      <c r="E6" s="25">
        <f>SUM('1100'!E7,'1500'!E7,'2300'!E7,'4500'!E7,'5600'!E7,'7010'!E7,'7200'!E7)/$B$4</f>
        <v>0.74016201787814162</v>
      </c>
      <c r="F6" s="25">
        <f>SUM('1100'!F7,'1500'!F7,'2300'!F7,'4500'!F7,'5600'!F7,'7010'!F7,'7200'!F7)/$B$4</f>
        <v>0.74016201787814162</v>
      </c>
      <c r="G6" s="25">
        <f>SUM('1100'!G7,'1500'!G7,'2300'!G7,'4500'!G7,'5600'!G7,'7010'!G7,'7200'!G7)/$B$4</f>
        <v>0.74016201787814162</v>
      </c>
      <c r="H6" s="25">
        <f>SUM('1100'!H7,'1500'!H7,'2300'!H7,'4500'!H7,'5600'!H7,'7010'!H7,'7200'!H7)/$B$4</f>
        <v>0.74016201787814162</v>
      </c>
      <c r="I6" s="25">
        <f>SUM('1100'!I7,'1500'!I7,'2300'!I7,'4500'!I7,'5600'!I7,'7010'!I7,'7200'!I7)/$B$4</f>
        <v>0.74825354816754108</v>
      </c>
      <c r="J6" s="25">
        <f>SUM('1100'!J7,'1500'!J7,'2300'!J7,'4500'!J7,'5600'!J7,'7010'!J7,'7200'!J7)/$B$4</f>
        <v>0.75162377968037686</v>
      </c>
      <c r="K6" s="25">
        <f>SUM('1100'!K7,'1500'!K7,'2300'!K7,'4500'!K7,'5600'!K7,'7010'!K7,'7200'!K7)/$B$4</f>
        <v>0.75162377968037686</v>
      </c>
      <c r="L6" s="25">
        <f>SUM('1100'!L7,'1500'!L7,'2300'!L7,'4500'!L7,'5600'!L7,'7010'!L7,'7200'!L7)/$B$4</f>
        <v>0.75162377968037686</v>
      </c>
      <c r="M6" s="25">
        <f>SUM('1100'!M7,'1500'!M7,'2300'!M7,'4500'!M7,'5600'!M7,'7010'!M7,'7200'!M7)/$B$4</f>
        <v>0.75162377968037686</v>
      </c>
      <c r="N6" s="25">
        <f>SUM('1100'!N7,'1500'!N7,'2300'!N7,'4500'!N7,'5600'!N7,'7010'!N7,'7200'!N7)/$B$4</f>
        <v>0.75162377968037686</v>
      </c>
      <c r="O6" s="25">
        <f>SUM('1100'!O7,'1500'!O7,'2300'!O7,'4500'!O7,'5600'!O7,'7010'!O7,'7200'!O7)/$B$4</f>
        <v>0.75162377968037686</v>
      </c>
      <c r="P6" s="25">
        <f>SUM('1100'!P7,'1500'!P7,'2300'!P7,'4500'!P7,'5600'!P7,'7010'!P7,'7200'!P7)/$B$4</f>
        <v>0.75162377968037686</v>
      </c>
      <c r="Q6" s="102"/>
    </row>
    <row r="7" spans="1:17" s="25" customFormat="1" x14ac:dyDescent="0.35">
      <c r="B7" s="26"/>
      <c r="D7" s="27"/>
      <c r="Q7" s="102"/>
    </row>
    <row r="8" spans="1:17" ht="18" x14ac:dyDescent="0.35">
      <c r="B8" s="7" t="s">
        <v>14</v>
      </c>
      <c r="Q8" s="101"/>
    </row>
    <row r="9" spans="1:17" x14ac:dyDescent="0.35">
      <c r="Q9" s="101"/>
    </row>
    <row r="10" spans="1:17" x14ac:dyDescent="0.35">
      <c r="A10" s="66" t="s">
        <v>132</v>
      </c>
      <c r="C10" s="6" t="s">
        <v>159</v>
      </c>
      <c r="E10" s="6">
        <f>+'1100'!E10+'1500'!E10+'2300'!E10+'4500'!E10+'5600'!E10+'7010'!E10+'7200'!E10+'7300'!E10+'8200'!E10+'9510'!E10</f>
        <v>423443.67999999993</v>
      </c>
      <c r="F10" s="6">
        <f>+'1100'!F10+'1500'!F10+'2300'!F10+'4500'!F10+'5600'!F10+'7010'!F10+'7200'!F10+'7300'!F10+'8200'!F10+'9510'!F10</f>
        <v>423473.67999999993</v>
      </c>
      <c r="G10" s="6">
        <f>+'1100'!G10+'1500'!G10+'2300'!G10+'4500'!G10+'5600'!G10+'7010'!G10+'7200'!G10+'7300'!G10+'8200'!G10+'9510'!G10</f>
        <v>423923.67999999993</v>
      </c>
      <c r="H10" s="6">
        <f>+'1100'!H10+'1500'!H10+'2300'!H10+'4500'!H10+'5600'!H10+'7010'!H10+'7200'!H10+'7300'!H10+'8200'!H10+'9510'!H10</f>
        <v>420610.35</v>
      </c>
      <c r="I10" s="6">
        <f>+'1100'!I10+'1500'!I10+'2300'!I10+'4500'!I10+'5600'!I10+'7010'!I10+'7200'!I10+'7300'!I10+'8200'!I10+'9510'!I10</f>
        <v>420717.18</v>
      </c>
      <c r="J10" s="6">
        <f>+'1100'!J10+'1500'!J10+'2300'!J10+'4500'!J10+'5600'!J10+'7010'!J10+'7200'!J10+'7300'!J10+'8200'!J10+'9510'!J10</f>
        <v>420911.26</v>
      </c>
      <c r="K10" s="6">
        <f>+'1100'!K10+'1500'!K10+'2300'!K10+'4500'!K10+'5600'!K10+'7010'!K10+'7200'!K10+'7300'!K10+'8200'!K10+'9510'!K10</f>
        <v>413746.55</v>
      </c>
      <c r="L10" s="6">
        <f>+'1100'!L10+'1500'!L10+'2300'!L10+'4500'!L10+'5600'!L10+'7010'!L10+'7200'!L10+'7300'!L10+'8200'!L10+'9510'!L10</f>
        <v>398617.55</v>
      </c>
      <c r="M10" s="6">
        <f>+'1100'!M10+'1500'!M10+'2300'!M10+'4500'!M10+'5600'!M10+'7010'!M10+'7200'!M10+'7300'!M10+'8200'!M10+'9510'!M10</f>
        <v>386941.83999999997</v>
      </c>
      <c r="N10" s="6">
        <f>+'1100'!N10+'1500'!N10+'2300'!N10+'4500'!N10+'5600'!N10+'7010'!N10+'7200'!N10+'7300'!N10+'8200'!N10+'9510'!N10</f>
        <v>380930.87</v>
      </c>
      <c r="O10" s="6">
        <f>+'1100'!O10+'1500'!O10+'2300'!O10+'4500'!O10+'5600'!O10+'7010'!O10+'7200'!O10+'7300'!O10+'8200'!O10+'9510'!O10</f>
        <v>390617.52999999997</v>
      </c>
      <c r="P10" s="6">
        <f>+'1100'!P10+'1500'!P10+'2300'!P10+'4500'!P10+'5600'!P10+'7010'!P10+'7200'!P10+'7300'!P10+'8200'!P10+'9510'!P10</f>
        <v>390617.52999999997</v>
      </c>
      <c r="Q10" s="101">
        <f>SUM(E10:P10)</f>
        <v>4894551.7</v>
      </c>
    </row>
    <row r="11" spans="1:17" x14ac:dyDescent="0.35">
      <c r="A11" s="66" t="s">
        <v>132</v>
      </c>
      <c r="C11" s="6" t="s">
        <v>160</v>
      </c>
      <c r="E11" s="6">
        <f>+'1100'!E11+'1500'!E11+'2300'!E11+'4500'!E11+'5600'!E11+'7010'!E11+'7200'!E11+'7300'!E11+'8200'!E11+'9510'!E11</f>
        <v>11422.166666666666</v>
      </c>
      <c r="F11" s="6">
        <f>+'1100'!F11+'1500'!F11+'2300'!F11+'4500'!F11+'5600'!F11+'7010'!F11+'7200'!F11+'7300'!F11+'8200'!F11+'9510'!F11</f>
        <v>11422.166666666666</v>
      </c>
      <c r="G11" s="6">
        <f>+'1100'!G11+'1500'!G11+'2300'!G11+'4500'!G11+'5600'!G11+'7010'!G11+'7200'!G11+'7300'!G11+'8200'!G11+'9510'!G11</f>
        <v>8272.1666666666661</v>
      </c>
      <c r="H11" s="6">
        <f>+'1100'!H11+'1500'!H11+'2300'!H11+'4500'!H11+'5600'!H11+'7010'!H11+'7200'!H11+'7300'!H11+'8200'!H11+'9510'!H11</f>
        <v>11401.61</v>
      </c>
      <c r="I11" s="6">
        <f>+'1100'!I11+'1500'!I11+'2300'!I11+'4500'!I11+'5600'!I11+'7010'!I11+'7200'!I11+'7300'!I11+'8200'!I11+'9510'!I11</f>
        <v>19801.61</v>
      </c>
      <c r="J11" s="6">
        <f>+'1100'!J11+'1500'!J11+'2300'!J11+'4500'!J11+'5600'!J11+'7010'!J11+'7200'!J11+'7300'!J11+'8200'!J11+'9510'!J11</f>
        <v>22851.61</v>
      </c>
      <c r="K11" s="6">
        <f>+'1100'!K11+'1500'!K11+'2300'!K11+'4500'!K11+'5600'!K11+'7010'!K11+'7200'!K11+'7300'!K11+'8200'!K11+'9510'!K11</f>
        <v>31300.425833333335</v>
      </c>
      <c r="L11" s="6">
        <f>+'1100'!L11+'1500'!L11+'2300'!L11+'4500'!L11+'5600'!L11+'7010'!L11+'7200'!L11+'7300'!L11+'8200'!L11+'9510'!L11</f>
        <v>50652.875833333339</v>
      </c>
      <c r="M11" s="6">
        <f>+'1100'!M11+'1500'!M11+'2300'!M11+'4500'!M11+'5600'!M11+'7010'!M11+'7200'!M11+'7300'!M11+'8200'!M11+'9510'!M11</f>
        <v>63520.640833333338</v>
      </c>
      <c r="N11" s="6">
        <f>+'1100'!N11+'1500'!N11+'2300'!N11+'4500'!N11+'5600'!N11+'7010'!N11+'7200'!N11+'7300'!N11+'8200'!N11+'9510'!N11</f>
        <v>68777.3125</v>
      </c>
      <c r="O11" s="6">
        <f>+'1100'!O11+'1500'!O11+'2300'!O11+'4500'!O11+'5600'!O11+'7010'!O11+'7200'!O11+'7300'!O11+'8200'!O11+'9510'!O11</f>
        <v>68777.3125</v>
      </c>
      <c r="P11" s="6">
        <f>+'1100'!P11+'1500'!P11+'2300'!P11+'4500'!P11+'5600'!P11+'7010'!P11+'7200'!P11+'7300'!P11+'8200'!P11+'9510'!P11</f>
        <v>68777.3125</v>
      </c>
      <c r="Q11" s="101">
        <f>SUM(E11:P11)</f>
        <v>436977.20999999996</v>
      </c>
    </row>
    <row r="12" spans="1:17" x14ac:dyDescent="0.35">
      <c r="A12" s="66" t="s">
        <v>97</v>
      </c>
      <c r="C12" s="6" t="s">
        <v>15</v>
      </c>
      <c r="E12" s="6">
        <f>+'1100'!E12+'1500'!E12+'2300'!E12+'4500'!E12+'5600'!E12+'7010'!E12+'7200'!E12+'7300'!E12+'8200'!E12+'9510'!E12</f>
        <v>0</v>
      </c>
      <c r="F12" s="6">
        <f>+'1100'!F12+'1500'!F12+'2300'!F12+'4500'!F12+'5600'!F12+'7010'!F12+'7200'!F12+'7300'!F12+'8200'!F12+'9510'!F12</f>
        <v>0</v>
      </c>
      <c r="G12" s="6">
        <f>+'1100'!G12+'1500'!G12+'2300'!G12+'4500'!G12+'5600'!G12+'7010'!G12+'7200'!G12+'7300'!G12+'8200'!G12+'9510'!G12</f>
        <v>0</v>
      </c>
      <c r="H12" s="6">
        <f>+'1100'!H12+'1500'!H12+'2300'!H12+'4500'!H12+'5600'!H12+'7010'!H12+'7200'!H12+'7300'!H12+'8200'!H12+'9510'!H12</f>
        <v>0</v>
      </c>
      <c r="I12" s="6">
        <f>+'1100'!I12+'1500'!I12+'2300'!I12+'4500'!I12+'5600'!I12+'7010'!I12+'7200'!I12+'7300'!I12+'8200'!I12+'9510'!I12</f>
        <v>0</v>
      </c>
      <c r="J12" s="6">
        <f>+'1100'!J12+'1500'!J12+'2300'!J12+'4500'!J12+'5600'!J12+'7010'!J12+'7200'!J12+'7300'!J12+'8200'!J12+'9510'!J12</f>
        <v>0</v>
      </c>
      <c r="K12" s="6">
        <f>+'1100'!K12+'1500'!K12+'2300'!K12+'4500'!K12+'5600'!K12+'7010'!K12+'7200'!K12+'7300'!K12+'8200'!K12+'9510'!K12</f>
        <v>0</v>
      </c>
      <c r="L12" s="6">
        <f>+'1100'!L12+'1500'!L12+'2300'!L12+'4500'!L12+'5600'!L12+'7010'!L12+'7200'!L12+'7300'!L12+'8200'!L12+'9510'!L12</f>
        <v>0</v>
      </c>
      <c r="M12" s="6">
        <f>+'1100'!M12+'1500'!M12+'2300'!M12+'4500'!M12+'5600'!M12+'7010'!M12+'7200'!M12+'7300'!M12+'8200'!M12+'9510'!M12</f>
        <v>0</v>
      </c>
      <c r="N12" s="6">
        <f>+'1100'!N12+'1500'!N12+'2300'!N12+'4500'!N12+'5600'!N12+'7010'!N12+'7200'!N12+'7300'!N12+'8200'!N12+'9510'!N12</f>
        <v>0</v>
      </c>
      <c r="O12" s="6">
        <f>+'1100'!O12+'1500'!O12+'2300'!O12+'4500'!O12+'5600'!O12+'7010'!O12+'7200'!O12+'7300'!O12+'8200'!O12+'9510'!O12</f>
        <v>0</v>
      </c>
      <c r="P12" s="6">
        <f>+'1100'!P12+'1500'!P12+'2300'!P12+'4500'!P12+'5600'!P12+'7010'!P12+'7200'!P12+'7300'!P12+'8200'!P12+'9510'!P12</f>
        <v>33958.07</v>
      </c>
      <c r="Q12" s="101">
        <f>SUM(E12:P12)</f>
        <v>33958.07</v>
      </c>
    </row>
    <row r="13" spans="1:17" x14ac:dyDescent="0.35">
      <c r="A13" s="66" t="s">
        <v>133</v>
      </c>
      <c r="C13" s="6" t="s">
        <v>16</v>
      </c>
      <c r="E13" s="6">
        <f>+'1100'!E13+'1500'!E13+'2300'!E13+'4500'!E13+'5600'!E13+'7010'!E13+'7200'!E13+'7300'!E13+'8200'!E13+'9510'!E13</f>
        <v>10530.967199999999</v>
      </c>
      <c r="F13" s="6">
        <f>+'1100'!F13+'1500'!F13+'2300'!F13+'4500'!F13+'5600'!F13+'7010'!F13+'7200'!F13+'7300'!F13+'8200'!F13+'9510'!F13</f>
        <v>10530.967199999999</v>
      </c>
      <c r="G13" s="6">
        <f>+'1100'!G13+'1500'!G13+'2300'!G13+'4500'!G13+'5600'!G13+'7010'!G13+'7200'!G13+'7300'!G13+'8200'!G13+'9510'!G13</f>
        <v>10530.967199999999</v>
      </c>
      <c r="H13" s="6">
        <f>+'1100'!H13+'1500'!H13+'2300'!H13+'4500'!H13+'5600'!H13+'7010'!H13+'7200'!H13+'7300'!H13+'8200'!H13+'9510'!H13</f>
        <v>10530.967199999999</v>
      </c>
      <c r="I13" s="6">
        <f>+'1100'!I13+'1500'!I13+'2300'!I13+'4500'!I13+'5600'!I13+'7010'!I13+'7200'!I13+'7300'!I13+'8200'!I13+'9510'!I13</f>
        <v>10530.967199999999</v>
      </c>
      <c r="J13" s="6">
        <f>+'1100'!J13+'1500'!J13+'2300'!J13+'4500'!J13+'5600'!J13+'7010'!J13+'7200'!J13+'7300'!J13+'8200'!J13+'9510'!J13</f>
        <v>10530.967199999999</v>
      </c>
      <c r="K13" s="6">
        <f>+'1100'!K13+'1500'!K13+'2300'!K13+'4500'!K13+'5600'!K13+'7010'!K13+'7200'!K13+'7300'!K13+'8200'!K13+'9510'!K13</f>
        <v>10530.967199999999</v>
      </c>
      <c r="L13" s="6">
        <f>+'1100'!L13+'1500'!L13+'2300'!L13+'4500'!L13+'5600'!L13+'7010'!L13+'7200'!L13+'7300'!L13+'8200'!L13+'9510'!L13</f>
        <v>10530.967199999999</v>
      </c>
      <c r="M13" s="6">
        <f>+'1100'!M13+'1500'!M13+'2300'!M13+'4500'!M13+'5600'!M13+'7010'!M13+'7200'!M13+'7300'!M13+'8200'!M13+'9510'!M13</f>
        <v>10530.967199999999</v>
      </c>
      <c r="N13" s="6">
        <f>+'1100'!N13+'1500'!N13+'2300'!N13+'4500'!N13+'5600'!N13+'7010'!N13+'7200'!N13+'7300'!N13+'8200'!N13+'9510'!N13</f>
        <v>10530.967199999999</v>
      </c>
      <c r="O13" s="6">
        <f>+'1100'!O13+'1500'!O13+'2300'!O13+'4500'!O13+'5600'!O13+'7010'!O13+'7200'!O13+'7300'!O13+'8200'!O13+'9510'!O13</f>
        <v>10530.967199999999</v>
      </c>
      <c r="P13" s="6">
        <f>+'1100'!P13+'1500'!P13+'2300'!P13+'4500'!P13+'5600'!P13+'7010'!P13+'7200'!P13+'7300'!P13+'8200'!P13+'9510'!P13</f>
        <v>10530.967199999999</v>
      </c>
      <c r="Q13" s="101">
        <f>SUM(E13:P13)</f>
        <v>126371.60639999999</v>
      </c>
    </row>
    <row r="14" spans="1:17" x14ac:dyDescent="0.35">
      <c r="A14" s="66" t="s">
        <v>134</v>
      </c>
      <c r="C14" s="6" t="s">
        <v>17</v>
      </c>
      <c r="E14" s="6">
        <f>+'1100'!E14+'1500'!E14+'2300'!E14+'4500'!E14+'5600'!E14+'7010'!E14+'7200'!E14+'7300'!E14+'8200'!E14+'9510'!E14</f>
        <v>243.07999999999998</v>
      </c>
      <c r="F14" s="6">
        <f>+'1100'!F14+'1500'!F14+'2300'!F14+'4500'!F14+'5600'!F14+'7010'!F14+'7200'!F14+'7300'!F14+'8200'!F14+'9510'!F14</f>
        <v>243.07999999999998</v>
      </c>
      <c r="G14" s="6">
        <f>+'1100'!G14+'1500'!G14+'2300'!G14+'4500'!G14+'5600'!G14+'7010'!G14+'7200'!G14+'7300'!G14+'8200'!G14+'9510'!G14</f>
        <v>243.07999999999998</v>
      </c>
      <c r="H14" s="6">
        <f>+'1100'!H14+'1500'!H14+'2300'!H14+'4500'!H14+'5600'!H14+'7010'!H14+'7200'!H14+'7300'!H14+'8200'!H14+'9510'!H14</f>
        <v>243.07999999999998</v>
      </c>
      <c r="I14" s="6">
        <f>+'1100'!I14+'1500'!I14+'2300'!I14+'4500'!I14+'5600'!I14+'7010'!I14+'7200'!I14+'7300'!I14+'8200'!I14+'9510'!I14</f>
        <v>243.07999999999998</v>
      </c>
      <c r="J14" s="6">
        <f>+'1100'!J14+'1500'!J14+'2300'!J14+'4500'!J14+'5600'!J14+'7010'!J14+'7200'!J14+'7300'!J14+'8200'!J14+'9510'!J14</f>
        <v>243.07999999999998</v>
      </c>
      <c r="K14" s="6">
        <f>+'1100'!K14+'1500'!K14+'2300'!K14+'4500'!K14+'5600'!K14+'7010'!K14+'7200'!K14+'7300'!K14+'8200'!K14+'9510'!K14</f>
        <v>243.07999999999998</v>
      </c>
      <c r="L14" s="6">
        <f>+'1100'!L14+'1500'!L14+'2300'!L14+'4500'!L14+'5600'!L14+'7010'!L14+'7200'!L14+'7300'!L14+'8200'!L14+'9510'!L14</f>
        <v>243.07999999999998</v>
      </c>
      <c r="M14" s="6">
        <f>+'1100'!M14+'1500'!M14+'2300'!M14+'4500'!M14+'5600'!M14+'7010'!M14+'7200'!M14+'7300'!M14+'8200'!M14+'9510'!M14</f>
        <v>243.07999999999998</v>
      </c>
      <c r="N14" s="6">
        <f>+'1100'!N14+'1500'!N14+'2300'!N14+'4500'!N14+'5600'!N14+'7010'!N14+'7200'!N14+'7300'!N14+'8200'!N14+'9510'!N14</f>
        <v>243.07999999999998</v>
      </c>
      <c r="O14" s="6">
        <f>+'1100'!O14+'1500'!O14+'2300'!O14+'4500'!O14+'5600'!O14+'7010'!O14+'7200'!O14+'7300'!O14+'8200'!O14+'9510'!O14</f>
        <v>243.07999999999998</v>
      </c>
      <c r="P14" s="6">
        <f>+'1100'!P14+'1500'!P14+'2300'!P14+'4500'!P14+'5600'!P14+'7010'!P14+'7200'!P14+'7300'!P14+'8200'!P14+'9510'!P14</f>
        <v>243.07999999999998</v>
      </c>
      <c r="Q14" s="101">
        <f>SUM(E14:P14)</f>
        <v>2916.9599999999996</v>
      </c>
    </row>
    <row r="15" spans="1:17" s="8" customFormat="1" x14ac:dyDescent="0.35">
      <c r="A15" s="218"/>
      <c r="D15" s="13" t="s">
        <v>266</v>
      </c>
      <c r="E15" s="28">
        <f t="shared" ref="E15:Q15" si="0">SUM(E10:E14)</f>
        <v>445639.89386666665</v>
      </c>
      <c r="F15" s="28">
        <f t="shared" ref="F15:P15" si="1">SUM(F10:F14)</f>
        <v>445669.89386666665</v>
      </c>
      <c r="G15" s="28">
        <f t="shared" si="1"/>
        <v>442969.89386666665</v>
      </c>
      <c r="H15" s="28">
        <f t="shared" si="1"/>
        <v>442786.00719999999</v>
      </c>
      <c r="I15" s="28">
        <f t="shared" si="1"/>
        <v>451292.83720000001</v>
      </c>
      <c r="J15" s="28">
        <f t="shared" si="1"/>
        <v>454536.91720000003</v>
      </c>
      <c r="K15" s="28">
        <f t="shared" si="1"/>
        <v>455821.02303333336</v>
      </c>
      <c r="L15" s="28">
        <f t="shared" si="1"/>
        <v>460044.47303333337</v>
      </c>
      <c r="M15" s="28">
        <f t="shared" si="1"/>
        <v>461236.52803333336</v>
      </c>
      <c r="N15" s="28">
        <f t="shared" si="1"/>
        <v>460482.22970000003</v>
      </c>
      <c r="O15" s="28">
        <f t="shared" si="1"/>
        <v>470168.8897</v>
      </c>
      <c r="P15" s="28">
        <f t="shared" si="1"/>
        <v>504126.95970000001</v>
      </c>
      <c r="Q15" s="110">
        <f t="shared" si="0"/>
        <v>5494775.5464000003</v>
      </c>
    </row>
    <row r="16" spans="1:17" ht="18" x14ac:dyDescent="0.35">
      <c r="A16" s="66"/>
      <c r="Q16" s="103"/>
    </row>
    <row r="17" spans="1:17" ht="18" x14ac:dyDescent="0.35">
      <c r="A17" s="66"/>
      <c r="B17" s="7" t="s">
        <v>19</v>
      </c>
      <c r="Q17" s="101"/>
    </row>
    <row r="18" spans="1:17" x14ac:dyDescent="0.35">
      <c r="A18" s="66" t="s">
        <v>98</v>
      </c>
      <c r="C18" s="6" t="s">
        <v>20</v>
      </c>
      <c r="E18" s="6">
        <f>+'1100'!E18+'1500'!E18+'2300'!E18+'4500'!E18+'5600'!E18+'7010'!E18+'7200'!E18+'7300'!E18+'8200'!E18+'9510'!E18</f>
        <v>1978.2</v>
      </c>
      <c r="F18" s="6">
        <f>+'1100'!F18+'1500'!F18+'2300'!F18+'4500'!F18+'5600'!F18+'7010'!F18+'7200'!F18+'7300'!F18+'8200'!F18+'9510'!F18</f>
        <v>1802.8500000000001</v>
      </c>
      <c r="G18" s="6">
        <f>+'1100'!G18+'1500'!G18+'2300'!G18+'4500'!G18+'5600'!G18+'7010'!G18+'7200'!G18+'7300'!G18+'8200'!G18+'9510'!G18</f>
        <v>1659</v>
      </c>
      <c r="H18" s="6">
        <f>+'1100'!H18+'1500'!H18+'2300'!H18+'4500'!H18+'5600'!H18+'7010'!H18+'7200'!H18+'7300'!H18+'8200'!H18+'9510'!H18</f>
        <v>1174.95</v>
      </c>
      <c r="I18" s="6">
        <f>+'1100'!I18+'1500'!I18+'2300'!I18+'4500'!I18+'5600'!I18+'7010'!I18+'7200'!I18+'7300'!I18+'8200'!I18+'9510'!I18</f>
        <v>1174.95</v>
      </c>
      <c r="J18" s="6">
        <f>+'1100'!J18+'1500'!J18+'2300'!J18+'4500'!J18+'5600'!J18+'7010'!J18+'7200'!J18+'7300'!J18+'8200'!J18+'9510'!J18</f>
        <v>1191.75</v>
      </c>
      <c r="K18" s="6">
        <f>+'1100'!K18+'1500'!K18+'2300'!K18+'4500'!K18+'5600'!K18+'7010'!K18+'7200'!K18+'7300'!K18+'8200'!K18+'9510'!K18</f>
        <v>1503.6000000000001</v>
      </c>
      <c r="L18" s="6">
        <f>+'1100'!L18+'1500'!L18+'2300'!L18+'4500'!L18+'5600'!L18+'7010'!L18+'7200'!L18+'7300'!L18+'8200'!L18+'9510'!L18</f>
        <v>1451.1000000000001</v>
      </c>
      <c r="M18" s="6">
        <f>+'1100'!M18+'1500'!M18+'2300'!M18+'4500'!M18+'5600'!M18+'7010'!M18+'7200'!M18+'7300'!M18+'8200'!M18+'9510'!M18</f>
        <v>1174.95</v>
      </c>
      <c r="N18" s="6">
        <f>+'1100'!N18+'1500'!N18+'2300'!N18+'4500'!N18+'5600'!N18+'7010'!N18+'7200'!N18+'7300'!N18+'8200'!N18+'9510'!N18</f>
        <v>1659</v>
      </c>
      <c r="O18" s="6">
        <f>+'1100'!O18+'1500'!O18+'2300'!O18+'4500'!O18+'5600'!O18+'7010'!O18+'7200'!O18+'7300'!O18+'8200'!O18+'9510'!O18</f>
        <v>1802.8500000000001</v>
      </c>
      <c r="P18" s="6">
        <f>+'1100'!P18+'1500'!P18+'2300'!P18+'4500'!P18+'5600'!P18+'7010'!P18+'7200'!P18+'7300'!P18+'8200'!P18+'9510'!P18</f>
        <v>1978.2</v>
      </c>
      <c r="Q18" s="101">
        <f>SUM(E18:P18)</f>
        <v>18551.400000000001</v>
      </c>
    </row>
    <row r="19" spans="1:17" x14ac:dyDescent="0.35">
      <c r="A19" s="66" t="s">
        <v>99</v>
      </c>
      <c r="C19" s="6" t="s">
        <v>21</v>
      </c>
      <c r="E19" s="6">
        <f>+'1100'!E19+'1500'!E19+'2300'!E19+'4500'!E19+'5600'!E19+'7010'!E19+'7200'!E19+'7300'!E19+'8200'!E19+'9510'!E19</f>
        <v>90900</v>
      </c>
      <c r="F19" s="6">
        <f>+'1100'!F19+'1500'!F19+'2300'!F19+'4500'!F19+'5600'!F19+'7010'!F19+'7200'!F19+'7300'!F19+'8200'!F19+'9510'!F19</f>
        <v>90900</v>
      </c>
      <c r="G19" s="6">
        <f>+'1100'!G19+'1500'!G19+'2300'!G19+'4500'!G19+'5600'!G19+'7010'!G19+'7200'!G19+'7300'!G19+'8200'!G19+'9510'!G19</f>
        <v>90900</v>
      </c>
      <c r="H19" s="6">
        <f>+'1100'!H19+'1500'!H19+'2300'!H19+'4500'!H19+'5600'!H19+'7010'!H19+'7200'!H19+'7300'!H19+'8200'!H19+'9510'!H19</f>
        <v>96539.25</v>
      </c>
      <c r="I19" s="6">
        <f>+'1100'!I19+'1500'!I19+'2300'!I19+'4500'!I19+'5600'!I19+'7010'!I19+'7200'!I19+'7300'!I19+'8200'!I19+'9510'!I19</f>
        <v>90900</v>
      </c>
      <c r="J19" s="6">
        <f>+'1100'!J19+'1500'!J19+'2300'!J19+'4500'!J19+'5600'!J19+'7010'!J19+'7200'!J19+'7300'!J19+'8200'!J19+'9510'!J19</f>
        <v>90900</v>
      </c>
      <c r="K19" s="6">
        <f>+'1100'!K19+'1500'!K19+'2300'!K19+'4500'!K19+'5600'!K19+'7010'!K19+'7200'!K19+'7300'!K19+'8200'!K19+'9510'!K19</f>
        <v>96539.25</v>
      </c>
      <c r="L19" s="6">
        <f>+'1100'!L19+'1500'!L19+'2300'!L19+'4500'!L19+'5600'!L19+'7010'!L19+'7200'!L19+'7300'!L19+'8200'!L19+'9510'!L19</f>
        <v>90900</v>
      </c>
      <c r="M19" s="6">
        <f>+'1100'!M19+'1500'!M19+'2300'!M19+'4500'!M19+'5600'!M19+'7010'!M19+'7200'!M19+'7300'!M19+'8200'!M19+'9510'!M19</f>
        <v>90900</v>
      </c>
      <c r="N19" s="6">
        <f>+'1100'!N19+'1500'!N19+'2300'!N19+'4500'!N19+'5600'!N19+'7010'!N19+'7200'!N19+'7300'!N19+'8200'!N19+'9510'!N19</f>
        <v>96539.25</v>
      </c>
      <c r="O19" s="6">
        <f>+'1100'!O19+'1500'!O19+'2300'!O19+'4500'!O19+'5600'!O19+'7010'!O19+'7200'!O19+'7300'!O19+'8200'!O19+'9510'!O19</f>
        <v>90900</v>
      </c>
      <c r="P19" s="6">
        <f>+'1100'!P19+'1500'!P19+'2300'!P19+'4500'!P19+'5600'!P19+'7010'!P19+'7200'!P19+'7300'!P19+'8200'!P19+'9510'!P19</f>
        <v>96539.25</v>
      </c>
      <c r="Q19" s="101">
        <f>SUM(E19:P19)</f>
        <v>1113357</v>
      </c>
    </row>
    <row r="20" spans="1:17" x14ac:dyDescent="0.35">
      <c r="A20" s="66" t="s">
        <v>100</v>
      </c>
      <c r="C20" s="6" t="s">
        <v>22</v>
      </c>
      <c r="E20" s="6">
        <f>+'1100'!E20+'1500'!E20+'2300'!E20+'4500'!E20+'5600'!E20+'7010'!E20+'7200'!E20+'7300'!E20+'8200'!E20+'9510'!E20</f>
        <v>36100</v>
      </c>
      <c r="F20" s="6">
        <f>+'1100'!F20+'1500'!F20+'2300'!F20+'4500'!F20+'5600'!F20+'7010'!F20+'7200'!F20+'7300'!F20+'8200'!F20+'9510'!F20</f>
        <v>36100</v>
      </c>
      <c r="G20" s="6">
        <f>+'1100'!G20+'1500'!G20+'2300'!G20+'4500'!G20+'5600'!G20+'7010'!G20+'7200'!G20+'7300'!G20+'8200'!G20+'9510'!G20</f>
        <v>36100</v>
      </c>
      <c r="H20" s="6">
        <f>+'1100'!H20+'1500'!H20+'2300'!H20+'4500'!H20+'5600'!H20+'7010'!H20+'7200'!H20+'7300'!H20+'8200'!H20+'9510'!H20</f>
        <v>37669</v>
      </c>
      <c r="I20" s="6">
        <f>+'1100'!I20+'1500'!I20+'2300'!I20+'4500'!I20+'5600'!I20+'7010'!I20+'7200'!I20+'7300'!I20+'8200'!I20+'9510'!I20</f>
        <v>36100</v>
      </c>
      <c r="J20" s="6">
        <f>+'1100'!J20+'1500'!J20+'2300'!J20+'4500'!J20+'5600'!J20+'7010'!J20+'7200'!J20+'7300'!J20+'8200'!J20+'9510'!J20</f>
        <v>36100</v>
      </c>
      <c r="K20" s="6">
        <f>+'1100'!K20+'1500'!K20+'2300'!K20+'4500'!K20+'5600'!K20+'7010'!K20+'7200'!K20+'7300'!K20+'8200'!K20+'9510'!K20</f>
        <v>37669</v>
      </c>
      <c r="L20" s="6">
        <f>+'1100'!L20+'1500'!L20+'2300'!L20+'4500'!L20+'5600'!L20+'7010'!L20+'7200'!L20+'7300'!L20+'8200'!L20+'9510'!L20</f>
        <v>36100</v>
      </c>
      <c r="M20" s="6">
        <f>+'1100'!M20+'1500'!M20+'2300'!M20+'4500'!M20+'5600'!M20+'7010'!M20+'7200'!M20+'7300'!M20+'8200'!M20+'9510'!M20</f>
        <v>36100</v>
      </c>
      <c r="N20" s="6">
        <f>+'1100'!N20+'1500'!N20+'2300'!N20+'4500'!N20+'5600'!N20+'7010'!N20+'7200'!N20+'7300'!N20+'8200'!N20+'9510'!N20</f>
        <v>37669</v>
      </c>
      <c r="O20" s="6">
        <f>+'1100'!O20+'1500'!O20+'2300'!O20+'4500'!O20+'5600'!O20+'7010'!O20+'7200'!O20+'7300'!O20+'8200'!O20+'9510'!O20</f>
        <v>36100</v>
      </c>
      <c r="P20" s="6">
        <f>+'1100'!P20+'1500'!P20+'2300'!P20+'4500'!P20+'5600'!P20+'7010'!P20+'7200'!P20+'7300'!P20+'8200'!P20+'9510'!P20</f>
        <v>37669</v>
      </c>
      <c r="Q20" s="101">
        <f>SUM(E20:P20)</f>
        <v>439476</v>
      </c>
    </row>
    <row r="21" spans="1:17" x14ac:dyDescent="0.35">
      <c r="A21" s="66" t="s">
        <v>135</v>
      </c>
      <c r="C21" s="6" t="s">
        <v>23</v>
      </c>
      <c r="E21" s="6">
        <f>+'1100'!E21+'1500'!E21+'2300'!E21+'4500'!E21+'5600'!E21+'7010'!E21+'7200'!E21+'7300'!E21+'8200'!E21+'9510'!E21</f>
        <v>10365</v>
      </c>
      <c r="F21" s="6">
        <f>+'1100'!F21+'1500'!F21+'2300'!F21+'4500'!F21+'5600'!F21+'7010'!F21+'7200'!F21+'7300'!F21+'8200'!F21+'9510'!F21</f>
        <v>0</v>
      </c>
      <c r="G21" s="6">
        <f>+'1100'!G21+'1500'!G21+'2300'!G21+'4500'!G21+'5600'!G21+'7010'!G21+'7200'!G21+'7300'!G21+'8200'!G21+'9510'!G21</f>
        <v>0</v>
      </c>
      <c r="H21" s="6">
        <f>+'1100'!H21+'1500'!H21+'2300'!H21+'4500'!H21+'5600'!H21+'7010'!H21+'7200'!H21+'7300'!H21+'8200'!H21+'9510'!H21</f>
        <v>0</v>
      </c>
      <c r="I21" s="6">
        <f>+'1100'!I21+'1500'!I21+'2300'!I21+'4500'!I21+'5600'!I21+'7010'!I21+'7200'!I21+'7300'!I21+'8200'!I21+'9510'!I21</f>
        <v>0</v>
      </c>
      <c r="J21" s="6">
        <f>+'1100'!J21+'1500'!J21+'2300'!J21+'4500'!J21+'5600'!J21+'7010'!J21+'7200'!J21+'7300'!J21+'8200'!J21+'9510'!J21</f>
        <v>0</v>
      </c>
      <c r="K21" s="6">
        <f>+'1100'!K21+'1500'!K21+'2300'!K21+'4500'!K21+'5600'!K21+'7010'!K21+'7200'!K21+'7300'!K21+'8200'!K21+'9510'!K21</f>
        <v>0</v>
      </c>
      <c r="L21" s="6">
        <f>+'1100'!L21+'1500'!L21+'2300'!L21+'4500'!L21+'5600'!L21+'7010'!L21+'7200'!L21+'7300'!L21+'8200'!L21+'9510'!L21</f>
        <v>0</v>
      </c>
      <c r="M21" s="6">
        <f>+'1100'!M21+'1500'!M21+'2300'!M21+'4500'!M21+'5600'!M21+'7010'!M21+'7200'!M21+'7300'!M21+'8200'!M21+'9510'!M21</f>
        <v>0</v>
      </c>
      <c r="N21" s="6">
        <f>+'1100'!N21+'1500'!N21+'2300'!N21+'4500'!N21+'5600'!N21+'7010'!N21+'7200'!N21+'7300'!N21+'8200'!N21+'9510'!N21</f>
        <v>0</v>
      </c>
      <c r="O21" s="6">
        <f>+'1100'!O21+'1500'!O21+'2300'!O21+'4500'!O21+'5600'!O21+'7010'!O21+'7200'!O21+'7300'!O21+'8200'!O21+'9510'!O21</f>
        <v>0</v>
      </c>
      <c r="P21" s="6">
        <f>+'1100'!P21+'1500'!P21+'2300'!P21+'4500'!P21+'5600'!P21+'7010'!P21+'7200'!P21+'7300'!P21+'8200'!P21+'9510'!P21</f>
        <v>0</v>
      </c>
      <c r="Q21" s="101">
        <f>SUM(E21:P21)</f>
        <v>10365</v>
      </c>
    </row>
    <row r="22" spans="1:17" s="8" customFormat="1" x14ac:dyDescent="0.35">
      <c r="A22" s="218"/>
      <c r="D22" s="13" t="s">
        <v>267</v>
      </c>
      <c r="E22" s="28">
        <f t="shared" ref="E22:Q22" si="2">SUM(E18:E21)</f>
        <v>139343.20000000001</v>
      </c>
      <c r="F22" s="28">
        <f t="shared" ref="F22:P22" si="3">SUM(F18:F21)</f>
        <v>128802.85</v>
      </c>
      <c r="G22" s="28">
        <f t="shared" si="3"/>
        <v>128659</v>
      </c>
      <c r="H22" s="28">
        <f t="shared" si="3"/>
        <v>135383.20000000001</v>
      </c>
      <c r="I22" s="28">
        <f t="shared" si="3"/>
        <v>128174.95</v>
      </c>
      <c r="J22" s="28">
        <f t="shared" si="3"/>
        <v>128191.75</v>
      </c>
      <c r="K22" s="28">
        <f t="shared" si="3"/>
        <v>135711.85</v>
      </c>
      <c r="L22" s="28">
        <f t="shared" si="3"/>
        <v>128451.1</v>
      </c>
      <c r="M22" s="28">
        <f t="shared" si="3"/>
        <v>128174.95</v>
      </c>
      <c r="N22" s="28">
        <f t="shared" si="3"/>
        <v>135867.25</v>
      </c>
      <c r="O22" s="28">
        <f t="shared" si="3"/>
        <v>128802.85</v>
      </c>
      <c r="P22" s="28">
        <f t="shared" si="3"/>
        <v>136186.45000000001</v>
      </c>
      <c r="Q22" s="110">
        <f t="shared" si="2"/>
        <v>1581749.4</v>
      </c>
    </row>
    <row r="23" spans="1:17" ht="16.5" thickBot="1" x14ac:dyDescent="0.4">
      <c r="A23" s="66"/>
      <c r="Q23" s="101"/>
    </row>
    <row r="24" spans="1:17" s="9" customFormat="1" ht="18" thickBot="1" x14ac:dyDescent="0.4">
      <c r="A24" s="218"/>
      <c r="B24" s="219" t="s">
        <v>25</v>
      </c>
      <c r="C24" s="220"/>
      <c r="D24" s="220"/>
      <c r="E24" s="220">
        <f t="shared" ref="E24:Q24" si="4">+E15+E22</f>
        <v>584983.09386666666</v>
      </c>
      <c r="F24" s="220">
        <f t="shared" ref="F24:P24" si="5">+F15+F22</f>
        <v>574472.74386666669</v>
      </c>
      <c r="G24" s="220">
        <f t="shared" si="5"/>
        <v>571628.89386666659</v>
      </c>
      <c r="H24" s="220">
        <f t="shared" si="5"/>
        <v>578169.20720000006</v>
      </c>
      <c r="I24" s="220">
        <f t="shared" si="5"/>
        <v>579467.78720000002</v>
      </c>
      <c r="J24" s="220">
        <f t="shared" si="5"/>
        <v>582728.66720000003</v>
      </c>
      <c r="K24" s="220">
        <f t="shared" si="5"/>
        <v>591532.87303333334</v>
      </c>
      <c r="L24" s="220">
        <f t="shared" si="5"/>
        <v>588495.57303333341</v>
      </c>
      <c r="M24" s="220">
        <f t="shared" si="5"/>
        <v>589411.47803333332</v>
      </c>
      <c r="N24" s="220">
        <f t="shared" si="5"/>
        <v>596349.47970000003</v>
      </c>
      <c r="O24" s="220">
        <f t="shared" si="5"/>
        <v>598971.73970000003</v>
      </c>
      <c r="P24" s="220">
        <f t="shared" si="5"/>
        <v>640313.40969999996</v>
      </c>
      <c r="Q24" s="226">
        <f t="shared" si="4"/>
        <v>7076524.9463999998</v>
      </c>
    </row>
    <row r="25" spans="1:17" ht="18" x14ac:dyDescent="0.35">
      <c r="A25" s="66"/>
      <c r="Q25" s="103">
        <f>+'1100'!Q24+'1500'!Q24+'2300'!Q24+'4500'!Q24+'5600'!Q24+'7010'!Q24+'7200'!Q24</f>
        <v>5700115.2930666665</v>
      </c>
    </row>
    <row r="26" spans="1:17" ht="18" x14ac:dyDescent="0.35">
      <c r="A26" s="66"/>
      <c r="B26" s="7" t="s">
        <v>26</v>
      </c>
      <c r="Q26" s="101"/>
    </row>
    <row r="27" spans="1:17" x14ac:dyDescent="0.35">
      <c r="A27" s="66" t="s">
        <v>101</v>
      </c>
      <c r="C27" s="6" t="s">
        <v>27</v>
      </c>
      <c r="E27" s="6">
        <f>+'1100'!E27+'1500'!E27+'2300'!E27+'4500'!E27+'5600'!E27+'7010'!E27+'7200'!E27+'7300'!E27+'8200'!E27+'9510'!E27</f>
        <v>9139</v>
      </c>
      <c r="F27" s="6">
        <f>+'1100'!F27+'1500'!F27+'2300'!F27+'4500'!F27+'5600'!F27+'7010'!F27+'7200'!F27+'7300'!F27+'8200'!F27+'9510'!F27</f>
        <v>9139</v>
      </c>
      <c r="G27" s="6">
        <f>+'1100'!G27+'1500'!G27+'2300'!G27+'4500'!G27+'5600'!G27+'7010'!G27+'7200'!G27+'7300'!G27+'8200'!G27+'9510'!G27</f>
        <v>9139</v>
      </c>
      <c r="H27" s="6">
        <f>+'1100'!H27+'1500'!H27+'2300'!H27+'4500'!H27+'5600'!H27+'7010'!H27+'7200'!H27+'7300'!H27+'8200'!H27+'9510'!H27</f>
        <v>9139</v>
      </c>
      <c r="I27" s="6">
        <f>+'1100'!I27+'1500'!I27+'2300'!I27+'4500'!I27+'5600'!I27+'7010'!I27+'7200'!I27+'7300'!I27+'8200'!I27+'9510'!I27</f>
        <v>9139</v>
      </c>
      <c r="J27" s="6">
        <f>+'1100'!J27+'1500'!J27+'2300'!J27+'4500'!J27+'5600'!J27+'7010'!J27+'7200'!J27+'7300'!J27+'8200'!J27+'9510'!J27</f>
        <v>9139</v>
      </c>
      <c r="K27" s="6">
        <f>+'1100'!K27+'1500'!K27+'2300'!K27+'4500'!K27+'5600'!K27+'7010'!K27+'7200'!K27+'7300'!K27+'8200'!K27+'9510'!K27</f>
        <v>9139</v>
      </c>
      <c r="L27" s="6">
        <f>+'1100'!L27+'1500'!L27+'2300'!L27+'4500'!L27+'5600'!L27+'7010'!L27+'7200'!L27+'7300'!L27+'8200'!L27+'9510'!L27</f>
        <v>9139</v>
      </c>
      <c r="M27" s="6">
        <f>+'1100'!M27+'1500'!M27+'2300'!M27+'4500'!M27+'5600'!M27+'7010'!M27+'7200'!M27+'7300'!M27+'8200'!M27+'9510'!M27</f>
        <v>9139</v>
      </c>
      <c r="N27" s="6">
        <f>+'1100'!N27+'1500'!N27+'2300'!N27+'4500'!N27+'5600'!N27+'7010'!N27+'7200'!N27+'7300'!N27+'8200'!N27+'9510'!N27</f>
        <v>9139</v>
      </c>
      <c r="O27" s="6">
        <f>+'1100'!O27+'1500'!O27+'2300'!O27+'4500'!O27+'5600'!O27+'7010'!O27+'7200'!O27+'7300'!O27+'8200'!O27+'9510'!O27</f>
        <v>9139</v>
      </c>
      <c r="P27" s="6">
        <f>+'1100'!P27+'1500'!P27+'2300'!P27+'4500'!P27+'5600'!P27+'7010'!P27+'7200'!P27+'7300'!P27+'8200'!P27+'9510'!P27</f>
        <v>9139</v>
      </c>
      <c r="Q27" s="101">
        <f>SUM(E27:P27)</f>
        <v>109668</v>
      </c>
    </row>
    <row r="28" spans="1:17" x14ac:dyDescent="0.35">
      <c r="A28" s="66"/>
      <c r="Q28" s="101"/>
    </row>
    <row r="29" spans="1:17" x14ac:dyDescent="0.35">
      <c r="A29" s="66" t="s">
        <v>102</v>
      </c>
      <c r="C29" s="6" t="s">
        <v>20</v>
      </c>
      <c r="E29" s="6">
        <f>+'1100'!E29+'1500'!E29+'2300'!E29+'4500'!E29+'5600'!E29+'7010'!E29+'7200'!E29+'7300'!E29+'8200'!E29+'9510'!E29+'7010'!E30+'7010'!E31</f>
        <v>5858.77</v>
      </c>
      <c r="F29" s="6">
        <f>+'1100'!F29+'1500'!F29+'2300'!F29+'4500'!F29+'5600'!F29+'7010'!F29+'7200'!F29+'7300'!F29+'8200'!F29+'9510'!F29+'7010'!F30+'7010'!F31</f>
        <v>5449.3200000000006</v>
      </c>
      <c r="G29" s="6">
        <f>+'1100'!G29+'1500'!G29+'2300'!G29+'4500'!G29+'5600'!G29+'7010'!G29+'7200'!G29+'7300'!G29+'8200'!G29+'9510'!G29+'7010'!G30+'7010'!G31</f>
        <v>5228.5999999999995</v>
      </c>
      <c r="H29" s="6">
        <f>+'1100'!H29+'1500'!H29+'2300'!H29+'4500'!H29+'5600'!H29+'7010'!H29+'7200'!H29+'7300'!H29+'8200'!H29+'9510'!H29+'7010'!H30+'7010'!H31</f>
        <v>4155.54</v>
      </c>
      <c r="I29" s="6">
        <f>+'1100'!I29+'1500'!I29+'2300'!I29+'4500'!I29+'5600'!I29+'7010'!I29+'7200'!I29+'7300'!I29+'8200'!I29+'9510'!I29+'7010'!I30+'7010'!I31</f>
        <v>3999.05</v>
      </c>
      <c r="J29" s="6">
        <f>+'1100'!J29+'1500'!J29+'2300'!J29+'4500'!J29+'5600'!J29+'7010'!J29+'7200'!J29+'7300'!J29+'8200'!J29+'9510'!J29+'7010'!J30+'7010'!J31</f>
        <v>3954.79</v>
      </c>
      <c r="K29" s="6">
        <f>+'1100'!K29+'1500'!K29+'2300'!K29+'4500'!K29+'5600'!K29+'7010'!K29+'7200'!K29+'7300'!K29+'8200'!K29+'9510'!K29+'7010'!K30+'7010'!K31</f>
        <v>4422.7699999999995</v>
      </c>
      <c r="L29" s="6">
        <f>+'1100'!L29+'1500'!L29+'2300'!L29+'4500'!L29+'5600'!L29+'7010'!L29+'7200'!L29+'7300'!L29+'8200'!L29+'9510'!L29+'7010'!L30+'7010'!L31</f>
        <v>4069.8500000000004</v>
      </c>
      <c r="M29" s="6">
        <f>+'1100'!M29+'1500'!M29+'2300'!M29+'4500'!M29+'5600'!M29+'7010'!M29+'7200'!M29+'7300'!M29+'8200'!M29+'9510'!M29+'7010'!M30+'7010'!M31</f>
        <v>4082.3500000000004</v>
      </c>
      <c r="N29" s="6">
        <f>+'1100'!N29+'1500'!N29+'2300'!N29+'4500'!N29+'5600'!N29+'7010'!N29+'7200'!N29+'7300'!N29+'8200'!N29+'9510'!N29+'7010'!N30+'7010'!N31</f>
        <v>4589.5599999999995</v>
      </c>
      <c r="O29" s="6">
        <f>+'1100'!O29+'1500'!O29+'2300'!O29+'4500'!O29+'5600'!O29+'7010'!O29+'7200'!O29+'7300'!O29+'8200'!O29+'9510'!O29+'7010'!O30+'7010'!O31</f>
        <v>5267.59</v>
      </c>
      <c r="P29" s="6">
        <f>+'1100'!P29+'1500'!P29+'2300'!P29+'4500'!P29+'5600'!P29+'7010'!P29+'7200'!P29+'7300'!P29+'8200'!P29+'9510'!P29+'7010'!P30+'7010'!P31</f>
        <v>6116.61</v>
      </c>
      <c r="Q29" s="101">
        <f>SUM(E29:P29)</f>
        <v>57194.799999999988</v>
      </c>
    </row>
    <row r="30" spans="1:17" x14ac:dyDescent="0.35">
      <c r="A30" s="66"/>
      <c r="Q30" s="101"/>
    </row>
    <row r="31" spans="1:17" x14ac:dyDescent="0.35">
      <c r="A31" s="66" t="s">
        <v>103</v>
      </c>
      <c r="C31" s="6" t="s">
        <v>28</v>
      </c>
      <c r="E31" s="6">
        <f>+'1100'!E31+'1500'!E31+'2300'!E31+'4500'!E31+'5600'!E31+'7010'!E33+'7200'!E31+'7300'!E31+'8200'!E31+'9510'!E31</f>
        <v>490.28</v>
      </c>
      <c r="F31" s="6">
        <f>+'1100'!F31+'1500'!F31+'2300'!F31+'4500'!F31+'5600'!F31+'7010'!F33+'7200'!F31+'7300'!F31+'8200'!F31+'9510'!F31</f>
        <v>717.91</v>
      </c>
      <c r="G31" s="6">
        <f>+'1100'!G31+'1500'!G31+'2300'!G31+'4500'!G31+'5600'!G31+'7010'!G33+'7200'!G31+'7300'!G31+'8200'!G31+'9510'!G31</f>
        <v>692.16</v>
      </c>
      <c r="H31" s="6">
        <f>+'1100'!H31+'1500'!H31+'2300'!H31+'4500'!H31+'5600'!H31+'7010'!H33+'7200'!H31+'7300'!H31+'8200'!H31+'9510'!H31</f>
        <v>621.09</v>
      </c>
      <c r="I31" s="6">
        <f>+'1100'!I31+'1500'!I31+'2300'!I31+'4500'!I31+'5600'!I31+'7010'!I33+'7200'!I31+'7300'!I31+'8200'!I31+'9510'!I31</f>
        <v>443.93000000000006</v>
      </c>
      <c r="J31" s="6">
        <f>+'1100'!J31+'1500'!J31+'2300'!J31+'4500'!J31+'5600'!J31+'7010'!J33+'7200'!J31+'7300'!J31+'8200'!J31+'9510'!J31</f>
        <v>459.38</v>
      </c>
      <c r="K31" s="6">
        <f>+'1100'!K31+'1500'!K31+'2300'!K31+'4500'!K31+'5600'!K31+'7010'!K33+'7200'!K31+'7300'!K31+'8200'!K31+'9510'!K31</f>
        <v>478.95000000000005</v>
      </c>
      <c r="L31" s="6">
        <f>+'1100'!L31+'1500'!L31+'2300'!L31+'4500'!L31+'5600'!L31+'7010'!L33+'7200'!L31+'7300'!L31+'8200'!L31+'9510'!L31</f>
        <v>468.65</v>
      </c>
      <c r="M31" s="6">
        <f>+'1100'!M31+'1500'!M31+'2300'!M31+'4500'!M31+'5600'!M31+'7010'!M33+'7200'!M31+'7300'!M31+'8200'!M31+'9510'!M31</f>
        <v>522.21</v>
      </c>
      <c r="N31" s="6">
        <f>+'1100'!N31+'1500'!N31+'2300'!N31+'4500'!N31+'5600'!N31+'7010'!N33+'7200'!N31+'7300'!N31+'8200'!N31+'9510'!N31</f>
        <v>490.28</v>
      </c>
      <c r="O31" s="6">
        <f>+'1100'!O31+'1500'!O31+'2300'!O31+'4500'!O31+'5600'!O31+'7010'!O33+'7200'!O31+'7300'!O31+'8200'!O31+'9510'!O31</f>
        <v>479.98</v>
      </c>
      <c r="P31" s="6">
        <f>+'1100'!P31+'1500'!P31+'2300'!P31+'4500'!P31+'5600'!P31+'7010'!P33+'7200'!P31+'7300'!P31+'8200'!P31+'9510'!P31</f>
        <v>490.28</v>
      </c>
      <c r="Q31" s="101">
        <f>SUM(E31:P31)</f>
        <v>6355.0999999999995</v>
      </c>
    </row>
    <row r="32" spans="1:17" x14ac:dyDescent="0.35">
      <c r="A32" s="66"/>
      <c r="Q32" s="101"/>
    </row>
    <row r="33" spans="1:17" x14ac:dyDescent="0.35">
      <c r="A33" s="66"/>
      <c r="D33" s="50" t="s">
        <v>29</v>
      </c>
      <c r="E33" s="45">
        <f>+'1100'!E33+'1500'!E33+'2300'!E33+'4500'!E33+'5600'!E33+'7010'!E35+'7200'!E33+'7300'!E33+'8200'!E33+'9510'!E33</f>
        <v>3916</v>
      </c>
      <c r="F33" s="45">
        <f>+'1100'!F33+'1500'!F33+'2300'!F33+'4500'!F33+'5600'!F33+'7010'!F35+'7200'!F33+'7300'!F33+'8200'!F33+'9510'!F33</f>
        <v>850</v>
      </c>
      <c r="G33" s="45">
        <f>+'1100'!G33+'1500'!G33+'2300'!G33+'4500'!G33+'5600'!G33+'7010'!G35+'7200'!G33+'7300'!G33+'8200'!G33+'9510'!G33</f>
        <v>0</v>
      </c>
      <c r="H33" s="45">
        <f>+'1100'!H33+'1500'!H33+'2300'!H33+'4500'!H33+'5600'!H33+'7010'!H35+'7200'!H33+'7300'!H33+'8200'!H33+'9510'!H33</f>
        <v>4716</v>
      </c>
      <c r="I33" s="45">
        <f>+'1100'!I33+'1500'!I33+'2300'!I33+'4500'!I33+'5600'!I33+'7010'!I35+'7200'!I33+'7300'!I33+'8200'!I33+'9510'!I33</f>
        <v>4379.25</v>
      </c>
      <c r="J33" s="45">
        <f>+'1100'!J33+'1500'!J33+'2300'!J33+'4500'!J33+'5600'!J33+'7010'!J35+'7200'!J33+'7300'!J33+'8200'!J33+'9510'!J33</f>
        <v>0</v>
      </c>
      <c r="K33" s="45">
        <f>+'1100'!K33+'1500'!K33+'2300'!K33+'4500'!K33+'5600'!K33+'7010'!K35+'7200'!K33+'7300'!K33+'8200'!K33+'9510'!K33</f>
        <v>3916</v>
      </c>
      <c r="L33" s="45">
        <f>+'1100'!L33+'1500'!L33+'2300'!L33+'4500'!L33+'5600'!L33+'7010'!L35+'7200'!L33+'7300'!L33+'8200'!L33+'9510'!L33</f>
        <v>400</v>
      </c>
      <c r="M33" s="45">
        <f>+'1100'!M33+'1500'!M33+'2300'!M33+'4500'!M33+'5600'!M33+'7010'!M35+'7200'!M33+'7300'!M33+'8200'!M33+'9510'!M33</f>
        <v>16351</v>
      </c>
      <c r="N33" s="45">
        <f>+'1100'!N33+'1500'!N33+'2300'!N33+'4500'!N33+'5600'!N33+'7010'!N35+'7200'!N33+'7300'!N33+'8200'!N33+'9510'!N33</f>
        <v>2654.25</v>
      </c>
      <c r="O33" s="45">
        <f>+'1100'!O33+'1500'!O33+'2300'!O33+'4500'!O33+'5600'!O33+'7010'!O35+'7200'!O33+'7300'!O33+'8200'!O33+'9510'!O33</f>
        <v>3375</v>
      </c>
      <c r="P33" s="45">
        <f>+'1100'!P33+'1500'!P33+'2300'!P33+'4500'!P33+'5600'!P33+'7010'!P35+'7200'!P33+'7300'!P33+'8200'!P33+'9510'!P33</f>
        <v>0</v>
      </c>
      <c r="Q33" s="104">
        <f>SUM(E33:P33)</f>
        <v>40557.5</v>
      </c>
    </row>
    <row r="34" spans="1:17" x14ac:dyDescent="0.35">
      <c r="A34" s="66"/>
      <c r="D34" s="51" t="s">
        <v>30</v>
      </c>
      <c r="E34" s="6">
        <f>+'1100'!E34+'1500'!E34+'2300'!E34+'4500'!E34+'5600'!E34+'7010'!E36+'7200'!E34+'7300'!E34+'8200'!E34+'9510'!E34</f>
        <v>2835.15</v>
      </c>
      <c r="F34" s="6">
        <f>+'1100'!F34+'1500'!F34+'2300'!F34+'4500'!F34+'5600'!F34+'7010'!F36+'7200'!F34+'7300'!F34+'8200'!F34+'9510'!F34</f>
        <v>2835.15</v>
      </c>
      <c r="G34" s="6">
        <f>+'1100'!G34+'1500'!G34+'2300'!G34+'4500'!G34+'5600'!G34+'7010'!G36+'7200'!G34+'7300'!G34+'8200'!G34+'9510'!G34</f>
        <v>2835.15</v>
      </c>
      <c r="H34" s="6">
        <f>+'1100'!H34+'1500'!H34+'2300'!H34+'4500'!H34+'5600'!H34+'7010'!H36+'7200'!H34+'7300'!H34+'8200'!H34+'9510'!H34</f>
        <v>3135.15</v>
      </c>
      <c r="I34" s="6">
        <f>+'1100'!I34+'1500'!I34+'2300'!I34+'4500'!I34+'5600'!I34+'7010'!I36+'7200'!I34+'7300'!I34+'8200'!I34+'9510'!I34</f>
        <v>3460.15</v>
      </c>
      <c r="J34" s="6">
        <f>+'1100'!J34+'1500'!J34+'2300'!J34+'4500'!J34+'5600'!J34+'7010'!J36+'7200'!J34+'7300'!J34+'8200'!J34+'9510'!J34</f>
        <v>2835.15</v>
      </c>
      <c r="K34" s="6">
        <f>+'1100'!K34+'1500'!K34+'2300'!K34+'4500'!K34+'5600'!K34+'7010'!K36+'7200'!K34+'7300'!K34+'8200'!K34+'9510'!K34</f>
        <v>2835.15</v>
      </c>
      <c r="L34" s="6">
        <f>+'1100'!L34+'1500'!L34+'2300'!L34+'4500'!L34+'5600'!L34+'7010'!L36+'7200'!L34+'7300'!L34+'8200'!L34+'9510'!L34</f>
        <v>2835.15</v>
      </c>
      <c r="M34" s="6">
        <f>+'1100'!M34+'1500'!M34+'2300'!M34+'4500'!M34+'5600'!M34+'7010'!M36+'7200'!M34+'7300'!M34+'8200'!M34+'9510'!M34</f>
        <v>4462.1499999999996</v>
      </c>
      <c r="N34" s="6">
        <f>+'1100'!N34+'1500'!N34+'2300'!N34+'4500'!N34+'5600'!N34+'7010'!N36+'7200'!N34+'7300'!N34+'8200'!N34+'9510'!N34</f>
        <v>3635.15</v>
      </c>
      <c r="O34" s="6">
        <f>+'1100'!O34+'1500'!O34+'2300'!O34+'4500'!O34+'5600'!O34+'7010'!O36+'7200'!O34+'7300'!O34+'8200'!O34+'9510'!O34</f>
        <v>3460.15</v>
      </c>
      <c r="P34" s="6">
        <f>+'1100'!P34+'1500'!P34+'2300'!P34+'4500'!P34+'5600'!P34+'7010'!P36+'7200'!P34+'7300'!P34+'8200'!P34+'9510'!P34</f>
        <v>2835.15</v>
      </c>
      <c r="Q34" s="105">
        <f>SUM(E34:P34)</f>
        <v>37998.80000000001</v>
      </c>
    </row>
    <row r="35" spans="1:17" x14ac:dyDescent="0.35">
      <c r="A35" s="66"/>
      <c r="D35" s="51" t="s">
        <v>472</v>
      </c>
      <c r="E35" s="6">
        <f>'7010'!E37</f>
        <v>824</v>
      </c>
      <c r="F35" s="6">
        <f>'7010'!F37</f>
        <v>901.25</v>
      </c>
      <c r="G35" s="6">
        <f>'7010'!G37</f>
        <v>51.5</v>
      </c>
      <c r="H35" s="6">
        <f>'7010'!H37</f>
        <v>824</v>
      </c>
      <c r="I35" s="6">
        <f>'7010'!I37</f>
        <v>1364.75</v>
      </c>
      <c r="J35" s="6">
        <f>'7010'!J37</f>
        <v>51.5</v>
      </c>
      <c r="K35" s="6">
        <f>'7010'!K37</f>
        <v>824</v>
      </c>
      <c r="L35" s="6">
        <f>'7010'!L37</f>
        <v>901.25</v>
      </c>
      <c r="M35" s="6">
        <f>'7010'!M37</f>
        <v>51.5</v>
      </c>
      <c r="N35" s="6">
        <f>'7010'!N37</f>
        <v>824</v>
      </c>
      <c r="O35" s="6">
        <f>'7010'!O37</f>
        <v>901.25</v>
      </c>
      <c r="P35" s="6">
        <f>'7010'!P37</f>
        <v>51.5</v>
      </c>
      <c r="Q35" s="105">
        <f>SUM(E35:P35)</f>
        <v>7570.5</v>
      </c>
    </row>
    <row r="36" spans="1:17" x14ac:dyDescent="0.35">
      <c r="A36" s="66"/>
      <c r="D36" s="52" t="s">
        <v>31</v>
      </c>
      <c r="E36" s="15">
        <f>+'1100'!E35+'1500'!E35+'2300'!E35+'4500'!E35+'5600'!E35+'7010'!E38+'7200'!E35+'7300'!E35+'8200'!E35+'9510'!E35</f>
        <v>0</v>
      </c>
      <c r="F36" s="15">
        <f>+'1100'!F35+'1500'!F35+'2300'!F35+'4500'!F35+'5600'!F35+'7010'!F38+'7200'!F35+'7300'!F35+'8200'!F35+'9510'!F35</f>
        <v>500</v>
      </c>
      <c r="G36" s="15">
        <f>+'1100'!G35+'1500'!G35+'2300'!G35+'4500'!G35+'5600'!G35+'7010'!G38+'7200'!G35+'7300'!G35+'8200'!G35+'9510'!G35</f>
        <v>23100</v>
      </c>
      <c r="H36" s="15">
        <f>+'1100'!H35+'1500'!H35+'2300'!H35+'4500'!H35+'5600'!H35+'7010'!H38+'7200'!H35+'7300'!H35+'8200'!H35+'9510'!H35</f>
        <v>24860</v>
      </c>
      <c r="I36" s="15">
        <f>+'1100'!I35+'1500'!I35+'2300'!I35+'4500'!I35+'5600'!I35+'7010'!I38+'7200'!I35+'7300'!I35+'8200'!I35+'9510'!I35</f>
        <v>500</v>
      </c>
      <c r="J36" s="15">
        <f>+'1100'!J35+'1500'!J35+'2300'!J35+'4500'!J35+'5600'!J35+'7010'!J38+'7200'!J35+'7300'!J35+'8200'!J35+'9510'!J35</f>
        <v>0</v>
      </c>
      <c r="K36" s="15">
        <f>+'1100'!K35+'1500'!K35+'2300'!K35+'4500'!K35+'5600'!K35+'7010'!K38+'7200'!K35+'7300'!K35+'8200'!K35+'9510'!K35</f>
        <v>0</v>
      </c>
      <c r="L36" s="15">
        <f>+'1100'!L35+'1500'!L35+'2300'!L35+'4500'!L35+'5600'!L35+'7010'!L38+'7200'!L35+'7300'!L35+'8200'!L35+'9510'!L35</f>
        <v>13000</v>
      </c>
      <c r="M36" s="15">
        <f>+'1100'!M35+'1500'!M35+'2300'!M35+'4500'!M35+'5600'!M35+'7010'!M38+'7200'!M35+'7300'!M35+'8200'!M35+'9510'!M35</f>
        <v>32960</v>
      </c>
      <c r="N36" s="15">
        <f>+'1100'!N35+'1500'!N35+'2300'!N35+'4500'!N35+'5600'!N35+'7010'!N38+'7200'!N35+'7300'!N35+'8200'!N35+'9510'!N35</f>
        <v>0</v>
      </c>
      <c r="O36" s="15">
        <f>+'1100'!O35+'1500'!O35+'2300'!O35+'4500'!O35+'5600'!O35+'7010'!O38+'7200'!O35+'7300'!O35+'8200'!O35+'9510'!O35</f>
        <v>3000</v>
      </c>
      <c r="P36" s="15">
        <f>+'1100'!P35+'1500'!P35+'2300'!P35+'4500'!P35+'5600'!P35+'7010'!P38+'7200'!P35+'7300'!P35+'8200'!P35+'9510'!P35</f>
        <v>0</v>
      </c>
      <c r="Q36" s="106">
        <f>SUM(E36:P36)</f>
        <v>97920</v>
      </c>
    </row>
    <row r="37" spans="1:17" x14ac:dyDescent="0.35">
      <c r="A37" s="66" t="s">
        <v>104</v>
      </c>
      <c r="C37" s="6" t="s">
        <v>32</v>
      </c>
      <c r="E37" s="15">
        <f t="shared" ref="E37:Q37" si="6">SUM(E33:E36)</f>
        <v>7575.15</v>
      </c>
      <c r="F37" s="15">
        <f t="shared" ref="F37:P37" si="7">SUM(F33:F36)</f>
        <v>5086.3999999999996</v>
      </c>
      <c r="G37" s="15">
        <f t="shared" si="7"/>
        <v>25986.65</v>
      </c>
      <c r="H37" s="15">
        <f t="shared" si="7"/>
        <v>33535.15</v>
      </c>
      <c r="I37" s="15">
        <f t="shared" si="7"/>
        <v>9704.15</v>
      </c>
      <c r="J37" s="15">
        <f t="shared" si="7"/>
        <v>2886.65</v>
      </c>
      <c r="K37" s="15">
        <f t="shared" si="7"/>
        <v>7575.15</v>
      </c>
      <c r="L37" s="15">
        <f t="shared" si="7"/>
        <v>17136.400000000001</v>
      </c>
      <c r="M37" s="15">
        <f t="shared" si="7"/>
        <v>53824.65</v>
      </c>
      <c r="N37" s="15">
        <f t="shared" si="7"/>
        <v>7113.4</v>
      </c>
      <c r="O37" s="15">
        <f t="shared" si="7"/>
        <v>10736.4</v>
      </c>
      <c r="P37" s="15">
        <f t="shared" si="7"/>
        <v>2886.65</v>
      </c>
      <c r="Q37" s="108">
        <f t="shared" si="6"/>
        <v>184046.80000000002</v>
      </c>
    </row>
    <row r="38" spans="1:17" x14ac:dyDescent="0.35">
      <c r="A38" s="66"/>
      <c r="Q38" s="101"/>
    </row>
    <row r="39" spans="1:17" x14ac:dyDescent="0.35">
      <c r="A39" s="66" t="s">
        <v>136</v>
      </c>
      <c r="B39" s="6" t="s">
        <v>33</v>
      </c>
      <c r="C39" s="6" t="s">
        <v>34</v>
      </c>
      <c r="E39" s="6">
        <f>+'1100'!E38+'1500'!E38+'2300'!E38+'4500'!E38+'5600'!E38+'7010'!E41+'7200'!E38+'7300'!E38+'8200'!E38+'9510'!E38</f>
        <v>11454.9</v>
      </c>
      <c r="F39" s="6">
        <f>+'1100'!F38+'1500'!F38+'2300'!F38+'4500'!F38+'5600'!F38+'7010'!F41+'7200'!F38+'7300'!F38+'8200'!F38+'9510'!F38</f>
        <v>12042</v>
      </c>
      <c r="G39" s="6">
        <f>+'1100'!G38+'1500'!G38+'2300'!G38+'4500'!G38+'5600'!G38+'7010'!G41+'7200'!G38+'7300'!G38+'8200'!G38+'9510'!G38</f>
        <v>11969.9</v>
      </c>
      <c r="H39" s="6">
        <f>+'1100'!H38+'1500'!H38+'2300'!H38+'4500'!H38+'5600'!H38+'7010'!H41+'7200'!H38+'7300'!H38+'8200'!H38+'9510'!H38</f>
        <v>11454.9</v>
      </c>
      <c r="I39" s="6">
        <f>+'1100'!I38+'1500'!I38+'2300'!I38+'4500'!I38+'5600'!I38+'7010'!I41+'7200'!I38+'7300'!I38+'8200'!I38+'9510'!I38</f>
        <v>12042</v>
      </c>
      <c r="J39" s="6">
        <f>+'1100'!J38+'1500'!J38+'2300'!J38+'4500'!J38+'5600'!J38+'7010'!J41+'7200'!J38+'7300'!J38+'8200'!J38+'9510'!J38</f>
        <v>11454.9</v>
      </c>
      <c r="K39" s="6">
        <f>+'1100'!K38+'1500'!K38+'2300'!K38+'4500'!K38+'5600'!K38+'7010'!K41+'7200'!K38+'7300'!K38+'8200'!K38+'9510'!K38</f>
        <v>11660.9</v>
      </c>
      <c r="L39" s="6">
        <f>+'1100'!L38+'1500'!L38+'2300'!L38+'4500'!L38+'5600'!L38+'7010'!L41+'7200'!L38+'7300'!L38+'8200'!L38+'9510'!L38</f>
        <v>12042</v>
      </c>
      <c r="M39" s="6">
        <f>+'1100'!M38+'1500'!M38+'2300'!M38+'4500'!M38+'5600'!M38+'7010'!M41+'7200'!M38+'7300'!M38+'8200'!M38+'9510'!M38</f>
        <v>11763.9</v>
      </c>
      <c r="N39" s="6">
        <f>+'1100'!N38+'1500'!N38+'2300'!N38+'4500'!N38+'5600'!N38+'7010'!N41+'7200'!N38+'7300'!N38+'8200'!N38+'9510'!N38</f>
        <v>11454.9</v>
      </c>
      <c r="O39" s="6">
        <f>+'1100'!O38+'1500'!O38+'2300'!O38+'4500'!O38+'5600'!O38+'7010'!O41+'7200'!O38+'7300'!O38+'8200'!O38+'9510'!O38</f>
        <v>12248</v>
      </c>
      <c r="P39" s="6">
        <f>+'1100'!P38+'1500'!P38+'2300'!P38+'4500'!P38+'5600'!P38+'7010'!P41+'7200'!P38+'7300'!P38+'8200'!P38+'9510'!P38</f>
        <v>11351.9</v>
      </c>
      <c r="Q39" s="101">
        <f>SUM(E39:P39)</f>
        <v>140940.19999999998</v>
      </c>
    </row>
    <row r="40" spans="1:17" x14ac:dyDescent="0.35">
      <c r="A40" s="66"/>
      <c r="Q40" s="101"/>
    </row>
    <row r="41" spans="1:17" x14ac:dyDescent="0.35">
      <c r="A41" s="66"/>
      <c r="D41" s="50" t="s">
        <v>35</v>
      </c>
      <c r="E41" s="45">
        <f>+'1100'!E40+'1500'!E40+'2300'!E40+'4500'!E40+'5600'!E40+'7010'!E43+'7200'!E40+'7300'!E40+'8200'!E40+'9510'!E40</f>
        <v>0</v>
      </c>
      <c r="F41" s="45">
        <f>+'1100'!F40+'1500'!F40+'2300'!F40+'4500'!F40+'5600'!F40+'7010'!F43+'7200'!F40+'7300'!F40+'8200'!F40+'9510'!F40</f>
        <v>0</v>
      </c>
      <c r="G41" s="45">
        <f>+'1100'!G40+'1500'!G40+'2300'!G40+'4500'!G40+'5600'!G40+'7010'!G43+'7200'!G40+'7300'!G40+'8200'!G40+'9510'!G40</f>
        <v>0</v>
      </c>
      <c r="H41" s="45">
        <f>+'1100'!H40+'1500'!H40+'2300'!H40+'4500'!H40+'5600'!H40+'7010'!H43+'7200'!H40+'7300'!H40+'8200'!H40+'9510'!H40</f>
        <v>0</v>
      </c>
      <c r="I41" s="45">
        <f>+'1100'!I40+'1500'!I40+'2300'!I40+'4500'!I40+'5600'!I40+'7010'!I43+'7200'!I40+'7300'!I40+'8200'!I40+'9510'!I40</f>
        <v>0</v>
      </c>
      <c r="J41" s="45">
        <f>+'1100'!J40+'1500'!J40+'2300'!J40+'4500'!J40+'5600'!J40+'7010'!J43+'7200'!J40+'7300'!J40+'8200'!J40+'9510'!J40</f>
        <v>0</v>
      </c>
      <c r="K41" s="45">
        <f>+'1100'!K40+'1500'!K40+'2300'!K40+'4500'!K40+'5600'!K40+'7010'!K43+'7200'!K40+'7300'!K40+'8200'!K40+'9510'!K40</f>
        <v>0</v>
      </c>
      <c r="L41" s="45">
        <f>+'1100'!L40+'1500'!L40+'2300'!L40+'4500'!L40+'5600'!L40+'7010'!L43+'7200'!L40+'7300'!L40+'8200'!L40+'9510'!L40</f>
        <v>0</v>
      </c>
      <c r="M41" s="45">
        <f>+'1100'!M40+'1500'!M40+'2300'!M40+'4500'!M40+'5600'!M40+'7010'!M43+'7200'!M40+'7300'!M40+'8200'!M40+'9510'!M40</f>
        <v>0</v>
      </c>
      <c r="N41" s="45">
        <f>+'1100'!N40+'1500'!N40+'2300'!N40+'4500'!N40+'5600'!N40+'7010'!N43+'7200'!N40+'7300'!N40+'8200'!N40+'9510'!N40</f>
        <v>0</v>
      </c>
      <c r="O41" s="45">
        <f>+'1100'!O40+'1500'!O40+'2300'!O40+'4500'!O40+'5600'!O40+'7010'!O43+'7200'!O40+'7300'!O40+'8200'!O40+'9510'!O40</f>
        <v>0</v>
      </c>
      <c r="P41" s="45">
        <f>+'1100'!P40+'1500'!P40+'2300'!P40+'4500'!P40+'5600'!P40+'7010'!P43+'7200'!P40+'7300'!P40+'8200'!P40+'9510'!P40</f>
        <v>0</v>
      </c>
      <c r="Q41" s="104">
        <f>SUM(E41:P41)</f>
        <v>0</v>
      </c>
    </row>
    <row r="42" spans="1:17" x14ac:dyDescent="0.35">
      <c r="A42" s="66"/>
      <c r="D42" s="51" t="s">
        <v>36</v>
      </c>
      <c r="E42" s="6">
        <f>+'1100'!E41+'1500'!E41+'2300'!E41+'4500'!E41+'5600'!E41+'7010'!E44+'7200'!E41+'7300'!E41+'8200'!E41+'9510'!E41</f>
        <v>2523.5</v>
      </c>
      <c r="F42" s="6">
        <f>+'1100'!F41+'1500'!F41+'2300'!F41+'4500'!F41+'5600'!F41+'7010'!F44+'7200'!F41+'7300'!F41+'8200'!F41+'9510'!F41</f>
        <v>2163</v>
      </c>
      <c r="G42" s="6">
        <f>+'1100'!G41+'1500'!G41+'2300'!G41+'4500'!G41+'5600'!G41+'7010'!G44+'7200'!G41+'7300'!G41+'8200'!G41+'9510'!G41</f>
        <v>7172.5000000000009</v>
      </c>
      <c r="H42" s="6">
        <f>+'1100'!H41+'1500'!H41+'2300'!H41+'4500'!H41+'5600'!H41+'7010'!H44+'7200'!H41+'7300'!H41+'8200'!H41+'9510'!H41</f>
        <v>5768</v>
      </c>
      <c r="I42" s="6">
        <f>+'1100'!I41+'1500'!I41+'2300'!I41+'4500'!I41+'5600'!I41+'7010'!I44+'7200'!I41+'7300'!I41+'8200'!I41+'9510'!I41</f>
        <v>2163</v>
      </c>
      <c r="J42" s="6">
        <f>+'1100'!J41+'1500'!J41+'2300'!J41+'4500'!J41+'5600'!J41+'7010'!J44+'7200'!J41+'7300'!J41+'8200'!J41+'9510'!J41</f>
        <v>7172.5000000000009</v>
      </c>
      <c r="K42" s="6">
        <f>+'1100'!K41+'1500'!K41+'2300'!K41+'4500'!K41+'5600'!K41+'7010'!K44+'7200'!K41+'7300'!K41+'8200'!K41+'9510'!K41</f>
        <v>2102.23</v>
      </c>
      <c r="L42" s="6">
        <f>+'1100'!L41+'1500'!L41+'2300'!L41+'4500'!L41+'5600'!L41+'7010'!L44+'7200'!L41+'7300'!L41+'8200'!L41+'9510'!L41</f>
        <v>2163</v>
      </c>
      <c r="M42" s="6">
        <f>+'1100'!M41+'1500'!M41+'2300'!M41+'4500'!M41+'5600'!M41+'7010'!M44+'7200'!M41+'7300'!M41+'8200'!M41+'9510'!M41</f>
        <v>8099.5000000000009</v>
      </c>
      <c r="N42" s="6">
        <f>+'1100'!N41+'1500'!N41+'2300'!N41+'4500'!N41+'5600'!N41+'7010'!N44+'7200'!N41+'7300'!N41+'8200'!N41+'9510'!N41</f>
        <v>5768</v>
      </c>
      <c r="O42" s="6">
        <f>+'1100'!O41+'1500'!O41+'2300'!O41+'4500'!O41+'5600'!O41+'7010'!O44+'7200'!O41+'7300'!O41+'8200'!O41+'9510'!O41</f>
        <v>2163</v>
      </c>
      <c r="P42" s="6">
        <f>+'1100'!P41+'1500'!P41+'2300'!P41+'4500'!P41+'5600'!P41+'7010'!P44+'7200'!P41+'7300'!P41+'8200'!P41+'9510'!P41</f>
        <v>7496.9500000000007</v>
      </c>
      <c r="Q42" s="105">
        <f>SUM(E42:P42)</f>
        <v>54755.180000000008</v>
      </c>
    </row>
    <row r="43" spans="1:17" x14ac:dyDescent="0.35">
      <c r="A43" s="66"/>
      <c r="D43" s="52" t="s">
        <v>37</v>
      </c>
      <c r="E43" s="15">
        <f>+'1100'!E42+'1500'!E42+'2300'!E42+'4500'!E42+'5600'!E42+'7010'!E45+'7200'!E42+'7300'!E42+'8200'!E42+'9510'!E42</f>
        <v>0</v>
      </c>
      <c r="F43" s="15">
        <f>+'1100'!F42+'1500'!F42+'2300'!F42+'4500'!F42+'5600'!F42+'7010'!F45+'7200'!F42+'7300'!F42+'8200'!F42+'9510'!F42</f>
        <v>0</v>
      </c>
      <c r="G43" s="15">
        <f>+'1100'!G42+'1500'!G42+'2300'!G42+'4500'!G42+'5600'!G42+'7010'!G45+'7200'!G42+'7300'!G42+'8200'!G42+'9510'!G42</f>
        <v>25750</v>
      </c>
      <c r="H43" s="15">
        <f>+'1100'!H42+'1500'!H42+'2300'!H42+'4500'!H42+'5600'!H42+'7010'!H45+'7200'!H42+'7300'!H42+'8200'!H42+'9510'!H42</f>
        <v>15150</v>
      </c>
      <c r="I43" s="15">
        <f>+'1100'!I42+'1500'!I42+'2300'!I42+'4500'!I42+'5600'!I42+'7010'!I45+'7200'!I42+'7300'!I42+'8200'!I42+'9510'!I42</f>
        <v>0</v>
      </c>
      <c r="J43" s="15">
        <f>+'1100'!J42+'1500'!J42+'2300'!J42+'4500'!J42+'5600'!J42+'7010'!J45+'7200'!J42+'7300'!J42+'8200'!J42+'9510'!J42</f>
        <v>15450</v>
      </c>
      <c r="K43" s="15">
        <f>+'1100'!K42+'1500'!K42+'2300'!K42+'4500'!K42+'5600'!K42+'7010'!K45+'7200'!K42+'7300'!K42+'8200'!K42+'9510'!K42</f>
        <v>0</v>
      </c>
      <c r="L43" s="15">
        <f>+'1100'!L42+'1500'!L42+'2300'!L42+'4500'!L42+'5600'!L42+'7010'!L45+'7200'!L42+'7300'!L42+'8200'!L42+'9510'!L42</f>
        <v>0</v>
      </c>
      <c r="M43" s="15">
        <f>+'1100'!M42+'1500'!M42+'2300'!M42+'4500'!M42+'5600'!M42+'7010'!M45+'7200'!M42+'7300'!M42+'8200'!M42+'9510'!M42</f>
        <v>25450</v>
      </c>
      <c r="N43" s="15">
        <f>+'1100'!N42+'1500'!N42+'2300'!N42+'4500'!N42+'5600'!N42+'7010'!N45+'7200'!N42+'7300'!N42+'8200'!N42+'9510'!N42</f>
        <v>20600</v>
      </c>
      <c r="O43" s="15">
        <f>+'1100'!O42+'1500'!O42+'2300'!O42+'4500'!O42+'5600'!O42+'7010'!O45+'7200'!O42+'7300'!O42+'8200'!O42+'9510'!O42</f>
        <v>0</v>
      </c>
      <c r="P43" s="15">
        <f>+'1100'!P42+'1500'!P42+'2300'!P42+'4500'!P42+'5600'!P42+'7010'!P45+'7200'!P42+'7300'!P42+'8200'!P42+'9510'!P42</f>
        <v>0</v>
      </c>
      <c r="Q43" s="106">
        <f>SUM(E43:P43)</f>
        <v>102400</v>
      </c>
    </row>
    <row r="44" spans="1:17" x14ac:dyDescent="0.35">
      <c r="A44" s="66" t="s">
        <v>105</v>
      </c>
      <c r="C44" s="6" t="s">
        <v>38</v>
      </c>
      <c r="E44" s="15">
        <f t="shared" ref="E44:Q44" si="8">SUM(E41:E43)</f>
        <v>2523.5</v>
      </c>
      <c r="F44" s="15">
        <f t="shared" ref="F44:P44" si="9">SUM(F41:F43)</f>
        <v>2163</v>
      </c>
      <c r="G44" s="15">
        <f t="shared" si="9"/>
        <v>32922.5</v>
      </c>
      <c r="H44" s="15">
        <f t="shared" si="9"/>
        <v>20918</v>
      </c>
      <c r="I44" s="15">
        <f t="shared" si="9"/>
        <v>2163</v>
      </c>
      <c r="J44" s="15">
        <f t="shared" si="9"/>
        <v>22622.5</v>
      </c>
      <c r="K44" s="15">
        <f t="shared" si="9"/>
        <v>2102.23</v>
      </c>
      <c r="L44" s="15">
        <f t="shared" si="9"/>
        <v>2163</v>
      </c>
      <c r="M44" s="15">
        <f t="shared" si="9"/>
        <v>33549.5</v>
      </c>
      <c r="N44" s="15">
        <f t="shared" si="9"/>
        <v>26368</v>
      </c>
      <c r="O44" s="15">
        <f t="shared" si="9"/>
        <v>2163</v>
      </c>
      <c r="P44" s="15">
        <f t="shared" si="9"/>
        <v>7496.9500000000007</v>
      </c>
      <c r="Q44" s="108">
        <f t="shared" si="8"/>
        <v>157155.18</v>
      </c>
    </row>
    <row r="45" spans="1:17" x14ac:dyDescent="0.35">
      <c r="A45" s="66"/>
      <c r="Q45" s="101"/>
    </row>
    <row r="46" spans="1:17" x14ac:dyDescent="0.35">
      <c r="A46" s="66" t="s">
        <v>106</v>
      </c>
      <c r="C46" s="6" t="s">
        <v>39</v>
      </c>
      <c r="E46" s="6">
        <f>+'1100'!E45+'1500'!E45+'2300'!E45+'4500'!E45+'5600'!E45+'7010'!E48+'7200'!E45+'7300'!E45+'8200'!E45+'9510'!E45</f>
        <v>47380</v>
      </c>
      <c r="F46" s="6">
        <f>+'1100'!F45+'1500'!F45+'2300'!F45+'4500'!F45+'5600'!F45+'7010'!F48+'7200'!F45+'7300'!F45+'8200'!F45+'9510'!F45</f>
        <v>47380</v>
      </c>
      <c r="G46" s="6">
        <f>+'1100'!G45+'1500'!G45+'2300'!G45+'4500'!G45+'5600'!G45+'7010'!G48+'7200'!G45+'7300'!G45+'8200'!G45+'9510'!G45</f>
        <v>14420</v>
      </c>
      <c r="H46" s="6">
        <f>+'1100'!H45+'1500'!H45+'2300'!H45+'4500'!H45+'5600'!H45+'7010'!H48+'7200'!H45+'7300'!H45+'8200'!H45+'9510'!H45</f>
        <v>0</v>
      </c>
      <c r="I46" s="6">
        <f>+'1100'!I45+'1500'!I45+'2300'!I45+'4500'!I45+'5600'!I45+'7010'!I48+'7200'!I45+'7300'!I45+'8200'!I45+'9510'!I45</f>
        <v>0</v>
      </c>
      <c r="J46" s="6">
        <f>+'1100'!J45+'1500'!J45+'2300'!J45+'4500'!J45+'5600'!J45+'7010'!J48+'7200'!J45+'7300'!J45+'8200'!J45+'9510'!J45</f>
        <v>0</v>
      </c>
      <c r="K46" s="6">
        <f>+'1100'!K45+'1500'!K45+'2300'!K45+'4500'!K45+'5600'!K45+'7010'!K48+'7200'!K45+'7300'!K45+'8200'!K45+'9510'!K45</f>
        <v>0</v>
      </c>
      <c r="L46" s="6">
        <f>+'1100'!L45+'1500'!L45+'2300'!L45+'4500'!L45+'5600'!L45+'7010'!L48+'7200'!L45+'7300'!L45+'8200'!L45+'9510'!L45</f>
        <v>0</v>
      </c>
      <c r="M46" s="6">
        <f>+'1100'!M45+'1500'!M45+'2300'!M45+'4500'!M45+'5600'!M45+'7010'!M48+'7200'!M45+'7300'!M45+'8200'!M45+'9510'!M45</f>
        <v>0</v>
      </c>
      <c r="N46" s="6">
        <f>+'1100'!N45+'1500'!N45+'2300'!N45+'4500'!N45+'5600'!N45+'7010'!N48+'7200'!N45+'7300'!N45+'8200'!N45+'9510'!N45</f>
        <v>3605</v>
      </c>
      <c r="O46" s="6">
        <f>+'1100'!O45+'1500'!O45+'2300'!O45+'4500'!O45+'5600'!O45+'7010'!O48+'7200'!O45+'7300'!O45+'8200'!O45+'9510'!O45</f>
        <v>9270</v>
      </c>
      <c r="P46" s="6">
        <f>+'1100'!P45+'1500'!P45+'2300'!P45+'4500'!P45+'5600'!P45+'7010'!P48+'7200'!P45+'7300'!P45+'8200'!P45+'9510'!P45</f>
        <v>29355</v>
      </c>
      <c r="Q46" s="101">
        <f>SUM(E46:P46)</f>
        <v>151410</v>
      </c>
    </row>
    <row r="47" spans="1:17" x14ac:dyDescent="0.35">
      <c r="A47" s="66"/>
      <c r="Q47" s="101"/>
    </row>
    <row r="48" spans="1:17" x14ac:dyDescent="0.35">
      <c r="A48" s="66"/>
      <c r="D48" s="50" t="s">
        <v>40</v>
      </c>
      <c r="E48" s="45">
        <f>+'1100'!E47+'1500'!E47+'2300'!E47+'4500'!E47+'5600'!E47+'7010'!E50+'7200'!E47+'7300'!E47+'8200'!E47+'9510'!E47</f>
        <v>0</v>
      </c>
      <c r="F48" s="45">
        <f>+'1100'!F47+'1500'!F47+'2300'!F47+'4500'!F47+'5600'!F47+'7010'!F50+'7200'!F47+'7300'!F47+'8200'!F47+'9510'!F47</f>
        <v>0</v>
      </c>
      <c r="G48" s="45">
        <f>+'1100'!G47+'1500'!G47+'2300'!G47+'4500'!G47+'5600'!G47+'7010'!G50+'7200'!G47+'7300'!G47+'8200'!G47+'9510'!G47</f>
        <v>1998.2</v>
      </c>
      <c r="H48" s="45">
        <f>+'1100'!H47+'1500'!H47+'2300'!H47+'4500'!H47+'5600'!H47+'7010'!H50+'7200'!H47+'7300'!H47+'8200'!H47+'9510'!H47</f>
        <v>5773.2</v>
      </c>
      <c r="I48" s="45">
        <f>+'1100'!I47+'1500'!I47+'2300'!I47+'4500'!I47+'5600'!I47+'7010'!I50+'7200'!I47+'7300'!I47+'8200'!I47+'9510'!I47</f>
        <v>5773.2</v>
      </c>
      <c r="J48" s="45">
        <f>+'1100'!J47+'1500'!J47+'2300'!J47+'4500'!J47+'5600'!J47+'7010'!J50+'7200'!J47+'7300'!J47+'8200'!J47+'9510'!J47</f>
        <v>5773.2</v>
      </c>
      <c r="K48" s="45">
        <f>+'1100'!K47+'1500'!K47+'2300'!K47+'4500'!K47+'5600'!K47+'7010'!K50+'7200'!K47+'7300'!K47+'8200'!K47+'9510'!K47</f>
        <v>5773.2</v>
      </c>
      <c r="L48" s="45">
        <f>+'1100'!L47+'1500'!L47+'2300'!L47+'4500'!L47+'5600'!L47+'7010'!L50+'7200'!L47+'7300'!L47+'8200'!L47+'9510'!L47</f>
        <v>5773.2</v>
      </c>
      <c r="M48" s="45">
        <f>+'1100'!M47+'1500'!M47+'2300'!M47+'4500'!M47+'5600'!M47+'7010'!M50+'7200'!M47+'7300'!M47+'8200'!M47+'9510'!M47</f>
        <v>5773.2</v>
      </c>
      <c r="N48" s="45">
        <f>+'1100'!N47+'1500'!N47+'2300'!N47+'4500'!N47+'5600'!N47+'7010'!N50+'7200'!N47+'7300'!N47+'8200'!N47+'9510'!N47</f>
        <v>5773.2</v>
      </c>
      <c r="O48" s="45">
        <f>+'1100'!O47+'1500'!O47+'2300'!O47+'4500'!O47+'5600'!O47+'7010'!O50+'7200'!O47+'7300'!O47+'8200'!O47+'9510'!O47</f>
        <v>0</v>
      </c>
      <c r="P48" s="45">
        <f>+'1100'!P47+'1500'!P47+'2300'!P47+'4500'!P47+'5600'!P47+'7010'!P50+'7200'!P47+'7300'!P47+'8200'!P47+'9510'!P47</f>
        <v>0</v>
      </c>
      <c r="Q48" s="104">
        <f>SUM(E48:P48)</f>
        <v>42410.6</v>
      </c>
    </row>
    <row r="49" spans="1:17" x14ac:dyDescent="0.35">
      <c r="A49" s="66"/>
      <c r="D49" s="51" t="s">
        <v>41</v>
      </c>
      <c r="E49" s="6">
        <f>+'1100'!E48+'1500'!E48+'2300'!E48+'4500'!E48+'5600'!E48+'7010'!E51+'7200'!E48+'7300'!E48+'8200'!E48+'9510'!E48</f>
        <v>0</v>
      </c>
      <c r="F49" s="6">
        <f>+'1100'!F48+'1500'!F48+'2300'!F48+'4500'!F48+'5600'!F48+'7010'!F51+'7200'!F48+'7300'!F48+'8200'!F48+'9510'!F48</f>
        <v>0</v>
      </c>
      <c r="G49" s="6">
        <f>+'1100'!G48+'1500'!G48+'2300'!G48+'4500'!G48+'5600'!G48+'7010'!G51+'7200'!G48+'7300'!G48+'8200'!G48+'9510'!G48</f>
        <v>206</v>
      </c>
      <c r="H49" s="6">
        <f>+'1100'!H48+'1500'!H48+'2300'!H48+'4500'!H48+'5600'!H48+'7010'!H51+'7200'!H48+'7300'!H48+'8200'!H48+'9510'!H48</f>
        <v>1030</v>
      </c>
      <c r="I49" s="6">
        <f>+'1100'!I48+'1500'!I48+'2300'!I48+'4500'!I48+'5600'!I48+'7010'!I51+'7200'!I48+'7300'!I48+'8200'!I48+'9510'!I48</f>
        <v>1030</v>
      </c>
      <c r="J49" s="6">
        <f>+'1100'!J48+'1500'!J48+'2300'!J48+'4500'!J48+'5600'!J48+'7010'!J51+'7200'!J48+'7300'!J48+'8200'!J48+'9510'!J48</f>
        <v>1030</v>
      </c>
      <c r="K49" s="6">
        <f>+'1100'!K48+'1500'!K48+'2300'!K48+'4500'!K48+'5600'!K48+'7010'!K51+'7200'!K48+'7300'!K48+'8200'!K48+'9510'!K48</f>
        <v>1030</v>
      </c>
      <c r="L49" s="6">
        <f>+'1100'!L48+'1500'!L48+'2300'!L48+'4500'!L48+'5600'!L48+'7010'!L51+'7200'!L48+'7300'!L48+'8200'!L48+'9510'!L48</f>
        <v>1030</v>
      </c>
      <c r="M49" s="6">
        <f>+'1100'!M48+'1500'!M48+'2300'!M48+'4500'!M48+'5600'!M48+'7010'!M51+'7200'!M48+'7300'!M48+'8200'!M48+'9510'!M48</f>
        <v>1030</v>
      </c>
      <c r="N49" s="6">
        <f>+'1100'!N48+'1500'!N48+'2300'!N48+'4500'!N48+'5600'!N48+'7010'!N51+'7200'!N48+'7300'!N48+'8200'!N48+'9510'!N48</f>
        <v>1030</v>
      </c>
      <c r="O49" s="6">
        <f>+'1100'!O48+'1500'!O48+'2300'!O48+'4500'!O48+'5600'!O48+'7010'!O51+'7200'!O48+'7300'!O48+'8200'!O48+'9510'!O48</f>
        <v>0</v>
      </c>
      <c r="P49" s="6">
        <f>+'1100'!P48+'1500'!P48+'2300'!P48+'4500'!P48+'5600'!P48+'7010'!P51+'7200'!P48+'7300'!P48+'8200'!P48+'9510'!P48</f>
        <v>0</v>
      </c>
      <c r="Q49" s="105">
        <f>SUM(E49:P49)</f>
        <v>7416</v>
      </c>
    </row>
    <row r="50" spans="1:17" x14ac:dyDescent="0.35">
      <c r="A50" s="66"/>
      <c r="D50" s="52" t="s">
        <v>42</v>
      </c>
      <c r="E50" s="15">
        <f>+'1100'!E49+'1500'!E49+'2300'!E49+'4500'!E49+'5600'!E49+'7010'!E52+'7200'!E49+'7300'!E49+'8200'!E49+'9510'!E49</f>
        <v>0</v>
      </c>
      <c r="F50" s="15">
        <f>+'1100'!F49+'1500'!F49+'2300'!F49+'4500'!F49+'5600'!F49+'7010'!F52+'7200'!F49+'7300'!F49+'8200'!F49+'9510'!F49</f>
        <v>0</v>
      </c>
      <c r="G50" s="15">
        <f>+'1100'!G49+'1500'!G49+'2300'!G49+'4500'!G49+'5600'!G49+'7010'!G52+'7200'!G49+'7300'!G49+'8200'!G49+'9510'!G49</f>
        <v>0</v>
      </c>
      <c r="H50" s="15">
        <f>+'1100'!H49+'1500'!H49+'2300'!H49+'4500'!H49+'5600'!H49+'7010'!H52+'7200'!H49+'7300'!H49+'8200'!H49+'9510'!H49</f>
        <v>0</v>
      </c>
      <c r="I50" s="15">
        <f>+'1100'!I49+'1500'!I49+'2300'!I49+'4500'!I49+'5600'!I49+'7010'!I52+'7200'!I49+'7300'!I49+'8200'!I49+'9510'!I49</f>
        <v>31100</v>
      </c>
      <c r="J50" s="15">
        <f>+'1100'!J49+'1500'!J49+'2300'!J49+'4500'!J49+'5600'!J49+'7010'!J52+'7200'!J49+'7300'!J49+'8200'!J49+'9510'!J49</f>
        <v>0</v>
      </c>
      <c r="K50" s="15">
        <f>+'1100'!K49+'1500'!K49+'2300'!K49+'4500'!K49+'5600'!K49+'7010'!K52+'7200'!K49+'7300'!K49+'8200'!K49+'9510'!K49</f>
        <v>0</v>
      </c>
      <c r="L50" s="15">
        <f>+'1100'!L49+'1500'!L49+'2300'!L49+'4500'!L49+'5600'!L49+'7010'!L52+'7200'!L49+'7300'!L49+'8200'!L49+'9510'!L49</f>
        <v>10500</v>
      </c>
      <c r="M50" s="15">
        <f>+'1100'!M49+'1500'!M49+'2300'!M49+'4500'!M49+'5600'!M49+'7010'!M52+'7200'!M49+'7300'!M49+'8200'!M49+'9510'!M49</f>
        <v>4120</v>
      </c>
      <c r="N50" s="15">
        <f>+'1100'!N49+'1500'!N49+'2300'!N49+'4500'!N49+'5600'!N49+'7010'!N52+'7200'!N49+'7300'!N49+'8200'!N49+'9510'!N49</f>
        <v>0</v>
      </c>
      <c r="O50" s="15">
        <f>+'1100'!O49+'1500'!O49+'2300'!O49+'4500'!O49+'5600'!O49+'7010'!O52+'7200'!O49+'7300'!O49+'8200'!O49+'9510'!O49</f>
        <v>0</v>
      </c>
      <c r="P50" s="15">
        <f>+'1100'!P49+'1500'!P49+'2300'!P49+'4500'!P49+'5600'!P49+'7010'!P52+'7200'!P49+'7300'!P49+'8200'!P49+'9510'!P49</f>
        <v>0</v>
      </c>
      <c r="Q50" s="106">
        <f>SUM(E50:P50)</f>
        <v>45720</v>
      </c>
    </row>
    <row r="51" spans="1:17" x14ac:dyDescent="0.35">
      <c r="A51" s="66" t="s">
        <v>107</v>
      </c>
      <c r="C51" s="6" t="s">
        <v>43</v>
      </c>
      <c r="E51" s="15">
        <f t="shared" ref="E51:Q51" si="10">SUM(E48:E50)</f>
        <v>0</v>
      </c>
      <c r="F51" s="15">
        <f t="shared" ref="F51:P51" si="11">SUM(F48:F50)</f>
        <v>0</v>
      </c>
      <c r="G51" s="15">
        <f t="shared" si="11"/>
        <v>2204.1999999999998</v>
      </c>
      <c r="H51" s="15">
        <f t="shared" si="11"/>
        <v>6803.2</v>
      </c>
      <c r="I51" s="15">
        <f t="shared" si="11"/>
        <v>37903.199999999997</v>
      </c>
      <c r="J51" s="15">
        <f t="shared" si="11"/>
        <v>6803.2</v>
      </c>
      <c r="K51" s="15">
        <f t="shared" si="11"/>
        <v>6803.2</v>
      </c>
      <c r="L51" s="15">
        <f t="shared" si="11"/>
        <v>17303.2</v>
      </c>
      <c r="M51" s="15">
        <f t="shared" si="11"/>
        <v>10923.2</v>
      </c>
      <c r="N51" s="15">
        <f t="shared" si="11"/>
        <v>6803.2</v>
      </c>
      <c r="O51" s="15">
        <f t="shared" si="11"/>
        <v>0</v>
      </c>
      <c r="P51" s="15">
        <f t="shared" si="11"/>
        <v>0</v>
      </c>
      <c r="Q51" s="108">
        <f t="shared" si="10"/>
        <v>95546.6</v>
      </c>
    </row>
    <row r="52" spans="1:17" x14ac:dyDescent="0.35">
      <c r="A52" s="66"/>
      <c r="Q52" s="101"/>
    </row>
    <row r="53" spans="1:17" x14ac:dyDescent="0.35">
      <c r="A53" s="66" t="s">
        <v>108</v>
      </c>
      <c r="C53" s="6" t="s">
        <v>44</v>
      </c>
      <c r="E53" s="6">
        <f>+'1100'!E52+'1500'!E52+'2300'!E52+'4500'!E52+'5600'!E52+'7010'!E55+'7200'!E52+'7300'!E52+'8200'!E52+'9510'!E52</f>
        <v>25684.7</v>
      </c>
      <c r="F53" s="6">
        <f>+'1100'!F52+'1500'!F52+'2300'!F52+'4500'!F52+'5600'!F52+'7010'!F55+'7200'!F52+'7300'!F52+'8200'!F52+'9510'!F52</f>
        <v>25684.7</v>
      </c>
      <c r="G53" s="6">
        <f>+'1100'!G52+'1500'!G52+'2300'!G52+'4500'!G52+'5600'!G52+'7010'!G55+'7200'!G52+'7300'!G52+'8200'!G52+'9510'!G52</f>
        <v>26714.7</v>
      </c>
      <c r="H53" s="6">
        <f>+'1100'!H52+'1500'!H52+'2300'!H52+'4500'!H52+'5600'!H52+'7010'!H55+'7200'!H52+'7300'!H52+'8200'!H52+'9510'!H52</f>
        <v>25684.7</v>
      </c>
      <c r="I53" s="6">
        <f>+'1100'!I52+'1500'!I52+'2300'!I52+'4500'!I52+'5600'!I52+'7010'!I55+'7200'!I52+'7300'!I52+'8200'!I52+'9510'!I52</f>
        <v>28259.7</v>
      </c>
      <c r="J53" s="6">
        <f>+'1100'!J52+'1500'!J52+'2300'!J52+'4500'!J52+'5600'!J52+'7010'!J55+'7200'!J52+'7300'!J52+'8200'!J52+'9510'!J52</f>
        <v>25684.7</v>
      </c>
      <c r="K53" s="6">
        <f>+'1100'!K52+'1500'!K52+'2300'!K52+'4500'!K52+'5600'!K52+'7010'!K55+'7200'!K52+'7300'!K52+'8200'!K52+'9510'!K52</f>
        <v>25684.7</v>
      </c>
      <c r="L53" s="6">
        <f>+'1100'!L52+'1500'!L52+'2300'!L52+'4500'!L52+'5600'!L52+'7010'!L55+'7200'!L52+'7300'!L52+'8200'!L52+'9510'!L52</f>
        <v>25684.7</v>
      </c>
      <c r="M53" s="6">
        <f>+'1100'!M52+'1500'!M52+'2300'!M52+'4500'!M52+'5600'!M52+'7010'!M55+'7200'!M52+'7300'!M52+'8200'!M52+'9510'!M52</f>
        <v>26714.7</v>
      </c>
      <c r="N53" s="6">
        <f>+'1100'!N52+'1500'!N52+'2300'!N52+'4500'!N52+'5600'!N52+'7010'!N55+'7200'!N52+'7300'!N52+'8200'!N52+'9510'!N52</f>
        <v>25684.7</v>
      </c>
      <c r="O53" s="6">
        <f>+'1100'!O52+'1500'!O52+'2300'!O52+'4500'!O52+'5600'!O52+'7010'!O55+'7200'!O52+'7300'!O52+'8200'!O52+'9510'!O52</f>
        <v>28259.7</v>
      </c>
      <c r="P53" s="6">
        <f>+'1100'!P52+'1500'!P52+'2300'!P52+'4500'!P52+'5600'!P52+'7010'!P55+'7200'!P52+'7300'!P52+'8200'!P52+'9510'!P52</f>
        <v>25684.7</v>
      </c>
      <c r="Q53" s="101">
        <f>SUM(E53:P53)</f>
        <v>315426.40000000008</v>
      </c>
    </row>
    <row r="54" spans="1:17" x14ac:dyDescent="0.35">
      <c r="A54" s="66"/>
      <c r="Q54" s="101"/>
    </row>
    <row r="55" spans="1:17" hidden="1" x14ac:dyDescent="0.35">
      <c r="A55" s="66" t="s">
        <v>109</v>
      </c>
      <c r="B55" s="6" t="s">
        <v>45</v>
      </c>
      <c r="C55" s="6" t="s">
        <v>46</v>
      </c>
      <c r="E55" s="6">
        <f>'1100'!E54+'1500'!E54+'2300'!E54+'4500'!E54+'5600'!E54+'7010'!E57+'7200'!E54+'7300'!E54+'8200'!E54+'9510'!E54</f>
        <v>0</v>
      </c>
      <c r="F55" s="6">
        <f>'1100'!F54+'1500'!F54+'2300'!F54+'4500'!F54+'5600'!F54+'7010'!F57+'7200'!F54+'7300'!F54+'8200'!F54+'9510'!F54</f>
        <v>0</v>
      </c>
      <c r="G55" s="6">
        <f>'1100'!G54+'1500'!G54+'2300'!G54+'4500'!G54+'5600'!G54+'7010'!G57+'7200'!G54+'7300'!G54+'8200'!G54+'9510'!G54</f>
        <v>0</v>
      </c>
      <c r="H55" s="6">
        <f>'1100'!H54+'1500'!H54+'2300'!H54+'4500'!H54+'5600'!H54+'7010'!H57+'7200'!H54+'7300'!H54+'8200'!H54+'9510'!H54</f>
        <v>0</v>
      </c>
      <c r="I55" s="6">
        <f>'1100'!I54+'1500'!I54+'2300'!I54+'4500'!I54+'5600'!I54+'7010'!I57+'7200'!I54+'7300'!I54+'8200'!I54+'9510'!I54</f>
        <v>0</v>
      </c>
      <c r="J55" s="6">
        <f>'1100'!J54+'1500'!J54+'2300'!J54+'4500'!J54+'5600'!J54+'7010'!J57+'7200'!J54+'7300'!J54+'8200'!J54+'9510'!J54</f>
        <v>0</v>
      </c>
      <c r="K55" s="6">
        <f>'1100'!K54+'1500'!K54+'2300'!K54+'4500'!K54+'5600'!K54+'7010'!K57+'7200'!K54+'7300'!K54+'8200'!K54+'9510'!K54</f>
        <v>0</v>
      </c>
      <c r="L55" s="6">
        <f>'1100'!L54+'1500'!L54+'2300'!L54+'4500'!L54+'5600'!L54+'7010'!L57+'7200'!L54+'7300'!L54+'8200'!L54+'9510'!L54</f>
        <v>0</v>
      </c>
      <c r="M55" s="6">
        <f>'1100'!M54+'1500'!M54+'2300'!M54+'4500'!M54+'5600'!M54+'7010'!M57+'7200'!M54+'7300'!M54+'8200'!M54+'9510'!M54</f>
        <v>0</v>
      </c>
      <c r="N55" s="6">
        <f>'1100'!N54+'1500'!N54+'2300'!N54+'4500'!N54+'5600'!N54+'7010'!N57+'7200'!N54+'7300'!N54+'8200'!N54+'9510'!N54</f>
        <v>0</v>
      </c>
      <c r="O55" s="6">
        <f>'1100'!O54+'1500'!O54+'2300'!O54+'4500'!O54+'5600'!O54+'7010'!O57+'7200'!O54+'7300'!O54+'8200'!O54+'9510'!O54</f>
        <v>0</v>
      </c>
      <c r="P55" s="6">
        <f>'1100'!P54+'1500'!P54+'2300'!P54+'4500'!P54+'5600'!P54+'7010'!P57+'7200'!P54+'7300'!P54+'8200'!P54+'9510'!P54</f>
        <v>0</v>
      </c>
      <c r="Q55" s="101">
        <f>SUM(E55:P55)</f>
        <v>0</v>
      </c>
    </row>
    <row r="56" spans="1:17" hidden="1" x14ac:dyDescent="0.35">
      <c r="A56" s="66"/>
      <c r="Q56" s="101"/>
    </row>
    <row r="57" spans="1:17" x14ac:dyDescent="0.35">
      <c r="A57" s="66" t="s">
        <v>110</v>
      </c>
      <c r="C57" s="6" t="s">
        <v>47</v>
      </c>
      <c r="E57" s="6">
        <f>+'1100'!E56+'1500'!E56+'2300'!E56+'4500'!E56+'5600'!E56+'7010'!E59+'7200'!E56+'7300'!E56+'8200'!E56+'9510'!E56</f>
        <v>5856.9</v>
      </c>
      <c r="F57" s="6">
        <f>+'1100'!F56+'1500'!F56+'2300'!F56+'4500'!F56+'5600'!F56+'7010'!F59+'7200'!F56+'7300'!F56+'8200'!F56+'9510'!F56</f>
        <v>4356.8999999999996</v>
      </c>
      <c r="G57" s="6">
        <f>+'1100'!G56+'1500'!G56+'2300'!G56+'4500'!G56+'5600'!G56+'7010'!G59+'7200'!G56+'7300'!G56+'8200'!G56+'9510'!G56</f>
        <v>4356.8999999999996</v>
      </c>
      <c r="H57" s="6">
        <f>+'1100'!H56+'1500'!H56+'2300'!H56+'4500'!H56+'5600'!H56+'7010'!H59+'7200'!H56+'7300'!H56+'8200'!H56+'9510'!H56</f>
        <v>5856.9</v>
      </c>
      <c r="I57" s="6">
        <f>+'1100'!I56+'1500'!I56+'2300'!I56+'4500'!I56+'5600'!I56+'7010'!I59+'7200'!I56+'7300'!I56+'8200'!I56+'9510'!I56</f>
        <v>4356.8999999999996</v>
      </c>
      <c r="J57" s="6">
        <f>+'1100'!J56+'1500'!J56+'2300'!J56+'4500'!J56+'5600'!J56+'7010'!J59+'7200'!J56+'7300'!J56+'8200'!J56+'9510'!J56</f>
        <v>4356.8999999999996</v>
      </c>
      <c r="K57" s="6">
        <f>+'1100'!K56+'1500'!K56+'2300'!K56+'4500'!K56+'5600'!K56+'7010'!K59+'7200'!K56+'7300'!K56+'8200'!K56+'9510'!K56</f>
        <v>5856.9</v>
      </c>
      <c r="L57" s="6">
        <f>+'1100'!L56+'1500'!L56+'2300'!L56+'4500'!L56+'5600'!L56+'7010'!L59+'7200'!L56+'7300'!L56+'8200'!L56+'9510'!L56</f>
        <v>4356.8999999999996</v>
      </c>
      <c r="M57" s="6">
        <f>+'1100'!M56+'1500'!M56+'2300'!M56+'4500'!M56+'5600'!M56+'7010'!M59+'7200'!M56+'7300'!M56+'8200'!M56+'9510'!M56</f>
        <v>4356.8999999999996</v>
      </c>
      <c r="N57" s="6">
        <f>+'1100'!N56+'1500'!N56+'2300'!N56+'4500'!N56+'5600'!N56+'7010'!N59+'7200'!N56+'7300'!N56+'8200'!N56+'9510'!N56</f>
        <v>5856.9</v>
      </c>
      <c r="O57" s="6">
        <f>+'1100'!O56+'1500'!O56+'2300'!O56+'4500'!O56+'5600'!O56+'7010'!O59+'7200'!O56+'7300'!O56+'8200'!O56+'9510'!O56</f>
        <v>4356.8999999999996</v>
      </c>
      <c r="P57" s="6">
        <f>+'1100'!P56+'1500'!P56+'2300'!P56+'4500'!P56+'5600'!P56+'7010'!P59+'7200'!P56+'7300'!P56+'8200'!P56+'9510'!P56</f>
        <v>4356.8999999999996</v>
      </c>
      <c r="Q57" s="101">
        <f>SUM(E57:P57)</f>
        <v>58282.80000000001</v>
      </c>
    </row>
    <row r="58" spans="1:17" x14ac:dyDescent="0.35">
      <c r="A58" s="66"/>
      <c r="Q58" s="101"/>
    </row>
    <row r="59" spans="1:17" x14ac:dyDescent="0.35">
      <c r="A59" s="66" t="s">
        <v>111</v>
      </c>
      <c r="C59" s="6" t="s">
        <v>22</v>
      </c>
      <c r="E59" s="6">
        <f>+'1100'!E58+'1500'!E58+'2300'!E58+'4500'!E58+'5600'!E58+'7010'!E61+'7200'!E58+'7300'!E58+'8200'!E58+'9510'!E58</f>
        <v>56590.55834166667</v>
      </c>
      <c r="F59" s="6">
        <f>+'1100'!F58+'1500'!F58+'2300'!F58+'4500'!F58+'5600'!F58+'7010'!F61+'7200'!F58+'7300'!F58+'8200'!F58+'9510'!F58</f>
        <v>56590.55834166667</v>
      </c>
      <c r="G59" s="6">
        <f>+'1100'!G58+'1500'!G58+'2300'!G58+'4500'!G58+'5600'!G58+'7010'!G61+'7200'!G58+'7300'!G58+'8200'!G58+'9510'!G58</f>
        <v>56590.55834166667</v>
      </c>
      <c r="H59" s="6">
        <f>+'1100'!H58+'1500'!H58+'2300'!H58+'4500'!H58+'5600'!H58+'7010'!H61+'7200'!H58+'7300'!H58+'8200'!H58+'9510'!H58</f>
        <v>56590.55834166667</v>
      </c>
      <c r="I59" s="6">
        <f>+'1100'!I58+'1500'!I58+'2300'!I58+'4500'!I58+'5600'!I58+'7010'!I61+'7200'!I58+'7300'!I58+'8200'!I58+'9510'!I58</f>
        <v>56590.55834166667</v>
      </c>
      <c r="J59" s="6">
        <f>+'1100'!J58+'1500'!J58+'2300'!J58+'4500'!J58+'5600'!J58+'7010'!J61+'7200'!J58+'7300'!J58+'8200'!J58+'9510'!J58</f>
        <v>56590.55834166667</v>
      </c>
      <c r="K59" s="6">
        <f>+'1100'!K58+'1500'!K58+'2300'!K58+'4500'!K58+'5600'!K58+'7010'!K61+'7200'!K58+'7300'!K58+'8200'!K58+'9510'!K58</f>
        <v>56590.55834166667</v>
      </c>
      <c r="L59" s="6">
        <f>+'1100'!L58+'1500'!L58+'2300'!L58+'4500'!L58+'5600'!L58+'7010'!L61+'7200'!L58+'7300'!L58+'8200'!L58+'9510'!L58</f>
        <v>56590.55834166667</v>
      </c>
      <c r="M59" s="6">
        <f>+'1100'!M58+'1500'!M58+'2300'!M58+'4500'!M58+'5600'!M58+'7010'!M61+'7200'!M58+'7300'!M58+'8200'!M58+'9510'!M58</f>
        <v>56590.55834166667</v>
      </c>
      <c r="N59" s="6">
        <f>+'1100'!N58+'1500'!N58+'2300'!N58+'4500'!N58+'5600'!N58+'7010'!N61+'7200'!N58+'7300'!N58+'8200'!N58+'9510'!N58</f>
        <v>56590.55834166667</v>
      </c>
      <c r="O59" s="6">
        <f>+'1100'!O58+'1500'!O58+'2300'!O58+'4500'!O58+'5600'!O58+'7010'!O61+'7200'!O58+'7300'!O58+'8200'!O58+'9510'!O58</f>
        <v>56590.55834166667</v>
      </c>
      <c r="P59" s="6">
        <f>+'1100'!P58+'1500'!P58+'2300'!P58+'4500'!P58+'5600'!P58+'7010'!P61+'7200'!P58+'7300'!P58+'8200'!P58+'9510'!P58</f>
        <v>56590.55834166667</v>
      </c>
      <c r="Q59" s="101">
        <f>SUM(E59:P59)</f>
        <v>679086.70010000002</v>
      </c>
    </row>
    <row r="60" spans="1:17" x14ac:dyDescent="0.35">
      <c r="A60" s="66"/>
      <c r="Q60" s="101"/>
    </row>
    <row r="61" spans="1:17" x14ac:dyDescent="0.35">
      <c r="A61" s="66"/>
      <c r="D61" s="50" t="s">
        <v>48</v>
      </c>
      <c r="E61" s="45">
        <f>+'1100'!E60+'1500'!E60+'2300'!E60+'4500'!E60+'5600'!E60+'7010'!E63+'7200'!E60+'7300'!E60+'8200'!E60+'9510'!E60</f>
        <v>15781</v>
      </c>
      <c r="F61" s="45">
        <f>+'1100'!F60+'1500'!F60+'2300'!F60+'4500'!F60+'5600'!F60+'7010'!F63+'7200'!F60+'7300'!F60+'8200'!F60+'9510'!F60</f>
        <v>15781</v>
      </c>
      <c r="G61" s="45">
        <f>+'1100'!G60+'1500'!G60+'2300'!G60+'4500'!G60+'5600'!G60+'7010'!G63+'7200'!G60+'7300'!G60+'8200'!G60+'9510'!G60</f>
        <v>15781</v>
      </c>
      <c r="H61" s="45">
        <f>+'1100'!H60+'1500'!H60+'2300'!H60+'4500'!H60+'5600'!H60+'7010'!H63+'7200'!H60+'7300'!H60+'8200'!H60+'9510'!H60</f>
        <v>15781</v>
      </c>
      <c r="I61" s="45">
        <f>+'1100'!I60+'1500'!I60+'2300'!I60+'4500'!I60+'5600'!I60+'7010'!I63+'7200'!I60+'7300'!I60+'8200'!I60+'9510'!I60</f>
        <v>15781</v>
      </c>
      <c r="J61" s="45">
        <f>+'1100'!J60+'1500'!J60+'2300'!J60+'4500'!J60+'5600'!J60+'7010'!J63+'7200'!J60+'7300'!J60+'8200'!J60+'9510'!J60</f>
        <v>15781</v>
      </c>
      <c r="K61" s="45">
        <f>+'1100'!K60+'1500'!K60+'2300'!K60+'4500'!K60+'5600'!K60+'7010'!K63+'7200'!K60+'7300'!K60+'8200'!K60+'9510'!K60</f>
        <v>15781</v>
      </c>
      <c r="L61" s="45">
        <f>+'1100'!L60+'1500'!L60+'2300'!L60+'4500'!L60+'5600'!L60+'7010'!L63+'7200'!L60+'7300'!L60+'8200'!L60+'9510'!L60</f>
        <v>15781</v>
      </c>
      <c r="M61" s="45">
        <f>+'1100'!M60+'1500'!M60+'2300'!M60+'4500'!M60+'5600'!M60+'7010'!M63+'7200'!M60+'7300'!M60+'8200'!M60+'9510'!M60</f>
        <v>15781</v>
      </c>
      <c r="N61" s="45">
        <f>+'1100'!N60+'1500'!N60+'2300'!N60+'4500'!N60+'5600'!N60+'7010'!N63+'7200'!N60+'7300'!N60+'8200'!N60+'9510'!N60</f>
        <v>15781</v>
      </c>
      <c r="O61" s="45">
        <f>+'1100'!O60+'1500'!O60+'2300'!O60+'4500'!O60+'5600'!O60+'7010'!O63+'7200'!O60+'7300'!O60+'8200'!O60+'9510'!O60</f>
        <v>16096.619999999997</v>
      </c>
      <c r="P61" s="45">
        <f>+'1100'!P60+'1500'!P60+'2300'!P60+'4500'!P60+'5600'!P60+'7010'!P63+'7200'!P60+'7300'!P60+'8200'!P60+'9510'!P60</f>
        <v>16096.619999999997</v>
      </c>
      <c r="Q61" s="104">
        <f>SUM(E61:P61)</f>
        <v>190003.24</v>
      </c>
    </row>
    <row r="62" spans="1:17" x14ac:dyDescent="0.35">
      <c r="A62" s="66"/>
      <c r="D62" s="51" t="s">
        <v>49</v>
      </c>
      <c r="E62" s="6">
        <f>+'1100'!E61+'1500'!E61+'2300'!E61+'4500'!E61+'5600'!E61+'7010'!E64+'7200'!E61+'7300'!E61+'8200'!E61+'9510'!E61</f>
        <v>5697</v>
      </c>
      <c r="F62" s="6">
        <f>+'1100'!F61+'1500'!F61+'2300'!F61+'4500'!F61+'5600'!F61+'7010'!F64+'7200'!F61+'7300'!F61+'8200'!F61+'9510'!F61</f>
        <v>5697</v>
      </c>
      <c r="G62" s="6">
        <f>+'1100'!G61+'1500'!G61+'2300'!G61+'4500'!G61+'5600'!G61+'7010'!G64+'7200'!G61+'7300'!G61+'8200'!G61+'9510'!G61</f>
        <v>5697</v>
      </c>
      <c r="H62" s="6">
        <f>+'1100'!H61+'1500'!H61+'2300'!H61+'4500'!H61+'5600'!H61+'7010'!H64+'7200'!H61+'7300'!H61+'8200'!H61+'9510'!H61</f>
        <v>5697</v>
      </c>
      <c r="I62" s="6">
        <f>+'1100'!I61+'1500'!I61+'2300'!I61+'4500'!I61+'5600'!I61+'7010'!I64+'7200'!I61+'7300'!I61+'8200'!I61+'9510'!I61</f>
        <v>5697</v>
      </c>
      <c r="J62" s="6">
        <f>+'1100'!J61+'1500'!J61+'2300'!J61+'4500'!J61+'5600'!J61+'7010'!J64+'7200'!J61+'7300'!J61+'8200'!J61+'9510'!J61</f>
        <v>5697</v>
      </c>
      <c r="K62" s="6">
        <f>+'1100'!K61+'1500'!K61+'2300'!K61+'4500'!K61+'5600'!K61+'7010'!K64+'7200'!K61+'7300'!K61+'8200'!K61+'9510'!K61</f>
        <v>5697</v>
      </c>
      <c r="L62" s="6">
        <f>+'1100'!L61+'1500'!L61+'2300'!L61+'4500'!L61+'5600'!L61+'7010'!L64+'7200'!L61+'7300'!L61+'8200'!L61+'9510'!L61</f>
        <v>5697</v>
      </c>
      <c r="M62" s="6">
        <f>+'1100'!M61+'1500'!M61+'2300'!M61+'4500'!M61+'5600'!M61+'7010'!M64+'7200'!M61+'7300'!M61+'8200'!M61+'9510'!M61</f>
        <v>5697</v>
      </c>
      <c r="N62" s="6">
        <f>+'1100'!N61+'1500'!N61+'2300'!N61+'4500'!N61+'5600'!N61+'7010'!N64+'7200'!N61+'7300'!N61+'8200'!N61+'9510'!N61</f>
        <v>5697</v>
      </c>
      <c r="O62" s="6">
        <f>+'1100'!O61+'1500'!O61+'2300'!O61+'4500'!O61+'5600'!O61+'7010'!O64+'7200'!O61+'7300'!O61+'8200'!O61+'9510'!O61</f>
        <v>5810.9400000000005</v>
      </c>
      <c r="P62" s="6">
        <f>+'1100'!P61+'1500'!P61+'2300'!P61+'4500'!P61+'5600'!P61+'7010'!P64+'7200'!P61+'7300'!P61+'8200'!P61+'9510'!P61</f>
        <v>5810.9400000000005</v>
      </c>
      <c r="Q62" s="105">
        <f>SUM(E62:P62)</f>
        <v>68591.88</v>
      </c>
    </row>
    <row r="63" spans="1:17" x14ac:dyDescent="0.35">
      <c r="A63" s="66"/>
      <c r="D63" s="52" t="s">
        <v>50</v>
      </c>
      <c r="E63" s="15">
        <f>+'1100'!E62+'1500'!E62+'2300'!E62+'4500'!E62+'5600'!E62+'7010'!E65+'7200'!E62+'7300'!E62+'8200'!E62+'9510'!E62</f>
        <v>0</v>
      </c>
      <c r="F63" s="15">
        <f>+'1100'!F62+'1500'!F62+'2300'!F62+'4500'!F62+'5600'!F62+'7010'!F65+'7200'!F62+'7300'!F62+'8200'!F62+'9510'!F62</f>
        <v>0</v>
      </c>
      <c r="G63" s="15">
        <f>+'1100'!G62+'1500'!G62+'2300'!G62+'4500'!G62+'5600'!G62+'7010'!G65+'7200'!G62+'7300'!G62+'8200'!G62+'9510'!G62</f>
        <v>0</v>
      </c>
      <c r="H63" s="15">
        <f>+'1100'!H62+'1500'!H62+'2300'!H62+'4500'!H62+'5600'!H62+'7010'!H65+'7200'!H62+'7300'!H62+'8200'!H62+'9510'!H62</f>
        <v>0</v>
      </c>
      <c r="I63" s="15">
        <f>+'1100'!I62+'1500'!I62+'2300'!I62+'4500'!I62+'5600'!I62+'7010'!I65+'7200'!I62+'7300'!I62+'8200'!I62+'9510'!I62</f>
        <v>0</v>
      </c>
      <c r="J63" s="15">
        <f>+'1100'!J62+'1500'!J62+'2300'!J62+'4500'!J62+'5600'!J62+'7010'!J65+'7200'!J62+'7300'!J62+'8200'!J62+'9510'!J62</f>
        <v>0</v>
      </c>
      <c r="K63" s="15">
        <f>+'1100'!K62+'1500'!K62+'2300'!K62+'4500'!K62+'5600'!K62+'7010'!K65+'7200'!K62+'7300'!K62+'8200'!K62+'9510'!K62</f>
        <v>0</v>
      </c>
      <c r="L63" s="15">
        <f>+'1100'!L62+'1500'!L62+'2300'!L62+'4500'!L62+'5600'!L62+'7010'!L65+'7200'!L62+'7300'!L62+'8200'!L62+'9510'!L62</f>
        <v>0</v>
      </c>
      <c r="M63" s="15">
        <f>+'1100'!M62+'1500'!M62+'2300'!M62+'4500'!M62+'5600'!M62+'7010'!M65+'7200'!M62+'7300'!M62+'8200'!M62+'9510'!M62</f>
        <v>0</v>
      </c>
      <c r="N63" s="15">
        <f>+'1100'!N62+'1500'!N62+'2300'!N62+'4500'!N62+'5600'!N62+'7010'!N65+'7200'!N62+'7300'!N62+'8200'!N62+'9510'!N62</f>
        <v>0</v>
      </c>
      <c r="O63" s="15">
        <f>+'1100'!O62+'1500'!O62+'2300'!O62+'4500'!O62+'5600'!O62+'7010'!O65+'7200'!O62+'7300'!O62+'8200'!O62+'9510'!O62</f>
        <v>0</v>
      </c>
      <c r="P63" s="15">
        <f>+'1100'!P62+'1500'!P62+'2300'!P62+'4500'!P62+'5600'!P62+'7010'!P65+'7200'!P62+'7300'!P62+'8200'!P62+'9510'!P62</f>
        <v>0</v>
      </c>
      <c r="Q63" s="106">
        <f>SUM(E63:P63)</f>
        <v>0</v>
      </c>
    </row>
    <row r="64" spans="1:17" x14ac:dyDescent="0.35">
      <c r="A64" s="66" t="s">
        <v>112</v>
      </c>
      <c r="C64" s="6" t="s">
        <v>23</v>
      </c>
      <c r="E64" s="15">
        <f t="shared" ref="E64:Q64" si="12">SUM(E61:E63)</f>
        <v>21478</v>
      </c>
      <c r="F64" s="15">
        <f t="shared" ref="F64:P64" si="13">SUM(F61:F63)</f>
        <v>21478</v>
      </c>
      <c r="G64" s="15">
        <f t="shared" si="13"/>
        <v>21478</v>
      </c>
      <c r="H64" s="15">
        <f t="shared" si="13"/>
        <v>21478</v>
      </c>
      <c r="I64" s="15">
        <f t="shared" si="13"/>
        <v>21478</v>
      </c>
      <c r="J64" s="15">
        <f t="shared" si="13"/>
        <v>21478</v>
      </c>
      <c r="K64" s="15">
        <f t="shared" si="13"/>
        <v>21478</v>
      </c>
      <c r="L64" s="15">
        <f t="shared" si="13"/>
        <v>21478</v>
      </c>
      <c r="M64" s="15">
        <f t="shared" si="13"/>
        <v>21478</v>
      </c>
      <c r="N64" s="15">
        <f t="shared" si="13"/>
        <v>21478</v>
      </c>
      <c r="O64" s="15">
        <f t="shared" si="13"/>
        <v>21907.559999999998</v>
      </c>
      <c r="P64" s="15">
        <f t="shared" si="13"/>
        <v>21907.559999999998</v>
      </c>
      <c r="Q64" s="108">
        <f t="shared" si="12"/>
        <v>258595.12</v>
      </c>
    </row>
    <row r="65" spans="1:17" x14ac:dyDescent="0.35">
      <c r="A65" s="66"/>
      <c r="Q65" s="101"/>
    </row>
    <row r="66" spans="1:17" x14ac:dyDescent="0.35">
      <c r="A66" s="66"/>
      <c r="D66" s="50" t="s">
        <v>51</v>
      </c>
      <c r="E66" s="45">
        <f>+'1100'!E65+'1500'!E65+'2300'!E65+'4500'!E65+'5600'!E65+'7010'!E68+'7200'!E65+'7300'!E65+'8200'!E65+'9510'!E65</f>
        <v>0</v>
      </c>
      <c r="F66" s="45">
        <f>+'1100'!F65+'1500'!F65+'2300'!F65+'4500'!F65+'5600'!F65+'7010'!F68+'7200'!F65+'7300'!F65+'8200'!F65+'9510'!F65</f>
        <v>0</v>
      </c>
      <c r="G66" s="45">
        <f>+'1100'!G65+'1500'!G65+'2300'!G65+'4500'!G65+'5600'!G65+'7010'!G68+'7200'!G65+'7300'!G65+'8200'!G65+'9510'!G65</f>
        <v>0</v>
      </c>
      <c r="H66" s="45">
        <f>+'1100'!H65+'1500'!H65+'2300'!H65+'4500'!H65+'5600'!H65+'7010'!H68+'7200'!H65+'7300'!H65+'8200'!H65+'9510'!H65</f>
        <v>0</v>
      </c>
      <c r="I66" s="45">
        <f>+'1100'!I65+'1500'!I65+'2300'!I65+'4500'!I65+'5600'!I65+'7010'!I68+'7200'!I65+'7300'!I65+'8200'!I65+'9510'!I65</f>
        <v>0</v>
      </c>
      <c r="J66" s="45">
        <f>+'1100'!J65+'1500'!J65+'2300'!J65+'4500'!J65+'5600'!J65+'7010'!J68+'7200'!J65+'7300'!J65+'8200'!J65+'9510'!J65</f>
        <v>0</v>
      </c>
      <c r="K66" s="45">
        <f>+'1100'!K65+'1500'!K65+'2300'!K65+'4500'!K65+'5600'!K65+'7010'!K68+'7200'!K65+'7300'!K65+'8200'!K65+'9510'!K65</f>
        <v>0</v>
      </c>
      <c r="L66" s="45">
        <f>+'1100'!L65+'1500'!L65+'2300'!L65+'4500'!L65+'5600'!L65+'7010'!L68+'7200'!L65+'7300'!L65+'8200'!L65+'9510'!L65</f>
        <v>0</v>
      </c>
      <c r="M66" s="45">
        <f>+'1100'!M65+'1500'!M65+'2300'!M65+'4500'!M65+'5600'!M65+'7010'!M68+'7200'!M65+'7300'!M65+'8200'!M65+'9510'!M65</f>
        <v>0</v>
      </c>
      <c r="N66" s="45">
        <f>+'1100'!N65+'1500'!N65+'2300'!N65+'4500'!N65+'5600'!N65+'7010'!N68+'7200'!N65+'7300'!N65+'8200'!N65+'9510'!N65</f>
        <v>0</v>
      </c>
      <c r="O66" s="45">
        <f>+'1100'!O65+'1500'!O65+'2300'!O65+'4500'!O65+'5600'!O65+'7010'!O68+'7200'!O65+'7300'!O65+'8200'!O65+'9510'!O65</f>
        <v>0</v>
      </c>
      <c r="P66" s="45">
        <f>+'1100'!P65+'1500'!P65+'2300'!P65+'4500'!P65+'5600'!P65+'7010'!P68+'7200'!P65+'7300'!P65+'8200'!P65+'9510'!P65</f>
        <v>0</v>
      </c>
      <c r="Q66" s="104">
        <f>SUM(E66:P66)</f>
        <v>0</v>
      </c>
    </row>
    <row r="67" spans="1:17" x14ac:dyDescent="0.35">
      <c r="A67" s="66"/>
      <c r="D67" s="52" t="s">
        <v>52</v>
      </c>
      <c r="E67" s="15">
        <f>+'1100'!E66+'1500'!E66+'2300'!E66+'4500'!E66+'5600'!E66+'7010'!E69+'7200'!E66+'7300'!E66+'8200'!E66+'9510'!E66</f>
        <v>2163</v>
      </c>
      <c r="F67" s="15">
        <f>+'1100'!F66+'1500'!F66+'2300'!F66+'4500'!F66+'5600'!F66+'7010'!F69+'7200'!F66+'7300'!F66+'8200'!F66+'9510'!F66</f>
        <v>2163</v>
      </c>
      <c r="G67" s="15">
        <f>+'1100'!G66+'1500'!G66+'2300'!G66+'4500'!G66+'5600'!G66+'7010'!G69+'7200'!G66+'7300'!G66+'8200'!G66+'9510'!G66</f>
        <v>2163</v>
      </c>
      <c r="H67" s="15">
        <f>+'1100'!H66+'1500'!H66+'2300'!H66+'4500'!H66+'5600'!H66+'7010'!H69+'7200'!H66+'7300'!H66+'8200'!H66+'9510'!H66</f>
        <v>2163</v>
      </c>
      <c r="I67" s="15">
        <f>+'1100'!I66+'1500'!I66+'2300'!I66+'4500'!I66+'5600'!I66+'7010'!I69+'7200'!I66+'7300'!I66+'8200'!I66+'9510'!I66</f>
        <v>2163</v>
      </c>
      <c r="J67" s="15">
        <f>+'1100'!J66+'1500'!J66+'2300'!J66+'4500'!J66+'5600'!J66+'7010'!J69+'7200'!J66+'7300'!J66+'8200'!J66+'9510'!J66</f>
        <v>2163</v>
      </c>
      <c r="K67" s="15">
        <f>+'1100'!K66+'1500'!K66+'2300'!K66+'4500'!K66+'5600'!K66+'7010'!K69+'7200'!K66+'7300'!K66+'8200'!K66+'9510'!K66</f>
        <v>2163</v>
      </c>
      <c r="L67" s="15">
        <f>+'1100'!L66+'1500'!L66+'2300'!L66+'4500'!L66+'5600'!L66+'7010'!L69+'7200'!L66+'7300'!L66+'8200'!L66+'9510'!L66</f>
        <v>2163</v>
      </c>
      <c r="M67" s="15">
        <f>+'1100'!M66+'1500'!M66+'2300'!M66+'4500'!M66+'5600'!M66+'7010'!M69+'7200'!M66+'7300'!M66+'8200'!M66+'9510'!M66</f>
        <v>2163</v>
      </c>
      <c r="N67" s="15">
        <f>+'1100'!N66+'1500'!N66+'2300'!N66+'4500'!N66+'5600'!N66+'7010'!N69+'7200'!N66+'7300'!N66+'8200'!N66+'9510'!N66</f>
        <v>2163</v>
      </c>
      <c r="O67" s="15">
        <f>+'1100'!O66+'1500'!O66+'2300'!O66+'4500'!O66+'5600'!O66+'7010'!O69+'7200'!O66+'7300'!O66+'8200'!O66+'9510'!O66</f>
        <v>2163</v>
      </c>
      <c r="P67" s="15">
        <f>+'1100'!P66+'1500'!P66+'2300'!P66+'4500'!P66+'5600'!P66+'7010'!P69+'7200'!P66+'7300'!P66+'8200'!P66+'9510'!P66</f>
        <v>2163</v>
      </c>
      <c r="Q67" s="106">
        <f>SUM(E67:P67)</f>
        <v>25956</v>
      </c>
    </row>
    <row r="68" spans="1:17" x14ac:dyDescent="0.35">
      <c r="A68" s="66" t="s">
        <v>113</v>
      </c>
      <c r="B68" s="6" t="s">
        <v>45</v>
      </c>
      <c r="C68" s="6" t="s">
        <v>51</v>
      </c>
      <c r="E68" s="15">
        <f>SUM(E66:E67)</f>
        <v>2163</v>
      </c>
      <c r="F68" s="15">
        <f t="shared" ref="F68:P68" si="14">SUM(F66:F67)</f>
        <v>2163</v>
      </c>
      <c r="G68" s="15">
        <f t="shared" si="14"/>
        <v>2163</v>
      </c>
      <c r="H68" s="15">
        <f t="shared" si="14"/>
        <v>2163</v>
      </c>
      <c r="I68" s="15">
        <f t="shared" si="14"/>
        <v>2163</v>
      </c>
      <c r="J68" s="15">
        <f t="shared" si="14"/>
        <v>2163</v>
      </c>
      <c r="K68" s="15">
        <f t="shared" si="14"/>
        <v>2163</v>
      </c>
      <c r="L68" s="15">
        <f t="shared" si="14"/>
        <v>2163</v>
      </c>
      <c r="M68" s="15">
        <f t="shared" si="14"/>
        <v>2163</v>
      </c>
      <c r="N68" s="15">
        <f t="shared" si="14"/>
        <v>2163</v>
      </c>
      <c r="O68" s="15">
        <f t="shared" si="14"/>
        <v>2163</v>
      </c>
      <c r="P68" s="15">
        <f t="shared" si="14"/>
        <v>2163</v>
      </c>
      <c r="Q68" s="108">
        <f t="shared" ref="Q68" si="15">SUM(Q66:Q67)</f>
        <v>25956</v>
      </c>
    </row>
    <row r="69" spans="1:17" x14ac:dyDescent="0.35">
      <c r="A69" s="66"/>
      <c r="Q69" s="101"/>
    </row>
    <row r="70" spans="1:17" x14ac:dyDescent="0.35">
      <c r="A70" s="66"/>
      <c r="B70" s="6" t="s">
        <v>33</v>
      </c>
      <c r="C70" s="6" t="s">
        <v>53</v>
      </c>
      <c r="E70" s="6">
        <f>+'1100'!E69+'1500'!E69+'2300'!E69+'4500'!E69+'5600'!E69+'7010'!E72+'7200'!E69+'7300'!E69+'8200'!E69+'9510'!E69</f>
        <v>0</v>
      </c>
      <c r="F70" s="6">
        <f>+'1100'!F69+'1500'!F69+'2300'!F69+'4500'!F69+'5600'!F69+'7010'!F72+'7200'!F69+'7300'!F69+'8200'!F69+'9510'!F69</f>
        <v>0</v>
      </c>
      <c r="G70" s="6">
        <f>+'1100'!G69+'1500'!G69+'2300'!G69+'4500'!G69+'5600'!G69+'7010'!G72+'7200'!G69+'7300'!G69+'8200'!G69+'9510'!G69</f>
        <v>0</v>
      </c>
      <c r="H70" s="6">
        <f>+'1100'!H69+'1500'!H69+'2300'!H69+'4500'!H69+'5600'!H69+'7010'!H72+'7200'!H69+'7300'!H69+'8200'!H69+'9510'!H69</f>
        <v>0</v>
      </c>
      <c r="I70" s="6">
        <f>+'1100'!I69+'1500'!I69+'2300'!I69+'4500'!I69+'5600'!I69+'7010'!I72+'7200'!I69+'7300'!I69+'8200'!I69+'9510'!I69</f>
        <v>0</v>
      </c>
      <c r="J70" s="6">
        <f>+'1100'!J69+'1500'!J69+'2300'!J69+'4500'!J69+'5600'!J69+'7010'!J72+'7200'!J69+'7300'!J69+'8200'!J69+'9510'!J69</f>
        <v>0</v>
      </c>
      <c r="K70" s="6">
        <f>+'1100'!K69+'1500'!K69+'2300'!K69+'4500'!K69+'5600'!K69+'7010'!K72+'7200'!K69+'7300'!K69+'8200'!K69+'9510'!K69</f>
        <v>0</v>
      </c>
      <c r="L70" s="6">
        <f>+'1100'!L69+'1500'!L69+'2300'!L69+'4500'!L69+'5600'!L69+'7010'!L72+'7200'!L69+'7300'!L69+'8200'!L69+'9510'!L69</f>
        <v>0</v>
      </c>
      <c r="M70" s="6">
        <f>+'1100'!M69+'1500'!M69+'2300'!M69+'4500'!M69+'5600'!M69+'7010'!M72+'7200'!M69+'7300'!M69+'8200'!M69+'9510'!M69</f>
        <v>0</v>
      </c>
      <c r="N70" s="6">
        <f>+'1100'!N69+'1500'!N69+'2300'!N69+'4500'!N69+'5600'!N69+'7010'!N72+'7200'!N69+'7300'!N69+'8200'!N69+'9510'!N69</f>
        <v>0</v>
      </c>
      <c r="O70" s="6">
        <f>+'1100'!O69+'1500'!O69+'2300'!O69+'4500'!O69+'5600'!O69+'7010'!O72+'7200'!O69+'7300'!O69+'8200'!O69+'9510'!O69</f>
        <v>0</v>
      </c>
      <c r="P70" s="6">
        <f>+'1100'!P69+'1500'!P69+'2300'!P69+'4500'!P69+'5600'!P69+'7010'!P72+'7200'!P69+'7300'!P69+'8200'!P69+'9510'!P69</f>
        <v>0</v>
      </c>
      <c r="Q70" s="101">
        <f>SUM(E70:P70)</f>
        <v>0</v>
      </c>
    </row>
    <row r="71" spans="1:17" x14ac:dyDescent="0.35">
      <c r="A71" s="66"/>
      <c r="Q71" s="101"/>
    </row>
    <row r="72" spans="1:17" ht="18" x14ac:dyDescent="0.35">
      <c r="A72" s="66"/>
      <c r="C72" s="53" t="s">
        <v>54</v>
      </c>
      <c r="D72" s="54"/>
      <c r="E72" s="54">
        <f>+E27+E29+E31+E37+E39+E44+E46+E51+E53+E55+E57+E59+E64+E68+E70</f>
        <v>196194.75834166666</v>
      </c>
      <c r="F72" s="54">
        <f t="shared" ref="F72:P72" si="16">+F27+F29+F31+F37+F39+F44+F46+F51+F53+F55+F57+F59+F64+F68+F70</f>
        <v>192250.78834166666</v>
      </c>
      <c r="G72" s="54">
        <f t="shared" si="16"/>
        <v>213866.16834166666</v>
      </c>
      <c r="H72" s="54">
        <f t="shared" si="16"/>
        <v>198400.03834166666</v>
      </c>
      <c r="I72" s="54">
        <f t="shared" si="16"/>
        <v>188242.48834166664</v>
      </c>
      <c r="J72" s="54">
        <f t="shared" si="16"/>
        <v>167593.57834166667</v>
      </c>
      <c r="K72" s="54">
        <f t="shared" si="16"/>
        <v>153955.35834166667</v>
      </c>
      <c r="L72" s="54">
        <f t="shared" si="16"/>
        <v>172595.25834166666</v>
      </c>
      <c r="M72" s="54">
        <f t="shared" si="16"/>
        <v>235107.96834166668</v>
      </c>
      <c r="N72" s="54">
        <f t="shared" si="16"/>
        <v>181336.49834166665</v>
      </c>
      <c r="O72" s="54">
        <f t="shared" si="16"/>
        <v>162581.68834166665</v>
      </c>
      <c r="P72" s="54">
        <f t="shared" si="16"/>
        <v>177539.10834166667</v>
      </c>
      <c r="Q72" s="109">
        <f>+Q27+Q29+Q31+Q37+Q39+Q44+Q46+Q51+Q53+Q55+Q57+Q59+Q64+Q68+Q70</f>
        <v>2239663.7001</v>
      </c>
    </row>
    <row r="73" spans="1:17" ht="18" x14ac:dyDescent="0.35">
      <c r="A73" s="66"/>
      <c r="Q73" s="103" t="e">
        <f>+#REF!+'1100'!Q71+'1500'!Q71+'2300'!Q71+'4500'!Q71+'5600'!Q71+'7010'!Q74+'7200'!Q71</f>
        <v>#REF!</v>
      </c>
    </row>
    <row r="74" spans="1:17" ht="18" x14ac:dyDescent="0.35">
      <c r="A74" s="66"/>
      <c r="B74" s="7" t="s">
        <v>55</v>
      </c>
      <c r="Q74" s="101"/>
    </row>
    <row r="75" spans="1:17" x14ac:dyDescent="0.35">
      <c r="A75" s="66"/>
      <c r="Q75" s="101"/>
    </row>
    <row r="76" spans="1:17" x14ac:dyDescent="0.35">
      <c r="A76" s="66" t="s">
        <v>137</v>
      </c>
      <c r="C76" s="6" t="s">
        <v>56</v>
      </c>
      <c r="E76" s="6">
        <f>+'1100'!E75+'1500'!E75+'2300'!E75+'4500'!E75+'5600'!E75+'7010'!E78+'7200'!E75+'7300'!E75+'8200'!E75+'9510'!E75</f>
        <v>0</v>
      </c>
      <c r="F76" s="6">
        <f>+'1100'!F75+'1500'!F75+'2300'!F75+'4500'!F75+'5600'!F75+'7010'!F78+'7200'!F75+'7300'!F75+'8200'!F75+'9510'!F75</f>
        <v>0</v>
      </c>
      <c r="G76" s="6">
        <f>+'1100'!G75+'1500'!G75+'2300'!G75+'4500'!G75+'5600'!G75+'7010'!G78+'7200'!G75+'7300'!G75+'8200'!G75+'9510'!G75</f>
        <v>0</v>
      </c>
      <c r="H76" s="6">
        <f>+'1100'!H75+'1500'!H75+'2300'!H75+'4500'!H75+'5600'!H75+'7010'!H78+'7200'!H75+'7300'!H75+'8200'!H75+'9510'!H75</f>
        <v>0</v>
      </c>
      <c r="I76" s="6">
        <f>+'1100'!I75+'1500'!I75+'2300'!I75+'4500'!I75+'5600'!I75+'7010'!I78+'7200'!I75+'7300'!I75+'8200'!I75+'9510'!I75</f>
        <v>0</v>
      </c>
      <c r="J76" s="6">
        <f>+'1100'!J75+'1500'!J75+'2300'!J75+'4500'!J75+'5600'!J75+'7010'!J78+'7200'!J75+'7300'!J75+'8200'!J75+'9510'!J75</f>
        <v>0</v>
      </c>
      <c r="K76" s="6">
        <f>+'1100'!K75+'1500'!K75+'2300'!K75+'4500'!K75+'5600'!K75+'7010'!K78+'7200'!K75+'7300'!K75+'8200'!K75+'9510'!K75</f>
        <v>0</v>
      </c>
      <c r="L76" s="6">
        <f>+'1100'!L75+'1500'!L75+'2300'!L75+'4500'!L75+'5600'!L75+'7010'!L78+'7200'!L75+'7300'!L75+'8200'!L75+'9510'!L75</f>
        <v>0</v>
      </c>
      <c r="M76" s="6">
        <f>+'1100'!M75+'1500'!M75+'2300'!M75+'4500'!M75+'5600'!M75+'7010'!M78+'7200'!M75+'7300'!M75+'8200'!M75+'9510'!M75</f>
        <v>0</v>
      </c>
      <c r="N76" s="6">
        <f>+'1100'!N75+'1500'!N75+'2300'!N75+'4500'!N75+'5600'!N75+'7010'!N78+'7200'!N75+'7300'!N75+'8200'!N75+'9510'!N75</f>
        <v>0</v>
      </c>
      <c r="O76" s="6">
        <f>+'1100'!O75+'1500'!O75+'2300'!O75+'4500'!O75+'5600'!O75+'7010'!O78+'7200'!O75+'7300'!O75+'8200'!O75+'9510'!O75</f>
        <v>0</v>
      </c>
      <c r="P76" s="6">
        <f>+'1100'!P75+'1500'!P75+'2300'!P75+'4500'!P75+'5600'!P75+'7010'!P78+'7200'!P75+'7300'!P75+'8200'!P75+'9510'!P75</f>
        <v>0</v>
      </c>
      <c r="Q76" s="101">
        <f>SUM(E76:P76)</f>
        <v>0</v>
      </c>
    </row>
    <row r="77" spans="1:17" x14ac:dyDescent="0.35">
      <c r="A77" s="66"/>
      <c r="Q77" s="101"/>
    </row>
    <row r="78" spans="1:17" x14ac:dyDescent="0.35">
      <c r="A78" s="66" t="s">
        <v>114</v>
      </c>
      <c r="D78" s="6" t="s">
        <v>57</v>
      </c>
      <c r="E78" s="6">
        <f>+'1100'!E77+'1500'!E77+'2300'!E77+'4500'!E77+'5600'!E77+'7010'!E80+'7200'!E77+'7300'!E77+'8200'!E77+'9510'!E77</f>
        <v>20584.833333333332</v>
      </c>
      <c r="F78" s="6">
        <f>+'1100'!F77+'1500'!F77+'2300'!F77+'4500'!F77+'5600'!F77+'7010'!F80+'7200'!F77+'7300'!F77+'8200'!F77+'9510'!F77</f>
        <v>20584.833333333332</v>
      </c>
      <c r="G78" s="6">
        <f>+'1100'!G77+'1500'!G77+'2300'!G77+'4500'!G77+'5600'!G77+'7010'!G80+'7200'!G77+'7300'!G77+'8200'!G77+'9510'!G77</f>
        <v>20584.833333333332</v>
      </c>
      <c r="H78" s="6">
        <f>+'1100'!H77+'1500'!H77+'2300'!H77+'4500'!H77+'5600'!H77+'7010'!H80+'7200'!H77+'7300'!H77+'8200'!H77+'9510'!H77</f>
        <v>20584.833333333332</v>
      </c>
      <c r="I78" s="6">
        <f>+'1100'!I77+'1500'!I77+'2300'!I77+'4500'!I77+'5600'!I77+'7010'!I80+'7200'!I77+'7300'!I77+'8200'!I77+'9510'!I77</f>
        <v>20584.833333333332</v>
      </c>
      <c r="J78" s="6">
        <f>+'1100'!J77+'1500'!J77+'2300'!J77+'4500'!J77+'5600'!J77+'7010'!J80+'7200'!J77+'7300'!J77+'8200'!J77+'9510'!J77</f>
        <v>20584.833333333332</v>
      </c>
      <c r="K78" s="6">
        <f>+'1100'!K77+'1500'!K77+'2300'!K77+'4500'!K77+'5600'!K77+'7010'!K80+'7200'!K77+'7300'!K77+'8200'!K77+'9510'!K77</f>
        <v>20584.833333333332</v>
      </c>
      <c r="L78" s="6">
        <f>+'1100'!L77+'1500'!L77+'2300'!L77+'4500'!L77+'5600'!L77+'7010'!L80+'7200'!L77+'7300'!L77+'8200'!L77+'9510'!L77</f>
        <v>20584.833333333332</v>
      </c>
      <c r="M78" s="6">
        <f>+'1100'!M77+'1500'!M77+'2300'!M77+'4500'!M77+'5600'!M77+'7010'!M80+'7200'!M77+'7300'!M77+'8200'!M77+'9510'!M77</f>
        <v>20584.833333333332</v>
      </c>
      <c r="N78" s="6">
        <f>+'1100'!N77+'1500'!N77+'2300'!N77+'4500'!N77+'5600'!N77+'7010'!N80+'7200'!N77+'7300'!N77+'8200'!N77+'9510'!N77</f>
        <v>20584.833333333332</v>
      </c>
      <c r="O78" s="6">
        <f>+'1100'!O77+'1500'!O77+'2300'!O77+'4500'!O77+'5600'!O77+'7010'!O80+'7200'!O77+'7300'!O77+'8200'!O77+'9510'!O77</f>
        <v>20584.833333333332</v>
      </c>
      <c r="P78" s="6">
        <f>+'1100'!P77+'1500'!P77+'2300'!P77+'4500'!P77+'5600'!P77+'7010'!P80+'7200'!P77+'7300'!P77+'8200'!P77+'9510'!P77</f>
        <v>20584.833333333332</v>
      </c>
      <c r="Q78" s="101">
        <f>SUM(E78:P78)</f>
        <v>247018.00000000003</v>
      </c>
    </row>
    <row r="79" spans="1:17" x14ac:dyDescent="0.35">
      <c r="A79" s="66" t="s">
        <v>115</v>
      </c>
      <c r="D79" s="6" t="s">
        <v>58</v>
      </c>
      <c r="E79" s="15">
        <f>+'1100'!E78+'1500'!E78+'2300'!E78+'4500'!E78+'5600'!E78+'7010'!E81+'7200'!E78+'7300'!E78+'8200'!E78+'9510'!E78</f>
        <v>0</v>
      </c>
      <c r="F79" s="15">
        <f>+'1100'!F78+'1500'!F78+'2300'!F78+'4500'!F78+'5600'!F78+'7010'!F81+'7200'!F78+'7300'!F78+'8200'!F78+'9510'!F78</f>
        <v>0</v>
      </c>
      <c r="G79" s="15">
        <f>+'1100'!G78+'1500'!G78+'2300'!G78+'4500'!G78+'5600'!G78+'7010'!G81+'7200'!G78+'7300'!G78+'8200'!G78+'9510'!G78</f>
        <v>0</v>
      </c>
      <c r="H79" s="15">
        <f>+'1100'!H78+'1500'!H78+'2300'!H78+'4500'!H78+'5600'!H78+'7010'!H81+'7200'!H78+'7300'!H78+'8200'!H78+'9510'!H78</f>
        <v>0</v>
      </c>
      <c r="I79" s="15">
        <f>+'1100'!I78+'1500'!I78+'2300'!I78+'4500'!I78+'5600'!I78+'7010'!I81+'7200'!I78+'7300'!I78+'8200'!I78+'9510'!I78</f>
        <v>0</v>
      </c>
      <c r="J79" s="15">
        <f>+'1100'!J78+'1500'!J78+'2300'!J78+'4500'!J78+'5600'!J78+'7010'!J81+'7200'!J78+'7300'!J78+'8200'!J78+'9510'!J78</f>
        <v>0</v>
      </c>
      <c r="K79" s="15">
        <f>+'1100'!K78+'1500'!K78+'2300'!K78+'4500'!K78+'5600'!K78+'7010'!K81+'7200'!K78+'7300'!K78+'8200'!K78+'9510'!K78</f>
        <v>0</v>
      </c>
      <c r="L79" s="15">
        <f>+'1100'!L78+'1500'!L78+'2300'!L78+'4500'!L78+'5600'!L78+'7010'!L81+'7200'!L78+'7300'!L78+'8200'!L78+'9510'!L78</f>
        <v>0</v>
      </c>
      <c r="M79" s="15">
        <f>+'1100'!M78+'1500'!M78+'2300'!M78+'4500'!M78+'5600'!M78+'7010'!M81+'7200'!M78+'7300'!M78+'8200'!M78+'9510'!M78</f>
        <v>0</v>
      </c>
      <c r="N79" s="15">
        <f>+'1100'!N78+'1500'!N78+'2300'!N78+'4500'!N78+'5600'!N78+'7010'!N81+'7200'!N78+'7300'!N78+'8200'!N78+'9510'!N78</f>
        <v>0</v>
      </c>
      <c r="O79" s="15">
        <f>+'1100'!O78+'1500'!O78+'2300'!O78+'4500'!O78+'5600'!O78+'7010'!O81+'7200'!O78+'7300'!O78+'8200'!O78+'9510'!O78</f>
        <v>0</v>
      </c>
      <c r="P79" s="15">
        <f>+'1100'!P78+'1500'!P78+'2300'!P78+'4500'!P78+'5600'!P78+'7010'!P81+'7200'!P78+'7300'!P78+'8200'!P78+'9510'!P78</f>
        <v>0</v>
      </c>
      <c r="Q79" s="108">
        <f>SUM(E79:P79)</f>
        <v>0</v>
      </c>
    </row>
    <row r="80" spans="1:17" x14ac:dyDescent="0.35">
      <c r="A80" s="66"/>
      <c r="C80" s="6" t="s">
        <v>59</v>
      </c>
      <c r="E80" s="15">
        <f t="shared" ref="E80:Q80" si="17">SUM(E78:E79)</f>
        <v>20584.833333333332</v>
      </c>
      <c r="F80" s="15">
        <f t="shared" ref="F80:P80" si="18">SUM(F78:F79)</f>
        <v>20584.833333333332</v>
      </c>
      <c r="G80" s="15">
        <f t="shared" si="18"/>
        <v>20584.833333333332</v>
      </c>
      <c r="H80" s="15">
        <f t="shared" si="18"/>
        <v>20584.833333333332</v>
      </c>
      <c r="I80" s="15">
        <f t="shared" si="18"/>
        <v>20584.833333333332</v>
      </c>
      <c r="J80" s="15">
        <f t="shared" si="18"/>
        <v>20584.833333333332</v>
      </c>
      <c r="K80" s="15">
        <f t="shared" si="18"/>
        <v>20584.833333333332</v>
      </c>
      <c r="L80" s="15">
        <f t="shared" si="18"/>
        <v>20584.833333333332</v>
      </c>
      <c r="M80" s="15">
        <f t="shared" si="18"/>
        <v>20584.833333333332</v>
      </c>
      <c r="N80" s="15">
        <f t="shared" si="18"/>
        <v>20584.833333333332</v>
      </c>
      <c r="O80" s="15">
        <f t="shared" si="18"/>
        <v>20584.833333333332</v>
      </c>
      <c r="P80" s="15">
        <f t="shared" si="18"/>
        <v>20584.833333333332</v>
      </c>
      <c r="Q80" s="108">
        <f t="shared" si="17"/>
        <v>247018.00000000003</v>
      </c>
    </row>
    <row r="81" spans="1:17" x14ac:dyDescent="0.35">
      <c r="A81" s="66"/>
      <c r="Q81" s="101"/>
    </row>
    <row r="82" spans="1:17" x14ac:dyDescent="0.35">
      <c r="A82" s="66" t="s">
        <v>138</v>
      </c>
      <c r="D82" s="6" t="s">
        <v>60</v>
      </c>
      <c r="E82" s="6">
        <f>+'1100'!E81+'1500'!E81+'2300'!E81+'4500'!E81+'5600'!E81+'7010'!E84+'7200'!E81+'7300'!E81+'8200'!E81+'9510'!E81</f>
        <v>208.06</v>
      </c>
      <c r="F82" s="6">
        <f>+'1100'!F81+'1500'!F81+'2300'!F81+'4500'!F81+'5600'!F81+'7010'!F84+'7200'!F81+'7300'!F81+'8200'!F81+'9510'!F81</f>
        <v>208.06</v>
      </c>
      <c r="G82" s="6">
        <f>+'1100'!G81+'1500'!G81+'2300'!G81+'4500'!G81+'5600'!G81+'7010'!G84+'7200'!G81+'7300'!G81+'8200'!G81+'9510'!G81</f>
        <v>208.06</v>
      </c>
      <c r="H82" s="6">
        <f>+'1100'!H81+'1500'!H81+'2300'!H81+'4500'!H81+'5600'!H81+'7010'!H84+'7200'!H81+'7300'!H81+'8200'!H81+'9510'!H81</f>
        <v>104.03</v>
      </c>
      <c r="I82" s="6">
        <f>+'1100'!I81+'1500'!I81+'2300'!I81+'4500'!I81+'5600'!I81+'7010'!I84+'7200'!I81+'7300'!I81+'8200'!I81+'9510'!I81</f>
        <v>104.03</v>
      </c>
      <c r="J82" s="6">
        <f>+'1100'!J81+'1500'!J81+'2300'!J81+'4500'!J81+'5600'!J81+'7010'!J84+'7200'!J81+'7300'!J81+'8200'!J81+'9510'!J81</f>
        <v>104.03</v>
      </c>
      <c r="K82" s="6">
        <f>+'1100'!K81+'1500'!K81+'2300'!K81+'4500'!K81+'5600'!K81+'7010'!K84+'7200'!K81+'7300'!K81+'8200'!K81+'9510'!K81</f>
        <v>104.03</v>
      </c>
      <c r="L82" s="6">
        <f>+'1100'!L81+'1500'!L81+'2300'!L81+'4500'!L81+'5600'!L81+'7010'!L84+'7200'!L81+'7300'!L81+'8200'!L81+'9510'!L81</f>
        <v>104.03</v>
      </c>
      <c r="M82" s="6">
        <f>+'1100'!M81+'1500'!M81+'2300'!M81+'4500'!M81+'5600'!M81+'7010'!M84+'7200'!M81+'7300'!M81+'8200'!M81+'9510'!M81</f>
        <v>104.03</v>
      </c>
      <c r="N82" s="6">
        <f>+'1100'!N81+'1500'!N81+'2300'!N81+'4500'!N81+'5600'!N81+'7010'!N84+'7200'!N81+'7300'!N81+'8200'!N81+'9510'!N81</f>
        <v>104.03</v>
      </c>
      <c r="O82" s="6">
        <f>+'1100'!O81+'1500'!O81+'2300'!O81+'4500'!O81+'5600'!O81+'7010'!O84+'7200'!O81+'7300'!O81+'8200'!O81+'9510'!O81</f>
        <v>206</v>
      </c>
      <c r="P82" s="6">
        <f>+'1100'!P81+'1500'!P81+'2300'!P81+'4500'!P81+'5600'!P81+'7010'!P84+'7200'!P81+'7300'!P81+'8200'!P81+'9510'!P81</f>
        <v>206</v>
      </c>
      <c r="Q82" s="101">
        <f>SUM(E82:P82)</f>
        <v>1764.3899999999999</v>
      </c>
    </row>
    <row r="83" spans="1:17" x14ac:dyDescent="0.35">
      <c r="A83" s="66" t="s">
        <v>139</v>
      </c>
      <c r="D83" s="6" t="s">
        <v>20</v>
      </c>
      <c r="E83" s="6">
        <f>+'1100'!E82+'1500'!E82+'2300'!E82+'4500'!E82+'5600'!E82+'7010'!E85+'7200'!E82+'7300'!E82+'8200'!E82+'9510'!E82</f>
        <v>1123.8199350000002</v>
      </c>
      <c r="F83" s="6">
        <f>+'1100'!F82+'1500'!F82+'2300'!F82+'4500'!F82+'5600'!F82+'7010'!F85+'7200'!F82+'7300'!F82+'8200'!F82+'9510'!F82</f>
        <v>1010.67812</v>
      </c>
      <c r="G83" s="6">
        <f>+'1100'!G82+'1500'!G82+'2300'!G82+'4500'!G82+'5600'!G82+'7010'!G85+'7200'!G82+'7300'!G82+'8200'!G82+'9510'!G82</f>
        <v>678.76634000000013</v>
      </c>
      <c r="H83" s="6">
        <f>+'1100'!H82+'1500'!H82+'2300'!H82+'4500'!H82+'5600'!H82+'7010'!H85+'7200'!H82+'7300'!H82+'8200'!H82+'9510'!H82</f>
        <v>706.35305500000004</v>
      </c>
      <c r="I83" s="6">
        <f>+'1100'!I82+'1500'!I82+'2300'!I82+'4500'!I82+'5600'!I82+'7010'!I85+'7200'!I82+'7300'!I82+'8200'!I82+'9510'!I82</f>
        <v>688.78548000000001</v>
      </c>
      <c r="J83" s="6">
        <f>+'1100'!J82+'1500'!J82+'2300'!J82+'4500'!J82+'5600'!J82+'7010'!J85+'7200'!J82+'7300'!J82+'8200'!J82+'9510'!J82</f>
        <v>614.96391500000004</v>
      </c>
      <c r="K83" s="6">
        <f>+'1100'!K82+'1500'!K82+'2300'!K82+'4500'!K82+'5600'!K82+'7010'!K85+'7200'!K82+'7300'!K82+'8200'!K82+'9510'!K82</f>
        <v>811.70202500000005</v>
      </c>
      <c r="L83" s="6">
        <f>+'1100'!L82+'1500'!L82+'2300'!L82+'4500'!L82+'5600'!L82+'7010'!L85+'7200'!L82+'7300'!L82+'8200'!L82+'9510'!L82</f>
        <v>863.96679500000005</v>
      </c>
      <c r="M83" s="6">
        <f>+'1100'!M82+'1500'!M82+'2300'!M82+'4500'!M82+'5600'!M82+'7010'!M85+'7200'!M82+'7300'!M82+'8200'!M82+'9510'!M82</f>
        <v>837.58990000000006</v>
      </c>
      <c r="N83" s="6">
        <f>+'1100'!N82+'1500'!N82+'2300'!N82+'4500'!N82+'5600'!N82+'7010'!N85+'7200'!N82+'7300'!N82+'8200'!N82+'9510'!N82</f>
        <v>751.23802500000011</v>
      </c>
      <c r="O83" s="6">
        <f>+'1100'!O82+'1500'!O82+'2300'!O82+'4500'!O82+'5600'!O82+'7010'!O85+'7200'!O82+'7300'!O82+'8200'!O82+'9510'!O82</f>
        <v>788.55124999999998</v>
      </c>
      <c r="P83" s="6">
        <f>+'1100'!P82+'1500'!P82+'2300'!P82+'4500'!P82+'5600'!P82+'7010'!P85+'7200'!P82+'7300'!P82+'8200'!P82+'9510'!P82</f>
        <v>919.96541999999999</v>
      </c>
      <c r="Q83" s="101">
        <f>SUM(E83:P83)</f>
        <v>9796.3802600000017</v>
      </c>
    </row>
    <row r="84" spans="1:17" x14ac:dyDescent="0.35">
      <c r="A84" s="66" t="s">
        <v>140</v>
      </c>
      <c r="D84" s="6" t="s">
        <v>28</v>
      </c>
      <c r="E84" s="15">
        <f>+'1100'!E83+'1500'!E83+'2300'!E83+'4500'!E83+'5600'!E83+'7010'!E86+'7200'!E83+'7300'!E83+'8200'!E83+'9510'!E83</f>
        <v>367.71000000000004</v>
      </c>
      <c r="F84" s="15">
        <f>+'1100'!F83+'1500'!F83+'2300'!F83+'4500'!F83+'5600'!F83+'7010'!F86+'7200'!F83+'7300'!F83+'8200'!F83+'9510'!F83</f>
        <v>341.96000000000004</v>
      </c>
      <c r="G84" s="15">
        <f>+'1100'!G83+'1500'!G83+'2300'!G83+'4500'!G83+'5600'!G83+'7010'!G86+'7200'!G83+'7300'!G83+'8200'!G83+'9510'!G83</f>
        <v>344.02000000000004</v>
      </c>
      <c r="H84" s="15">
        <f>+'1100'!H83+'1500'!H83+'2300'!H83+'4500'!H83+'5600'!H83+'7010'!H86+'7200'!H83+'7300'!H83+'8200'!H83+'9510'!H83</f>
        <v>347.11</v>
      </c>
      <c r="I84" s="15">
        <f>+'1100'!I83+'1500'!I83+'2300'!I83+'4500'!I83+'5600'!I83+'7010'!I86+'7200'!I83+'7300'!I83+'8200'!I83+'9510'!I83</f>
        <v>776.62</v>
      </c>
      <c r="J84" s="15">
        <f>+'1100'!J83+'1500'!J83+'2300'!J83+'4500'!J83+'5600'!J83+'7010'!J86+'7200'!J83+'7300'!J83+'8200'!J83+'9510'!J83</f>
        <v>333.72</v>
      </c>
      <c r="K84" s="15">
        <f>+'1100'!K83+'1500'!K83+'2300'!K83+'4500'!K83+'5600'!K83+'7010'!K86+'7200'!K83+'7300'!K83+'8200'!K83+'9510'!K83</f>
        <v>439.81</v>
      </c>
      <c r="L84" s="15">
        <f>+'1100'!L83+'1500'!L83+'2300'!L83+'4500'!L83+'5600'!L83+'7010'!L86+'7200'!L83+'7300'!L83+'8200'!L83+'9510'!L83</f>
        <v>585.04</v>
      </c>
      <c r="M84" s="15">
        <f>+'1100'!M83+'1500'!M83+'2300'!M83+'4500'!M83+'5600'!M83+'7010'!M86+'7200'!M83+'7300'!M83+'8200'!M83+'9510'!M83</f>
        <v>923.91000000000008</v>
      </c>
      <c r="N84" s="15">
        <f>+'1100'!N83+'1500'!N83+'2300'!N83+'4500'!N83+'5600'!N83+'7010'!N86+'7200'!N83+'7300'!N83+'8200'!N83+'9510'!N83</f>
        <v>631.3900000000001</v>
      </c>
      <c r="O84" s="15">
        <f>+'1100'!O83+'1500'!O83+'2300'!O83+'4500'!O83+'5600'!O83+'7010'!O86+'7200'!O83+'7300'!O83+'8200'!O83+'9510'!O83</f>
        <v>489.25</v>
      </c>
      <c r="P84" s="15">
        <f>+'1100'!P83+'1500'!P83+'2300'!P83+'4500'!P83+'5600'!P83+'7010'!P86+'7200'!P83+'7300'!P83+'8200'!P83+'9510'!P83</f>
        <v>2230.98</v>
      </c>
      <c r="Q84" s="108">
        <f>SUM(E84:P84)</f>
        <v>7811.52</v>
      </c>
    </row>
    <row r="85" spans="1:17" x14ac:dyDescent="0.35">
      <c r="A85" s="66"/>
      <c r="C85" s="6" t="s">
        <v>61</v>
      </c>
      <c r="E85" s="49">
        <f t="shared" ref="E85:Q85" si="19">SUM(E82:E84)</f>
        <v>1699.5899350000002</v>
      </c>
      <c r="F85" s="49">
        <f t="shared" ref="F85:P85" si="20">SUM(F82:F84)</f>
        <v>1560.69812</v>
      </c>
      <c r="G85" s="49">
        <f t="shared" si="20"/>
        <v>1230.8463400000001</v>
      </c>
      <c r="H85" s="49">
        <f t="shared" si="20"/>
        <v>1157.4930549999999</v>
      </c>
      <c r="I85" s="49">
        <f t="shared" si="20"/>
        <v>1569.4354800000001</v>
      </c>
      <c r="J85" s="49">
        <f t="shared" si="20"/>
        <v>1052.713915</v>
      </c>
      <c r="K85" s="49">
        <f t="shared" si="20"/>
        <v>1355.542025</v>
      </c>
      <c r="L85" s="49">
        <f t="shared" si="20"/>
        <v>1553.036795</v>
      </c>
      <c r="M85" s="49">
        <f t="shared" si="20"/>
        <v>1865.5299</v>
      </c>
      <c r="N85" s="49">
        <f t="shared" si="20"/>
        <v>1486.6580250000002</v>
      </c>
      <c r="O85" s="49">
        <f t="shared" si="20"/>
        <v>1483.80125</v>
      </c>
      <c r="P85" s="49">
        <f t="shared" si="20"/>
        <v>3356.94542</v>
      </c>
      <c r="Q85" s="107">
        <f t="shared" si="19"/>
        <v>19372.290260000002</v>
      </c>
    </row>
    <row r="86" spans="1:17" x14ac:dyDescent="0.35">
      <c r="A86" s="66"/>
      <c r="Q86" s="101"/>
    </row>
    <row r="87" spans="1:17" x14ac:dyDescent="0.35">
      <c r="A87" s="66"/>
      <c r="D87" s="50" t="s">
        <v>30</v>
      </c>
      <c r="E87" s="45">
        <f>+'1100'!E86+'1500'!E86+'2300'!E86+'4500'!E86+'5600'!E86+'7010'!E89+'7200'!E86+'7300'!E86+'8200'!E86+'9510'!E86</f>
        <v>2199.5</v>
      </c>
      <c r="F87" s="45">
        <f>+'1100'!F86+'1500'!F86+'2300'!F86+'4500'!F86+'5600'!F86+'7010'!F89+'7200'!F86+'7300'!F86+'8200'!F86+'9510'!F86</f>
        <v>2199.5</v>
      </c>
      <c r="G87" s="45">
        <f>+'1100'!G86+'1500'!G86+'2300'!G86+'4500'!G86+'5600'!G86+'7010'!G89+'7200'!G86+'7300'!G86+'8200'!G86+'9510'!G86</f>
        <v>2199.5</v>
      </c>
      <c r="H87" s="45">
        <f>+'1100'!H86+'1500'!H86+'2300'!H86+'4500'!H86+'5600'!H86+'7010'!H89+'7200'!H86+'7300'!H86+'8200'!H86+'9510'!H86</f>
        <v>2199.5</v>
      </c>
      <c r="I87" s="45">
        <f>+'1100'!I86+'1500'!I86+'2300'!I86+'4500'!I86+'5600'!I86+'7010'!I89+'7200'!I86+'7300'!I86+'8200'!I86+'9510'!I86</f>
        <v>2199.5</v>
      </c>
      <c r="J87" s="45">
        <f>+'1100'!J86+'1500'!J86+'2300'!J86+'4500'!J86+'5600'!J86+'7010'!J89+'7200'!J86+'7300'!J86+'8200'!J86+'9510'!J86</f>
        <v>2199.5</v>
      </c>
      <c r="K87" s="45">
        <f>+'1100'!K86+'1500'!K86+'2300'!K86+'4500'!K86+'5600'!K86+'7010'!K89+'7200'!K86+'7300'!K86+'8200'!K86+'9510'!K86</f>
        <v>2199.5</v>
      </c>
      <c r="L87" s="45">
        <f>+'1100'!L86+'1500'!L86+'2300'!L86+'4500'!L86+'5600'!L86+'7010'!L89+'7200'!L86+'7300'!L86+'8200'!L86+'9510'!L86</f>
        <v>2199.5</v>
      </c>
      <c r="M87" s="45">
        <f>+'1100'!M86+'1500'!M86+'2300'!M86+'4500'!M86+'5600'!M86+'7010'!M89+'7200'!M86+'7300'!M86+'8200'!M86+'9510'!M86</f>
        <v>2199.5</v>
      </c>
      <c r="N87" s="45">
        <f>+'1100'!N86+'1500'!N86+'2300'!N86+'4500'!N86+'5600'!N86+'7010'!N89+'7200'!N86+'7300'!N86+'8200'!N86+'9510'!N86</f>
        <v>2199.5</v>
      </c>
      <c r="O87" s="45">
        <f>+'1100'!O86+'1500'!O86+'2300'!O86+'4500'!O86+'5600'!O86+'7010'!O89+'7200'!O86+'7300'!O86+'8200'!O86+'9510'!O86</f>
        <v>2199.5</v>
      </c>
      <c r="P87" s="45">
        <f>+'1100'!P86+'1500'!P86+'2300'!P86+'4500'!P86+'5600'!P86+'7010'!P89+'7200'!P86+'7300'!P86+'8200'!P86+'9510'!P86</f>
        <v>2199.5</v>
      </c>
      <c r="Q87" s="104">
        <f>SUM(E87:P87)</f>
        <v>26394</v>
      </c>
    </row>
    <row r="88" spans="1:17" x14ac:dyDescent="0.35">
      <c r="A88" s="66"/>
      <c r="D88" s="52" t="s">
        <v>31</v>
      </c>
      <c r="E88" s="15">
        <f>+'1100'!E87+'1500'!E87+'2300'!E87+'4500'!E87+'5600'!E87+'7010'!E90+'7200'!E87+'7300'!E87+'8200'!E87+'9510'!E87</f>
        <v>0</v>
      </c>
      <c r="F88" s="15">
        <f>+'1100'!F87+'1500'!F87+'2300'!F87+'4500'!F87+'5600'!F87+'7010'!F90+'7200'!F87+'7300'!F87+'8200'!F87+'9510'!F87</f>
        <v>0</v>
      </c>
      <c r="G88" s="15">
        <f>+'1100'!G87+'1500'!G87+'2300'!G87+'4500'!G87+'5600'!G87+'7010'!G90+'7200'!G87+'7300'!G87+'8200'!G87+'9510'!G87</f>
        <v>0</v>
      </c>
      <c r="H88" s="15">
        <f>+'1100'!H87+'1500'!H87+'2300'!H87+'4500'!H87+'5600'!H87+'7010'!H90+'7200'!H87+'7300'!H87+'8200'!H87+'9510'!H87</f>
        <v>0</v>
      </c>
      <c r="I88" s="15">
        <f>+'1100'!I87+'1500'!I87+'2300'!I87+'4500'!I87+'5600'!I87+'7010'!I90+'7200'!I87+'7300'!I87+'8200'!I87+'9510'!I87</f>
        <v>0</v>
      </c>
      <c r="J88" s="15">
        <f>+'1100'!J87+'1500'!J87+'2300'!J87+'4500'!J87+'5600'!J87+'7010'!J90+'7200'!J87+'7300'!J87+'8200'!J87+'9510'!J87</f>
        <v>0</v>
      </c>
      <c r="K88" s="15">
        <f>+'1100'!K87+'1500'!K87+'2300'!K87+'4500'!K87+'5600'!K87+'7010'!K90+'7200'!K87+'7300'!K87+'8200'!K87+'9510'!K87</f>
        <v>0</v>
      </c>
      <c r="L88" s="15">
        <f>+'1100'!L87+'1500'!L87+'2300'!L87+'4500'!L87+'5600'!L87+'7010'!L90+'7200'!L87+'7300'!L87+'8200'!L87+'9510'!L87</f>
        <v>0</v>
      </c>
      <c r="M88" s="15">
        <f>+'1100'!M87+'1500'!M87+'2300'!M87+'4500'!M87+'5600'!M87+'7010'!M90+'7200'!M87+'7300'!M87+'8200'!M87+'9510'!M87</f>
        <v>0</v>
      </c>
      <c r="N88" s="15">
        <f>+'1100'!N87+'1500'!N87+'2300'!N87+'4500'!N87+'5600'!N87+'7010'!N90+'7200'!N87+'7300'!N87+'8200'!N87+'9510'!N87</f>
        <v>0</v>
      </c>
      <c r="O88" s="15">
        <f>+'1100'!O87+'1500'!O87+'2300'!O87+'4500'!O87+'5600'!O87+'7010'!O90+'7200'!O87+'7300'!O87+'8200'!O87+'9510'!O87</f>
        <v>0</v>
      </c>
      <c r="P88" s="15">
        <f>+'1100'!P87+'1500'!P87+'2300'!P87+'4500'!P87+'5600'!P87+'7010'!P90+'7200'!P87+'7300'!P87+'8200'!P87+'9510'!P87</f>
        <v>0</v>
      </c>
      <c r="Q88" s="106">
        <f>SUM(E88:P88)</f>
        <v>0</v>
      </c>
    </row>
    <row r="89" spans="1:17" x14ac:dyDescent="0.35">
      <c r="A89" s="66" t="s">
        <v>116</v>
      </c>
      <c r="C89" s="6" t="s">
        <v>32</v>
      </c>
      <c r="E89" s="15">
        <f t="shared" ref="E89:Q89" si="21">SUM(E87:E88)</f>
        <v>2199.5</v>
      </c>
      <c r="F89" s="15">
        <f t="shared" ref="F89:P89" si="22">SUM(F87:F88)</f>
        <v>2199.5</v>
      </c>
      <c r="G89" s="15">
        <f t="shared" si="22"/>
        <v>2199.5</v>
      </c>
      <c r="H89" s="15">
        <f t="shared" si="22"/>
        <v>2199.5</v>
      </c>
      <c r="I89" s="15">
        <f t="shared" si="22"/>
        <v>2199.5</v>
      </c>
      <c r="J89" s="15">
        <f t="shared" si="22"/>
        <v>2199.5</v>
      </c>
      <c r="K89" s="15">
        <f t="shared" si="22"/>
        <v>2199.5</v>
      </c>
      <c r="L89" s="15">
        <f t="shared" si="22"/>
        <v>2199.5</v>
      </c>
      <c r="M89" s="15">
        <f t="shared" si="22"/>
        <v>2199.5</v>
      </c>
      <c r="N89" s="15">
        <f t="shared" si="22"/>
        <v>2199.5</v>
      </c>
      <c r="O89" s="15">
        <f t="shared" si="22"/>
        <v>2199.5</v>
      </c>
      <c r="P89" s="15">
        <f t="shared" si="22"/>
        <v>2199.5</v>
      </c>
      <c r="Q89" s="108">
        <f t="shared" si="21"/>
        <v>26394</v>
      </c>
    </row>
    <row r="90" spans="1:17" x14ac:dyDescent="0.35">
      <c r="A90" s="66"/>
      <c r="Q90" s="101"/>
    </row>
    <row r="91" spans="1:17" x14ac:dyDescent="0.35">
      <c r="A91" s="66" t="s">
        <v>141</v>
      </c>
      <c r="B91" s="6" t="s">
        <v>33</v>
      </c>
      <c r="C91" s="6" t="s">
        <v>62</v>
      </c>
      <c r="E91" s="6">
        <f>'1100'!E90+'1500'!E90+'2300'!E90+'4500'!E90+'5600'!E90+'7010'!E93+'7200'!E90+'7300'!E90+'8200'!E90+'9510'!E90</f>
        <v>35099</v>
      </c>
      <c r="F91" s="6">
        <f>'1100'!F90+'1500'!F90+'2300'!F90+'4500'!F90+'5600'!F90+'7010'!F93+'7200'!F90+'7300'!F90+'8200'!F90+'9510'!F90</f>
        <v>34468</v>
      </c>
      <c r="G91" s="6">
        <f>'1100'!G90+'1500'!G90+'2300'!G90+'4500'!G90+'5600'!G90+'7010'!G93+'7200'!G90+'7300'!G90+'8200'!G90+'9510'!G90</f>
        <v>34297</v>
      </c>
      <c r="H91" s="6">
        <f>'1100'!H90+'1500'!H90+'2300'!H90+'4500'!H90+'5600'!H90+'7010'!H93+'7200'!H90+'7300'!H90+'8200'!H90+'9510'!H90</f>
        <v>34690</v>
      </c>
      <c r="I91" s="6">
        <f>'1100'!I90+'1500'!I90+'2300'!I90+'4500'!I90+'5600'!I90+'7010'!I93+'7200'!I90+'7300'!I90+'8200'!I90+'9510'!I90</f>
        <v>34768</v>
      </c>
      <c r="J91" s="6">
        <f>'1100'!J90+'1500'!J90+'2300'!J90+'4500'!J90+'5600'!J90+'7010'!J93+'7200'!J90+'7300'!J90+'8200'!J90+'9510'!J90</f>
        <v>34963</v>
      </c>
      <c r="K91" s="6">
        <f>'1100'!K90+'1500'!K90+'2300'!K90+'4500'!K90+'5600'!K90+'7010'!K93+'7200'!K90+'7300'!K90+'8200'!K90+'9510'!K90</f>
        <v>35492</v>
      </c>
      <c r="L91" s="6">
        <f>'1100'!L90+'1500'!L90+'2300'!L90+'4500'!L90+'5600'!L90+'7010'!L93+'7200'!L90+'7300'!L90+'8200'!L90+'9510'!L90</f>
        <v>35309</v>
      </c>
      <c r="M91" s="6">
        <f>'1100'!M90+'1500'!M90+'2300'!M90+'4500'!M90+'5600'!M90+'7010'!M93+'7200'!M90+'7300'!M90+'8200'!M90+'9510'!M90</f>
        <v>35365</v>
      </c>
      <c r="N91" s="6">
        <f>'1100'!N90+'1500'!N90+'2300'!N90+'4500'!N90+'5600'!N90+'7010'!N93+'7200'!N90+'7300'!N90+'8200'!N90+'9510'!N90</f>
        <v>35781</v>
      </c>
      <c r="O91" s="6">
        <f>'1100'!O90+'1500'!O90+'2300'!O90+'4500'!O90+'5600'!O90+'7010'!O93+'7200'!O90+'7300'!O90+'8200'!O90+'9510'!O90</f>
        <v>35938</v>
      </c>
      <c r="P91" s="6">
        <f>'1100'!P90+'1500'!P90+'2300'!P90+'4500'!P90+'5600'!P90+'7010'!P93+'7200'!P90+'7300'!P90+'8200'!P90+'9510'!P90</f>
        <v>38419</v>
      </c>
      <c r="Q91" s="101">
        <f>SUM(E91:P91)</f>
        <v>424589</v>
      </c>
    </row>
    <row r="92" spans="1:17" x14ac:dyDescent="0.35">
      <c r="A92" s="66"/>
      <c r="Q92" s="101"/>
    </row>
    <row r="93" spans="1:17" x14ac:dyDescent="0.35">
      <c r="A93" s="66" t="s">
        <v>117</v>
      </c>
      <c r="C93" s="6" t="s">
        <v>63</v>
      </c>
      <c r="E93" s="6">
        <f>+'1100'!E92+'1500'!E92+'2300'!E92+'4500'!E92+'5600'!E92+'7010'!E95+'7200'!E92+'7300'!E92+'8200'!E92+'9510'!E92</f>
        <v>6697.0250000000005</v>
      </c>
      <c r="F93" s="6">
        <f>+'1100'!F92+'1500'!F92+'2300'!F92+'4500'!F92+'5600'!F92+'7010'!F95+'7200'!F92+'7300'!F92+'8200'!F92+'9510'!F92</f>
        <v>6697.0250000000005</v>
      </c>
      <c r="G93" s="6">
        <f>+'1100'!G92+'1500'!G92+'2300'!G92+'4500'!G92+'5600'!G92+'7010'!G95+'7200'!G92+'7300'!G92+'8200'!G92+'9510'!G92</f>
        <v>6697.0250000000005</v>
      </c>
      <c r="H93" s="6">
        <f>+'1100'!H92+'1500'!H92+'2300'!H92+'4500'!H92+'5600'!H92+'7010'!H95+'7200'!H92+'7300'!H92+'8200'!H92+'9510'!H92</f>
        <v>6697.0250000000005</v>
      </c>
      <c r="I93" s="6">
        <f>+'1100'!I92+'1500'!I92+'2300'!I92+'4500'!I92+'5600'!I92+'7010'!I95+'7200'!I92+'7300'!I92+'8200'!I92+'9510'!I92</f>
        <v>6697.0250000000005</v>
      </c>
      <c r="J93" s="6">
        <f>+'1100'!J92+'1500'!J92+'2300'!J92+'4500'!J92+'5600'!J92+'7010'!J95+'7200'!J92+'7300'!J92+'8200'!J92+'9510'!J92</f>
        <v>6697.0250000000005</v>
      </c>
      <c r="K93" s="6">
        <f>+'1100'!K92+'1500'!K92+'2300'!K92+'4500'!K92+'5600'!K92+'7010'!K95+'7200'!K92+'7300'!K92+'8200'!K92+'9510'!K92</f>
        <v>6697.0250000000005</v>
      </c>
      <c r="L93" s="6">
        <f>+'1100'!L92+'1500'!L92+'2300'!L92+'4500'!L92+'5600'!L92+'7010'!L95+'7200'!L92+'7300'!L92+'8200'!L92+'9510'!L92</f>
        <v>6697.0250000000005</v>
      </c>
      <c r="M93" s="6">
        <f>+'1100'!M92+'1500'!M92+'2300'!M92+'4500'!M92+'5600'!M92+'7010'!M95+'7200'!M92+'7300'!M92+'8200'!M92+'9510'!M92</f>
        <v>6697.0250000000005</v>
      </c>
      <c r="N93" s="6">
        <f>+'1100'!N92+'1500'!N92+'2300'!N92+'4500'!N92+'5600'!N92+'7010'!N95+'7200'!N92+'7300'!N92+'8200'!N92+'9510'!N92</f>
        <v>6697.0250000000005</v>
      </c>
      <c r="O93" s="6">
        <f>+'1100'!O92+'1500'!O92+'2300'!O92+'4500'!O92+'5600'!O92+'7010'!O95+'7200'!O92+'7300'!O92+'8200'!O92+'9510'!O92</f>
        <v>6697.0250000000005</v>
      </c>
      <c r="P93" s="6">
        <f>+'1100'!P92+'1500'!P92+'2300'!P92+'4500'!P92+'5600'!P92+'7010'!P95+'7200'!P92+'7300'!P92+'8200'!P92+'9510'!P92</f>
        <v>6697.0250000000005</v>
      </c>
      <c r="Q93" s="101">
        <f>SUM(E93:P93)</f>
        <v>80364.299999999988</v>
      </c>
    </row>
    <row r="94" spans="1:17" x14ac:dyDescent="0.35">
      <c r="A94" s="66"/>
      <c r="Q94" s="101"/>
    </row>
    <row r="95" spans="1:17" x14ac:dyDescent="0.35">
      <c r="A95" s="66" t="s">
        <v>118</v>
      </c>
      <c r="C95" s="6" t="s">
        <v>64</v>
      </c>
      <c r="E95" s="6">
        <f>+'1100'!E94+'1500'!E94+'2300'!E94+'4500'!E94+'5600'!E94+'7010'!E97+'7200'!E94+'7300'!E94+'8200'!E94+'9510'!E94</f>
        <v>0</v>
      </c>
      <c r="F95" s="6">
        <f>+'1100'!F94+'1500'!F94+'2300'!F94+'4500'!F94+'5600'!F94+'7010'!F97+'7200'!F94+'7300'!F94+'8200'!F94+'9510'!F94</f>
        <v>0</v>
      </c>
      <c r="G95" s="6">
        <f>+'1100'!G94+'1500'!G94+'2300'!G94+'4500'!G94+'5600'!G94+'7010'!G97+'7200'!G94+'7300'!G94+'8200'!G94+'9510'!G94</f>
        <v>0</v>
      </c>
      <c r="H95" s="6">
        <f>+'1100'!H94+'1500'!H94+'2300'!H94+'4500'!H94+'5600'!H94+'7010'!H97+'7200'!H94+'7300'!H94+'8200'!H94+'9510'!H94</f>
        <v>142717</v>
      </c>
      <c r="I95" s="6">
        <f>+'1100'!I94+'1500'!I94+'2300'!I94+'4500'!I94+'5600'!I94+'7010'!I97+'7200'!I94+'7300'!I94+'8200'!I94+'9510'!I94</f>
        <v>0</v>
      </c>
      <c r="J95" s="6">
        <f>+'1100'!J94+'1500'!J94+'2300'!J94+'4500'!J94+'5600'!J94+'7010'!J97+'7200'!J94+'7300'!J94+'8200'!J94+'9510'!J94</f>
        <v>0</v>
      </c>
      <c r="K95" s="6">
        <f>+'1100'!K94+'1500'!K94+'2300'!K94+'4500'!K94+'5600'!K94+'7010'!K97+'7200'!K94+'7300'!K94+'8200'!K94+'9510'!K94</f>
        <v>0</v>
      </c>
      <c r="L95" s="6">
        <f>+'1100'!L94+'1500'!L94+'2300'!L94+'4500'!L94+'5600'!L94+'7010'!L97+'7200'!L94+'7300'!L94+'8200'!L94+'9510'!L94</f>
        <v>0</v>
      </c>
      <c r="M95" s="6">
        <f>+'1100'!M94+'1500'!M94+'2300'!M94+'4500'!M94+'5600'!M94+'7010'!M97+'7200'!M94+'7300'!M94+'8200'!M94+'9510'!M94</f>
        <v>0</v>
      </c>
      <c r="N95" s="6">
        <f>+'1100'!N94+'1500'!N94+'2300'!N94+'4500'!N94+'5600'!N94+'7010'!N97+'7200'!N94+'7300'!N94+'8200'!N94+'9510'!N94</f>
        <v>0</v>
      </c>
      <c r="O95" s="6">
        <f>+'1100'!O94+'1500'!O94+'2300'!O94+'4500'!O94+'5600'!O94+'7010'!O97+'7200'!O94+'7300'!O94+'8200'!O94+'9510'!O94</f>
        <v>0</v>
      </c>
      <c r="P95" s="6">
        <f>+'1100'!P94+'1500'!P94+'2300'!P94+'4500'!P94+'5600'!P94+'7010'!P97+'7200'!P94+'7300'!P94+'8200'!P94+'9510'!P94</f>
        <v>0</v>
      </c>
      <c r="Q95" s="101">
        <f>SUM(E95:P95)</f>
        <v>142717</v>
      </c>
    </row>
    <row r="96" spans="1:17" x14ac:dyDescent="0.35">
      <c r="A96" s="66"/>
      <c r="Q96" s="101"/>
    </row>
    <row r="97" spans="1:17" x14ac:dyDescent="0.35">
      <c r="A97" s="66" t="s">
        <v>119</v>
      </c>
      <c r="C97" s="6" t="s">
        <v>65</v>
      </c>
      <c r="E97" s="6">
        <f>+'1100'!E96+'1500'!E96+'2300'!E96+'4500'!E96+'5600'!E96+'7010'!E99+'7200'!E96+'7300'!E96+'8200'!E96+'9510'!E96</f>
        <v>4240.7674999999999</v>
      </c>
      <c r="F97" s="6">
        <f>+'1100'!F96+'1500'!F96+'2300'!F96+'4500'!F96+'5600'!F96+'7010'!F99+'7200'!F96+'7300'!F96+'8200'!F96+'9510'!F96</f>
        <v>4240.7674999999999</v>
      </c>
      <c r="G97" s="6">
        <f>+'1100'!G96+'1500'!G96+'2300'!G96+'4500'!G96+'5600'!G96+'7010'!G99+'7200'!G96+'7300'!G96+'8200'!G96+'9510'!G96</f>
        <v>4240.7674999999999</v>
      </c>
      <c r="H97" s="6">
        <f>+'1100'!H96+'1500'!H96+'2300'!H96+'4500'!H96+'5600'!H96+'7010'!H99+'7200'!H96+'7300'!H96+'8200'!H96+'9510'!H96</f>
        <v>4240.7674999999999</v>
      </c>
      <c r="I97" s="6">
        <f>+'1100'!I96+'1500'!I96+'2300'!I96+'4500'!I96+'5600'!I96+'7010'!I99+'7200'!I96+'7300'!I96+'8200'!I96+'9510'!I96</f>
        <v>4240.7674999999999</v>
      </c>
      <c r="J97" s="6">
        <f>+'1100'!J96+'1500'!J96+'2300'!J96+'4500'!J96+'5600'!J96+'7010'!J99+'7200'!J96+'7300'!J96+'8200'!J96+'9510'!J96</f>
        <v>4240.7674999999999</v>
      </c>
      <c r="K97" s="6">
        <f>+'1100'!K96+'1500'!K96+'2300'!K96+'4500'!K96+'5600'!K96+'7010'!K99+'7200'!K96+'7300'!K96+'8200'!K96+'9510'!K96</f>
        <v>4240.7674999999999</v>
      </c>
      <c r="L97" s="6">
        <f>+'1100'!L96+'1500'!L96+'2300'!L96+'4500'!L96+'5600'!L96+'7010'!L99+'7200'!L96+'7300'!L96+'8200'!L96+'9510'!L96</f>
        <v>4240.7674999999999</v>
      </c>
      <c r="M97" s="6">
        <f>+'1100'!M96+'1500'!M96+'2300'!M96+'4500'!M96+'5600'!M96+'7010'!M99+'7200'!M96+'7300'!M96+'8200'!M96+'9510'!M96</f>
        <v>4240.7674999999999</v>
      </c>
      <c r="N97" s="6">
        <f>+'1100'!N96+'1500'!N96+'2300'!N96+'4500'!N96+'5600'!N96+'7010'!N99+'7200'!N96+'7300'!N96+'8200'!N96+'9510'!N96</f>
        <v>4240.7674999999999</v>
      </c>
      <c r="O97" s="6">
        <f>+'1100'!O96+'1500'!O96+'2300'!O96+'4500'!O96+'5600'!O96+'7010'!O99+'7200'!O96+'7300'!O96+'8200'!O96+'9510'!O96</f>
        <v>4240.7674999999999</v>
      </c>
      <c r="P97" s="6">
        <f>+'1100'!P96+'1500'!P96+'2300'!P96+'4500'!P96+'5600'!P96+'7010'!P99+'7200'!P96+'7300'!P96+'8200'!P96+'9510'!P96</f>
        <v>4240.7674999999999</v>
      </c>
      <c r="Q97" s="101">
        <f>SUM(E97:P97)</f>
        <v>50889.210000000014</v>
      </c>
    </row>
    <row r="98" spans="1:17" x14ac:dyDescent="0.35">
      <c r="A98" s="66"/>
      <c r="Q98" s="101"/>
    </row>
    <row r="99" spans="1:17" x14ac:dyDescent="0.35">
      <c r="A99" s="66" t="s">
        <v>126</v>
      </c>
      <c r="D99" s="6" t="s">
        <v>66</v>
      </c>
      <c r="E99" s="6">
        <f>'1100'!E98+'1500'!E98+'2300'!E98+'4500'!E98+'5600'!E98+'7010'!E101+'7200'!E98+'7300'!E98+'8200'!E98+'9510'!E98</f>
        <v>370.8</v>
      </c>
      <c r="F99" s="6">
        <f>'1100'!F98+'1500'!F98+'2300'!F98+'4500'!F98+'5600'!F98+'7010'!F101+'7200'!F98+'7300'!F98+'8200'!F98+'9510'!F98</f>
        <v>370.8</v>
      </c>
      <c r="G99" s="6">
        <f>'1100'!G98+'1500'!G98+'2300'!G98+'4500'!G98+'5600'!G98+'7010'!G101+'7200'!G98+'7300'!G98+'8200'!G98+'9510'!G98</f>
        <v>370.8</v>
      </c>
      <c r="H99" s="6">
        <f>'1100'!H98+'1500'!H98+'2300'!H98+'4500'!H98+'5600'!H98+'7010'!H101+'7200'!H98+'7300'!H98+'8200'!H98+'9510'!H98</f>
        <v>370.8</v>
      </c>
      <c r="I99" s="6">
        <f>'1100'!I98+'1500'!I98+'2300'!I98+'4500'!I98+'5600'!I98+'7010'!I101+'7200'!I98+'7300'!I98+'8200'!I98+'9510'!I98</f>
        <v>370.8</v>
      </c>
      <c r="J99" s="6">
        <f>'1100'!J98+'1500'!J98+'2300'!J98+'4500'!J98+'5600'!J98+'7010'!J101+'7200'!J98+'7300'!J98+'8200'!J98+'9510'!J98</f>
        <v>370.8</v>
      </c>
      <c r="K99" s="6">
        <f>'1100'!K98+'1500'!K98+'2300'!K98+'4500'!K98+'5600'!K98+'7010'!K101+'7200'!K98+'7300'!K98+'8200'!K98+'9510'!K98</f>
        <v>370.8</v>
      </c>
      <c r="L99" s="6">
        <f>'1100'!L98+'1500'!L98+'2300'!L98+'4500'!L98+'5600'!L98+'7010'!L101+'7200'!L98+'7300'!L98+'8200'!L98+'9510'!L98</f>
        <v>370.8</v>
      </c>
      <c r="M99" s="6">
        <f>'1100'!M98+'1500'!M98+'2300'!M98+'4500'!M98+'5600'!M98+'7010'!M101+'7200'!M98+'7300'!M98+'8200'!M98+'9510'!M98</f>
        <v>370.8</v>
      </c>
      <c r="N99" s="6">
        <f>'1100'!N98+'1500'!N98+'2300'!N98+'4500'!N98+'5600'!N98+'7010'!N101+'7200'!N98+'7300'!N98+'8200'!N98+'9510'!N98</f>
        <v>370.8</v>
      </c>
      <c r="O99" s="6">
        <f>'1100'!O98+'1500'!O98+'2300'!O98+'4500'!O98+'5600'!O98+'7010'!O101+'7200'!O98+'7300'!O98+'8200'!O98+'9510'!O98</f>
        <v>370.8</v>
      </c>
      <c r="P99" s="6">
        <f>'1100'!P98+'1500'!P98+'2300'!P98+'4500'!P98+'5600'!P98+'7010'!P101+'7200'!P98+'7300'!P98+'8200'!P98+'9510'!P98</f>
        <v>370.8</v>
      </c>
      <c r="Q99" s="101">
        <f>SUM(E99:P99)</f>
        <v>4449.6000000000013</v>
      </c>
    </row>
    <row r="100" spans="1:17" x14ac:dyDescent="0.35">
      <c r="A100" s="66" t="s">
        <v>142</v>
      </c>
      <c r="D100" s="6" t="s">
        <v>67</v>
      </c>
      <c r="E100" s="6">
        <f>'1100'!E99+'1500'!E99+'2300'!E99+'4500'!E99+'5600'!E99+'7010'!E102+'7200'!E99+'7300'!E99+'8200'!E99+'9510'!E99</f>
        <v>0</v>
      </c>
      <c r="F100" s="6">
        <f>'1100'!F99+'1500'!F99+'2300'!F99+'4500'!F99+'5600'!F99+'7010'!F102+'7200'!F99+'7300'!F99+'8200'!F99+'9510'!F99</f>
        <v>0</v>
      </c>
      <c r="G100" s="6">
        <f>'1100'!G99+'1500'!G99+'2300'!G99+'4500'!G99+'5600'!G99+'7010'!G102+'7200'!G99+'7300'!G99+'8200'!G99+'9510'!G99</f>
        <v>0</v>
      </c>
      <c r="H100" s="6">
        <f>'1100'!H99+'1500'!H99+'2300'!H99+'4500'!H99+'5600'!H99+'7010'!H102+'7200'!H99+'7300'!H99+'8200'!H99+'9510'!H99</f>
        <v>0</v>
      </c>
      <c r="I100" s="6">
        <f>'1100'!I99+'1500'!I99+'2300'!I99+'4500'!I99+'5600'!I99+'7010'!I102+'7200'!I99+'7300'!I99+'8200'!I99+'9510'!I99</f>
        <v>0</v>
      </c>
      <c r="J100" s="6">
        <f>'1100'!J99+'1500'!J99+'2300'!J99+'4500'!J99+'5600'!J99+'7010'!J102+'7200'!J99+'7300'!J99+'8200'!J99+'9510'!J99</f>
        <v>0</v>
      </c>
      <c r="K100" s="6">
        <f>'1100'!K99+'1500'!K99+'2300'!K99+'4500'!K99+'5600'!K99+'7010'!K102+'7200'!K99+'7300'!K99+'8200'!K99+'9510'!K99</f>
        <v>0</v>
      </c>
      <c r="L100" s="6">
        <f>'1100'!L99+'1500'!L99+'2300'!L99+'4500'!L99+'5600'!L99+'7010'!L102+'7200'!L99+'7300'!L99+'8200'!L99+'9510'!L99</f>
        <v>0</v>
      </c>
      <c r="M100" s="6">
        <f>'1100'!M99+'1500'!M99+'2300'!M99+'4500'!M99+'5600'!M99+'7010'!M102+'7200'!M99+'7300'!M99+'8200'!M99+'9510'!M99</f>
        <v>0</v>
      </c>
      <c r="N100" s="6">
        <f>'1100'!N99+'1500'!N99+'2300'!N99+'4500'!N99+'5600'!N99+'7010'!N102+'7200'!N99+'7300'!N99+'8200'!N99+'9510'!N99</f>
        <v>0</v>
      </c>
      <c r="O100" s="6">
        <f>'1100'!O99+'1500'!O99+'2300'!O99+'4500'!O99+'5600'!O99+'7010'!O102+'7200'!O99+'7300'!O99+'8200'!O99+'9510'!O99</f>
        <v>0</v>
      </c>
      <c r="P100" s="6">
        <f>'1100'!P99+'1500'!P99+'2300'!P99+'4500'!P99+'5600'!P99+'7010'!P102+'7200'!P99+'7300'!P99+'8200'!P99+'9510'!P99</f>
        <v>0</v>
      </c>
      <c r="Q100" s="101">
        <f>SUM(E100:P100)</f>
        <v>0</v>
      </c>
    </row>
    <row r="101" spans="1:17" x14ac:dyDescent="0.35">
      <c r="A101" s="66" t="s">
        <v>143</v>
      </c>
      <c r="D101" s="6" t="s">
        <v>68</v>
      </c>
      <c r="E101" s="6">
        <f>'1100'!E100+'1500'!E100+'2300'!E100+'4500'!E100+'5600'!E100+'7010'!E103+'7200'!E100+'7300'!E100+'8200'!E100+'9510'!E100</f>
        <v>0</v>
      </c>
      <c r="F101" s="6">
        <f>'1100'!F100+'1500'!F100+'2300'!F100+'4500'!F100+'5600'!F100+'7010'!F103+'7200'!F100+'7300'!F100+'8200'!F100+'9510'!F100</f>
        <v>0</v>
      </c>
      <c r="G101" s="6">
        <f>'1100'!G100+'1500'!G100+'2300'!G100+'4500'!G100+'5600'!G100+'7010'!G103+'7200'!G100+'7300'!G100+'8200'!G100+'9510'!G100</f>
        <v>0</v>
      </c>
      <c r="H101" s="6">
        <f>'1100'!H100+'1500'!H100+'2300'!H100+'4500'!H100+'5600'!H100+'7010'!H103+'7200'!H100+'7300'!H100+'8200'!H100+'9510'!H100</f>
        <v>0</v>
      </c>
      <c r="I101" s="6">
        <f>'1100'!I100+'1500'!I100+'2300'!I100+'4500'!I100+'5600'!I100+'7010'!I103+'7200'!I100+'7300'!I100+'8200'!I100+'9510'!I100</f>
        <v>0</v>
      </c>
      <c r="J101" s="6">
        <f>'1100'!J100+'1500'!J100+'2300'!J100+'4500'!J100+'5600'!J100+'7010'!J103+'7200'!J100+'7300'!J100+'8200'!J100+'9510'!J100</f>
        <v>0</v>
      </c>
      <c r="K101" s="6">
        <f>'1100'!K100+'1500'!K100+'2300'!K100+'4500'!K100+'5600'!K100+'7010'!K103+'7200'!K100+'7300'!K100+'8200'!K100+'9510'!K100</f>
        <v>0</v>
      </c>
      <c r="L101" s="6">
        <f>'1100'!L100+'1500'!L100+'2300'!L100+'4500'!L100+'5600'!L100+'7010'!L103+'7200'!L100+'7300'!L100+'8200'!L100+'9510'!L100</f>
        <v>0</v>
      </c>
      <c r="M101" s="6">
        <f>'1100'!M100+'1500'!M100+'2300'!M100+'4500'!M100+'5600'!M100+'7010'!M103+'7200'!M100+'7300'!M100+'8200'!M100+'9510'!M100</f>
        <v>0</v>
      </c>
      <c r="N101" s="6">
        <f>'1100'!N100+'1500'!N100+'2300'!N100+'4500'!N100+'5600'!N100+'7010'!N103+'7200'!N100+'7300'!N100+'8200'!N100+'9510'!N100</f>
        <v>0</v>
      </c>
      <c r="O101" s="6">
        <f>'1100'!O100+'1500'!O100+'2300'!O100+'4500'!O100+'5600'!O100+'7010'!O103+'7200'!O100+'7300'!O100+'8200'!O100+'9510'!O100</f>
        <v>0</v>
      </c>
      <c r="P101" s="6">
        <f>'1100'!P100+'1500'!P100+'2300'!P100+'4500'!P100+'5600'!P100+'7010'!P103+'7200'!P100+'7300'!P100+'8200'!P100+'9510'!P100</f>
        <v>0</v>
      </c>
      <c r="Q101" s="101">
        <f>SUM(E101:P101)</f>
        <v>0</v>
      </c>
    </row>
    <row r="102" spans="1:17" x14ac:dyDescent="0.35">
      <c r="A102" s="66" t="s">
        <v>127</v>
      </c>
      <c r="D102" s="6" t="s">
        <v>69</v>
      </c>
      <c r="E102" s="6">
        <f>'1100'!E101+'1500'!E101+'2300'!E101+'4500'!E101+'5600'!E101+'7010'!E104+'7200'!E101+'7300'!E101+'8200'!E101+'9510'!E101</f>
        <v>0</v>
      </c>
      <c r="F102" s="6">
        <f>'1100'!F101+'1500'!F101+'2300'!F101+'4500'!F101+'5600'!F101+'7010'!F104+'7200'!F101+'7300'!F101+'8200'!F101+'9510'!F101</f>
        <v>0</v>
      </c>
      <c r="G102" s="6">
        <f>'1100'!G101+'1500'!G101+'2300'!G101+'4500'!G101+'5600'!G101+'7010'!G104+'7200'!G101+'7300'!G101+'8200'!G101+'9510'!G101</f>
        <v>0</v>
      </c>
      <c r="H102" s="6">
        <f>'1100'!H101+'1500'!H101+'2300'!H101+'4500'!H101+'5600'!H101+'7010'!H104+'7200'!H101+'7300'!H101+'8200'!H101+'9510'!H101</f>
        <v>0</v>
      </c>
      <c r="I102" s="6">
        <f>'1100'!I101+'1500'!I101+'2300'!I101+'4500'!I101+'5600'!I101+'7010'!I104+'7200'!I101+'7300'!I101+'8200'!I101+'9510'!I101</f>
        <v>0</v>
      </c>
      <c r="J102" s="6">
        <f>'1100'!J101+'1500'!J101+'2300'!J101+'4500'!J101+'5600'!J101+'7010'!J104+'7200'!J101+'7300'!J101+'8200'!J101+'9510'!J101</f>
        <v>0</v>
      </c>
      <c r="K102" s="6">
        <f>'1100'!K101+'1500'!K101+'2300'!K101+'4500'!K101+'5600'!K101+'7010'!K104+'7200'!K101+'7300'!K101+'8200'!K101+'9510'!K101</f>
        <v>0</v>
      </c>
      <c r="L102" s="6">
        <f>'1100'!L101+'1500'!L101+'2300'!L101+'4500'!L101+'5600'!L101+'7010'!L104+'7200'!L101+'7300'!L101+'8200'!L101+'9510'!L101</f>
        <v>0</v>
      </c>
      <c r="M102" s="6">
        <f>'1100'!M101+'1500'!M101+'2300'!M101+'4500'!M101+'5600'!M101+'7010'!M104+'7200'!M101+'7300'!M101+'8200'!M101+'9510'!M101</f>
        <v>0</v>
      </c>
      <c r="N102" s="6">
        <f>'1100'!N101+'1500'!N101+'2300'!N101+'4500'!N101+'5600'!N101+'7010'!N104+'7200'!N101+'7300'!N101+'8200'!N101+'9510'!N101</f>
        <v>0</v>
      </c>
      <c r="O102" s="6">
        <f>'1100'!O101+'1500'!O101+'2300'!O101+'4500'!O101+'5600'!O101+'7010'!O104+'7200'!O101+'7300'!O101+'8200'!O101+'9510'!O101</f>
        <v>0</v>
      </c>
      <c r="P102" s="6">
        <f>'1100'!P101+'1500'!P101+'2300'!P101+'4500'!P101+'5600'!P101+'7010'!P104+'7200'!P101+'7300'!P101+'8200'!P101+'9510'!P101</f>
        <v>0</v>
      </c>
      <c r="Q102" s="101">
        <f>SUM(E102:P102)</f>
        <v>0</v>
      </c>
    </row>
    <row r="103" spans="1:17" x14ac:dyDescent="0.35">
      <c r="A103" s="66" t="s">
        <v>120</v>
      </c>
      <c r="D103" s="6" t="s">
        <v>70</v>
      </c>
      <c r="E103" s="15">
        <f>'1100'!E102+'1500'!E102+'2300'!E102+'4500'!E102+'5600'!E102+'7010'!E105+'7200'!E102+'7300'!E102+'8200'!E102+'9510'!E102</f>
        <v>790.52500000000009</v>
      </c>
      <c r="F103" s="15">
        <f>'1100'!F102+'1500'!F102+'2300'!F102+'4500'!F102+'5600'!F102+'7010'!F105+'7200'!F102+'7300'!F102+'8200'!F102+'9510'!F102</f>
        <v>790.52500000000009</v>
      </c>
      <c r="G103" s="15">
        <f>'1100'!G102+'1500'!G102+'2300'!G102+'4500'!G102+'5600'!G102+'7010'!G105+'7200'!G102+'7300'!G102+'8200'!G102+'9510'!G102</f>
        <v>790.52500000000009</v>
      </c>
      <c r="H103" s="15">
        <f>'1100'!H102+'1500'!H102+'2300'!H102+'4500'!H102+'5600'!H102+'7010'!H105+'7200'!H102+'7300'!H102+'8200'!H102+'9510'!H102</f>
        <v>790.52500000000009</v>
      </c>
      <c r="I103" s="15">
        <f>'1100'!I102+'1500'!I102+'2300'!I102+'4500'!I102+'5600'!I102+'7010'!I105+'7200'!I102+'7300'!I102+'8200'!I102+'9510'!I102</f>
        <v>790.52500000000009</v>
      </c>
      <c r="J103" s="15">
        <f>'1100'!J102+'1500'!J102+'2300'!J102+'4500'!J102+'5600'!J102+'7010'!J105+'7200'!J102+'7300'!J102+'8200'!J102+'9510'!J102</f>
        <v>790.52500000000009</v>
      </c>
      <c r="K103" s="15">
        <f>'1100'!K102+'1500'!K102+'2300'!K102+'4500'!K102+'5600'!K102+'7010'!K105+'7200'!K102+'7300'!K102+'8200'!K102+'9510'!K102</f>
        <v>790.52500000000009</v>
      </c>
      <c r="L103" s="15">
        <f>'1100'!L102+'1500'!L102+'2300'!L102+'4500'!L102+'5600'!L102+'7010'!L105+'7200'!L102+'7300'!L102+'8200'!L102+'9510'!L102</f>
        <v>790.52500000000009</v>
      </c>
      <c r="M103" s="15">
        <f>'1100'!M102+'1500'!M102+'2300'!M102+'4500'!M102+'5600'!M102+'7010'!M105+'7200'!M102+'7300'!M102+'8200'!M102+'9510'!M102</f>
        <v>790.52500000000009</v>
      </c>
      <c r="N103" s="15">
        <f>'1100'!N102+'1500'!N102+'2300'!N102+'4500'!N102+'5600'!N102+'7010'!N105+'7200'!N102+'7300'!N102+'8200'!N102+'9510'!N102</f>
        <v>790.52500000000009</v>
      </c>
      <c r="O103" s="15">
        <f>'1100'!O102+'1500'!O102+'2300'!O102+'4500'!O102+'5600'!O102+'7010'!O105+'7200'!O102+'7300'!O102+'8200'!O102+'9510'!O102</f>
        <v>790.52500000000009</v>
      </c>
      <c r="P103" s="15">
        <f>'1100'!P102+'1500'!P102+'2300'!P102+'4500'!P102+'5600'!P102+'7010'!P105+'7200'!P102+'7300'!P102+'8200'!P102+'9510'!P102</f>
        <v>790.52500000000009</v>
      </c>
      <c r="Q103" s="108">
        <f>SUM(E103:P103)</f>
        <v>9486.2999999999993</v>
      </c>
    </row>
    <row r="104" spans="1:17" x14ac:dyDescent="0.35">
      <c r="A104" s="66"/>
      <c r="C104" s="6" t="s">
        <v>71</v>
      </c>
      <c r="E104" s="15">
        <f t="shared" ref="E104:Q104" si="23">SUM(E99:E103)</f>
        <v>1161.325</v>
      </c>
      <c r="F104" s="15">
        <f t="shared" ref="F104:P104" si="24">SUM(F99:F103)</f>
        <v>1161.325</v>
      </c>
      <c r="G104" s="15">
        <f t="shared" si="24"/>
        <v>1161.325</v>
      </c>
      <c r="H104" s="15">
        <f t="shared" si="24"/>
        <v>1161.325</v>
      </c>
      <c r="I104" s="15">
        <f t="shared" si="24"/>
        <v>1161.325</v>
      </c>
      <c r="J104" s="15">
        <f t="shared" si="24"/>
        <v>1161.325</v>
      </c>
      <c r="K104" s="15">
        <f t="shared" si="24"/>
        <v>1161.325</v>
      </c>
      <c r="L104" s="15">
        <f t="shared" si="24"/>
        <v>1161.325</v>
      </c>
      <c r="M104" s="15">
        <f t="shared" si="24"/>
        <v>1161.325</v>
      </c>
      <c r="N104" s="15">
        <f t="shared" si="24"/>
        <v>1161.325</v>
      </c>
      <c r="O104" s="15">
        <f t="shared" si="24"/>
        <v>1161.325</v>
      </c>
      <c r="P104" s="15">
        <f t="shared" si="24"/>
        <v>1161.325</v>
      </c>
      <c r="Q104" s="108">
        <f t="shared" si="23"/>
        <v>13935.900000000001</v>
      </c>
    </row>
    <row r="105" spans="1:17" x14ac:dyDescent="0.35">
      <c r="A105" s="66"/>
      <c r="Q105" s="101"/>
    </row>
    <row r="106" spans="1:17" ht="18" x14ac:dyDescent="0.35">
      <c r="A106" s="66"/>
      <c r="C106" s="29" t="s">
        <v>72</v>
      </c>
      <c r="D106" s="54"/>
      <c r="E106" s="54">
        <f>+E76+E80+E85+E89+E91+E93+E95+E97+E104</f>
        <v>71682.040768333332</v>
      </c>
      <c r="F106" s="54">
        <f t="shared" ref="F106:P106" si="25">+F76+F80+F85+F89+F91+F93+F95+F97+F104</f>
        <v>70912.148953333322</v>
      </c>
      <c r="G106" s="54">
        <f t="shared" si="25"/>
        <v>70411.297173333325</v>
      </c>
      <c r="H106" s="54">
        <f t="shared" si="25"/>
        <v>213447.94388833334</v>
      </c>
      <c r="I106" s="54">
        <f t="shared" si="25"/>
        <v>71220.886313333322</v>
      </c>
      <c r="J106" s="54">
        <f t="shared" si="25"/>
        <v>70899.164748333322</v>
      </c>
      <c r="K106" s="54">
        <f t="shared" si="25"/>
        <v>71730.992858333324</v>
      </c>
      <c r="L106" s="54">
        <f t="shared" si="25"/>
        <v>71745.487628333329</v>
      </c>
      <c r="M106" s="54">
        <f t="shared" si="25"/>
        <v>72113.98073333333</v>
      </c>
      <c r="N106" s="54">
        <f t="shared" si="25"/>
        <v>72151.108858333333</v>
      </c>
      <c r="O106" s="54">
        <f t="shared" si="25"/>
        <v>72305.252083333326</v>
      </c>
      <c r="P106" s="54">
        <f t="shared" si="25"/>
        <v>76659.396253333325</v>
      </c>
      <c r="Q106" s="109">
        <f t="shared" ref="Q106" si="26">+Q76+Q80+Q85+Q89+Q91+Q93+Q95+Q97+Q104</f>
        <v>1005279.70026</v>
      </c>
    </row>
    <row r="107" spans="1:17" ht="18" x14ac:dyDescent="0.35">
      <c r="A107" s="66"/>
      <c r="Q107" s="103">
        <f>+'1100'!Q105+'1500'!Q105+'2300'!Q105+'4500'!Q105+'5600'!Q105+'7010'!Q108+'7200'!Q105</f>
        <v>831317.86437699257</v>
      </c>
    </row>
    <row r="108" spans="1:17" ht="16.5" thickBot="1" x14ac:dyDescent="0.4">
      <c r="A108" s="66"/>
      <c r="Q108" s="101">
        <f>+Q106-Q107</f>
        <v>173961.83588300738</v>
      </c>
    </row>
    <row r="109" spans="1:17" s="8" customFormat="1" ht="18" thickBot="1" x14ac:dyDescent="0.4">
      <c r="A109" s="218"/>
      <c r="B109" s="219" t="s">
        <v>73</v>
      </c>
      <c r="C109" s="220"/>
      <c r="D109" s="220"/>
      <c r="E109" s="220">
        <f>+E72+E106</f>
        <v>267876.79911000002</v>
      </c>
      <c r="F109" s="220">
        <f t="shared" ref="F109:P109" si="27">+F72+F106</f>
        <v>263162.93729499995</v>
      </c>
      <c r="G109" s="220">
        <f t="shared" si="27"/>
        <v>284277.46551499999</v>
      </c>
      <c r="H109" s="220">
        <f t="shared" si="27"/>
        <v>411847.98222999997</v>
      </c>
      <c r="I109" s="220">
        <f t="shared" si="27"/>
        <v>259463.37465499996</v>
      </c>
      <c r="J109" s="220">
        <f t="shared" si="27"/>
        <v>238492.74309</v>
      </c>
      <c r="K109" s="220">
        <f t="shared" si="27"/>
        <v>225686.35119999998</v>
      </c>
      <c r="L109" s="220">
        <f t="shared" si="27"/>
        <v>244340.74596999999</v>
      </c>
      <c r="M109" s="220">
        <f t="shared" si="27"/>
        <v>307221.94907500001</v>
      </c>
      <c r="N109" s="220">
        <f t="shared" si="27"/>
        <v>253487.60719999997</v>
      </c>
      <c r="O109" s="220">
        <f t="shared" si="27"/>
        <v>234886.94042499998</v>
      </c>
      <c r="P109" s="220">
        <f t="shared" si="27"/>
        <v>254198.50459500001</v>
      </c>
      <c r="Q109" s="226">
        <f t="shared" ref="Q109" si="28">+Q72+Q106</f>
        <v>3244943.4003599999</v>
      </c>
    </row>
    <row r="110" spans="1:17" ht="18" x14ac:dyDescent="0.35">
      <c r="A110" s="66"/>
      <c r="Q110" s="103">
        <f>+'1100'!Q108+'1500'!Q108+'2300'!Q108+'4500'!Q108+'5600'!Q108+'7010'!Q111+'7200'!Q108</f>
        <v>2743582.553904308</v>
      </c>
    </row>
    <row r="111" spans="1:17" ht="16.5" thickBot="1" x14ac:dyDescent="0.4">
      <c r="A111" s="66"/>
      <c r="Q111" s="101"/>
    </row>
    <row r="112" spans="1:17" s="8" customFormat="1" ht="18" thickBot="1" x14ac:dyDescent="0.4">
      <c r="A112" s="218"/>
      <c r="B112" s="219" t="s">
        <v>74</v>
      </c>
      <c r="C112" s="220"/>
      <c r="D112" s="220"/>
      <c r="E112" s="220">
        <f>+E24-E109</f>
        <v>317106.29475666664</v>
      </c>
      <c r="F112" s="220">
        <f t="shared" ref="F112:P112" si="29">+F24-F109</f>
        <v>311309.80657166673</v>
      </c>
      <c r="G112" s="220">
        <f t="shared" si="29"/>
        <v>287351.4283516666</v>
      </c>
      <c r="H112" s="220">
        <f t="shared" si="29"/>
        <v>166321.2249700001</v>
      </c>
      <c r="I112" s="220">
        <f t="shared" si="29"/>
        <v>320004.41254500009</v>
      </c>
      <c r="J112" s="220">
        <f t="shared" si="29"/>
        <v>344235.92411000002</v>
      </c>
      <c r="K112" s="220">
        <f t="shared" si="29"/>
        <v>365846.52183333336</v>
      </c>
      <c r="L112" s="220">
        <f t="shared" si="29"/>
        <v>344154.82706333342</v>
      </c>
      <c r="M112" s="220">
        <f t="shared" si="29"/>
        <v>282189.52895833331</v>
      </c>
      <c r="N112" s="220">
        <f t="shared" si="29"/>
        <v>342861.87250000006</v>
      </c>
      <c r="O112" s="220">
        <f t="shared" si="29"/>
        <v>364084.79927500006</v>
      </c>
      <c r="P112" s="220">
        <f t="shared" si="29"/>
        <v>386114.90510499995</v>
      </c>
      <c r="Q112" s="226">
        <f t="shared" ref="Q112" si="30">+Q24-Q109</f>
        <v>3831581.5460399999</v>
      </c>
    </row>
    <row r="113" spans="1:17" ht="18" x14ac:dyDescent="0.35">
      <c r="A113" s="66"/>
      <c r="Q113" s="103"/>
    </row>
    <row r="114" spans="1:17" x14ac:dyDescent="0.35">
      <c r="A114" s="66" t="s">
        <v>121</v>
      </c>
      <c r="D114" s="6" t="s">
        <v>75</v>
      </c>
      <c r="E114" s="6">
        <f>+'1100'!E113+'1500'!E113+'2300'!E113+'4500'!E113+'5600'!E113+'7010'!E116+'7200'!E113+'7300'!E113+'8200'!E113+'9510'!E113</f>
        <v>0</v>
      </c>
      <c r="F114" s="6">
        <f>+'1100'!F113+'1500'!F113+'2300'!F113+'4500'!F113+'5600'!F113+'7010'!F116+'7200'!F113+'7300'!F113+'8200'!F113+'9510'!F113</f>
        <v>0</v>
      </c>
      <c r="G114" s="6">
        <f>+'1100'!G113+'1500'!G113+'2300'!G113+'4500'!G113+'5600'!G113+'7010'!G116+'7200'!G113+'7300'!G113+'8200'!G113+'9510'!G113</f>
        <v>0</v>
      </c>
      <c r="H114" s="6">
        <f>+'1100'!H113+'1500'!H113+'2300'!H113+'4500'!H113+'5600'!H113+'7010'!H116+'7200'!H113+'7300'!H113+'8200'!H113+'9510'!H113</f>
        <v>0</v>
      </c>
      <c r="I114" s="6">
        <f>+'1100'!I113+'1500'!I113+'2300'!I113+'4500'!I113+'5600'!I113+'7010'!I116+'7200'!I113+'7300'!I113+'8200'!I113+'9510'!I113</f>
        <v>0</v>
      </c>
      <c r="J114" s="6">
        <f>+'1100'!J113+'1500'!J113+'2300'!J113+'4500'!J113+'5600'!J113+'7010'!J116+'7200'!J113+'7300'!J113+'8200'!J113+'9510'!J113</f>
        <v>0</v>
      </c>
      <c r="K114" s="6">
        <f>+'1100'!K113+'1500'!K113+'2300'!K113+'4500'!K113+'5600'!K113+'7010'!K116+'7200'!K113+'7300'!K113+'8200'!K113+'9510'!K113</f>
        <v>0</v>
      </c>
      <c r="L114" s="6">
        <f>+'1100'!L113+'1500'!L113+'2300'!L113+'4500'!L113+'5600'!L113+'7010'!L116+'7200'!L113+'7300'!L113+'8200'!L113+'9510'!L113</f>
        <v>0</v>
      </c>
      <c r="M114" s="6">
        <f>+'1100'!M113+'1500'!M113+'2300'!M113+'4500'!M113+'5600'!M113+'7010'!M116+'7200'!M113+'7300'!M113+'8200'!M113+'9510'!M113</f>
        <v>0</v>
      </c>
      <c r="N114" s="6">
        <f>+'1100'!N113+'1500'!N113+'2300'!N113+'4500'!N113+'5600'!N113+'7010'!N116+'7200'!N113+'7300'!N113+'8200'!N113+'9510'!N113</f>
        <v>0</v>
      </c>
      <c r="O114" s="6">
        <f>+'1100'!O113+'1500'!O113+'2300'!O113+'4500'!O113+'5600'!O113+'7010'!O116+'7200'!O113+'7300'!O113+'8200'!O113+'9510'!O113</f>
        <v>0</v>
      </c>
      <c r="P114" s="6">
        <f>+'1100'!P113+'1500'!P113+'2300'!P113+'4500'!P113+'5600'!P113+'7010'!P116+'7200'!P113+'7300'!P113+'8200'!P113+'9510'!P113</f>
        <v>0</v>
      </c>
      <c r="Q114" s="101">
        <f>SUM(E114:P114)</f>
        <v>0</v>
      </c>
    </row>
    <row r="115" spans="1:17" x14ac:dyDescent="0.35">
      <c r="A115" s="66" t="s">
        <v>122</v>
      </c>
      <c r="D115" s="6" t="s">
        <v>76</v>
      </c>
      <c r="E115" s="6">
        <f>+'1100'!E114+'1500'!E114+'2300'!E114+'4500'!E114+'5600'!E114+'7010'!E117+'7200'!E114+'7300'!E114+'8200'!E114+'9510'!E114</f>
        <v>167200</v>
      </c>
      <c r="F115" s="6">
        <f>+'1100'!F114+'1500'!F114+'2300'!F114+'4500'!F114+'5600'!F114+'7010'!F117+'7200'!F114+'7300'!F114+'8200'!F114+'9510'!F114</f>
        <v>25000</v>
      </c>
      <c r="G115" s="6">
        <f>+'1100'!G114+'1500'!G114+'2300'!G114+'4500'!G114+'5600'!G114+'7010'!G117+'7200'!G114+'7300'!G114+'8200'!G114+'9510'!G114</f>
        <v>38500</v>
      </c>
      <c r="H115" s="6">
        <f>+'1100'!H114+'1500'!H114+'2300'!H114+'4500'!H114+'5600'!H114+'7010'!H117+'7200'!H114+'7300'!H114+'8200'!H114+'9510'!H114</f>
        <v>306219</v>
      </c>
      <c r="I115" s="6">
        <f>+'1100'!I114+'1500'!I114+'2300'!I114+'4500'!I114+'5600'!I114+'7010'!I117+'7200'!I114+'7300'!I114+'8200'!I114+'9510'!I114</f>
        <v>0</v>
      </c>
      <c r="J115" s="6">
        <f>+'1100'!J114+'1500'!J114+'2300'!J114+'4500'!J114+'5600'!J114+'7010'!J117+'7200'!J114+'7300'!J114+'8200'!J114+'9510'!J114</f>
        <v>0</v>
      </c>
      <c r="K115" s="6">
        <f>+'1100'!K114+'1500'!K114+'2300'!K114+'4500'!K114+'5600'!K114+'7010'!K117+'7200'!K114+'7300'!K114+'8200'!K114+'9510'!K114</f>
        <v>257500</v>
      </c>
      <c r="L115" s="6">
        <f>+'1100'!L114+'1500'!L114+'2300'!L114+'4500'!L114+'5600'!L114+'7010'!L117+'7200'!L114+'7300'!L114+'8200'!L114+'9510'!L114</f>
        <v>0</v>
      </c>
      <c r="M115" s="6">
        <f>+'1100'!M114+'1500'!M114+'2300'!M114+'4500'!M114+'5600'!M114+'7010'!M117+'7200'!M114+'7300'!M114+'8200'!M114+'9510'!M114</f>
        <v>0</v>
      </c>
      <c r="N115" s="6">
        <f>+'1100'!N114+'1500'!N114+'2300'!N114+'4500'!N114+'5600'!N114+'7010'!N117+'7200'!N114+'7300'!N114+'8200'!N114+'9510'!N114</f>
        <v>0</v>
      </c>
      <c r="O115" s="6">
        <f>+'1100'!O114+'1500'!O114+'2300'!O114+'4500'!O114+'5600'!O114+'7010'!O117+'7200'!O114+'7300'!O114+'8200'!O114+'9510'!O114</f>
        <v>0</v>
      </c>
      <c r="P115" s="6">
        <f>+'1100'!P114+'1500'!P114+'2300'!P114+'4500'!P114+'5600'!P114+'7010'!P117+'7200'!P114+'7300'!P114+'8200'!P114+'9510'!P114</f>
        <v>0</v>
      </c>
      <c r="Q115" s="101">
        <f>SUM(E115:P115)</f>
        <v>794419</v>
      </c>
    </row>
    <row r="116" spans="1:17" x14ac:dyDescent="0.35">
      <c r="A116" s="66" t="s">
        <v>123</v>
      </c>
      <c r="D116" s="6" t="s">
        <v>77</v>
      </c>
      <c r="E116" s="6">
        <f>+'1100'!E115+'1500'!E115+'2300'!E115+'4500'!E115+'5600'!E115+'7010'!E118+'7200'!E115+'7300'!E115+'8200'!E115+'9510'!E115</f>
        <v>0</v>
      </c>
      <c r="F116" s="6">
        <f>+'1100'!F115+'1500'!F115+'2300'!F115+'4500'!F115+'5600'!F115+'7010'!F118+'7200'!F115+'7300'!F115+'8200'!F115+'9510'!F115</f>
        <v>0</v>
      </c>
      <c r="G116" s="6">
        <f>+'1100'!G115+'1500'!G115+'2300'!G115+'4500'!G115+'5600'!G115+'7010'!G118+'7200'!G115+'7300'!G115+'8200'!G115+'9510'!G115</f>
        <v>128000</v>
      </c>
      <c r="H116" s="6">
        <f>+'1100'!H115+'1500'!H115+'2300'!H115+'4500'!H115+'5600'!H115+'7010'!H118+'7200'!H115+'7300'!H115+'8200'!H115+'9510'!H115</f>
        <v>0</v>
      </c>
      <c r="I116" s="6">
        <f>+'1100'!I115+'1500'!I115+'2300'!I115+'4500'!I115+'5600'!I115+'7010'!I118+'7200'!I115+'7300'!I115+'8200'!I115+'9510'!I115</f>
        <v>0</v>
      </c>
      <c r="J116" s="6">
        <f>+'1100'!J115+'1500'!J115+'2300'!J115+'4500'!J115+'5600'!J115+'7010'!J118+'7200'!J115+'7300'!J115+'8200'!J115+'9510'!J115</f>
        <v>0</v>
      </c>
      <c r="K116" s="6">
        <f>+'1100'!K115+'1500'!K115+'2300'!K115+'4500'!K115+'5600'!K115+'7010'!K118+'7200'!K115+'7300'!K115+'8200'!K115+'9510'!K115</f>
        <v>0</v>
      </c>
      <c r="L116" s="6">
        <f>+'1100'!L115+'1500'!L115+'2300'!L115+'4500'!L115+'5600'!L115+'7010'!L118+'7200'!L115+'7300'!L115+'8200'!L115+'9510'!L115</f>
        <v>0</v>
      </c>
      <c r="M116" s="6">
        <f>+'1100'!M115+'1500'!M115+'2300'!M115+'4500'!M115+'5600'!M115+'7010'!M118+'7200'!M115+'7300'!M115+'8200'!M115+'9510'!M115</f>
        <v>0</v>
      </c>
      <c r="N116" s="6">
        <f>+'1100'!N115+'1500'!N115+'2300'!N115+'4500'!N115+'5600'!N115+'7010'!N118+'7200'!N115+'7300'!N115+'8200'!N115+'9510'!N115</f>
        <v>0</v>
      </c>
      <c r="O116" s="6">
        <f>+'1100'!O115+'1500'!O115+'2300'!O115+'4500'!O115+'5600'!O115+'7010'!O118+'7200'!O115+'7300'!O115+'8200'!O115+'9510'!O115</f>
        <v>0</v>
      </c>
      <c r="P116" s="6">
        <f>+'1100'!P115+'1500'!P115+'2300'!P115+'4500'!P115+'5600'!P115+'7010'!P118+'7200'!P115+'7300'!P115+'8200'!P115+'9510'!P115</f>
        <v>0</v>
      </c>
      <c r="Q116" s="101">
        <f>SUM(E116:P116)</f>
        <v>128000</v>
      </c>
    </row>
    <row r="117" spans="1:17" x14ac:dyDescent="0.35">
      <c r="A117" s="66" t="s">
        <v>129</v>
      </c>
      <c r="D117" s="6" t="s">
        <v>78</v>
      </c>
      <c r="E117" s="15">
        <f>+'1100'!E116+'1500'!E116+'2300'!E116+'4500'!E116+'5600'!E116+'7010'!E119+'7200'!E116+'7300'!E116+'8200'!E116+'9510'!E116</f>
        <v>0</v>
      </c>
      <c r="F117" s="15">
        <f>+'1100'!F116+'1500'!F116+'2300'!F116+'4500'!F116+'5600'!F116+'7010'!F119+'7200'!F116+'7300'!F116+'8200'!F116+'9510'!F116</f>
        <v>0</v>
      </c>
      <c r="G117" s="15">
        <f>+'1100'!G116+'1500'!G116+'2300'!G116+'4500'!G116+'5600'!G116+'7010'!G119+'7200'!G116+'7300'!G116+'8200'!G116+'9510'!G116</f>
        <v>0</v>
      </c>
      <c r="H117" s="15">
        <f>+'1100'!H116+'1500'!H116+'2300'!H116+'4500'!H116+'5600'!H116+'7010'!H119+'7200'!H116+'7300'!H116+'8200'!H116+'9510'!H116</f>
        <v>0</v>
      </c>
      <c r="I117" s="15">
        <f>+'1100'!I116+'1500'!I116+'2300'!I116+'4500'!I116+'5600'!I116+'7010'!I119+'7200'!I116+'7300'!I116+'8200'!I116+'9510'!I116</f>
        <v>0</v>
      </c>
      <c r="J117" s="15">
        <f>+'1100'!J116+'1500'!J116+'2300'!J116+'4500'!J116+'5600'!J116+'7010'!J119+'7200'!J116+'7300'!J116+'8200'!J116+'9510'!J116</f>
        <v>0</v>
      </c>
      <c r="K117" s="15">
        <f>+'1100'!K116+'1500'!K116+'2300'!K116+'4500'!K116+'5600'!K116+'7010'!K119+'7200'!K116+'7300'!K116+'8200'!K116+'9510'!K116</f>
        <v>0</v>
      </c>
      <c r="L117" s="15">
        <f>+'1100'!L116+'1500'!L116+'2300'!L116+'4500'!L116+'5600'!L116+'7010'!L119+'7200'!L116+'7300'!L116+'8200'!L116+'9510'!L116</f>
        <v>0</v>
      </c>
      <c r="M117" s="15">
        <f>+'1100'!M116+'1500'!M116+'2300'!M116+'4500'!M116+'5600'!M116+'7010'!M119+'7200'!M116+'7300'!M116+'8200'!M116+'9510'!M116</f>
        <v>0</v>
      </c>
      <c r="N117" s="15">
        <f>+'1100'!N116+'1500'!N116+'2300'!N116+'4500'!N116+'5600'!N116+'7010'!N119+'7200'!N116+'7300'!N116+'8200'!N116+'9510'!N116</f>
        <v>0</v>
      </c>
      <c r="O117" s="15">
        <f>+'1100'!O116+'1500'!O116+'2300'!O116+'4500'!O116+'5600'!O116+'7010'!O119+'7200'!O116+'7300'!O116+'8200'!O116+'9510'!O116</f>
        <v>0</v>
      </c>
      <c r="P117" s="15">
        <f>+'1100'!P116+'1500'!P116+'2300'!P116+'4500'!P116+'5600'!P116+'7010'!P119+'7200'!P116+'7300'!P116+'8200'!P116+'9510'!P116</f>
        <v>0</v>
      </c>
      <c r="Q117" s="108">
        <f>SUM(E117:P117)</f>
        <v>0</v>
      </c>
    </row>
    <row r="118" spans="1:17" x14ac:dyDescent="0.35">
      <c r="A118" s="66"/>
      <c r="C118" s="6" t="s">
        <v>78</v>
      </c>
      <c r="E118" s="49">
        <f t="shared" ref="E118:Q118" si="31">SUM(E114:E117)</f>
        <v>167200</v>
      </c>
      <c r="F118" s="49">
        <f t="shared" ref="F118:P118" si="32">SUM(F114:F117)</f>
        <v>25000</v>
      </c>
      <c r="G118" s="49">
        <f t="shared" si="32"/>
        <v>166500</v>
      </c>
      <c r="H118" s="49">
        <f t="shared" si="32"/>
        <v>306219</v>
      </c>
      <c r="I118" s="49">
        <f t="shared" si="32"/>
        <v>0</v>
      </c>
      <c r="J118" s="49">
        <f t="shared" si="32"/>
        <v>0</v>
      </c>
      <c r="K118" s="49">
        <f t="shared" si="32"/>
        <v>257500</v>
      </c>
      <c r="L118" s="49">
        <f t="shared" si="32"/>
        <v>0</v>
      </c>
      <c r="M118" s="49">
        <f t="shared" si="32"/>
        <v>0</v>
      </c>
      <c r="N118" s="49">
        <f t="shared" si="32"/>
        <v>0</v>
      </c>
      <c r="O118" s="49">
        <f t="shared" si="32"/>
        <v>0</v>
      </c>
      <c r="P118" s="49">
        <f t="shared" si="32"/>
        <v>0</v>
      </c>
      <c r="Q118" s="107">
        <f t="shared" si="31"/>
        <v>922419</v>
      </c>
    </row>
    <row r="119" spans="1:17" x14ac:dyDescent="0.35">
      <c r="A119" s="66"/>
      <c r="Q119" s="101"/>
    </row>
    <row r="120" spans="1:17" x14ac:dyDescent="0.35">
      <c r="A120" s="66" t="s">
        <v>124</v>
      </c>
      <c r="C120" s="6" t="s">
        <v>79</v>
      </c>
      <c r="E120" s="6">
        <f>+'1100'!E119+'1500'!E119+'2300'!E119+'4500'!E119+'5600'!E119+'7010'!E122+'7200'!E119+'7300'!E119+'8200'!E119+'9510'!E119</f>
        <v>0</v>
      </c>
      <c r="F120" s="6">
        <f>+'1100'!F119+'1500'!F119+'2300'!F119+'4500'!F119+'5600'!F119+'7010'!F122+'7200'!F119+'7300'!F119+'8200'!F119+'9510'!F119</f>
        <v>0</v>
      </c>
      <c r="G120" s="6">
        <f>+'1100'!G119+'1500'!G119+'2300'!G119+'4500'!G119+'5600'!G119+'7010'!G122+'7200'!G119+'7300'!G119+'8200'!G119+'9510'!G119</f>
        <v>0</v>
      </c>
      <c r="H120" s="6">
        <f>+'1100'!H119+'1500'!H119+'2300'!H119+'4500'!H119+'5600'!H119+'7010'!H122+'7200'!H119+'7300'!H119+'8200'!H119+'9510'!H119</f>
        <v>0</v>
      </c>
      <c r="I120" s="6">
        <f>+'1100'!I119+'1500'!I119+'2300'!I119+'4500'!I119+'5600'!I119+'7010'!I122+'7200'!I119+'7300'!I119+'8200'!I119+'9510'!I119</f>
        <v>0</v>
      </c>
      <c r="J120" s="6">
        <f>+'1100'!J119+'1500'!J119+'2300'!J119+'4500'!J119+'5600'!J119+'7010'!J122+'7200'!J119+'7300'!J119+'8200'!J119+'9510'!J119</f>
        <v>15000</v>
      </c>
      <c r="K120" s="6">
        <f>+'1100'!K119+'1500'!K119+'2300'!K119+'4500'!K119+'5600'!K119+'7010'!K122+'7200'!K119+'7300'!K119+'8200'!K119+'9510'!K119</f>
        <v>0</v>
      </c>
      <c r="L120" s="6">
        <f>+'1100'!L119+'1500'!L119+'2300'!L119+'4500'!L119+'5600'!L119+'7010'!L122+'7200'!L119+'7300'!L119+'8200'!L119+'9510'!L119</f>
        <v>16560</v>
      </c>
      <c r="M120" s="6">
        <f>+'1100'!M119+'1500'!M119+'2300'!M119+'4500'!M119+'5600'!M119+'7010'!M122+'7200'!M119+'7300'!M119+'8200'!M119+'9510'!M119</f>
        <v>0</v>
      </c>
      <c r="N120" s="6">
        <f>+'1100'!N119+'1500'!N119+'2300'!N119+'4500'!N119+'5600'!N119+'7010'!N122+'7200'!N119+'7300'!N119+'8200'!N119+'9510'!N119</f>
        <v>0</v>
      </c>
      <c r="O120" s="6">
        <f>+'1100'!O119+'1500'!O119+'2300'!O119+'4500'!O119+'5600'!O119+'7010'!O122+'7200'!O119+'7300'!O119+'8200'!O119+'9510'!O119</f>
        <v>0</v>
      </c>
      <c r="P120" s="6">
        <f>+'1100'!P119+'1500'!P119+'2300'!P119+'4500'!P119+'5600'!P119+'7010'!P122+'7200'!P119+'7300'!P119+'8200'!P119+'9510'!P119</f>
        <v>0</v>
      </c>
      <c r="Q120" s="101">
        <f>SUM(E120:P120)</f>
        <v>31560</v>
      </c>
    </row>
    <row r="121" spans="1:17" ht="18" x14ac:dyDescent="0.35">
      <c r="A121" s="6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11"/>
    </row>
    <row r="122" spans="1:17" ht="18" x14ac:dyDescent="0.35">
      <c r="A122" s="66" t="s">
        <v>125</v>
      </c>
      <c r="D122" s="6" t="s">
        <v>80</v>
      </c>
      <c r="E122" s="6">
        <f>'7300'!E121+'8200'!E121+'9510'!E121</f>
        <v>0</v>
      </c>
      <c r="F122" s="6">
        <f>'7300'!F121+'8200'!F121+'9510'!F121</f>
        <v>0</v>
      </c>
      <c r="G122" s="6">
        <f>'7300'!G121+'8200'!G121+'9510'!G121</f>
        <v>0</v>
      </c>
      <c r="H122" s="6">
        <f>'7300'!H121+'8200'!H121+'9510'!H121</f>
        <v>0</v>
      </c>
      <c r="I122" s="6">
        <f>'7300'!I121+'8200'!I121+'9510'!I121</f>
        <v>0</v>
      </c>
      <c r="J122" s="6">
        <f>'7300'!J121+'8200'!J121+'9510'!J121</f>
        <v>0</v>
      </c>
      <c r="K122" s="6">
        <f>'7300'!K121+'8200'!K121+'9510'!K121</f>
        <v>0</v>
      </c>
      <c r="L122" s="6">
        <f>'7300'!L121+'8200'!L121+'9510'!L121</f>
        <v>0</v>
      </c>
      <c r="M122" s="6">
        <f>'7300'!M121+'8200'!M121+'9510'!M121</f>
        <v>0</v>
      </c>
      <c r="N122" s="6">
        <f>'7300'!N121+'8200'!N121+'9510'!N121</f>
        <v>0</v>
      </c>
      <c r="O122" s="6">
        <f>'7300'!O121+'8200'!O121+'9510'!O121</f>
        <v>0</v>
      </c>
      <c r="P122" s="6">
        <f>'7300'!P121+'8200'!P121+'9510'!P121</f>
        <v>0</v>
      </c>
      <c r="Q122" s="103">
        <f>SUM(E122:P122)</f>
        <v>0</v>
      </c>
    </row>
    <row r="123" spans="1:17" x14ac:dyDescent="0.35">
      <c r="A123" s="66" t="s">
        <v>125</v>
      </c>
      <c r="B123" s="8"/>
      <c r="D123" s="6" t="s">
        <v>81</v>
      </c>
      <c r="E123" s="15">
        <f>'7300'!E122+'8200'!E122+'9510'!E122</f>
        <v>0</v>
      </c>
      <c r="F123" s="15">
        <f>'7300'!F122+'8200'!F122+'9510'!F122</f>
        <v>0</v>
      </c>
      <c r="G123" s="15">
        <f>'7300'!G122+'8200'!G122+'9510'!G122</f>
        <v>0</v>
      </c>
      <c r="H123" s="15">
        <f>'7300'!H122+'8200'!H122+'9510'!H122</f>
        <v>0</v>
      </c>
      <c r="I123" s="15">
        <f>'7300'!I122+'8200'!I122+'9510'!I122</f>
        <v>0</v>
      </c>
      <c r="J123" s="15">
        <f>'7300'!J122+'8200'!J122+'9510'!J122</f>
        <v>0</v>
      </c>
      <c r="K123" s="15">
        <f>'7300'!K122+'8200'!K122+'9510'!K122</f>
        <v>0</v>
      </c>
      <c r="L123" s="15">
        <f>'7300'!L122+'8200'!L122+'9510'!L122</f>
        <v>0</v>
      </c>
      <c r="M123" s="15">
        <f>'7300'!M122+'8200'!M122+'9510'!M122</f>
        <v>0</v>
      </c>
      <c r="N123" s="15">
        <f>'7300'!N122+'8200'!N122+'9510'!N122</f>
        <v>0</v>
      </c>
      <c r="O123" s="15">
        <f>'7300'!O122+'8200'!O122+'9510'!O122</f>
        <v>0</v>
      </c>
      <c r="P123" s="15">
        <f>'7300'!P122+'8200'!P122+'9510'!P122</f>
        <v>0</v>
      </c>
      <c r="Q123" s="108">
        <f>SUM(E123:P123)</f>
        <v>0</v>
      </c>
    </row>
    <row r="124" spans="1:17" x14ac:dyDescent="0.35">
      <c r="A124" s="66"/>
      <c r="C124" s="6" t="s">
        <v>81</v>
      </c>
      <c r="D124" s="30"/>
      <c r="E124" s="6">
        <f>+'1100'!E123+'1500'!E123+'2300'!E123+'4500'!E122+'5600'!E123+'7010'!E126+'7200'!E123</f>
        <v>0</v>
      </c>
      <c r="F124" s="6">
        <f>+'1100'!F123+'1500'!F123+'2300'!F123+'4500'!F122+'5600'!F123+'7010'!F126+'7200'!F123</f>
        <v>0</v>
      </c>
      <c r="G124" s="6">
        <f>+'1100'!G123+'1500'!G123+'2300'!G123+'4500'!G122+'5600'!G123+'7010'!G126+'7200'!G123</f>
        <v>0</v>
      </c>
      <c r="H124" s="6">
        <f>+'1100'!H123+'1500'!H123+'2300'!H123+'4500'!H122+'5600'!H123+'7010'!H126+'7200'!H123</f>
        <v>0</v>
      </c>
      <c r="I124" s="6">
        <f>+'1100'!I123+'1500'!I123+'2300'!I123+'4500'!I122+'5600'!I123+'7010'!I126+'7200'!I123</f>
        <v>0</v>
      </c>
      <c r="J124" s="6">
        <f>+'1100'!J123+'1500'!J123+'2300'!J123+'4500'!J122+'5600'!J123+'7010'!J126+'7200'!J123</f>
        <v>0</v>
      </c>
      <c r="K124" s="6">
        <f>+'1100'!K123+'1500'!K123+'2300'!K123+'4500'!K122+'5600'!K123+'7010'!K126+'7200'!K123</f>
        <v>0</v>
      </c>
      <c r="L124" s="6">
        <f>+'1100'!L123+'1500'!L123+'2300'!L123+'4500'!L122+'5600'!L123+'7010'!L126+'7200'!L123</f>
        <v>0</v>
      </c>
      <c r="M124" s="6">
        <f>+'1100'!M123+'1500'!M123+'2300'!M123+'4500'!M122+'5600'!M123+'7010'!M126+'7200'!M123</f>
        <v>0</v>
      </c>
      <c r="N124" s="6">
        <f>+'1100'!N123+'1500'!N123+'2300'!N123+'4500'!N122+'5600'!N123+'7010'!N126+'7200'!N123</f>
        <v>0</v>
      </c>
      <c r="O124" s="6">
        <f>+'1100'!O123+'1500'!O123+'2300'!O123+'4500'!O122+'5600'!O123+'7010'!O126+'7200'!O123</f>
        <v>0</v>
      </c>
      <c r="P124" s="6">
        <f>+'1100'!P123+'1500'!P123+'2300'!P123+'4500'!P122+'5600'!P123+'7010'!P126+'7200'!P123</f>
        <v>0</v>
      </c>
      <c r="Q124" s="101">
        <f t="shared" ref="Q124" si="33">SUM(Q122:Q123)</f>
        <v>0</v>
      </c>
    </row>
    <row r="125" spans="1:17" s="8" customFormat="1" ht="18.5" thickBot="1" x14ac:dyDescent="0.4">
      <c r="A125" s="67"/>
      <c r="Q125" s="113"/>
    </row>
    <row r="126" spans="1:17" s="8" customFormat="1" ht="18" thickBot="1" x14ac:dyDescent="0.4">
      <c r="A126" s="218"/>
      <c r="B126" s="219" t="s">
        <v>82</v>
      </c>
      <c r="C126" s="220"/>
      <c r="D126" s="220"/>
      <c r="E126" s="220">
        <f t="shared" ref="E126:Q126" si="34">+E112-E118</f>
        <v>149906.29475666664</v>
      </c>
      <c r="F126" s="220">
        <f t="shared" ref="F126:P126" si="35">+F112-F118</f>
        <v>286309.80657166673</v>
      </c>
      <c r="G126" s="220">
        <f t="shared" si="35"/>
        <v>120851.4283516666</v>
      </c>
      <c r="H126" s="220">
        <f t="shared" si="35"/>
        <v>-139897.7750299999</v>
      </c>
      <c r="I126" s="220">
        <f t="shared" si="35"/>
        <v>320004.41254500009</v>
      </c>
      <c r="J126" s="220">
        <f t="shared" si="35"/>
        <v>344235.92411000002</v>
      </c>
      <c r="K126" s="220">
        <f t="shared" si="35"/>
        <v>108346.52183333336</v>
      </c>
      <c r="L126" s="220">
        <f t="shared" si="35"/>
        <v>344154.82706333342</v>
      </c>
      <c r="M126" s="220">
        <f t="shared" si="35"/>
        <v>282189.52895833331</v>
      </c>
      <c r="N126" s="220">
        <f t="shared" si="35"/>
        <v>342861.87250000006</v>
      </c>
      <c r="O126" s="220">
        <f t="shared" si="35"/>
        <v>364084.79927500006</v>
      </c>
      <c r="P126" s="220">
        <f t="shared" si="35"/>
        <v>386114.90510499995</v>
      </c>
      <c r="Q126" s="221">
        <f t="shared" si="34"/>
        <v>2909162.5460399999</v>
      </c>
    </row>
    <row r="127" spans="1:17" ht="18" x14ac:dyDescent="0.35">
      <c r="A127" s="66"/>
      <c r="Q127" s="103"/>
    </row>
    <row r="128" spans="1:17" x14ac:dyDescent="0.35">
      <c r="A128" s="66"/>
      <c r="B128" s="6" t="s">
        <v>83</v>
      </c>
      <c r="Q128" s="101"/>
    </row>
    <row r="129" spans="1:17" x14ac:dyDescent="0.35">
      <c r="A129" s="66" t="s">
        <v>128</v>
      </c>
      <c r="D129" s="6" t="s">
        <v>84</v>
      </c>
      <c r="E129" s="6">
        <f>+'1100'!E128+'1500'!E128+'2300'!E128+'4500'!E128+'5600'!E128+'7010'!E131+'7200'!E128+'7300'!E128+'8200'!E128+'9510'!E128</f>
        <v>47987.415029833021</v>
      </c>
      <c r="F129" s="6">
        <f>+'1100'!F128+'1500'!F128+'2300'!F128+'4500'!F128+'5600'!F128+'7010'!F131+'7200'!F128+'7300'!F128+'8200'!F128+'9510'!F128</f>
        <v>47851.992976819238</v>
      </c>
      <c r="G129" s="6">
        <f>+'1100'!G128+'1500'!G128+'2300'!G128+'4500'!G128+'5600'!G128+'7010'!G131+'7200'!G128+'7300'!G128+'8200'!G128+'9510'!G128</f>
        <v>47716.173274789369</v>
      </c>
      <c r="H129" s="6">
        <f>+'1100'!H128+'1500'!H128+'2300'!H128+'4500'!H128+'5600'!H128+'7010'!H131+'7200'!H128+'7300'!H128+'8200'!H128+'9510'!H128</f>
        <v>47579.954756040868</v>
      </c>
      <c r="I129" s="6">
        <f>+'1100'!I128+'1500'!I128+'2300'!I128+'4500'!I128+'5600'!I128+'7010'!I131+'7200'!I128+'7300'!I128+'8200'!I128+'9510'!I128</f>
        <v>47443.336249442022</v>
      </c>
      <c r="J129" s="6">
        <f>+'1100'!J128+'1500'!J128+'2300'!J128+'4500'!J128+'5600'!J128+'7010'!J131+'7200'!J128+'7300'!J128+'8200'!J128+'9510'!J128</f>
        <v>47306.316580421953</v>
      </c>
      <c r="K129" s="6">
        <f>+'1100'!K128+'1500'!K128+'2300'!K128+'4500'!K128+'5600'!K128+'7010'!K131+'7200'!K128+'7300'!K128+'8200'!K128+'9510'!K128</f>
        <v>47168.894570960401</v>
      </c>
      <c r="L129" s="6">
        <f>+'1100'!L128+'1500'!L128+'2300'!L128+'4500'!L128+'5600'!L128+'7010'!L131+'7200'!L128+'7300'!L128+'8200'!L128+'9510'!L128</f>
        <v>47031.069039577684</v>
      </c>
      <c r="M129" s="6">
        <f>+'1100'!M128+'1500'!M128+'2300'!M128+'4500'!M128+'5600'!M128+'7010'!M131+'7200'!M128+'7300'!M128+'8200'!M128+'9510'!M128</f>
        <v>46892.838801324491</v>
      </c>
      <c r="N129" s="6">
        <f>+'1100'!N128+'1500'!N128+'2300'!N128+'4500'!N128+'5600'!N128+'7010'!N131+'7200'!N128+'7300'!N128+'8200'!N128+'9510'!N128</f>
        <v>46754.202667771766</v>
      </c>
      <c r="O129" s="6">
        <f>+'1100'!O128+'1500'!O128+'2300'!O128+'4500'!O128+'5600'!O128+'7010'!O131+'7200'!O128+'7300'!O128+'8200'!O128+'9510'!O128</f>
        <v>46615.159447000347</v>
      </c>
      <c r="P129" s="6">
        <f>+'1100'!P128+'1500'!P128+'2300'!P128+'4500'!P128+'5600'!P128+'7010'!P131+'7200'!P128+'7300'!P128+'8200'!P128+'9510'!P128</f>
        <v>46475.707943590889</v>
      </c>
      <c r="Q129" s="101">
        <f>SUM(E129:P129)</f>
        <v>566823.06133757206</v>
      </c>
    </row>
    <row r="130" spans="1:17" x14ac:dyDescent="0.35">
      <c r="A130" s="66" t="s">
        <v>145</v>
      </c>
      <c r="D130" s="6" t="s">
        <v>85</v>
      </c>
      <c r="E130" s="6">
        <f>+'1100'!E129+'1500'!E129+'2300'!E129+'4500'!E129+'5600'!E129+'7010'!E132+'7200'!E129+'7300'!E129+'8200'!E129+'9510'!E129</f>
        <v>46121.206063037855</v>
      </c>
      <c r="F130" s="6">
        <f>+'1100'!F129+'1500'!F129+'2300'!F129+'4500'!F129+'5600'!F129+'7010'!F132+'7200'!F129+'7300'!F129+'8200'!F129+'9510'!F129</f>
        <v>46256.628116051645</v>
      </c>
      <c r="G130" s="6">
        <f>+'1100'!G129+'1500'!G129+'2300'!G129+'4500'!G129+'5600'!G129+'7010'!G132+'7200'!G129+'7300'!G129+'8200'!G129+'9510'!G129</f>
        <v>46392.447818081513</v>
      </c>
      <c r="H130" s="6">
        <f>+'1100'!H129+'1500'!H129+'2300'!H129+'4500'!H129+'5600'!H129+'7010'!H132+'7200'!H129+'7300'!H129+'8200'!H129+'9510'!H129</f>
        <v>46528.666336830021</v>
      </c>
      <c r="I130" s="6">
        <f>+'1100'!I129+'1500'!I129+'2300'!I129+'4500'!I129+'5600'!I129+'7010'!I132+'7200'!I129+'7300'!I129+'8200'!I129+'9510'!I129</f>
        <v>46665.284843428846</v>
      </c>
      <c r="J130" s="6">
        <f>+'1100'!J129+'1500'!J129+'2300'!J129+'4500'!J129+'5600'!J129+'7010'!J132+'7200'!J129+'7300'!J129+'8200'!J129+'9510'!J129</f>
        <v>46802.304512448929</v>
      </c>
      <c r="K130" s="6">
        <f>+'1100'!K129+'1500'!K129+'2300'!K129+'4500'!K129+'5600'!K129+'7010'!K132+'7200'!K129+'7300'!K129+'8200'!K129+'9510'!K129</f>
        <v>46939.726521910488</v>
      </c>
      <c r="L130" s="6">
        <f>+'1100'!L129+'1500'!L129+'2300'!L129+'4500'!L129+'5600'!L129+'7010'!L132+'7200'!L129+'7300'!L129+'8200'!L129+'9510'!L129</f>
        <v>47077.552053293206</v>
      </c>
      <c r="M130" s="6">
        <f>+'1100'!M129+'1500'!M129+'2300'!M129+'4500'!M129+'5600'!M129+'7010'!M132+'7200'!M129+'7300'!M129+'8200'!M129+'9510'!M129</f>
        <v>47215.782291546391</v>
      </c>
      <c r="N130" s="6">
        <f>+'1100'!N129+'1500'!N129+'2300'!N129+'4500'!N129+'5600'!N129+'7010'!N132+'7200'!N129+'7300'!N129+'8200'!N129+'9510'!N129</f>
        <v>47354.418425099131</v>
      </c>
      <c r="O130" s="6">
        <f>+'1100'!O129+'1500'!O129+'2300'!O129+'4500'!O129+'5600'!O129+'7010'!O132+'7200'!O129+'7300'!O129+'8200'!O129+'9510'!O129</f>
        <v>47493.461645870535</v>
      </c>
      <c r="P130" s="6">
        <f>+'1100'!P129+'1500'!P129+'2300'!P129+'4500'!P129+'5600'!P129+'7010'!P132+'7200'!P129+'7300'!P129+'8200'!P129+'9510'!P129</f>
        <v>47632.913149279993</v>
      </c>
      <c r="Q130" s="101">
        <f>SUM(E130:P130)</f>
        <v>562480.3917768785</v>
      </c>
    </row>
    <row r="131" spans="1:17" x14ac:dyDescent="0.35">
      <c r="A131" s="66" t="s">
        <v>146</v>
      </c>
      <c r="D131" s="6" t="s">
        <v>86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08">
        <f>SUM(E131:P131)</f>
        <v>0</v>
      </c>
    </row>
    <row r="132" spans="1:17" x14ac:dyDescent="0.35">
      <c r="A132" s="66"/>
      <c r="C132" s="6" t="s">
        <v>87</v>
      </c>
      <c r="E132" s="15">
        <f>SUM(E129:E131)</f>
        <v>94108.621092870875</v>
      </c>
      <c r="F132" s="15">
        <f t="shared" ref="F132:P132" si="36">SUM(F129:F131)</f>
        <v>94108.62109287089</v>
      </c>
      <c r="G132" s="15">
        <f t="shared" si="36"/>
        <v>94108.62109287089</v>
      </c>
      <c r="H132" s="15">
        <f t="shared" si="36"/>
        <v>94108.62109287089</v>
      </c>
      <c r="I132" s="15">
        <f t="shared" si="36"/>
        <v>94108.621092870861</v>
      </c>
      <c r="J132" s="15">
        <f t="shared" si="36"/>
        <v>94108.62109287089</v>
      </c>
      <c r="K132" s="15">
        <f t="shared" si="36"/>
        <v>94108.62109287089</v>
      </c>
      <c r="L132" s="15">
        <f t="shared" si="36"/>
        <v>94108.62109287089</v>
      </c>
      <c r="M132" s="15">
        <f t="shared" si="36"/>
        <v>94108.62109287089</v>
      </c>
      <c r="N132" s="15">
        <f t="shared" si="36"/>
        <v>94108.62109287089</v>
      </c>
      <c r="O132" s="15">
        <f t="shared" si="36"/>
        <v>94108.62109287089</v>
      </c>
      <c r="P132" s="15">
        <f t="shared" si="36"/>
        <v>94108.62109287089</v>
      </c>
      <c r="Q132" s="108">
        <f t="shared" ref="Q132" si="37">SUM(Q129:Q131)</f>
        <v>1129303.4531144504</v>
      </c>
    </row>
    <row r="133" spans="1:17" ht="18" x14ac:dyDescent="0.35">
      <c r="A133" s="66"/>
      <c r="Q133" s="103"/>
    </row>
    <row r="134" spans="1:17" ht="18.5" thickBot="1" x14ac:dyDescent="0.4">
      <c r="A134" s="66"/>
      <c r="Q134" s="103"/>
    </row>
    <row r="135" spans="1:17" s="8" customFormat="1" ht="18" thickBot="1" x14ac:dyDescent="0.4">
      <c r="A135" s="218"/>
      <c r="B135" s="219" t="s">
        <v>88</v>
      </c>
      <c r="C135" s="220"/>
      <c r="D135" s="220"/>
      <c r="E135" s="220">
        <f t="shared" ref="E135:Q135" si="38">+E126-E132</f>
        <v>55797.673663795766</v>
      </c>
      <c r="F135" s="220">
        <f t="shared" ref="F135:P135" si="39">+F126-F132</f>
        <v>192201.18547879584</v>
      </c>
      <c r="G135" s="220">
        <f t="shared" si="39"/>
        <v>26742.807258795714</v>
      </c>
      <c r="H135" s="220">
        <f t="shared" si="39"/>
        <v>-234006.39612287079</v>
      </c>
      <c r="I135" s="220">
        <f t="shared" si="39"/>
        <v>225895.79145212923</v>
      </c>
      <c r="J135" s="220">
        <f t="shared" si="39"/>
        <v>250127.30301712913</v>
      </c>
      <c r="K135" s="220">
        <f t="shared" si="39"/>
        <v>14237.900740462472</v>
      </c>
      <c r="L135" s="220">
        <f t="shared" si="39"/>
        <v>250046.20597046253</v>
      </c>
      <c r="M135" s="220">
        <f t="shared" si="39"/>
        <v>188080.90786546242</v>
      </c>
      <c r="N135" s="220">
        <f t="shared" si="39"/>
        <v>248753.25140712917</v>
      </c>
      <c r="O135" s="220">
        <f t="shared" si="39"/>
        <v>269976.17818212917</v>
      </c>
      <c r="P135" s="220">
        <f t="shared" si="39"/>
        <v>292006.28401212906</v>
      </c>
      <c r="Q135" s="221">
        <f t="shared" si="38"/>
        <v>1779859.0929255495</v>
      </c>
    </row>
    <row r="136" spans="1:17" ht="18" x14ac:dyDescent="0.35">
      <c r="A136" s="66"/>
      <c r="Q136" s="328"/>
    </row>
    <row r="137" spans="1:17" ht="18" x14ac:dyDescent="0.35">
      <c r="A137" s="66"/>
      <c r="Q137" s="328"/>
    </row>
    <row r="138" spans="1:17" ht="18" x14ac:dyDescent="0.35">
      <c r="A138" s="66"/>
      <c r="Q138" s="328"/>
    </row>
    <row r="139" spans="1:17" ht="18" x14ac:dyDescent="0.35">
      <c r="A139" s="66"/>
      <c r="Q139" s="328"/>
    </row>
    <row r="140" spans="1:17" ht="18" x14ac:dyDescent="0.35">
      <c r="A140" s="66"/>
      <c r="Q140" s="328"/>
    </row>
    <row r="141" spans="1:17" ht="18" x14ac:dyDescent="0.35">
      <c r="A141" s="66"/>
      <c r="Q141" s="328"/>
    </row>
    <row r="142" spans="1:17" ht="18" x14ac:dyDescent="0.35">
      <c r="A142" s="66"/>
      <c r="Q142" s="328"/>
    </row>
    <row r="143" spans="1:17" ht="18" x14ac:dyDescent="0.35">
      <c r="A143" s="66"/>
      <c r="Q143" s="328"/>
    </row>
    <row r="144" spans="1:17" ht="18" x14ac:dyDescent="0.35">
      <c r="A144" s="66"/>
      <c r="Q144" s="328"/>
    </row>
    <row r="145" spans="1:17" ht="18" x14ac:dyDescent="0.35">
      <c r="A145" s="66"/>
      <c r="Q145" s="328"/>
    </row>
    <row r="146" spans="1:17" x14ac:dyDescent="0.35">
      <c r="A146" s="47"/>
    </row>
    <row r="147" spans="1:17" x14ac:dyDescent="0.35">
      <c r="A147" s="47"/>
    </row>
    <row r="148" spans="1:17" x14ac:dyDescent="0.35">
      <c r="A148" s="47"/>
    </row>
    <row r="149" spans="1:17" x14ac:dyDescent="0.35">
      <c r="A149" s="47"/>
    </row>
    <row r="150" spans="1:17" x14ac:dyDescent="0.35">
      <c r="A150" s="47"/>
    </row>
    <row r="151" spans="1:17" x14ac:dyDescent="0.35">
      <c r="A151" s="47"/>
    </row>
    <row r="152" spans="1:17" x14ac:dyDescent="0.35">
      <c r="A152" s="47"/>
    </row>
    <row r="153" spans="1:17" x14ac:dyDescent="0.35">
      <c r="A153" s="47"/>
    </row>
    <row r="154" spans="1:17" x14ac:dyDescent="0.35">
      <c r="A154" s="47"/>
    </row>
    <row r="155" spans="1:17" x14ac:dyDescent="0.35">
      <c r="A155" s="47"/>
    </row>
    <row r="156" spans="1:17" x14ac:dyDescent="0.35">
      <c r="A156" s="47"/>
    </row>
    <row r="157" spans="1:17" x14ac:dyDescent="0.35">
      <c r="A157" s="47"/>
    </row>
    <row r="158" spans="1:17" x14ac:dyDescent="0.35">
      <c r="A158" s="47"/>
    </row>
    <row r="159" spans="1:17" x14ac:dyDescent="0.35">
      <c r="A159" s="47"/>
    </row>
    <row r="160" spans="1:17" x14ac:dyDescent="0.35">
      <c r="A160" s="47"/>
    </row>
    <row r="161" spans="1:1" x14ac:dyDescent="0.35">
      <c r="A161" s="47"/>
    </row>
    <row r="162" spans="1:1" x14ac:dyDescent="0.35">
      <c r="A162" s="47"/>
    </row>
    <row r="163" spans="1:1" x14ac:dyDescent="0.35">
      <c r="A163" s="47"/>
    </row>
    <row r="164" spans="1:1" x14ac:dyDescent="0.35">
      <c r="A164" s="47"/>
    </row>
    <row r="165" spans="1:1" x14ac:dyDescent="0.35">
      <c r="A165" s="47"/>
    </row>
    <row r="166" spans="1:1" x14ac:dyDescent="0.35">
      <c r="A166" s="47"/>
    </row>
    <row r="167" spans="1:1" x14ac:dyDescent="0.35">
      <c r="A167" s="47"/>
    </row>
    <row r="168" spans="1:1" x14ac:dyDescent="0.35">
      <c r="A168" s="47"/>
    </row>
    <row r="169" spans="1:1" x14ac:dyDescent="0.35">
      <c r="A169" s="47"/>
    </row>
    <row r="170" spans="1:1" x14ac:dyDescent="0.35">
      <c r="A170" s="47"/>
    </row>
    <row r="171" spans="1:1" x14ac:dyDescent="0.35">
      <c r="A171" s="47"/>
    </row>
    <row r="172" spans="1:1" x14ac:dyDescent="0.35">
      <c r="A172" s="47"/>
    </row>
    <row r="173" spans="1:1" x14ac:dyDescent="0.35">
      <c r="A173" s="47"/>
    </row>
    <row r="174" spans="1:1" x14ac:dyDescent="0.35">
      <c r="A174" s="47"/>
    </row>
    <row r="175" spans="1:1" x14ac:dyDescent="0.35">
      <c r="A175" s="47"/>
    </row>
    <row r="176" spans="1:1" x14ac:dyDescent="0.35">
      <c r="A176" s="47"/>
    </row>
    <row r="177" spans="1:1" x14ac:dyDescent="0.35">
      <c r="A177" s="47"/>
    </row>
    <row r="178" spans="1:1" x14ac:dyDescent="0.35">
      <c r="A178" s="47"/>
    </row>
    <row r="179" spans="1:1" x14ac:dyDescent="0.35">
      <c r="A179" s="47"/>
    </row>
    <row r="180" spans="1:1" x14ac:dyDescent="0.35">
      <c r="A180" s="47"/>
    </row>
    <row r="181" spans="1:1" x14ac:dyDescent="0.35">
      <c r="A181" s="47"/>
    </row>
    <row r="182" spans="1:1" x14ac:dyDescent="0.35">
      <c r="A182" s="47"/>
    </row>
    <row r="183" spans="1:1" x14ac:dyDescent="0.35">
      <c r="A183" s="47"/>
    </row>
    <row r="184" spans="1:1" x14ac:dyDescent="0.35">
      <c r="A184" s="47"/>
    </row>
    <row r="185" spans="1:1" x14ac:dyDescent="0.35">
      <c r="A185" s="47"/>
    </row>
    <row r="186" spans="1:1" x14ac:dyDescent="0.35">
      <c r="A186" s="47"/>
    </row>
    <row r="187" spans="1:1" x14ac:dyDescent="0.35">
      <c r="A187" s="47"/>
    </row>
    <row r="188" spans="1:1" x14ac:dyDescent="0.35">
      <c r="A188" s="47"/>
    </row>
    <row r="189" spans="1:1" x14ac:dyDescent="0.35">
      <c r="A189" s="47"/>
    </row>
    <row r="190" spans="1:1" x14ac:dyDescent="0.35">
      <c r="A190" s="47"/>
    </row>
    <row r="191" spans="1:1" x14ac:dyDescent="0.35">
      <c r="A191" s="47"/>
    </row>
    <row r="192" spans="1:1" x14ac:dyDescent="0.35">
      <c r="A192" s="47"/>
    </row>
    <row r="193" spans="1:1" x14ac:dyDescent="0.35">
      <c r="A193" s="47"/>
    </row>
    <row r="194" spans="1:1" x14ac:dyDescent="0.35">
      <c r="A194" s="47"/>
    </row>
    <row r="195" spans="1:1" x14ac:dyDescent="0.35">
      <c r="A195" s="47"/>
    </row>
    <row r="196" spans="1:1" x14ac:dyDescent="0.35">
      <c r="A196" s="47"/>
    </row>
    <row r="197" spans="1:1" x14ac:dyDescent="0.35">
      <c r="A197" s="47"/>
    </row>
    <row r="198" spans="1:1" x14ac:dyDescent="0.35">
      <c r="A198" s="47"/>
    </row>
    <row r="199" spans="1:1" x14ac:dyDescent="0.35">
      <c r="A199" s="47"/>
    </row>
    <row r="200" spans="1:1" x14ac:dyDescent="0.35">
      <c r="A200" s="47"/>
    </row>
    <row r="201" spans="1:1" x14ac:dyDescent="0.35">
      <c r="A201" s="47"/>
    </row>
    <row r="202" spans="1:1" x14ac:dyDescent="0.35">
      <c r="A202" s="47"/>
    </row>
    <row r="203" spans="1:1" x14ac:dyDescent="0.35">
      <c r="A203" s="47"/>
    </row>
    <row r="204" spans="1:1" x14ac:dyDescent="0.35">
      <c r="A204" s="47"/>
    </row>
    <row r="205" spans="1:1" x14ac:dyDescent="0.35">
      <c r="A205" s="47"/>
    </row>
    <row r="206" spans="1:1" x14ac:dyDescent="0.35">
      <c r="A206" s="47"/>
    </row>
    <row r="207" spans="1:1" x14ac:dyDescent="0.35">
      <c r="A207" s="47"/>
    </row>
    <row r="208" spans="1:1" x14ac:dyDescent="0.35">
      <c r="A208" s="47"/>
    </row>
    <row r="209" spans="1:1" x14ac:dyDescent="0.35">
      <c r="A209" s="47"/>
    </row>
    <row r="210" spans="1:1" x14ac:dyDescent="0.35">
      <c r="A210" s="47"/>
    </row>
    <row r="211" spans="1:1" x14ac:dyDescent="0.35">
      <c r="A211" s="47"/>
    </row>
    <row r="212" spans="1:1" x14ac:dyDescent="0.35">
      <c r="A212" s="47"/>
    </row>
    <row r="213" spans="1:1" x14ac:dyDescent="0.35">
      <c r="A213" s="47"/>
    </row>
    <row r="214" spans="1:1" x14ac:dyDescent="0.35">
      <c r="A214" s="47"/>
    </row>
    <row r="215" spans="1:1" x14ac:dyDescent="0.35">
      <c r="A215" s="47"/>
    </row>
    <row r="216" spans="1:1" x14ac:dyDescent="0.35">
      <c r="A216" s="47"/>
    </row>
    <row r="217" spans="1:1" x14ac:dyDescent="0.35">
      <c r="A217" s="47"/>
    </row>
    <row r="218" spans="1:1" x14ac:dyDescent="0.35">
      <c r="A218" s="47"/>
    </row>
    <row r="219" spans="1:1" x14ac:dyDescent="0.35">
      <c r="A219" s="47"/>
    </row>
    <row r="220" spans="1:1" x14ac:dyDescent="0.35">
      <c r="A220" s="47"/>
    </row>
    <row r="221" spans="1:1" x14ac:dyDescent="0.35">
      <c r="A221" s="47"/>
    </row>
    <row r="222" spans="1:1" x14ac:dyDescent="0.35">
      <c r="A222" s="47"/>
    </row>
    <row r="223" spans="1:1" x14ac:dyDescent="0.35">
      <c r="A223" s="47"/>
    </row>
    <row r="224" spans="1:1" x14ac:dyDescent="0.35">
      <c r="A224" s="47"/>
    </row>
    <row r="225" spans="1:1" x14ac:dyDescent="0.35">
      <c r="A225" s="47"/>
    </row>
    <row r="226" spans="1:1" x14ac:dyDescent="0.35">
      <c r="A226" s="47"/>
    </row>
    <row r="227" spans="1:1" x14ac:dyDescent="0.35">
      <c r="A227" s="34"/>
    </row>
    <row r="228" spans="1:1" x14ac:dyDescent="0.35">
      <c r="A228" s="34"/>
    </row>
    <row r="229" spans="1:1" x14ac:dyDescent="0.35">
      <c r="A229" s="34"/>
    </row>
    <row r="230" spans="1:1" x14ac:dyDescent="0.35">
      <c r="A230" s="34"/>
    </row>
    <row r="231" spans="1:1" x14ac:dyDescent="0.35">
      <c r="A231" s="34"/>
    </row>
    <row r="232" spans="1:1" x14ac:dyDescent="0.35">
      <c r="A232" s="34"/>
    </row>
    <row r="233" spans="1:1" x14ac:dyDescent="0.35">
      <c r="A233" s="34"/>
    </row>
    <row r="234" spans="1:1" x14ac:dyDescent="0.35">
      <c r="A234" s="34"/>
    </row>
    <row r="235" spans="1:1" x14ac:dyDescent="0.35">
      <c r="A235" s="34"/>
    </row>
    <row r="236" spans="1:1" x14ac:dyDescent="0.35">
      <c r="A236" s="34"/>
    </row>
    <row r="237" spans="1:1" x14ac:dyDescent="0.35">
      <c r="A237" s="34"/>
    </row>
    <row r="238" spans="1:1" x14ac:dyDescent="0.35">
      <c r="A238" s="34"/>
    </row>
    <row r="239" spans="1:1" x14ac:dyDescent="0.35">
      <c r="A239" s="34"/>
    </row>
    <row r="240" spans="1:1" x14ac:dyDescent="0.35">
      <c r="A240" s="34"/>
    </row>
    <row r="241" spans="1:17" x14ac:dyDescent="0.35">
      <c r="A241" s="34"/>
    </row>
    <row r="242" spans="1:17" x14ac:dyDescent="0.35">
      <c r="A242" s="34"/>
    </row>
    <row r="243" spans="1:17" x14ac:dyDescent="0.35">
      <c r="A243" s="34"/>
    </row>
    <row r="244" spans="1:17" x14ac:dyDescent="0.35">
      <c r="A244" s="34"/>
    </row>
    <row r="245" spans="1:17" x14ac:dyDescent="0.35">
      <c r="A245" s="34"/>
    </row>
    <row r="246" spans="1:17" x14ac:dyDescent="0.35">
      <c r="A246" s="34"/>
    </row>
    <row r="247" spans="1:17" x14ac:dyDescent="0.35">
      <c r="A247" s="34"/>
    </row>
    <row r="248" spans="1:17" x14ac:dyDescent="0.35">
      <c r="A248" s="34"/>
    </row>
    <row r="249" spans="1:17" x14ac:dyDescent="0.35">
      <c r="A249" s="34"/>
    </row>
    <row r="250" spans="1:17" x14ac:dyDescent="0.35">
      <c r="A250" s="34"/>
    </row>
    <row r="251" spans="1:17" x14ac:dyDescent="0.35">
      <c r="A251" s="34"/>
    </row>
    <row r="252" spans="1:17" x14ac:dyDescent="0.35">
      <c r="A252" s="34"/>
    </row>
    <row r="253" spans="1:17" x14ac:dyDescent="0.35">
      <c r="A253" s="34"/>
    </row>
    <row r="254" spans="1:17" x14ac:dyDescent="0.35">
      <c r="A254" s="34"/>
    </row>
    <row r="256" spans="1:17" x14ac:dyDescent="0.35">
      <c r="D256" s="6" t="s">
        <v>259</v>
      </c>
      <c r="F256" s="6">
        <v>-2803</v>
      </c>
      <c r="G256" s="6">
        <f>+F256</f>
        <v>-2803</v>
      </c>
      <c r="H256" s="6">
        <f>-5293+G256</f>
        <v>-8096</v>
      </c>
      <c r="I256" s="6">
        <f>-3237+H256</f>
        <v>-11333</v>
      </c>
      <c r="J256" s="6">
        <f>-5607+I256</f>
        <v>-16940</v>
      </c>
      <c r="K256" s="6">
        <f>+J256</f>
        <v>-16940</v>
      </c>
      <c r="L256" s="6">
        <f>-4951+K256</f>
        <v>-21891</v>
      </c>
      <c r="M256" s="6">
        <f>+L256</f>
        <v>-21891</v>
      </c>
      <c r="N256" s="6">
        <f>+M256</f>
        <v>-21891</v>
      </c>
      <c r="O256" s="6">
        <f>+N256</f>
        <v>-21891</v>
      </c>
      <c r="P256" s="6">
        <f>+O256</f>
        <v>-21891</v>
      </c>
      <c r="Q256" s="6">
        <f>SUM(E256:P256)</f>
        <v>-168370</v>
      </c>
    </row>
    <row r="258" spans="4:17" x14ac:dyDescent="0.35">
      <c r="E258" s="6" t="e">
        <f>+#REF!+#REF!+E256</f>
        <v>#REF!</v>
      </c>
      <c r="F258" s="6" t="e">
        <f>+E258+#REF!+F256</f>
        <v>#REF!</v>
      </c>
      <c r="G258" s="6" t="e">
        <f>+F258+#REF!+G256</f>
        <v>#REF!</v>
      </c>
      <c r="H258" s="6" t="e">
        <f>+G258+#REF!+H256</f>
        <v>#REF!</v>
      </c>
      <c r="I258" s="6" t="e">
        <f>+H258+#REF!+I256</f>
        <v>#REF!</v>
      </c>
      <c r="J258" s="6" t="e">
        <f>+I258+#REF!+J256</f>
        <v>#REF!</v>
      </c>
      <c r="K258" s="6" t="e">
        <f>+J258+#REF!+K256</f>
        <v>#REF!</v>
      </c>
      <c r="L258" s="6" t="e">
        <f>+K258+#REF!+L256</f>
        <v>#REF!</v>
      </c>
      <c r="M258" s="6" t="e">
        <f>+L258+#REF!+M256</f>
        <v>#REF!</v>
      </c>
      <c r="N258" s="6" t="e">
        <f>+M258+#REF!+N256</f>
        <v>#REF!</v>
      </c>
      <c r="O258" s="6" t="e">
        <f>+N258+#REF!+O256</f>
        <v>#REF!</v>
      </c>
    </row>
    <row r="261" spans="4:17" ht="17.5" x14ac:dyDescent="0.5">
      <c r="D261" s="35" t="s">
        <v>158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spans="4:17" x14ac:dyDescent="0.35"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spans="4:17" ht="17.5" x14ac:dyDescent="0.5">
      <c r="D263" s="36" t="s">
        <v>150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spans="4:17" x14ac:dyDescent="0.35">
      <c r="D264" s="10" t="s">
        <v>84</v>
      </c>
      <c r="E264" s="6" t="e">
        <f>+'1100'!#REF!+'1500'!#REF!+'2300'!#REF!+'4500'!#REF!+'5600'!#REF!+'7010'!#REF!+'7200'!#REF!+#REF!</f>
        <v>#REF!</v>
      </c>
      <c r="F264" s="6" t="e">
        <f>+'1100'!#REF!+'1500'!#REF!+'2300'!#REF!+'4500'!#REF!+'5600'!#REF!+'7010'!#REF!+'7200'!#REF!+#REF!</f>
        <v>#REF!</v>
      </c>
      <c r="G264" s="6" t="e">
        <f>+'1100'!#REF!+'1500'!#REF!+'2300'!#REF!+'4500'!#REF!+'5600'!#REF!+'7010'!#REF!+'7200'!#REF!+#REF!</f>
        <v>#REF!</v>
      </c>
      <c r="H264" s="6" t="e">
        <f>+'1100'!#REF!+'1500'!#REF!+'2300'!#REF!+'4500'!#REF!+'5600'!#REF!+'7010'!#REF!+'7200'!#REF!+#REF!</f>
        <v>#REF!</v>
      </c>
      <c r="I264" s="6" t="e">
        <f>+'1100'!#REF!+'1500'!#REF!+'2300'!#REF!+'4500'!#REF!+'5600'!#REF!+'7010'!#REF!+'7200'!#REF!+#REF!</f>
        <v>#REF!</v>
      </c>
      <c r="J264" s="6" t="e">
        <f>+'1100'!#REF!+'1500'!#REF!+'2300'!#REF!+'4500'!#REF!+'5600'!#REF!+'7010'!#REF!+'7200'!#REF!+#REF!</f>
        <v>#REF!</v>
      </c>
      <c r="K264" s="6" t="e">
        <f>+'1100'!#REF!+'1500'!#REF!+'2300'!#REF!+'4500'!#REF!+'5600'!#REF!+'7010'!#REF!+'7200'!#REF!+#REF!</f>
        <v>#REF!</v>
      </c>
      <c r="L264" s="6" t="e">
        <f>+'1100'!#REF!+'1500'!#REF!+'2300'!#REF!+'4500'!#REF!+'5600'!#REF!+'7010'!#REF!+'7200'!#REF!+#REF!</f>
        <v>#REF!</v>
      </c>
      <c r="M264" s="6" t="e">
        <f>+'1100'!#REF!+'1500'!#REF!+'2300'!#REF!+'4500'!#REF!+'5600'!#REF!+'7010'!#REF!+'7200'!#REF!+#REF!</f>
        <v>#REF!</v>
      </c>
      <c r="N264" s="6" t="e">
        <f>+'1100'!#REF!+'1500'!#REF!+'2300'!#REF!+'4500'!#REF!+'5600'!#REF!+'7010'!#REF!+'7200'!#REF!+#REF!</f>
        <v>#REF!</v>
      </c>
      <c r="O264" s="6" t="e">
        <f>+'1100'!#REF!+'1500'!#REF!+'2300'!#REF!+'4500'!#REF!+'5600'!#REF!+'7010'!#REF!+'7200'!#REF!+#REF!</f>
        <v>#REF!</v>
      </c>
      <c r="P264" s="6" t="e">
        <f>+'1100'!#REF!+'1500'!#REF!+'2300'!#REF!+'4500'!#REF!+'5600'!#REF!+'7010'!#REF!+'7200'!#REF!+#REF!</f>
        <v>#REF!</v>
      </c>
      <c r="Q264" s="10" t="e">
        <f>SUM(E264:P264)</f>
        <v>#REF!</v>
      </c>
    </row>
    <row r="265" spans="4:17" x14ac:dyDescent="0.35">
      <c r="D265" s="10" t="s">
        <v>151</v>
      </c>
      <c r="E265" s="6" t="e">
        <f>+'1100'!#REF!+'1500'!#REF!+'2300'!#REF!+'4500'!#REF!+'5600'!#REF!+'7010'!#REF!+'7200'!#REF!+#REF!</f>
        <v>#REF!</v>
      </c>
      <c r="F265" s="6" t="e">
        <f>+'1100'!#REF!+'1500'!#REF!+'2300'!#REF!+'4500'!#REF!+'5600'!#REF!+'7010'!#REF!+'7200'!#REF!+#REF!</f>
        <v>#REF!</v>
      </c>
      <c r="G265" s="6" t="e">
        <f>+'1100'!#REF!+'1500'!#REF!+'2300'!#REF!+'4500'!#REF!+'5600'!#REF!+'7010'!#REF!+'7200'!#REF!+#REF!</f>
        <v>#REF!</v>
      </c>
      <c r="H265" s="6" t="e">
        <f>+'1100'!#REF!+'1500'!#REF!+'2300'!#REF!+'4500'!#REF!+'5600'!#REF!+'7010'!#REF!+'7200'!#REF!+#REF!</f>
        <v>#REF!</v>
      </c>
      <c r="I265" s="6" t="e">
        <f>+'1100'!#REF!+'1500'!#REF!+'2300'!#REF!+'4500'!#REF!+'5600'!#REF!+'7010'!#REF!+'7200'!#REF!+#REF!</f>
        <v>#REF!</v>
      </c>
      <c r="J265" s="6" t="e">
        <f>+'1100'!#REF!+'1500'!#REF!+'2300'!#REF!+'4500'!#REF!+'5600'!#REF!+'7010'!#REF!+'7200'!#REF!+#REF!</f>
        <v>#REF!</v>
      </c>
      <c r="K265" s="6" t="e">
        <f>+'1100'!#REF!+'1500'!#REF!+'2300'!#REF!+'4500'!#REF!+'5600'!#REF!+'7010'!#REF!+'7200'!#REF!+#REF!</f>
        <v>#REF!</v>
      </c>
      <c r="L265" s="6" t="e">
        <f>+'1100'!#REF!+'1500'!#REF!+'2300'!#REF!+'4500'!#REF!+'5600'!#REF!+'7010'!#REF!+'7200'!#REF!+#REF!</f>
        <v>#REF!</v>
      </c>
      <c r="M265" s="6" t="e">
        <f>+'1100'!#REF!+'1500'!#REF!+'2300'!#REF!+'4500'!#REF!+'5600'!#REF!+'7010'!#REF!+'7200'!#REF!+#REF!</f>
        <v>#REF!</v>
      </c>
      <c r="N265" s="6" t="e">
        <f>+'1100'!#REF!+'1500'!#REF!+'2300'!#REF!+'4500'!#REF!+'5600'!#REF!+'7010'!#REF!+'7200'!#REF!+#REF!</f>
        <v>#REF!</v>
      </c>
      <c r="O265" s="6" t="e">
        <f>+'1100'!#REF!+'1500'!#REF!+'2300'!#REF!+'4500'!#REF!+'5600'!#REF!+'7010'!#REF!+'7200'!#REF!+#REF!</f>
        <v>#REF!</v>
      </c>
      <c r="P265" s="6" t="e">
        <f>+'1100'!#REF!+'1500'!#REF!+'2300'!#REF!+'4500'!#REF!+'5600'!#REF!+'7010'!#REF!+'7200'!#REF!+#REF!</f>
        <v>#REF!</v>
      </c>
      <c r="Q265" s="10" t="e">
        <f>SUM(E265:P265)</f>
        <v>#REF!</v>
      </c>
    </row>
    <row r="266" spans="4:17" x14ac:dyDescent="0.35">
      <c r="D266" s="10" t="s">
        <v>12</v>
      </c>
      <c r="E266" s="37" t="e">
        <f>SUM(E264:E265)</f>
        <v>#REF!</v>
      </c>
      <c r="F266" s="37" t="e">
        <f t="shared" ref="F266:Q266" si="40">SUM(F264:F265)</f>
        <v>#REF!</v>
      </c>
      <c r="G266" s="37" t="e">
        <f t="shared" si="40"/>
        <v>#REF!</v>
      </c>
      <c r="H266" s="37" t="e">
        <f t="shared" si="40"/>
        <v>#REF!</v>
      </c>
      <c r="I266" s="37" t="e">
        <f t="shared" si="40"/>
        <v>#REF!</v>
      </c>
      <c r="J266" s="37" t="e">
        <f t="shared" si="40"/>
        <v>#REF!</v>
      </c>
      <c r="K266" s="37" t="e">
        <f t="shared" si="40"/>
        <v>#REF!</v>
      </c>
      <c r="L266" s="37" t="e">
        <f t="shared" si="40"/>
        <v>#REF!</v>
      </c>
      <c r="M266" s="37" t="e">
        <f t="shared" si="40"/>
        <v>#REF!</v>
      </c>
      <c r="N266" s="37" t="e">
        <f t="shared" si="40"/>
        <v>#REF!</v>
      </c>
      <c r="O266" s="37" t="e">
        <f t="shared" si="40"/>
        <v>#REF!</v>
      </c>
      <c r="P266" s="37" t="e">
        <f t="shared" si="40"/>
        <v>#REF!</v>
      </c>
      <c r="Q266" s="37" t="e">
        <f t="shared" si="40"/>
        <v>#REF!</v>
      </c>
    </row>
    <row r="267" spans="4:17" x14ac:dyDescent="0.35"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spans="4:17" ht="17.5" x14ac:dyDescent="0.5">
      <c r="D268" s="35" t="s">
        <v>152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spans="4:17" x14ac:dyDescent="0.35">
      <c r="D269" s="10" t="s">
        <v>84</v>
      </c>
      <c r="E269" s="6" t="e">
        <f>+'1100'!#REF!+'1500'!#REF!+'2300'!#REF!+'4500'!#REF!+'5600'!#REF!+'7010'!#REF!+'7200'!#REF!+#REF!</f>
        <v>#REF!</v>
      </c>
      <c r="F269" s="6" t="e">
        <f>+'1100'!#REF!+'1500'!#REF!+'2300'!#REF!+'4500'!#REF!+'5600'!#REF!+'7010'!#REF!+'7200'!#REF!+#REF!</f>
        <v>#REF!</v>
      </c>
      <c r="G269" s="6" t="e">
        <f>+'1100'!#REF!+'1500'!#REF!+'2300'!#REF!+'4500'!#REF!+'5600'!#REF!+'7010'!#REF!+'7200'!#REF!+#REF!</f>
        <v>#REF!</v>
      </c>
      <c r="H269" s="6" t="e">
        <f>+'1100'!#REF!+'1500'!#REF!+'2300'!#REF!+'4500'!#REF!+'5600'!#REF!+'7010'!#REF!+'7200'!#REF!+#REF!</f>
        <v>#REF!</v>
      </c>
      <c r="I269" s="6" t="e">
        <f>+'1100'!#REF!+'1500'!#REF!+'2300'!#REF!+'4500'!#REF!+'5600'!#REF!+'7010'!#REF!+'7200'!#REF!+#REF!</f>
        <v>#REF!</v>
      </c>
      <c r="J269" s="6" t="e">
        <f>+'1100'!#REF!+'1500'!#REF!+'2300'!#REF!+'4500'!#REF!+'5600'!#REF!+'7010'!#REF!+'7200'!#REF!+#REF!</f>
        <v>#REF!</v>
      </c>
      <c r="K269" s="6" t="e">
        <f>+'1100'!#REF!+'1500'!#REF!+'2300'!#REF!+'4500'!#REF!+'5600'!#REF!+'7010'!#REF!+'7200'!#REF!+#REF!</f>
        <v>#REF!</v>
      </c>
      <c r="L269" s="6" t="e">
        <f>+'1100'!#REF!+'1500'!#REF!+'2300'!#REF!+'4500'!#REF!+'5600'!#REF!+'7010'!#REF!+'7200'!#REF!+#REF!</f>
        <v>#REF!</v>
      </c>
      <c r="M269" s="6" t="e">
        <f>+'1100'!#REF!+'1500'!#REF!+'2300'!#REF!+'4500'!#REF!+'5600'!#REF!+'7010'!#REF!+'7200'!#REF!+#REF!</f>
        <v>#REF!</v>
      </c>
      <c r="N269" s="6" t="e">
        <f>+'1100'!#REF!+'1500'!#REF!+'2300'!#REF!+'4500'!#REF!+'5600'!#REF!+'7010'!#REF!+'7200'!#REF!+#REF!</f>
        <v>#REF!</v>
      </c>
      <c r="O269" s="6" t="e">
        <f>+'1100'!#REF!+'1500'!#REF!+'2300'!#REF!+'4500'!#REF!+'5600'!#REF!+'7010'!#REF!+'7200'!#REF!+#REF!</f>
        <v>#REF!</v>
      </c>
      <c r="P269" s="6" t="e">
        <f>+'1100'!#REF!+'1500'!#REF!+'2300'!#REF!+'4500'!#REF!+'5600'!#REF!+'7010'!#REF!+'7200'!#REF!+#REF!</f>
        <v>#REF!</v>
      </c>
      <c r="Q269" s="10" t="e">
        <f>SUM(E269:P269)</f>
        <v>#REF!</v>
      </c>
    </row>
    <row r="270" spans="4:17" x14ac:dyDescent="0.35">
      <c r="D270" s="10" t="s">
        <v>151</v>
      </c>
      <c r="E270" s="10">
        <f>ROUND(E306*$F$283,0)</f>
        <v>0</v>
      </c>
      <c r="F270" s="10">
        <f t="shared" ref="F270:P270" si="41">ROUND(F306*$F$283,0)</f>
        <v>0</v>
      </c>
      <c r="G270" s="10">
        <f t="shared" si="41"/>
        <v>0</v>
      </c>
      <c r="H270" s="10">
        <f t="shared" si="41"/>
        <v>0</v>
      </c>
      <c r="I270" s="10">
        <f t="shared" si="41"/>
        <v>0</v>
      </c>
      <c r="J270" s="10">
        <f t="shared" si="41"/>
        <v>0</v>
      </c>
      <c r="K270" s="10">
        <f t="shared" si="41"/>
        <v>0</v>
      </c>
      <c r="L270" s="10">
        <f t="shared" si="41"/>
        <v>0</v>
      </c>
      <c r="M270" s="10">
        <f t="shared" si="41"/>
        <v>0</v>
      </c>
      <c r="N270" s="10">
        <f t="shared" si="41"/>
        <v>0</v>
      </c>
      <c r="O270" s="10">
        <f t="shared" si="41"/>
        <v>0</v>
      </c>
      <c r="P270" s="10">
        <f t="shared" si="41"/>
        <v>0</v>
      </c>
      <c r="Q270" s="10">
        <f>SUM(E270:P270)</f>
        <v>0</v>
      </c>
    </row>
    <row r="271" spans="4:17" x14ac:dyDescent="0.35">
      <c r="D271" s="10" t="s">
        <v>12</v>
      </c>
      <c r="E271" s="37" t="e">
        <f>SUM(E269:E270)</f>
        <v>#REF!</v>
      </c>
      <c r="F271" s="37" t="e">
        <f t="shared" ref="F271:Q271" si="42">SUM(F269:F270)</f>
        <v>#REF!</v>
      </c>
      <c r="G271" s="37" t="e">
        <f t="shared" si="42"/>
        <v>#REF!</v>
      </c>
      <c r="H271" s="37" t="e">
        <f t="shared" si="42"/>
        <v>#REF!</v>
      </c>
      <c r="I271" s="37" t="e">
        <f t="shared" si="42"/>
        <v>#REF!</v>
      </c>
      <c r="J271" s="37" t="e">
        <f t="shared" si="42"/>
        <v>#REF!</v>
      </c>
      <c r="K271" s="37" t="e">
        <f t="shared" si="42"/>
        <v>#REF!</v>
      </c>
      <c r="L271" s="37" t="e">
        <f t="shared" si="42"/>
        <v>#REF!</v>
      </c>
      <c r="M271" s="37" t="e">
        <f t="shared" si="42"/>
        <v>#REF!</v>
      </c>
      <c r="N271" s="37" t="e">
        <f t="shared" si="42"/>
        <v>#REF!</v>
      </c>
      <c r="O271" s="37" t="e">
        <f t="shared" si="42"/>
        <v>#REF!</v>
      </c>
      <c r="P271" s="37" t="e">
        <f t="shared" si="42"/>
        <v>#REF!</v>
      </c>
      <c r="Q271" s="37" t="e">
        <f t="shared" si="42"/>
        <v>#REF!</v>
      </c>
    </row>
    <row r="272" spans="4:17" x14ac:dyDescent="0.35"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 spans="4:17" ht="17.5" x14ac:dyDescent="0.5">
      <c r="D273" s="35" t="s">
        <v>153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 spans="4:17" x14ac:dyDescent="0.35">
      <c r="D274" s="10" t="s">
        <v>84</v>
      </c>
      <c r="E274" s="10" t="e">
        <f>+E264+E269</f>
        <v>#REF!</v>
      </c>
      <c r="F274" s="10" t="e">
        <f t="shared" ref="F274:P275" si="43">+F264+F269</f>
        <v>#REF!</v>
      </c>
      <c r="G274" s="10" t="e">
        <f t="shared" si="43"/>
        <v>#REF!</v>
      </c>
      <c r="H274" s="10" t="e">
        <f t="shared" si="43"/>
        <v>#REF!</v>
      </c>
      <c r="I274" s="10" t="e">
        <f t="shared" si="43"/>
        <v>#REF!</v>
      </c>
      <c r="J274" s="10" t="e">
        <f t="shared" si="43"/>
        <v>#REF!</v>
      </c>
      <c r="K274" s="10" t="e">
        <f t="shared" si="43"/>
        <v>#REF!</v>
      </c>
      <c r="L274" s="10" t="e">
        <f t="shared" si="43"/>
        <v>#REF!</v>
      </c>
      <c r="M274" s="10" t="e">
        <f t="shared" si="43"/>
        <v>#REF!</v>
      </c>
      <c r="N274" s="10" t="e">
        <f t="shared" si="43"/>
        <v>#REF!</v>
      </c>
      <c r="O274" s="10" t="e">
        <f t="shared" si="43"/>
        <v>#REF!</v>
      </c>
      <c r="P274" s="10" t="e">
        <f t="shared" si="43"/>
        <v>#REF!</v>
      </c>
      <c r="Q274" s="10" t="e">
        <f>SUM(E274:P274)</f>
        <v>#REF!</v>
      </c>
    </row>
    <row r="275" spans="4:17" x14ac:dyDescent="0.35">
      <c r="D275" s="10" t="s">
        <v>151</v>
      </c>
      <c r="E275" s="10" t="e">
        <f>+E265+E270</f>
        <v>#REF!</v>
      </c>
      <c r="F275" s="10" t="e">
        <f t="shared" si="43"/>
        <v>#REF!</v>
      </c>
      <c r="G275" s="10" t="e">
        <f t="shared" si="43"/>
        <v>#REF!</v>
      </c>
      <c r="H275" s="10" t="e">
        <f t="shared" si="43"/>
        <v>#REF!</v>
      </c>
      <c r="I275" s="10" t="e">
        <f t="shared" si="43"/>
        <v>#REF!</v>
      </c>
      <c r="J275" s="10" t="e">
        <f t="shared" si="43"/>
        <v>#REF!</v>
      </c>
      <c r="K275" s="10" t="e">
        <f t="shared" si="43"/>
        <v>#REF!</v>
      </c>
      <c r="L275" s="10" t="e">
        <f t="shared" si="43"/>
        <v>#REF!</v>
      </c>
      <c r="M275" s="10" t="e">
        <f t="shared" si="43"/>
        <v>#REF!</v>
      </c>
      <c r="N275" s="10" t="e">
        <f t="shared" si="43"/>
        <v>#REF!</v>
      </c>
      <c r="O275" s="10" t="e">
        <f t="shared" si="43"/>
        <v>#REF!</v>
      </c>
      <c r="P275" s="10" t="e">
        <f t="shared" si="43"/>
        <v>#REF!</v>
      </c>
      <c r="Q275" s="10" t="e">
        <f>SUM(E275:P275)</f>
        <v>#REF!</v>
      </c>
    </row>
    <row r="276" spans="4:17" x14ac:dyDescent="0.35">
      <c r="D276" s="10" t="s">
        <v>12</v>
      </c>
      <c r="E276" s="37" t="e">
        <f>SUM(E274:E275)</f>
        <v>#REF!</v>
      </c>
      <c r="F276" s="37" t="e">
        <f t="shared" ref="F276:Q276" si="44">SUM(F274:F275)</f>
        <v>#REF!</v>
      </c>
      <c r="G276" s="37" t="e">
        <f t="shared" si="44"/>
        <v>#REF!</v>
      </c>
      <c r="H276" s="37" t="e">
        <f t="shared" si="44"/>
        <v>#REF!</v>
      </c>
      <c r="I276" s="37" t="e">
        <f t="shared" si="44"/>
        <v>#REF!</v>
      </c>
      <c r="J276" s="37" t="e">
        <f t="shared" si="44"/>
        <v>#REF!</v>
      </c>
      <c r="K276" s="37" t="e">
        <f t="shared" si="44"/>
        <v>#REF!</v>
      </c>
      <c r="L276" s="37" t="e">
        <f t="shared" si="44"/>
        <v>#REF!</v>
      </c>
      <c r="M276" s="37" t="e">
        <f t="shared" si="44"/>
        <v>#REF!</v>
      </c>
      <c r="N276" s="37" t="e">
        <f t="shared" si="44"/>
        <v>#REF!</v>
      </c>
      <c r="O276" s="37" t="e">
        <f t="shared" si="44"/>
        <v>#REF!</v>
      </c>
      <c r="P276" s="37" t="e">
        <f t="shared" si="44"/>
        <v>#REF!</v>
      </c>
      <c r="Q276" s="37" t="e">
        <f t="shared" si="44"/>
        <v>#REF!</v>
      </c>
    </row>
    <row r="277" spans="4:17" x14ac:dyDescent="0.35"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spans="4:17" x14ac:dyDescent="0.35"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spans="4:17" x14ac:dyDescent="0.35"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spans="4:17" x14ac:dyDescent="0.35"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spans="4:17" x14ac:dyDescent="0.35"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spans="4:17" ht="17.5" x14ac:dyDescent="0.5">
      <c r="D282" s="36" t="s">
        <v>154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spans="4:17" x14ac:dyDescent="0.35">
      <c r="D283" s="6" t="s">
        <v>92</v>
      </c>
      <c r="E283" s="6">
        <v>5100000</v>
      </c>
      <c r="F283" s="38">
        <f t="shared" ref="F283:F289" si="45">ROUND(E283/E$290,4)</f>
        <v>0.1275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spans="4:17" x14ac:dyDescent="0.35">
      <c r="D284" s="6" t="s">
        <v>93</v>
      </c>
      <c r="E284" s="6">
        <v>11400000</v>
      </c>
      <c r="F284" s="38">
        <f t="shared" si="45"/>
        <v>0.28499999999999998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spans="4:17" x14ac:dyDescent="0.35">
      <c r="D285" s="6" t="s">
        <v>94</v>
      </c>
      <c r="E285" s="6">
        <v>4900000</v>
      </c>
      <c r="F285" s="38">
        <f t="shared" si="45"/>
        <v>0.1225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spans="4:17" x14ac:dyDescent="0.35">
      <c r="D286" s="6" t="s">
        <v>95</v>
      </c>
      <c r="E286" s="6">
        <v>14700000</v>
      </c>
      <c r="F286" s="38">
        <f t="shared" si="45"/>
        <v>0.36749999999999999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spans="4:17" x14ac:dyDescent="0.35">
      <c r="D287" s="6" t="s">
        <v>155</v>
      </c>
      <c r="E287" s="6">
        <v>1277000</v>
      </c>
      <c r="F287" s="38">
        <f t="shared" si="45"/>
        <v>3.1899999999999998E-2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spans="4:17" x14ac:dyDescent="0.35">
      <c r="D288" s="6" t="s">
        <v>156</v>
      </c>
      <c r="E288" s="6">
        <v>1099000</v>
      </c>
      <c r="F288" s="38">
        <f t="shared" si="45"/>
        <v>2.75E-2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spans="4:17" x14ac:dyDescent="0.35">
      <c r="D289" s="6" t="s">
        <v>157</v>
      </c>
      <c r="E289" s="6">
        <v>1524000</v>
      </c>
      <c r="F289" s="38">
        <f t="shared" si="45"/>
        <v>3.8100000000000002E-2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spans="4:17" x14ac:dyDescent="0.35">
      <c r="D290" s="6" t="s">
        <v>12</v>
      </c>
      <c r="E290" s="28">
        <f>SUM(E283:E289)</f>
        <v>40000000</v>
      </c>
      <c r="F290" s="39">
        <f>SUM(F283:F289)</f>
        <v>0.99999999999999989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spans="4:17" x14ac:dyDescent="0.35"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spans="4:17" x14ac:dyDescent="0.35"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 spans="4:17" x14ac:dyDescent="0.35"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spans="4:17" x14ac:dyDescent="0.35"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spans="4:17" x14ac:dyDescent="0.35"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spans="4:17" x14ac:dyDescent="0.35"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spans="4:17" ht="17.5" x14ac:dyDescent="0.5">
      <c r="D297" s="35" t="s">
        <v>158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spans="4:17" x14ac:dyDescent="0.35"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spans="4:17" ht="17.5" x14ac:dyDescent="0.5">
      <c r="D299" s="36" t="s">
        <v>150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spans="4:17" x14ac:dyDescent="0.35">
      <c r="D300" s="10" t="s">
        <v>84</v>
      </c>
      <c r="E300" s="10">
        <v>0</v>
      </c>
      <c r="F300" s="10">
        <v>0</v>
      </c>
      <c r="G300" s="10">
        <v>108208</v>
      </c>
      <c r="H300" s="10">
        <v>108024</v>
      </c>
      <c r="I300" s="10">
        <v>107839</v>
      </c>
      <c r="J300" s="10">
        <v>107653</v>
      </c>
      <c r="K300" s="10">
        <v>107466</v>
      </c>
      <c r="L300" s="10">
        <v>107279</v>
      </c>
      <c r="M300" s="10">
        <v>107090</v>
      </c>
      <c r="N300" s="10">
        <v>106901</v>
      </c>
      <c r="O300" s="10">
        <v>106712</v>
      </c>
      <c r="P300" s="10">
        <v>106521</v>
      </c>
      <c r="Q300" s="10">
        <f>SUM(E300:P300)</f>
        <v>1073693</v>
      </c>
    </row>
    <row r="301" spans="4:17" x14ac:dyDescent="0.35">
      <c r="D301" s="10" t="s">
        <v>151</v>
      </c>
      <c r="E301" s="10">
        <v>0</v>
      </c>
      <c r="F301" s="10">
        <v>0</v>
      </c>
      <c r="G301" s="10">
        <v>45168</v>
      </c>
      <c r="H301" s="10">
        <v>45352</v>
      </c>
      <c r="I301" s="10">
        <v>45538</v>
      </c>
      <c r="J301" s="10">
        <v>45724</v>
      </c>
      <c r="K301" s="10">
        <v>45910</v>
      </c>
      <c r="L301" s="10">
        <v>46098</v>
      </c>
      <c r="M301" s="10">
        <v>46286</v>
      </c>
      <c r="N301" s="10">
        <v>46475</v>
      </c>
      <c r="O301" s="10">
        <v>46665</v>
      </c>
      <c r="P301" s="10">
        <v>46855</v>
      </c>
      <c r="Q301" s="10">
        <f>SUM(E301:P301)</f>
        <v>460071</v>
      </c>
    </row>
    <row r="302" spans="4:17" x14ac:dyDescent="0.35">
      <c r="D302" s="10" t="s">
        <v>12</v>
      </c>
      <c r="E302" s="37">
        <f>SUM(E300:E301)</f>
        <v>0</v>
      </c>
      <c r="F302" s="37">
        <f t="shared" ref="F302:Q302" si="46">SUM(F300:F301)</f>
        <v>0</v>
      </c>
      <c r="G302" s="37">
        <f t="shared" si="46"/>
        <v>153376</v>
      </c>
      <c r="H302" s="37">
        <f t="shared" si="46"/>
        <v>153376</v>
      </c>
      <c r="I302" s="37">
        <f t="shared" si="46"/>
        <v>153377</v>
      </c>
      <c r="J302" s="37">
        <f t="shared" si="46"/>
        <v>153377</v>
      </c>
      <c r="K302" s="37">
        <f t="shared" si="46"/>
        <v>153376</v>
      </c>
      <c r="L302" s="37">
        <f t="shared" si="46"/>
        <v>153377</v>
      </c>
      <c r="M302" s="37">
        <f t="shared" si="46"/>
        <v>153376</v>
      </c>
      <c r="N302" s="37">
        <f t="shared" si="46"/>
        <v>153376</v>
      </c>
      <c r="O302" s="37">
        <f t="shared" si="46"/>
        <v>153377</v>
      </c>
      <c r="P302" s="37">
        <f t="shared" si="46"/>
        <v>153376</v>
      </c>
      <c r="Q302" s="37">
        <f t="shared" si="46"/>
        <v>1533764</v>
      </c>
    </row>
    <row r="303" spans="4:17" x14ac:dyDescent="0.35"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spans="4:17" ht="17.5" x14ac:dyDescent="0.5">
      <c r="D304" s="35" t="s">
        <v>152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spans="4:17" x14ac:dyDescent="0.35">
      <c r="D305" s="10" t="s">
        <v>84</v>
      </c>
      <c r="E305" s="10">
        <f>ROUND(26000000*4.6875%/360*10,0)+ROUND(26000000*4.7655%/360*21,0)</f>
        <v>106131</v>
      </c>
      <c r="F305" s="10">
        <f>ROUND(26000000*4.7655%/360*11,0)+ROUND(26000000*4.7655%/360*17,0)</f>
        <v>96369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f>SUM(E305:P305)</f>
        <v>202500</v>
      </c>
    </row>
    <row r="306" spans="4:17" x14ac:dyDescent="0.35">
      <c r="D306" s="10" t="s">
        <v>151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f>SUM(E306:P306)</f>
        <v>0</v>
      </c>
    </row>
    <row r="307" spans="4:17" x14ac:dyDescent="0.35">
      <c r="D307" s="10" t="s">
        <v>12</v>
      </c>
      <c r="E307" s="37">
        <f>SUM(E305:E306)</f>
        <v>106131</v>
      </c>
      <c r="F307" s="37">
        <f t="shared" ref="F307:Q307" si="47">SUM(F305:F306)</f>
        <v>96369</v>
      </c>
      <c r="G307" s="37">
        <f t="shared" si="47"/>
        <v>0</v>
      </c>
      <c r="H307" s="37">
        <f t="shared" si="47"/>
        <v>0</v>
      </c>
      <c r="I307" s="37">
        <f t="shared" si="47"/>
        <v>0</v>
      </c>
      <c r="J307" s="37">
        <f t="shared" si="47"/>
        <v>0</v>
      </c>
      <c r="K307" s="37">
        <f t="shared" si="47"/>
        <v>0</v>
      </c>
      <c r="L307" s="37">
        <f t="shared" si="47"/>
        <v>0</v>
      </c>
      <c r="M307" s="37">
        <f t="shared" si="47"/>
        <v>0</v>
      </c>
      <c r="N307" s="37">
        <f t="shared" si="47"/>
        <v>0</v>
      </c>
      <c r="O307" s="37">
        <f t="shared" si="47"/>
        <v>0</v>
      </c>
      <c r="P307" s="37">
        <f t="shared" si="47"/>
        <v>0</v>
      </c>
      <c r="Q307" s="37">
        <f t="shared" si="47"/>
        <v>202500</v>
      </c>
    </row>
    <row r="308" spans="4:17" x14ac:dyDescent="0.35"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spans="4:17" ht="17.5" x14ac:dyDescent="0.5">
      <c r="D309" s="35" t="s">
        <v>153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spans="4:17" x14ac:dyDescent="0.35">
      <c r="D310" s="10" t="s">
        <v>84</v>
      </c>
      <c r="E310" s="10">
        <f>+E300+E305</f>
        <v>106131</v>
      </c>
      <c r="F310" s="10">
        <f t="shared" ref="F310:P311" si="48">+F300+F305</f>
        <v>96369</v>
      </c>
      <c r="G310" s="10">
        <f t="shared" si="48"/>
        <v>108208</v>
      </c>
      <c r="H310" s="10">
        <f t="shared" si="48"/>
        <v>108024</v>
      </c>
      <c r="I310" s="10">
        <f t="shared" si="48"/>
        <v>107839</v>
      </c>
      <c r="J310" s="10">
        <f t="shared" si="48"/>
        <v>107653</v>
      </c>
      <c r="K310" s="10">
        <f t="shared" si="48"/>
        <v>107466</v>
      </c>
      <c r="L310" s="10">
        <f t="shared" si="48"/>
        <v>107279</v>
      </c>
      <c r="M310" s="10">
        <f t="shared" si="48"/>
        <v>107090</v>
      </c>
      <c r="N310" s="10">
        <f t="shared" si="48"/>
        <v>106901</v>
      </c>
      <c r="O310" s="10">
        <f t="shared" si="48"/>
        <v>106712</v>
      </c>
      <c r="P310" s="10">
        <f t="shared" si="48"/>
        <v>106521</v>
      </c>
      <c r="Q310" s="10">
        <f>SUM(E310:P310)</f>
        <v>1276193</v>
      </c>
    </row>
    <row r="311" spans="4:17" x14ac:dyDescent="0.35">
      <c r="D311" s="10" t="s">
        <v>151</v>
      </c>
      <c r="E311" s="10">
        <f>+E301+E306</f>
        <v>0</v>
      </c>
      <c r="F311" s="10">
        <f t="shared" si="48"/>
        <v>0</v>
      </c>
      <c r="G311" s="10">
        <f t="shared" si="48"/>
        <v>45168</v>
      </c>
      <c r="H311" s="10">
        <f t="shared" si="48"/>
        <v>45352</v>
      </c>
      <c r="I311" s="10">
        <f t="shared" si="48"/>
        <v>45538</v>
      </c>
      <c r="J311" s="10">
        <f t="shared" si="48"/>
        <v>45724</v>
      </c>
      <c r="K311" s="10">
        <f t="shared" si="48"/>
        <v>45910</v>
      </c>
      <c r="L311" s="10">
        <f t="shared" si="48"/>
        <v>46098</v>
      </c>
      <c r="M311" s="10">
        <f t="shared" si="48"/>
        <v>46286</v>
      </c>
      <c r="N311" s="10">
        <f t="shared" si="48"/>
        <v>46475</v>
      </c>
      <c r="O311" s="10">
        <f t="shared" si="48"/>
        <v>46665</v>
      </c>
      <c r="P311" s="10">
        <f t="shared" si="48"/>
        <v>46855</v>
      </c>
      <c r="Q311" s="10">
        <f>SUM(E311:P311)</f>
        <v>460071</v>
      </c>
    </row>
    <row r="312" spans="4:17" x14ac:dyDescent="0.35">
      <c r="D312" s="10" t="s">
        <v>12</v>
      </c>
      <c r="E312" s="37">
        <f>SUM(E310:E311)</f>
        <v>106131</v>
      </c>
      <c r="F312" s="37">
        <f t="shared" ref="F312:Q312" si="49">SUM(F310:F311)</f>
        <v>96369</v>
      </c>
      <c r="G312" s="37">
        <f t="shared" si="49"/>
        <v>153376</v>
      </c>
      <c r="H312" s="37">
        <f t="shared" si="49"/>
        <v>153376</v>
      </c>
      <c r="I312" s="37">
        <f t="shared" si="49"/>
        <v>153377</v>
      </c>
      <c r="J312" s="37">
        <f t="shared" si="49"/>
        <v>153377</v>
      </c>
      <c r="K312" s="37">
        <f t="shared" si="49"/>
        <v>153376</v>
      </c>
      <c r="L312" s="37">
        <f t="shared" si="49"/>
        <v>153377</v>
      </c>
      <c r="M312" s="37">
        <f t="shared" si="49"/>
        <v>153376</v>
      </c>
      <c r="N312" s="37">
        <f t="shared" si="49"/>
        <v>153376</v>
      </c>
      <c r="O312" s="37">
        <f t="shared" si="49"/>
        <v>153377</v>
      </c>
      <c r="P312" s="37">
        <f t="shared" si="49"/>
        <v>153376</v>
      </c>
      <c r="Q312" s="37">
        <f t="shared" si="49"/>
        <v>1736264</v>
      </c>
    </row>
    <row r="323" spans="1:17" ht="16.5" thickBot="1" x14ac:dyDescent="0.4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spans="1:17" ht="16.5" thickTop="1" x14ac:dyDescent="0.35">
      <c r="A324" s="40"/>
      <c r="B324" s="40"/>
      <c r="C324" s="40"/>
      <c r="D324" s="40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</row>
    <row r="325" spans="1:17" x14ac:dyDescent="0.35">
      <c r="A325" s="10"/>
      <c r="B325" s="10"/>
      <c r="C325" s="10"/>
      <c r="D325" s="42" t="s">
        <v>130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spans="1:17" x14ac:dyDescent="0.35">
      <c r="A326" s="10"/>
      <c r="B326" s="10"/>
      <c r="C326" s="10"/>
      <c r="D326" s="43" t="s">
        <v>96</v>
      </c>
      <c r="E326" s="10">
        <v>1</v>
      </c>
      <c r="F326" s="10">
        <v>2</v>
      </c>
      <c r="G326" s="10">
        <v>3</v>
      </c>
      <c r="H326" s="10">
        <v>4</v>
      </c>
      <c r="I326" s="10">
        <v>5</v>
      </c>
      <c r="J326" s="10">
        <v>6</v>
      </c>
      <c r="K326" s="10">
        <v>7</v>
      </c>
      <c r="L326" s="10">
        <v>8</v>
      </c>
      <c r="M326" s="10">
        <v>9</v>
      </c>
      <c r="N326" s="10">
        <v>10</v>
      </c>
      <c r="O326" s="10">
        <v>11</v>
      </c>
      <c r="P326" s="10">
        <v>12</v>
      </c>
      <c r="Q326" s="44" t="s">
        <v>12</v>
      </c>
    </row>
    <row r="327" spans="1:17" x14ac:dyDescent="0.35">
      <c r="A327" s="10"/>
      <c r="B327" s="10"/>
      <c r="C327" s="10"/>
      <c r="D327" s="43" t="s">
        <v>132</v>
      </c>
      <c r="E327" s="10">
        <f t="shared" ref="E327:P327" si="50">-E10-E11</f>
        <v>-434865.84666666662</v>
      </c>
      <c r="F327" s="10">
        <f t="shared" si="50"/>
        <v>-434895.84666666662</v>
      </c>
      <c r="G327" s="10">
        <f t="shared" si="50"/>
        <v>-432195.84666666662</v>
      </c>
      <c r="H327" s="10">
        <f t="shared" si="50"/>
        <v>-432011.95999999996</v>
      </c>
      <c r="I327" s="10">
        <f t="shared" si="50"/>
        <v>-440518.79</v>
      </c>
      <c r="J327" s="10">
        <f t="shared" si="50"/>
        <v>-443762.87</v>
      </c>
      <c r="K327" s="10">
        <f t="shared" si="50"/>
        <v>-445046.97583333333</v>
      </c>
      <c r="L327" s="10">
        <f t="shared" si="50"/>
        <v>-449270.42583333334</v>
      </c>
      <c r="M327" s="10">
        <f t="shared" si="50"/>
        <v>-450462.48083333333</v>
      </c>
      <c r="N327" s="10">
        <f t="shared" si="50"/>
        <v>-449708.1825</v>
      </c>
      <c r="O327" s="10">
        <f t="shared" si="50"/>
        <v>-459394.84249999997</v>
      </c>
      <c r="P327" s="10">
        <f t="shared" si="50"/>
        <v>-459394.84249999997</v>
      </c>
      <c r="Q327" s="42">
        <f>SUM(E327:P327)</f>
        <v>-5331528.91</v>
      </c>
    </row>
    <row r="328" spans="1:17" x14ac:dyDescent="0.35">
      <c r="A328" s="10"/>
      <c r="B328" s="10"/>
      <c r="C328" s="10"/>
      <c r="D328" s="43" t="s">
        <v>98</v>
      </c>
      <c r="E328" s="10">
        <f t="shared" ref="E328:P328" si="51">-E18</f>
        <v>-1978.2</v>
      </c>
      <c r="F328" s="10">
        <f t="shared" si="51"/>
        <v>-1802.8500000000001</v>
      </c>
      <c r="G328" s="10">
        <f t="shared" si="51"/>
        <v>-1659</v>
      </c>
      <c r="H328" s="10">
        <f t="shared" si="51"/>
        <v>-1174.95</v>
      </c>
      <c r="I328" s="10">
        <f t="shared" si="51"/>
        <v>-1174.95</v>
      </c>
      <c r="J328" s="10">
        <f t="shared" si="51"/>
        <v>-1191.75</v>
      </c>
      <c r="K328" s="10">
        <f t="shared" si="51"/>
        <v>-1503.6000000000001</v>
      </c>
      <c r="L328" s="10">
        <f t="shared" si="51"/>
        <v>-1451.1000000000001</v>
      </c>
      <c r="M328" s="10">
        <f t="shared" si="51"/>
        <v>-1174.95</v>
      </c>
      <c r="N328" s="10">
        <f t="shared" si="51"/>
        <v>-1659</v>
      </c>
      <c r="O328" s="10">
        <f t="shared" si="51"/>
        <v>-1802.8500000000001</v>
      </c>
      <c r="P328" s="10">
        <f t="shared" si="51"/>
        <v>-1978.2</v>
      </c>
      <c r="Q328" s="10">
        <f t="shared" ref="Q328:Q360" si="52">SUM(E328:P328)</f>
        <v>-18551.400000000001</v>
      </c>
    </row>
    <row r="329" spans="1:17" x14ac:dyDescent="0.35">
      <c r="A329" s="10"/>
      <c r="B329" s="10"/>
      <c r="C329" s="10"/>
      <c r="D329" s="43" t="s">
        <v>99</v>
      </c>
      <c r="E329" s="10">
        <f t="shared" ref="E329:P329" si="53">-E19</f>
        <v>-90900</v>
      </c>
      <c r="F329" s="10">
        <f t="shared" si="53"/>
        <v>-90900</v>
      </c>
      <c r="G329" s="10">
        <f t="shared" si="53"/>
        <v>-90900</v>
      </c>
      <c r="H329" s="10">
        <f t="shared" si="53"/>
        <v>-96539.25</v>
      </c>
      <c r="I329" s="10">
        <f t="shared" si="53"/>
        <v>-90900</v>
      </c>
      <c r="J329" s="10">
        <f t="shared" si="53"/>
        <v>-90900</v>
      </c>
      <c r="K329" s="10">
        <f t="shared" si="53"/>
        <v>-96539.25</v>
      </c>
      <c r="L329" s="10">
        <f t="shared" si="53"/>
        <v>-90900</v>
      </c>
      <c r="M329" s="10">
        <f t="shared" si="53"/>
        <v>-90900</v>
      </c>
      <c r="N329" s="10">
        <f t="shared" si="53"/>
        <v>-96539.25</v>
      </c>
      <c r="O329" s="10">
        <f t="shared" si="53"/>
        <v>-90900</v>
      </c>
      <c r="P329" s="10">
        <f t="shared" si="53"/>
        <v>-96539.25</v>
      </c>
      <c r="Q329" s="10">
        <f t="shared" si="52"/>
        <v>-1113357</v>
      </c>
    </row>
    <row r="330" spans="1:17" x14ac:dyDescent="0.35">
      <c r="A330" s="10"/>
      <c r="B330" s="10"/>
      <c r="C330" s="10"/>
      <c r="D330" s="43" t="s">
        <v>100</v>
      </c>
      <c r="E330" s="10">
        <f t="shared" ref="E330:P330" si="54">-E20</f>
        <v>-36100</v>
      </c>
      <c r="F330" s="10">
        <f t="shared" si="54"/>
        <v>-36100</v>
      </c>
      <c r="G330" s="10">
        <f t="shared" si="54"/>
        <v>-36100</v>
      </c>
      <c r="H330" s="10">
        <f t="shared" si="54"/>
        <v>-37669</v>
      </c>
      <c r="I330" s="10">
        <f t="shared" si="54"/>
        <v>-36100</v>
      </c>
      <c r="J330" s="10">
        <f t="shared" si="54"/>
        <v>-36100</v>
      </c>
      <c r="K330" s="10">
        <f t="shared" si="54"/>
        <v>-37669</v>
      </c>
      <c r="L330" s="10">
        <f t="shared" si="54"/>
        <v>-36100</v>
      </c>
      <c r="M330" s="10">
        <f t="shared" si="54"/>
        <v>-36100</v>
      </c>
      <c r="N330" s="10">
        <f t="shared" si="54"/>
        <v>-37669</v>
      </c>
      <c r="O330" s="10">
        <f t="shared" si="54"/>
        <v>-36100</v>
      </c>
      <c r="P330" s="10">
        <f t="shared" si="54"/>
        <v>-37669</v>
      </c>
      <c r="Q330" s="10">
        <f t="shared" si="52"/>
        <v>-439476</v>
      </c>
    </row>
    <row r="331" spans="1:17" x14ac:dyDescent="0.35">
      <c r="A331" s="10"/>
      <c r="B331" s="10"/>
      <c r="C331" s="10"/>
      <c r="D331" s="43" t="s">
        <v>135</v>
      </c>
      <c r="E331" s="10">
        <f t="shared" ref="E331:P331" si="55">-E21</f>
        <v>-10365</v>
      </c>
      <c r="F331" s="10">
        <f t="shared" si="55"/>
        <v>0</v>
      </c>
      <c r="G331" s="10">
        <f t="shared" si="55"/>
        <v>0</v>
      </c>
      <c r="H331" s="10">
        <f t="shared" si="55"/>
        <v>0</v>
      </c>
      <c r="I331" s="10">
        <f t="shared" si="55"/>
        <v>0</v>
      </c>
      <c r="J331" s="10">
        <f t="shared" si="55"/>
        <v>0</v>
      </c>
      <c r="K331" s="10">
        <f t="shared" si="55"/>
        <v>0</v>
      </c>
      <c r="L331" s="10">
        <f t="shared" si="55"/>
        <v>0</v>
      </c>
      <c r="M331" s="10">
        <f t="shared" si="55"/>
        <v>0</v>
      </c>
      <c r="N331" s="10">
        <f t="shared" si="55"/>
        <v>0</v>
      </c>
      <c r="O331" s="10">
        <f t="shared" si="55"/>
        <v>0</v>
      </c>
      <c r="P331" s="10">
        <f t="shared" si="55"/>
        <v>0</v>
      </c>
      <c r="Q331" s="10">
        <f>SUM(E331:P331)</f>
        <v>-10365</v>
      </c>
    </row>
    <row r="332" spans="1:17" x14ac:dyDescent="0.35">
      <c r="A332" s="10"/>
      <c r="B332" s="10"/>
      <c r="C332" s="10"/>
      <c r="D332" s="43" t="s">
        <v>101</v>
      </c>
      <c r="E332" s="10">
        <f t="shared" ref="E332:P332" si="56">E27</f>
        <v>9139</v>
      </c>
      <c r="F332" s="10">
        <f t="shared" si="56"/>
        <v>9139</v>
      </c>
      <c r="G332" s="10">
        <f t="shared" si="56"/>
        <v>9139</v>
      </c>
      <c r="H332" s="10">
        <f t="shared" si="56"/>
        <v>9139</v>
      </c>
      <c r="I332" s="10">
        <f t="shared" si="56"/>
        <v>9139</v>
      </c>
      <c r="J332" s="10">
        <f t="shared" si="56"/>
        <v>9139</v>
      </c>
      <c r="K332" s="10">
        <f t="shared" si="56"/>
        <v>9139</v>
      </c>
      <c r="L332" s="10">
        <f t="shared" si="56"/>
        <v>9139</v>
      </c>
      <c r="M332" s="10">
        <f t="shared" si="56"/>
        <v>9139</v>
      </c>
      <c r="N332" s="10">
        <f t="shared" si="56"/>
        <v>9139</v>
      </c>
      <c r="O332" s="10">
        <f t="shared" si="56"/>
        <v>9139</v>
      </c>
      <c r="P332" s="10">
        <f t="shared" si="56"/>
        <v>9139</v>
      </c>
      <c r="Q332" s="10">
        <f t="shared" si="52"/>
        <v>109668</v>
      </c>
    </row>
    <row r="333" spans="1:17" x14ac:dyDescent="0.35">
      <c r="A333" s="10"/>
      <c r="B333" s="10"/>
      <c r="C333" s="10"/>
      <c r="D333" s="43" t="s">
        <v>102</v>
      </c>
      <c r="E333" s="10">
        <f t="shared" ref="E333:P333" si="57">+E29</f>
        <v>5858.77</v>
      </c>
      <c r="F333" s="10">
        <f t="shared" si="57"/>
        <v>5449.3200000000006</v>
      </c>
      <c r="G333" s="10">
        <f t="shared" si="57"/>
        <v>5228.5999999999995</v>
      </c>
      <c r="H333" s="10">
        <f t="shared" si="57"/>
        <v>4155.54</v>
      </c>
      <c r="I333" s="10">
        <f t="shared" si="57"/>
        <v>3999.05</v>
      </c>
      <c r="J333" s="10">
        <f t="shared" si="57"/>
        <v>3954.79</v>
      </c>
      <c r="K333" s="10">
        <f t="shared" si="57"/>
        <v>4422.7699999999995</v>
      </c>
      <c r="L333" s="10">
        <f t="shared" si="57"/>
        <v>4069.8500000000004</v>
      </c>
      <c r="M333" s="10">
        <f t="shared" si="57"/>
        <v>4082.3500000000004</v>
      </c>
      <c r="N333" s="10">
        <f t="shared" si="57"/>
        <v>4589.5599999999995</v>
      </c>
      <c r="O333" s="10">
        <f t="shared" si="57"/>
        <v>5267.59</v>
      </c>
      <c r="P333" s="10">
        <f t="shared" si="57"/>
        <v>6116.61</v>
      </c>
      <c r="Q333" s="10">
        <f t="shared" si="52"/>
        <v>57194.799999999988</v>
      </c>
    </row>
    <row r="334" spans="1:17" x14ac:dyDescent="0.35">
      <c r="A334" s="10"/>
      <c r="B334" s="10"/>
      <c r="C334" s="10"/>
      <c r="D334" s="43" t="s">
        <v>103</v>
      </c>
      <c r="E334" s="10">
        <f t="shared" ref="E334:P334" si="58">+E31</f>
        <v>490.28</v>
      </c>
      <c r="F334" s="10">
        <f t="shared" si="58"/>
        <v>717.91</v>
      </c>
      <c r="G334" s="10">
        <f t="shared" si="58"/>
        <v>692.16</v>
      </c>
      <c r="H334" s="10">
        <f t="shared" si="58"/>
        <v>621.09</v>
      </c>
      <c r="I334" s="10">
        <f t="shared" si="58"/>
        <v>443.93000000000006</v>
      </c>
      <c r="J334" s="10">
        <f t="shared" si="58"/>
        <v>459.38</v>
      </c>
      <c r="K334" s="10">
        <f t="shared" si="58"/>
        <v>478.95000000000005</v>
      </c>
      <c r="L334" s="10">
        <f t="shared" si="58"/>
        <v>468.65</v>
      </c>
      <c r="M334" s="10">
        <f t="shared" si="58"/>
        <v>522.21</v>
      </c>
      <c r="N334" s="10">
        <f t="shared" si="58"/>
        <v>490.28</v>
      </c>
      <c r="O334" s="10">
        <f t="shared" si="58"/>
        <v>479.98</v>
      </c>
      <c r="P334" s="10">
        <f t="shared" si="58"/>
        <v>490.28</v>
      </c>
      <c r="Q334" s="10">
        <f t="shared" si="52"/>
        <v>6355.0999999999995</v>
      </c>
    </row>
    <row r="335" spans="1:17" x14ac:dyDescent="0.35">
      <c r="A335" s="10"/>
      <c r="B335" s="10"/>
      <c r="C335" s="10"/>
      <c r="D335" s="43" t="s">
        <v>104</v>
      </c>
      <c r="E335" s="10">
        <f t="shared" ref="E335:P335" si="59">+E37</f>
        <v>7575.15</v>
      </c>
      <c r="F335" s="10">
        <f t="shared" si="59"/>
        <v>5086.3999999999996</v>
      </c>
      <c r="G335" s="10">
        <f t="shared" si="59"/>
        <v>25986.65</v>
      </c>
      <c r="H335" s="10">
        <f t="shared" si="59"/>
        <v>33535.15</v>
      </c>
      <c r="I335" s="10">
        <f t="shared" si="59"/>
        <v>9704.15</v>
      </c>
      <c r="J335" s="10">
        <f t="shared" si="59"/>
        <v>2886.65</v>
      </c>
      <c r="K335" s="10">
        <f t="shared" si="59"/>
        <v>7575.15</v>
      </c>
      <c r="L335" s="10">
        <f t="shared" si="59"/>
        <v>17136.400000000001</v>
      </c>
      <c r="M335" s="10">
        <f t="shared" si="59"/>
        <v>53824.65</v>
      </c>
      <c r="N335" s="10">
        <f t="shared" si="59"/>
        <v>7113.4</v>
      </c>
      <c r="O335" s="10">
        <f t="shared" si="59"/>
        <v>10736.4</v>
      </c>
      <c r="P335" s="10">
        <f t="shared" si="59"/>
        <v>2886.65</v>
      </c>
      <c r="Q335" s="10">
        <f t="shared" si="52"/>
        <v>184046.79999999996</v>
      </c>
    </row>
    <row r="336" spans="1:17" x14ac:dyDescent="0.35">
      <c r="A336" s="10"/>
      <c r="B336" s="10"/>
      <c r="C336" s="10"/>
      <c r="D336" s="43" t="s">
        <v>105</v>
      </c>
      <c r="E336" s="10">
        <f t="shared" ref="E336:P336" si="60">+E44</f>
        <v>2523.5</v>
      </c>
      <c r="F336" s="10">
        <f t="shared" si="60"/>
        <v>2163</v>
      </c>
      <c r="G336" s="10">
        <f t="shared" si="60"/>
        <v>32922.5</v>
      </c>
      <c r="H336" s="10">
        <f t="shared" si="60"/>
        <v>20918</v>
      </c>
      <c r="I336" s="10">
        <f t="shared" si="60"/>
        <v>2163</v>
      </c>
      <c r="J336" s="10">
        <f t="shared" si="60"/>
        <v>22622.5</v>
      </c>
      <c r="K336" s="10">
        <f t="shared" si="60"/>
        <v>2102.23</v>
      </c>
      <c r="L336" s="10">
        <f t="shared" si="60"/>
        <v>2163</v>
      </c>
      <c r="M336" s="10">
        <f t="shared" si="60"/>
        <v>33549.5</v>
      </c>
      <c r="N336" s="10">
        <f t="shared" si="60"/>
        <v>26368</v>
      </c>
      <c r="O336" s="10">
        <f t="shared" si="60"/>
        <v>2163</v>
      </c>
      <c r="P336" s="10">
        <f t="shared" si="60"/>
        <v>7496.9500000000007</v>
      </c>
      <c r="Q336" s="10">
        <f t="shared" si="52"/>
        <v>157155.18</v>
      </c>
    </row>
    <row r="337" spans="1:17" x14ac:dyDescent="0.35">
      <c r="A337" s="10"/>
      <c r="B337" s="10"/>
      <c r="C337" s="10"/>
      <c r="D337" s="43" t="s">
        <v>106</v>
      </c>
      <c r="E337" s="10">
        <f t="shared" ref="E337:P337" si="61">+E46</f>
        <v>47380</v>
      </c>
      <c r="F337" s="10">
        <f t="shared" si="61"/>
        <v>47380</v>
      </c>
      <c r="G337" s="10">
        <f t="shared" si="61"/>
        <v>14420</v>
      </c>
      <c r="H337" s="10">
        <f t="shared" si="61"/>
        <v>0</v>
      </c>
      <c r="I337" s="10">
        <f t="shared" si="61"/>
        <v>0</v>
      </c>
      <c r="J337" s="10">
        <f t="shared" si="61"/>
        <v>0</v>
      </c>
      <c r="K337" s="10">
        <f t="shared" si="61"/>
        <v>0</v>
      </c>
      <c r="L337" s="10">
        <f t="shared" si="61"/>
        <v>0</v>
      </c>
      <c r="M337" s="10">
        <f t="shared" si="61"/>
        <v>0</v>
      </c>
      <c r="N337" s="10">
        <f t="shared" si="61"/>
        <v>3605</v>
      </c>
      <c r="O337" s="10">
        <f t="shared" si="61"/>
        <v>9270</v>
      </c>
      <c r="P337" s="10">
        <f t="shared" si="61"/>
        <v>29355</v>
      </c>
      <c r="Q337" s="10">
        <f t="shared" si="52"/>
        <v>151410</v>
      </c>
    </row>
    <row r="338" spans="1:17" x14ac:dyDescent="0.35">
      <c r="A338" s="10"/>
      <c r="B338" s="10"/>
      <c r="C338" s="10"/>
      <c r="D338" s="43" t="s">
        <v>107</v>
      </c>
      <c r="E338" s="10">
        <f t="shared" ref="E338:P338" si="62">+E51</f>
        <v>0</v>
      </c>
      <c r="F338" s="10">
        <f t="shared" si="62"/>
        <v>0</v>
      </c>
      <c r="G338" s="10">
        <f t="shared" si="62"/>
        <v>2204.1999999999998</v>
      </c>
      <c r="H338" s="10">
        <f t="shared" si="62"/>
        <v>6803.2</v>
      </c>
      <c r="I338" s="10">
        <f t="shared" si="62"/>
        <v>37903.199999999997</v>
      </c>
      <c r="J338" s="10">
        <f t="shared" si="62"/>
        <v>6803.2</v>
      </c>
      <c r="K338" s="10">
        <f t="shared" si="62"/>
        <v>6803.2</v>
      </c>
      <c r="L338" s="10">
        <f t="shared" si="62"/>
        <v>17303.2</v>
      </c>
      <c r="M338" s="10">
        <f t="shared" si="62"/>
        <v>10923.2</v>
      </c>
      <c r="N338" s="10">
        <f t="shared" si="62"/>
        <v>6803.2</v>
      </c>
      <c r="O338" s="10">
        <f t="shared" si="62"/>
        <v>0</v>
      </c>
      <c r="P338" s="10">
        <f t="shared" si="62"/>
        <v>0</v>
      </c>
      <c r="Q338" s="10">
        <f t="shared" si="52"/>
        <v>95546.599999999991</v>
      </c>
    </row>
    <row r="339" spans="1:17" x14ac:dyDescent="0.35">
      <c r="A339" s="10"/>
      <c r="B339" s="10"/>
      <c r="C339" s="10"/>
      <c r="D339" s="43" t="s">
        <v>108</v>
      </c>
      <c r="E339" s="10">
        <f t="shared" ref="E339:P339" si="63">+E53</f>
        <v>25684.7</v>
      </c>
      <c r="F339" s="10">
        <f t="shared" si="63"/>
        <v>25684.7</v>
      </c>
      <c r="G339" s="10">
        <f t="shared" si="63"/>
        <v>26714.7</v>
      </c>
      <c r="H339" s="10">
        <f t="shared" si="63"/>
        <v>25684.7</v>
      </c>
      <c r="I339" s="10">
        <f t="shared" si="63"/>
        <v>28259.7</v>
      </c>
      <c r="J339" s="10">
        <f t="shared" si="63"/>
        <v>25684.7</v>
      </c>
      <c r="K339" s="10">
        <f t="shared" si="63"/>
        <v>25684.7</v>
      </c>
      <c r="L339" s="10">
        <f t="shared" si="63"/>
        <v>25684.7</v>
      </c>
      <c r="M339" s="10">
        <f t="shared" si="63"/>
        <v>26714.7</v>
      </c>
      <c r="N339" s="10">
        <f t="shared" si="63"/>
        <v>25684.7</v>
      </c>
      <c r="O339" s="10">
        <f t="shared" si="63"/>
        <v>28259.7</v>
      </c>
      <c r="P339" s="10">
        <f t="shared" si="63"/>
        <v>25684.7</v>
      </c>
      <c r="Q339" s="10">
        <f t="shared" si="52"/>
        <v>315426.40000000008</v>
      </c>
    </row>
    <row r="340" spans="1:17" x14ac:dyDescent="0.35">
      <c r="A340" s="10"/>
      <c r="B340" s="10"/>
      <c r="C340" s="10"/>
      <c r="D340" s="43" t="s">
        <v>109</v>
      </c>
      <c r="E340" s="10">
        <f t="shared" ref="E340:P340" si="64">+E55</f>
        <v>0</v>
      </c>
      <c r="F340" s="10">
        <f t="shared" si="64"/>
        <v>0</v>
      </c>
      <c r="G340" s="10">
        <f t="shared" si="64"/>
        <v>0</v>
      </c>
      <c r="H340" s="10">
        <f t="shared" si="64"/>
        <v>0</v>
      </c>
      <c r="I340" s="10">
        <f t="shared" si="64"/>
        <v>0</v>
      </c>
      <c r="J340" s="10">
        <f t="shared" si="64"/>
        <v>0</v>
      </c>
      <c r="K340" s="10">
        <f t="shared" si="64"/>
        <v>0</v>
      </c>
      <c r="L340" s="10">
        <f t="shared" si="64"/>
        <v>0</v>
      </c>
      <c r="M340" s="10">
        <f t="shared" si="64"/>
        <v>0</v>
      </c>
      <c r="N340" s="10">
        <f t="shared" si="64"/>
        <v>0</v>
      </c>
      <c r="O340" s="10">
        <f t="shared" si="64"/>
        <v>0</v>
      </c>
      <c r="P340" s="10">
        <f t="shared" si="64"/>
        <v>0</v>
      </c>
      <c r="Q340" s="10">
        <f t="shared" si="52"/>
        <v>0</v>
      </c>
    </row>
    <row r="341" spans="1:17" x14ac:dyDescent="0.35">
      <c r="A341" s="10"/>
      <c r="B341" s="10"/>
      <c r="C341" s="10"/>
      <c r="D341" s="43" t="s">
        <v>110</v>
      </c>
      <c r="E341" s="10">
        <f t="shared" ref="E341:P341" si="65">+E57</f>
        <v>5856.9</v>
      </c>
      <c r="F341" s="10">
        <f t="shared" si="65"/>
        <v>4356.8999999999996</v>
      </c>
      <c r="G341" s="10">
        <f t="shared" si="65"/>
        <v>4356.8999999999996</v>
      </c>
      <c r="H341" s="10">
        <f t="shared" si="65"/>
        <v>5856.9</v>
      </c>
      <c r="I341" s="10">
        <f t="shared" si="65"/>
        <v>4356.8999999999996</v>
      </c>
      <c r="J341" s="10">
        <f t="shared" si="65"/>
        <v>4356.8999999999996</v>
      </c>
      <c r="K341" s="10">
        <f t="shared" si="65"/>
        <v>5856.9</v>
      </c>
      <c r="L341" s="10">
        <f t="shared" si="65"/>
        <v>4356.8999999999996</v>
      </c>
      <c r="M341" s="10">
        <f t="shared" si="65"/>
        <v>4356.8999999999996</v>
      </c>
      <c r="N341" s="10">
        <f t="shared" si="65"/>
        <v>5856.9</v>
      </c>
      <c r="O341" s="10">
        <f t="shared" si="65"/>
        <v>4356.8999999999996</v>
      </c>
      <c r="P341" s="10">
        <f t="shared" si="65"/>
        <v>4356.8999999999996</v>
      </c>
      <c r="Q341" s="10">
        <f t="shared" si="52"/>
        <v>58282.80000000001</v>
      </c>
    </row>
    <row r="342" spans="1:17" x14ac:dyDescent="0.35">
      <c r="A342" s="10"/>
      <c r="B342" s="10"/>
      <c r="C342" s="10"/>
      <c r="D342" s="43" t="s">
        <v>111</v>
      </c>
      <c r="E342" s="10">
        <f t="shared" ref="E342:P342" si="66">+E59</f>
        <v>56590.55834166667</v>
      </c>
      <c r="F342" s="10">
        <f t="shared" si="66"/>
        <v>56590.55834166667</v>
      </c>
      <c r="G342" s="10">
        <f t="shared" si="66"/>
        <v>56590.55834166667</v>
      </c>
      <c r="H342" s="10">
        <f t="shared" si="66"/>
        <v>56590.55834166667</v>
      </c>
      <c r="I342" s="10">
        <f t="shared" si="66"/>
        <v>56590.55834166667</v>
      </c>
      <c r="J342" s="10">
        <f t="shared" si="66"/>
        <v>56590.55834166667</v>
      </c>
      <c r="K342" s="10">
        <f t="shared" si="66"/>
        <v>56590.55834166667</v>
      </c>
      <c r="L342" s="10">
        <f t="shared" si="66"/>
        <v>56590.55834166667</v>
      </c>
      <c r="M342" s="10">
        <f t="shared" si="66"/>
        <v>56590.55834166667</v>
      </c>
      <c r="N342" s="10">
        <f t="shared" si="66"/>
        <v>56590.55834166667</v>
      </c>
      <c r="O342" s="10">
        <f t="shared" si="66"/>
        <v>56590.55834166667</v>
      </c>
      <c r="P342" s="10">
        <f t="shared" si="66"/>
        <v>56590.55834166667</v>
      </c>
      <c r="Q342" s="10">
        <f t="shared" si="52"/>
        <v>679086.70010000002</v>
      </c>
    </row>
    <row r="343" spans="1:17" x14ac:dyDescent="0.35">
      <c r="D343" s="43" t="s">
        <v>112</v>
      </c>
      <c r="E343" s="6">
        <f t="shared" ref="E343:P343" si="67">+E64</f>
        <v>21478</v>
      </c>
      <c r="F343" s="6">
        <f t="shared" si="67"/>
        <v>21478</v>
      </c>
      <c r="G343" s="6">
        <f t="shared" si="67"/>
        <v>21478</v>
      </c>
      <c r="H343" s="6">
        <f t="shared" si="67"/>
        <v>21478</v>
      </c>
      <c r="I343" s="6">
        <f t="shared" si="67"/>
        <v>21478</v>
      </c>
      <c r="J343" s="6">
        <f t="shared" si="67"/>
        <v>21478</v>
      </c>
      <c r="K343" s="6">
        <f t="shared" si="67"/>
        <v>21478</v>
      </c>
      <c r="L343" s="6">
        <f t="shared" si="67"/>
        <v>21478</v>
      </c>
      <c r="M343" s="6">
        <f t="shared" si="67"/>
        <v>21478</v>
      </c>
      <c r="N343" s="6">
        <f t="shared" si="67"/>
        <v>21478</v>
      </c>
      <c r="O343" s="6">
        <f t="shared" si="67"/>
        <v>21907.559999999998</v>
      </c>
      <c r="P343" s="6">
        <f t="shared" si="67"/>
        <v>21907.559999999998</v>
      </c>
      <c r="Q343" s="10">
        <f t="shared" si="52"/>
        <v>258595.12</v>
      </c>
    </row>
    <row r="344" spans="1:17" x14ac:dyDescent="0.35">
      <c r="D344" s="43" t="s">
        <v>113</v>
      </c>
      <c r="E344" s="6">
        <f t="shared" ref="E344:P344" si="68">+E68</f>
        <v>2163</v>
      </c>
      <c r="F344" s="6">
        <f t="shared" si="68"/>
        <v>2163</v>
      </c>
      <c r="G344" s="6">
        <f t="shared" si="68"/>
        <v>2163</v>
      </c>
      <c r="H344" s="6">
        <f t="shared" si="68"/>
        <v>2163</v>
      </c>
      <c r="I344" s="6">
        <f t="shared" si="68"/>
        <v>2163</v>
      </c>
      <c r="J344" s="6">
        <f t="shared" si="68"/>
        <v>2163</v>
      </c>
      <c r="K344" s="6">
        <f t="shared" si="68"/>
        <v>2163</v>
      </c>
      <c r="L344" s="6">
        <f t="shared" si="68"/>
        <v>2163</v>
      </c>
      <c r="M344" s="6">
        <f t="shared" si="68"/>
        <v>2163</v>
      </c>
      <c r="N344" s="6">
        <f t="shared" si="68"/>
        <v>2163</v>
      </c>
      <c r="O344" s="6">
        <f t="shared" si="68"/>
        <v>2163</v>
      </c>
      <c r="P344" s="6">
        <f t="shared" si="68"/>
        <v>2163</v>
      </c>
      <c r="Q344" s="10">
        <f t="shared" si="52"/>
        <v>25956</v>
      </c>
    </row>
    <row r="345" spans="1:17" x14ac:dyDescent="0.35">
      <c r="D345" s="43" t="s">
        <v>114</v>
      </c>
      <c r="E345" s="6">
        <f t="shared" ref="E345:P345" si="69">+E78</f>
        <v>20584.833333333332</v>
      </c>
      <c r="F345" s="6">
        <f t="shared" si="69"/>
        <v>20584.833333333332</v>
      </c>
      <c r="G345" s="6">
        <f t="shared" si="69"/>
        <v>20584.833333333332</v>
      </c>
      <c r="H345" s="6">
        <f t="shared" si="69"/>
        <v>20584.833333333332</v>
      </c>
      <c r="I345" s="6">
        <f t="shared" si="69"/>
        <v>20584.833333333332</v>
      </c>
      <c r="J345" s="6">
        <f t="shared" si="69"/>
        <v>20584.833333333332</v>
      </c>
      <c r="K345" s="6">
        <f t="shared" si="69"/>
        <v>20584.833333333332</v>
      </c>
      <c r="L345" s="6">
        <f t="shared" si="69"/>
        <v>20584.833333333332</v>
      </c>
      <c r="M345" s="6">
        <f t="shared" si="69"/>
        <v>20584.833333333332</v>
      </c>
      <c r="N345" s="6">
        <f t="shared" si="69"/>
        <v>20584.833333333332</v>
      </c>
      <c r="O345" s="6">
        <f t="shared" si="69"/>
        <v>20584.833333333332</v>
      </c>
      <c r="P345" s="6">
        <f t="shared" si="69"/>
        <v>20584.833333333332</v>
      </c>
      <c r="Q345" s="10">
        <f t="shared" si="52"/>
        <v>247018.00000000003</v>
      </c>
    </row>
    <row r="346" spans="1:17" x14ac:dyDescent="0.35">
      <c r="D346" s="43" t="s">
        <v>115</v>
      </c>
      <c r="E346" s="6">
        <f t="shared" ref="E346:P346" si="70">+E79</f>
        <v>0</v>
      </c>
      <c r="F346" s="6">
        <f t="shared" si="70"/>
        <v>0</v>
      </c>
      <c r="G346" s="6">
        <f t="shared" si="70"/>
        <v>0</v>
      </c>
      <c r="H346" s="6">
        <f t="shared" si="70"/>
        <v>0</v>
      </c>
      <c r="I346" s="6">
        <f t="shared" si="70"/>
        <v>0</v>
      </c>
      <c r="J346" s="6">
        <f t="shared" si="70"/>
        <v>0</v>
      </c>
      <c r="K346" s="6">
        <f t="shared" si="70"/>
        <v>0</v>
      </c>
      <c r="L346" s="6">
        <f t="shared" si="70"/>
        <v>0</v>
      </c>
      <c r="M346" s="6">
        <f t="shared" si="70"/>
        <v>0</v>
      </c>
      <c r="N346" s="6">
        <f t="shared" si="70"/>
        <v>0</v>
      </c>
      <c r="O346" s="6">
        <f t="shared" si="70"/>
        <v>0</v>
      </c>
      <c r="P346" s="6">
        <f t="shared" si="70"/>
        <v>0</v>
      </c>
      <c r="Q346" s="10">
        <f t="shared" si="52"/>
        <v>0</v>
      </c>
    </row>
    <row r="347" spans="1:17" x14ac:dyDescent="0.35">
      <c r="D347" s="43" t="s">
        <v>116</v>
      </c>
      <c r="E347" s="6">
        <f t="shared" ref="E347:P347" si="71">+E89</f>
        <v>2199.5</v>
      </c>
      <c r="F347" s="6">
        <f t="shared" si="71"/>
        <v>2199.5</v>
      </c>
      <c r="G347" s="6">
        <f t="shared" si="71"/>
        <v>2199.5</v>
      </c>
      <c r="H347" s="6">
        <f t="shared" si="71"/>
        <v>2199.5</v>
      </c>
      <c r="I347" s="6">
        <f t="shared" si="71"/>
        <v>2199.5</v>
      </c>
      <c r="J347" s="6">
        <f t="shared" si="71"/>
        <v>2199.5</v>
      </c>
      <c r="K347" s="6">
        <f t="shared" si="71"/>
        <v>2199.5</v>
      </c>
      <c r="L347" s="6">
        <f t="shared" si="71"/>
        <v>2199.5</v>
      </c>
      <c r="M347" s="6">
        <f t="shared" si="71"/>
        <v>2199.5</v>
      </c>
      <c r="N347" s="6">
        <f t="shared" si="71"/>
        <v>2199.5</v>
      </c>
      <c r="O347" s="6">
        <f t="shared" si="71"/>
        <v>2199.5</v>
      </c>
      <c r="P347" s="6">
        <f t="shared" si="71"/>
        <v>2199.5</v>
      </c>
      <c r="Q347" s="10">
        <f t="shared" si="52"/>
        <v>26394</v>
      </c>
    </row>
    <row r="348" spans="1:17" x14ac:dyDescent="0.35">
      <c r="D348" s="43" t="s">
        <v>117</v>
      </c>
      <c r="E348" s="6">
        <f t="shared" ref="E348:P348" si="72">+E93</f>
        <v>6697.0250000000005</v>
      </c>
      <c r="F348" s="6">
        <f t="shared" si="72"/>
        <v>6697.0250000000005</v>
      </c>
      <c r="G348" s="6">
        <f t="shared" si="72"/>
        <v>6697.0250000000005</v>
      </c>
      <c r="H348" s="6">
        <f t="shared" si="72"/>
        <v>6697.0250000000005</v>
      </c>
      <c r="I348" s="6">
        <f t="shared" si="72"/>
        <v>6697.0250000000005</v>
      </c>
      <c r="J348" s="6">
        <f t="shared" si="72"/>
        <v>6697.0250000000005</v>
      </c>
      <c r="K348" s="6">
        <f t="shared" si="72"/>
        <v>6697.0250000000005</v>
      </c>
      <c r="L348" s="6">
        <f t="shared" si="72"/>
        <v>6697.0250000000005</v>
      </c>
      <c r="M348" s="6">
        <f t="shared" si="72"/>
        <v>6697.0250000000005</v>
      </c>
      <c r="N348" s="6">
        <f t="shared" si="72"/>
        <v>6697.0250000000005</v>
      </c>
      <c r="O348" s="6">
        <f t="shared" si="72"/>
        <v>6697.0250000000005</v>
      </c>
      <c r="P348" s="6">
        <f t="shared" si="72"/>
        <v>6697.0250000000005</v>
      </c>
      <c r="Q348" s="10">
        <f t="shared" si="52"/>
        <v>80364.299999999988</v>
      </c>
    </row>
    <row r="349" spans="1:17" x14ac:dyDescent="0.35">
      <c r="D349" s="43" t="s">
        <v>118</v>
      </c>
      <c r="E349" s="6">
        <f t="shared" ref="E349:P349" si="73">+E95</f>
        <v>0</v>
      </c>
      <c r="F349" s="6">
        <f t="shared" si="73"/>
        <v>0</v>
      </c>
      <c r="G349" s="6">
        <f t="shared" si="73"/>
        <v>0</v>
      </c>
      <c r="H349" s="6">
        <f t="shared" si="73"/>
        <v>142717</v>
      </c>
      <c r="I349" s="6">
        <f t="shared" si="73"/>
        <v>0</v>
      </c>
      <c r="J349" s="6">
        <f t="shared" si="73"/>
        <v>0</v>
      </c>
      <c r="K349" s="6">
        <f t="shared" si="73"/>
        <v>0</v>
      </c>
      <c r="L349" s="6">
        <f t="shared" si="73"/>
        <v>0</v>
      </c>
      <c r="M349" s="6">
        <f t="shared" si="73"/>
        <v>0</v>
      </c>
      <c r="N349" s="6">
        <f t="shared" si="73"/>
        <v>0</v>
      </c>
      <c r="O349" s="6">
        <f t="shared" si="73"/>
        <v>0</v>
      </c>
      <c r="P349" s="6">
        <f t="shared" si="73"/>
        <v>0</v>
      </c>
      <c r="Q349" s="10">
        <f t="shared" si="52"/>
        <v>142717</v>
      </c>
    </row>
    <row r="350" spans="1:17" x14ac:dyDescent="0.35">
      <c r="D350" s="43" t="s">
        <v>119</v>
      </c>
      <c r="E350" s="6">
        <f t="shared" ref="E350:P350" si="74">+E97</f>
        <v>4240.7674999999999</v>
      </c>
      <c r="F350" s="6">
        <f t="shared" si="74"/>
        <v>4240.7674999999999</v>
      </c>
      <c r="G350" s="6">
        <f t="shared" si="74"/>
        <v>4240.7674999999999</v>
      </c>
      <c r="H350" s="6">
        <f t="shared" si="74"/>
        <v>4240.7674999999999</v>
      </c>
      <c r="I350" s="6">
        <f t="shared" si="74"/>
        <v>4240.7674999999999</v>
      </c>
      <c r="J350" s="6">
        <f t="shared" si="74"/>
        <v>4240.7674999999999</v>
      </c>
      <c r="K350" s="6">
        <f t="shared" si="74"/>
        <v>4240.7674999999999</v>
      </c>
      <c r="L350" s="6">
        <f t="shared" si="74"/>
        <v>4240.7674999999999</v>
      </c>
      <c r="M350" s="6">
        <f t="shared" si="74"/>
        <v>4240.7674999999999</v>
      </c>
      <c r="N350" s="6">
        <f t="shared" si="74"/>
        <v>4240.7674999999999</v>
      </c>
      <c r="O350" s="6">
        <f t="shared" si="74"/>
        <v>4240.7674999999999</v>
      </c>
      <c r="P350" s="6">
        <f t="shared" si="74"/>
        <v>4240.7674999999999</v>
      </c>
      <c r="Q350" s="10">
        <f t="shared" si="52"/>
        <v>50889.210000000014</v>
      </c>
    </row>
    <row r="351" spans="1:17" x14ac:dyDescent="0.35">
      <c r="D351" s="43" t="s">
        <v>126</v>
      </c>
      <c r="E351" s="6">
        <f t="shared" ref="E351:P351" si="75">+E99</f>
        <v>370.8</v>
      </c>
      <c r="F351" s="6">
        <f t="shared" si="75"/>
        <v>370.8</v>
      </c>
      <c r="G351" s="6">
        <f t="shared" si="75"/>
        <v>370.8</v>
      </c>
      <c r="H351" s="6">
        <f t="shared" si="75"/>
        <v>370.8</v>
      </c>
      <c r="I351" s="6">
        <f t="shared" si="75"/>
        <v>370.8</v>
      </c>
      <c r="J351" s="6">
        <f t="shared" si="75"/>
        <v>370.8</v>
      </c>
      <c r="K351" s="6">
        <f t="shared" si="75"/>
        <v>370.8</v>
      </c>
      <c r="L351" s="6">
        <f t="shared" si="75"/>
        <v>370.8</v>
      </c>
      <c r="M351" s="6">
        <f t="shared" si="75"/>
        <v>370.8</v>
      </c>
      <c r="N351" s="6">
        <f t="shared" si="75"/>
        <v>370.8</v>
      </c>
      <c r="O351" s="6">
        <f t="shared" si="75"/>
        <v>370.8</v>
      </c>
      <c r="P351" s="6">
        <f t="shared" si="75"/>
        <v>370.8</v>
      </c>
      <c r="Q351" s="10">
        <f t="shared" si="52"/>
        <v>4449.6000000000013</v>
      </c>
    </row>
    <row r="352" spans="1:17" x14ac:dyDescent="0.35">
      <c r="D352" s="43" t="s">
        <v>127</v>
      </c>
      <c r="E352" s="6">
        <f t="shared" ref="E352:P352" si="76">+E102</f>
        <v>0</v>
      </c>
      <c r="F352" s="6">
        <f t="shared" si="76"/>
        <v>0</v>
      </c>
      <c r="G352" s="6">
        <f t="shared" si="76"/>
        <v>0</v>
      </c>
      <c r="H352" s="6">
        <f t="shared" si="76"/>
        <v>0</v>
      </c>
      <c r="I352" s="6">
        <f t="shared" si="76"/>
        <v>0</v>
      </c>
      <c r="J352" s="6">
        <f t="shared" si="76"/>
        <v>0</v>
      </c>
      <c r="K352" s="6">
        <f t="shared" si="76"/>
        <v>0</v>
      </c>
      <c r="L352" s="6">
        <f t="shared" si="76"/>
        <v>0</v>
      </c>
      <c r="M352" s="6">
        <f t="shared" si="76"/>
        <v>0</v>
      </c>
      <c r="N352" s="6">
        <f t="shared" si="76"/>
        <v>0</v>
      </c>
      <c r="O352" s="6">
        <f t="shared" si="76"/>
        <v>0</v>
      </c>
      <c r="P352" s="6">
        <f t="shared" si="76"/>
        <v>0</v>
      </c>
      <c r="Q352" s="10">
        <f t="shared" si="52"/>
        <v>0</v>
      </c>
    </row>
    <row r="353" spans="1:17" x14ac:dyDescent="0.35">
      <c r="D353" s="43" t="s">
        <v>120</v>
      </c>
      <c r="E353" s="6">
        <f t="shared" ref="E353:P353" si="77">+E103</f>
        <v>790.52500000000009</v>
      </c>
      <c r="F353" s="6">
        <f t="shared" si="77"/>
        <v>790.52500000000009</v>
      </c>
      <c r="G353" s="6">
        <f t="shared" si="77"/>
        <v>790.52500000000009</v>
      </c>
      <c r="H353" s="6">
        <f t="shared" si="77"/>
        <v>790.52500000000009</v>
      </c>
      <c r="I353" s="6">
        <f t="shared" si="77"/>
        <v>790.52500000000009</v>
      </c>
      <c r="J353" s="6">
        <f t="shared" si="77"/>
        <v>790.52500000000009</v>
      </c>
      <c r="K353" s="6">
        <f t="shared" si="77"/>
        <v>790.52500000000009</v>
      </c>
      <c r="L353" s="6">
        <f t="shared" si="77"/>
        <v>790.52500000000009</v>
      </c>
      <c r="M353" s="6">
        <f t="shared" si="77"/>
        <v>790.52500000000009</v>
      </c>
      <c r="N353" s="6">
        <f t="shared" si="77"/>
        <v>790.52500000000009</v>
      </c>
      <c r="O353" s="6">
        <f t="shared" si="77"/>
        <v>790.52500000000009</v>
      </c>
      <c r="P353" s="6">
        <f t="shared" si="77"/>
        <v>790.52500000000009</v>
      </c>
      <c r="Q353" s="10">
        <f t="shared" si="52"/>
        <v>9486.2999999999993</v>
      </c>
    </row>
    <row r="354" spans="1:17" x14ac:dyDescent="0.35">
      <c r="D354" s="43" t="s">
        <v>121</v>
      </c>
      <c r="E354" s="6">
        <f t="shared" ref="E354:P354" si="78">+E114</f>
        <v>0</v>
      </c>
      <c r="F354" s="6">
        <f t="shared" si="78"/>
        <v>0</v>
      </c>
      <c r="G354" s="6">
        <f t="shared" si="78"/>
        <v>0</v>
      </c>
      <c r="H354" s="6">
        <f t="shared" si="78"/>
        <v>0</v>
      </c>
      <c r="I354" s="6">
        <f t="shared" si="78"/>
        <v>0</v>
      </c>
      <c r="J354" s="6">
        <f t="shared" si="78"/>
        <v>0</v>
      </c>
      <c r="K354" s="6">
        <f t="shared" si="78"/>
        <v>0</v>
      </c>
      <c r="L354" s="6">
        <f t="shared" si="78"/>
        <v>0</v>
      </c>
      <c r="M354" s="6">
        <f t="shared" si="78"/>
        <v>0</v>
      </c>
      <c r="N354" s="6">
        <f t="shared" si="78"/>
        <v>0</v>
      </c>
      <c r="O354" s="6">
        <f t="shared" si="78"/>
        <v>0</v>
      </c>
      <c r="P354" s="6">
        <f t="shared" si="78"/>
        <v>0</v>
      </c>
      <c r="Q354" s="10">
        <f t="shared" si="52"/>
        <v>0</v>
      </c>
    </row>
    <row r="355" spans="1:17" x14ac:dyDescent="0.35">
      <c r="D355" s="43" t="s">
        <v>122</v>
      </c>
      <c r="E355" s="6">
        <f t="shared" ref="E355:P355" si="79">+E115</f>
        <v>167200</v>
      </c>
      <c r="F355" s="6">
        <f t="shared" si="79"/>
        <v>25000</v>
      </c>
      <c r="G355" s="6">
        <f t="shared" si="79"/>
        <v>38500</v>
      </c>
      <c r="H355" s="6">
        <f t="shared" si="79"/>
        <v>306219</v>
      </c>
      <c r="I355" s="6">
        <f t="shared" si="79"/>
        <v>0</v>
      </c>
      <c r="J355" s="6">
        <f t="shared" si="79"/>
        <v>0</v>
      </c>
      <c r="K355" s="6">
        <f t="shared" si="79"/>
        <v>257500</v>
      </c>
      <c r="L355" s="6">
        <f t="shared" si="79"/>
        <v>0</v>
      </c>
      <c r="M355" s="6">
        <f t="shared" si="79"/>
        <v>0</v>
      </c>
      <c r="N355" s="6">
        <f t="shared" si="79"/>
        <v>0</v>
      </c>
      <c r="O355" s="6">
        <f t="shared" si="79"/>
        <v>0</v>
      </c>
      <c r="P355" s="6">
        <f t="shared" si="79"/>
        <v>0</v>
      </c>
      <c r="Q355" s="10">
        <f t="shared" si="52"/>
        <v>794419</v>
      </c>
    </row>
    <row r="356" spans="1:17" x14ac:dyDescent="0.35">
      <c r="D356" s="43" t="s">
        <v>123</v>
      </c>
      <c r="E356" s="6">
        <f t="shared" ref="E356:P356" si="80">+E116</f>
        <v>0</v>
      </c>
      <c r="F356" s="6">
        <f t="shared" si="80"/>
        <v>0</v>
      </c>
      <c r="G356" s="6">
        <f t="shared" si="80"/>
        <v>128000</v>
      </c>
      <c r="H356" s="6">
        <f t="shared" si="80"/>
        <v>0</v>
      </c>
      <c r="I356" s="6">
        <f t="shared" si="80"/>
        <v>0</v>
      </c>
      <c r="J356" s="6">
        <f t="shared" si="80"/>
        <v>0</v>
      </c>
      <c r="K356" s="6">
        <f t="shared" si="80"/>
        <v>0</v>
      </c>
      <c r="L356" s="6">
        <f t="shared" si="80"/>
        <v>0</v>
      </c>
      <c r="M356" s="6">
        <f t="shared" si="80"/>
        <v>0</v>
      </c>
      <c r="N356" s="6">
        <f t="shared" si="80"/>
        <v>0</v>
      </c>
      <c r="O356" s="6">
        <f t="shared" si="80"/>
        <v>0</v>
      </c>
      <c r="P356" s="6">
        <f t="shared" si="80"/>
        <v>0</v>
      </c>
      <c r="Q356" s="10">
        <f t="shared" si="52"/>
        <v>128000</v>
      </c>
    </row>
    <row r="357" spans="1:17" x14ac:dyDescent="0.35">
      <c r="D357" s="43" t="s">
        <v>124</v>
      </c>
      <c r="E357" s="6" t="e">
        <f>+#REF!+#REF!</f>
        <v>#REF!</v>
      </c>
      <c r="F357" s="6" t="e">
        <f>+#REF!+#REF!</f>
        <v>#REF!</v>
      </c>
      <c r="G357" s="6" t="e">
        <f>+#REF!+#REF!</f>
        <v>#REF!</v>
      </c>
      <c r="H357" s="6" t="e">
        <f>+#REF!+#REF!</f>
        <v>#REF!</v>
      </c>
      <c r="I357" s="6" t="e">
        <f>+#REF!+#REF!</f>
        <v>#REF!</v>
      </c>
      <c r="J357" s="6" t="e">
        <f>+#REF!+#REF!</f>
        <v>#REF!</v>
      </c>
      <c r="K357" s="6" t="e">
        <f>+#REF!+#REF!</f>
        <v>#REF!</v>
      </c>
      <c r="L357" s="6" t="e">
        <f>+#REF!+#REF!</f>
        <v>#REF!</v>
      </c>
      <c r="M357" s="6" t="e">
        <f>+#REF!+#REF!</f>
        <v>#REF!</v>
      </c>
      <c r="N357" s="6" t="e">
        <f>+#REF!+#REF!</f>
        <v>#REF!</v>
      </c>
      <c r="O357" s="6" t="e">
        <f>+#REF!+#REF!</f>
        <v>#REF!</v>
      </c>
      <c r="P357" s="6" t="e">
        <f>+#REF!+#REF!</f>
        <v>#REF!</v>
      </c>
      <c r="Q357" s="10" t="e">
        <f t="shared" si="52"/>
        <v>#REF!</v>
      </c>
    </row>
    <row r="358" spans="1:17" x14ac:dyDescent="0.35">
      <c r="D358" s="43" t="s">
        <v>125</v>
      </c>
      <c r="E358" s="6" t="e">
        <f>+#REF!</f>
        <v>#REF!</v>
      </c>
      <c r="F358" s="6" t="e">
        <f>+#REF!</f>
        <v>#REF!</v>
      </c>
      <c r="G358" s="6" t="e">
        <f>+#REF!</f>
        <v>#REF!</v>
      </c>
      <c r="H358" s="6" t="e">
        <f>+#REF!</f>
        <v>#REF!</v>
      </c>
      <c r="I358" s="6" t="e">
        <f>+#REF!</f>
        <v>#REF!</v>
      </c>
      <c r="J358" s="6" t="e">
        <f>+#REF!</f>
        <v>#REF!</v>
      </c>
      <c r="K358" s="6" t="e">
        <f>+#REF!</f>
        <v>#REF!</v>
      </c>
      <c r="L358" s="6" t="e">
        <f>+#REF!</f>
        <v>#REF!</v>
      </c>
      <c r="M358" s="6" t="e">
        <f>+#REF!</f>
        <v>#REF!</v>
      </c>
      <c r="N358" s="6" t="e">
        <f>+#REF!</f>
        <v>#REF!</v>
      </c>
      <c r="O358" s="6" t="e">
        <f>+#REF!</f>
        <v>#REF!</v>
      </c>
      <c r="P358" s="6" t="e">
        <f>+#REF!</f>
        <v>#REF!</v>
      </c>
      <c r="Q358" s="10" t="e">
        <f t="shared" si="52"/>
        <v>#REF!</v>
      </c>
    </row>
    <row r="359" spans="1:17" x14ac:dyDescent="0.35">
      <c r="D359" s="43" t="s">
        <v>128</v>
      </c>
      <c r="E359" s="6" t="e">
        <f>+#REF!</f>
        <v>#REF!</v>
      </c>
      <c r="F359" s="6" t="e">
        <f>+#REF!</f>
        <v>#REF!</v>
      </c>
      <c r="G359" s="6" t="e">
        <f>+#REF!</f>
        <v>#REF!</v>
      </c>
      <c r="H359" s="6" t="e">
        <f>+#REF!</f>
        <v>#REF!</v>
      </c>
      <c r="I359" s="6" t="e">
        <f>+#REF!</f>
        <v>#REF!</v>
      </c>
      <c r="J359" s="6" t="e">
        <f>+#REF!</f>
        <v>#REF!</v>
      </c>
      <c r="K359" s="6" t="e">
        <f>+#REF!</f>
        <v>#REF!</v>
      </c>
      <c r="L359" s="6" t="e">
        <f>+#REF!</f>
        <v>#REF!</v>
      </c>
      <c r="M359" s="6" t="e">
        <f>+#REF!</f>
        <v>#REF!</v>
      </c>
      <c r="N359" s="6" t="e">
        <f>+#REF!</f>
        <v>#REF!</v>
      </c>
      <c r="O359" s="6" t="e">
        <f>+#REF!</f>
        <v>#REF!</v>
      </c>
      <c r="P359" s="6" t="e">
        <f>+#REF!</f>
        <v>#REF!</v>
      </c>
      <c r="Q359" s="10" t="e">
        <f t="shared" si="52"/>
        <v>#REF!</v>
      </c>
    </row>
    <row r="360" spans="1:17" x14ac:dyDescent="0.35">
      <c r="D360" s="43" t="s">
        <v>145</v>
      </c>
      <c r="E360" s="6" t="e">
        <f>+#REF!</f>
        <v>#REF!</v>
      </c>
      <c r="F360" s="6" t="e">
        <f>+#REF!</f>
        <v>#REF!</v>
      </c>
      <c r="G360" s="6" t="e">
        <f>+#REF!</f>
        <v>#REF!</v>
      </c>
      <c r="H360" s="6" t="e">
        <f>+#REF!</f>
        <v>#REF!</v>
      </c>
      <c r="I360" s="6" t="e">
        <f>+#REF!</f>
        <v>#REF!</v>
      </c>
      <c r="J360" s="6" t="e">
        <f>+#REF!</f>
        <v>#REF!</v>
      </c>
      <c r="K360" s="6" t="e">
        <f>+#REF!</f>
        <v>#REF!</v>
      </c>
      <c r="L360" s="6" t="e">
        <f>+#REF!</f>
        <v>#REF!</v>
      </c>
      <c r="M360" s="6" t="e">
        <f>+#REF!</f>
        <v>#REF!</v>
      </c>
      <c r="N360" s="6" t="e">
        <f>+#REF!</f>
        <v>#REF!</v>
      </c>
      <c r="O360" s="6" t="e">
        <f>+#REF!</f>
        <v>#REF!</v>
      </c>
      <c r="P360" s="6" t="e">
        <f>+#REF!</f>
        <v>#REF!</v>
      </c>
      <c r="Q360" s="10" t="e">
        <f t="shared" si="52"/>
        <v>#REF!</v>
      </c>
    </row>
    <row r="361" spans="1:17" x14ac:dyDescent="0.35">
      <c r="D361" s="43"/>
      <c r="Q361" s="10"/>
    </row>
    <row r="362" spans="1:17" x14ac:dyDescent="0.35">
      <c r="E362" s="45" t="e">
        <f>SUM(E327:E361)</f>
        <v>#REF!</v>
      </c>
      <c r="F362" s="45" t="e">
        <f t="shared" ref="F362:Q362" si="81">SUM(F327:F361)</f>
        <v>#REF!</v>
      </c>
      <c r="G362" s="45" t="e">
        <f t="shared" si="81"/>
        <v>#REF!</v>
      </c>
      <c r="H362" s="45" t="e">
        <f t="shared" si="81"/>
        <v>#REF!</v>
      </c>
      <c r="I362" s="45" t="e">
        <f t="shared" si="81"/>
        <v>#REF!</v>
      </c>
      <c r="J362" s="45" t="e">
        <f t="shared" si="81"/>
        <v>#REF!</v>
      </c>
      <c r="K362" s="45" t="e">
        <f t="shared" si="81"/>
        <v>#REF!</v>
      </c>
      <c r="L362" s="45" t="e">
        <f t="shared" si="81"/>
        <v>#REF!</v>
      </c>
      <c r="M362" s="45" t="e">
        <f t="shared" si="81"/>
        <v>#REF!</v>
      </c>
      <c r="N362" s="45" t="e">
        <f t="shared" si="81"/>
        <v>#REF!</v>
      </c>
      <c r="O362" s="45" t="e">
        <f t="shared" si="81"/>
        <v>#REF!</v>
      </c>
      <c r="P362" s="45" t="e">
        <f t="shared" si="81"/>
        <v>#REF!</v>
      </c>
      <c r="Q362" s="45" t="e">
        <f t="shared" si="81"/>
        <v>#REF!</v>
      </c>
    </row>
    <row r="363" spans="1:17" x14ac:dyDescent="0.35">
      <c r="Q363" s="46" t="e">
        <f>+#REF!+Q362</f>
        <v>#REF!</v>
      </c>
    </row>
    <row r="366" spans="1:17" ht="16.5" thickBot="1" x14ac:dyDescent="0.4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spans="1:17" ht="16.5" thickTop="1" x14ac:dyDescent="0.35">
      <c r="A367" s="40"/>
      <c r="B367" s="40"/>
      <c r="C367" s="40"/>
      <c r="D367" s="40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</row>
    <row r="369" spans="4:16" x14ac:dyDescent="0.35">
      <c r="E369" s="11" t="s">
        <v>0</v>
      </c>
      <c r="F369" s="11" t="s">
        <v>1</v>
      </c>
      <c r="G369" s="11" t="s">
        <v>2</v>
      </c>
      <c r="H369" s="11" t="s">
        <v>3</v>
      </c>
      <c r="I369" s="11" t="s">
        <v>4</v>
      </c>
      <c r="J369" s="11" t="s">
        <v>5</v>
      </c>
      <c r="K369" s="11" t="s">
        <v>6</v>
      </c>
      <c r="L369" s="11" t="s">
        <v>7</v>
      </c>
      <c r="M369" s="11" t="s">
        <v>8</v>
      </c>
      <c r="N369" s="11" t="s">
        <v>9</v>
      </c>
      <c r="O369" s="11" t="s">
        <v>10</v>
      </c>
      <c r="P369" s="11" t="s">
        <v>11</v>
      </c>
    </row>
    <row r="371" spans="4:16" x14ac:dyDescent="0.35">
      <c r="D371" s="6" t="s">
        <v>148</v>
      </c>
      <c r="E371" s="6" t="e">
        <f>+'1100'!#REF!+'1500'!#REF!+'2300'!#REF!+'4500'!#REF!+'5600'!#REF!+'7010'!#REF!+'7200'!#REF!</f>
        <v>#REF!</v>
      </c>
      <c r="F371" s="6" t="e">
        <f>+'1100'!#REF!+'1500'!#REF!+'2300'!#REF!+'4500'!#REF!+'5600'!#REF!+'7010'!#REF!+'7200'!#REF!</f>
        <v>#REF!</v>
      </c>
      <c r="G371" s="6" t="e">
        <f>+'1100'!#REF!+'1500'!#REF!+'2300'!#REF!+'4500'!#REF!+'5600'!#REF!+'7010'!#REF!+'7200'!#REF!</f>
        <v>#REF!</v>
      </c>
      <c r="H371" s="6" t="e">
        <f>+'1100'!#REF!+'1500'!#REF!+'2300'!#REF!+'4500'!#REF!+'5600'!#REF!+'7010'!#REF!+'7200'!#REF!</f>
        <v>#REF!</v>
      </c>
      <c r="I371" s="6" t="e">
        <f>+'1100'!#REF!+'1500'!#REF!+'2300'!#REF!+'4500'!#REF!+'5600'!#REF!+'7010'!#REF!+'7200'!#REF!</f>
        <v>#REF!</v>
      </c>
      <c r="J371" s="6" t="e">
        <f>+'1100'!#REF!+'1500'!#REF!+'2300'!#REF!+'4500'!#REF!+'5600'!#REF!+'7010'!#REF!+'7200'!#REF!</f>
        <v>#REF!</v>
      </c>
      <c r="K371" s="6" t="e">
        <f>+'1100'!#REF!+'1500'!#REF!+'2300'!#REF!+'4500'!#REF!+'5600'!#REF!+'7010'!#REF!+'7200'!#REF!</f>
        <v>#REF!</v>
      </c>
      <c r="L371" s="6" t="e">
        <f>+'1100'!#REF!+'1500'!#REF!+'2300'!#REF!+'4500'!#REF!+'5600'!#REF!+'7010'!#REF!+'7200'!#REF!</f>
        <v>#REF!</v>
      </c>
      <c r="M371" s="6" t="e">
        <f>+'1100'!#REF!+'1500'!#REF!+'2300'!#REF!+'4500'!#REF!+'5600'!#REF!+'7010'!#REF!+'7200'!#REF!</f>
        <v>#REF!</v>
      </c>
      <c r="N371" s="6" t="e">
        <f>+'1100'!#REF!+'1500'!#REF!+'2300'!#REF!+'4500'!#REF!+'5600'!#REF!+'7010'!#REF!+'7200'!#REF!</f>
        <v>#REF!</v>
      </c>
      <c r="O371" s="6" t="e">
        <f>+'1100'!#REF!+'1500'!#REF!+'2300'!#REF!+'4500'!#REF!+'5600'!#REF!+'7010'!#REF!+'7200'!#REF!</f>
        <v>#REF!</v>
      </c>
      <c r="P371" s="6" t="e">
        <f>+'1100'!#REF!+'1500'!#REF!+'2300'!#REF!+'4500'!#REF!+'5600'!#REF!+'7010'!#REF!+'7200'!#REF!</f>
        <v>#REF!</v>
      </c>
    </row>
    <row r="373" spans="4:16" x14ac:dyDescent="0.35">
      <c r="D373" s="6" t="s">
        <v>147</v>
      </c>
      <c r="E373" s="6" t="e">
        <f>+'1100'!#REF!+'1500'!#REF!+'2300'!#REF!+'4500'!#REF!+'5600'!#REF!+'7010'!#REF!+'7200'!#REF!</f>
        <v>#REF!</v>
      </c>
      <c r="F373" s="6" t="e">
        <f>+'1100'!#REF!+'1500'!#REF!+'2300'!#REF!+'4500'!#REF!+'5600'!#REF!+'7010'!#REF!+'7200'!#REF!</f>
        <v>#REF!</v>
      </c>
      <c r="G373" s="6" t="e">
        <f>+'1100'!#REF!+'1500'!#REF!+'2300'!#REF!+'4500'!#REF!+'5600'!#REF!+'7010'!#REF!+'7200'!#REF!</f>
        <v>#REF!</v>
      </c>
      <c r="H373" s="6" t="e">
        <f>+'1100'!#REF!+'1500'!#REF!+'2300'!#REF!+'4500'!#REF!+'5600'!#REF!+'7010'!#REF!+'7200'!#REF!</f>
        <v>#REF!</v>
      </c>
      <c r="I373" s="6" t="e">
        <f>+'1100'!#REF!+'1500'!#REF!+'2300'!#REF!+'4500'!#REF!+'5600'!#REF!+'7010'!#REF!+'7200'!#REF!</f>
        <v>#REF!</v>
      </c>
      <c r="J373" s="6" t="e">
        <f>+'1100'!#REF!+'1500'!#REF!+'2300'!#REF!+'4500'!#REF!+'5600'!#REF!+'7010'!#REF!+'7200'!#REF!</f>
        <v>#REF!</v>
      </c>
      <c r="K373" s="6" t="e">
        <f>+'1100'!#REF!+'1500'!#REF!+'2300'!#REF!+'4500'!#REF!+'5600'!#REF!+'7010'!#REF!+'7200'!#REF!</f>
        <v>#REF!</v>
      </c>
      <c r="L373" s="6" t="e">
        <f>+'1100'!#REF!+'1500'!#REF!+'2300'!#REF!+'4500'!#REF!+'5600'!#REF!+'7010'!#REF!+'7200'!#REF!</f>
        <v>#REF!</v>
      </c>
      <c r="M373" s="6" t="e">
        <f>+'1100'!#REF!+'1500'!#REF!+'2300'!#REF!+'4500'!#REF!+'5600'!#REF!+'7010'!#REF!+'7200'!#REF!</f>
        <v>#REF!</v>
      </c>
      <c r="N373" s="6" t="e">
        <f>+'1100'!#REF!+'1500'!#REF!+'2300'!#REF!+'4500'!#REF!+'5600'!#REF!+'7010'!#REF!+'7200'!#REF!</f>
        <v>#REF!</v>
      </c>
      <c r="O373" s="6" t="e">
        <f>+'1100'!#REF!+'1500'!#REF!+'2300'!#REF!+'4500'!#REF!+'5600'!#REF!+'7010'!#REF!+'7200'!#REF!</f>
        <v>#REF!</v>
      </c>
      <c r="P373" s="6" t="e">
        <f>+'1100'!#REF!+'1500'!#REF!+'2300'!#REF!+'4500'!#REF!+'5600'!#REF!+'7010'!#REF!+'7200'!#REF!</f>
        <v>#REF!</v>
      </c>
    </row>
    <row r="375" spans="4:16" x14ac:dyDescent="0.35">
      <c r="D375" s="6" t="s">
        <v>149</v>
      </c>
      <c r="E375" s="25" t="e">
        <f>E373/E371</f>
        <v>#REF!</v>
      </c>
      <c r="F375" s="25" t="e">
        <f t="shared" ref="F375:P375" si="82">F373/F371</f>
        <v>#REF!</v>
      </c>
      <c r="G375" s="25" t="e">
        <f t="shared" si="82"/>
        <v>#REF!</v>
      </c>
      <c r="H375" s="25" t="e">
        <f t="shared" si="82"/>
        <v>#REF!</v>
      </c>
      <c r="I375" s="25" t="e">
        <f t="shared" si="82"/>
        <v>#REF!</v>
      </c>
      <c r="J375" s="25" t="e">
        <f t="shared" si="82"/>
        <v>#REF!</v>
      </c>
      <c r="K375" s="25" t="e">
        <f t="shared" si="82"/>
        <v>#REF!</v>
      </c>
      <c r="L375" s="25" t="e">
        <f t="shared" si="82"/>
        <v>#REF!</v>
      </c>
      <c r="M375" s="25" t="e">
        <f t="shared" si="82"/>
        <v>#REF!</v>
      </c>
      <c r="N375" s="25" t="e">
        <f t="shared" si="82"/>
        <v>#REF!</v>
      </c>
      <c r="O375" s="25" t="e">
        <f t="shared" si="82"/>
        <v>#REF!</v>
      </c>
      <c r="P375" s="25" t="e">
        <f t="shared" si="82"/>
        <v>#REF!</v>
      </c>
    </row>
  </sheetData>
  <sheetProtection sheet="1" selectLockedCells="1" selectUnlockedCells="1"/>
  <mergeCells count="1">
    <mergeCell ref="B4:C4"/>
  </mergeCells>
  <pageMargins left="0" right="0" top="0" bottom="0" header="0.05" footer="0"/>
  <pageSetup scale="47" fitToHeight="2" orientation="landscape" cellComments="asDisplayed" r:id="rId1"/>
  <headerFooter alignWithMargins="0">
    <oddFooter>&amp;L&amp;Z&amp;F\&amp;A&amp;R&amp;D;&amp;T</oddFooter>
  </headerFooter>
  <rowBreaks count="1" manualBreakCount="1">
    <brk id="72" min="1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theme="0"/>
  </sheetPr>
  <dimension ref="A1:U209"/>
  <sheetViews>
    <sheetView topLeftCell="A148" zoomScaleNormal="100" workbookViewId="0">
      <selection activeCell="E170" sqref="E170:Q170"/>
    </sheetView>
  </sheetViews>
  <sheetFormatPr defaultColWidth="10.81640625" defaultRowHeight="16" outlineLevelRow="1" x14ac:dyDescent="0.35"/>
  <cols>
    <col min="1" max="1" width="15.54296875" style="6" bestFit="1" customWidth="1"/>
    <col min="2" max="2" width="11.453125" style="6" customWidth="1"/>
    <col min="3" max="3" width="2.81640625" style="6" customWidth="1"/>
    <col min="4" max="4" width="37.81640625" style="6" customWidth="1"/>
    <col min="5" max="5" width="13.81640625" style="6" bestFit="1" customWidth="1"/>
    <col min="6" max="6" width="12" style="6" bestFit="1" customWidth="1"/>
    <col min="7" max="8" width="12.1796875" style="6" bestFit="1" customWidth="1"/>
    <col min="9" max="9" width="12" style="6" bestFit="1" customWidth="1"/>
    <col min="10" max="16" width="13.1796875" style="6" customWidth="1"/>
    <col min="17" max="18" width="13.81640625" style="6" bestFit="1" customWidth="1"/>
    <col min="19" max="19" width="9.1796875" style="23" bestFit="1" customWidth="1"/>
    <col min="20" max="20" width="33.1796875" style="6" bestFit="1" customWidth="1"/>
    <col min="21" max="16384" width="10.81640625" style="6"/>
  </cols>
  <sheetData>
    <row r="1" spans="1:20" s="20" customFormat="1" ht="29" x14ac:dyDescent="0.25">
      <c r="B1" s="214">
        <v>1100</v>
      </c>
      <c r="C1" s="388" t="s">
        <v>556</v>
      </c>
      <c r="J1" s="21" t="str">
        <f>+'All Shopping Centers'!J1</f>
        <v>Operating Budget</v>
      </c>
      <c r="Q1" s="22">
        <f>'All Shopping Centers'!Q1</f>
        <v>46023</v>
      </c>
      <c r="R1" s="22"/>
      <c r="S1" s="230"/>
    </row>
    <row r="2" spans="1:20" ht="18" x14ac:dyDescent="0.35">
      <c r="J2" s="73" t="str">
        <f>'All Shopping Centers'!J2&amp;" - "&amp;B1</f>
        <v>Shopping Centers - 1100</v>
      </c>
    </row>
    <row r="3" spans="1:20" ht="7.5" customHeight="1" x14ac:dyDescent="0.35"/>
    <row r="4" spans="1:20" s="11" customFormat="1" ht="18" x14ac:dyDescent="0.35">
      <c r="B4" s="253">
        <v>8287</v>
      </c>
      <c r="C4" s="215"/>
      <c r="D4" s="13"/>
      <c r="E4" s="24" t="s">
        <v>0</v>
      </c>
      <c r="F4" s="24" t="s">
        <v>1</v>
      </c>
      <c r="G4" s="24" t="s">
        <v>2</v>
      </c>
      <c r="H4" s="24" t="s">
        <v>3</v>
      </c>
      <c r="I4" s="24" t="s">
        <v>4</v>
      </c>
      <c r="J4" s="24" t="s">
        <v>5</v>
      </c>
      <c r="K4" s="24" t="s">
        <v>6</v>
      </c>
      <c r="L4" s="24" t="s">
        <v>7</v>
      </c>
      <c r="M4" s="24" t="s">
        <v>8</v>
      </c>
      <c r="N4" s="24" t="s">
        <v>9</v>
      </c>
      <c r="O4" s="24" t="s">
        <v>10</v>
      </c>
      <c r="P4" s="24" t="s">
        <v>11</v>
      </c>
      <c r="Q4" s="100" t="s">
        <v>12</v>
      </c>
      <c r="R4" s="100" t="s">
        <v>317</v>
      </c>
      <c r="S4" s="231" t="s">
        <v>349</v>
      </c>
      <c r="T4" s="227" t="s">
        <v>282</v>
      </c>
    </row>
    <row r="5" spans="1:20" x14ac:dyDescent="0.35">
      <c r="Q5" s="101"/>
      <c r="R5" s="101"/>
    </row>
    <row r="6" spans="1:20" s="25" customFormat="1" x14ac:dyDescent="0.35">
      <c r="B6" s="26"/>
      <c r="D6" s="211" t="s">
        <v>13</v>
      </c>
      <c r="E6" s="212">
        <f>'Renew &amp; Vac '!AJ9</f>
        <v>0.51429999999999998</v>
      </c>
      <c r="F6" s="212">
        <f>'Renew &amp; Vac '!AK9</f>
        <v>0.51429999999999998</v>
      </c>
      <c r="G6" s="212">
        <f>'Renew &amp; Vac '!AL9</f>
        <v>0.51429999999999998</v>
      </c>
      <c r="H6" s="212">
        <f>'Renew &amp; Vac '!AM9</f>
        <v>0.51429999999999998</v>
      </c>
      <c r="I6" s="212">
        <f>'Renew &amp; Vac '!AN9</f>
        <v>0.51429999999999998</v>
      </c>
      <c r="J6" s="212">
        <f>'Renew &amp; Vac '!AO9</f>
        <v>0.63500000000000001</v>
      </c>
      <c r="K6" s="212">
        <f>'Renew &amp; Vac '!AP9</f>
        <v>0.63500000000000001</v>
      </c>
      <c r="L6" s="212">
        <f>'Renew &amp; Vac '!AQ9</f>
        <v>0.63500000000000001</v>
      </c>
      <c r="M6" s="212">
        <f>'Renew &amp; Vac '!AR9</f>
        <v>0.63500000000000001</v>
      </c>
      <c r="N6" s="212">
        <f>'Renew &amp; Vac '!AS9</f>
        <v>0.63500000000000001</v>
      </c>
      <c r="O6" s="212">
        <f>'Renew &amp; Vac '!AT9</f>
        <v>0.63500000000000001</v>
      </c>
      <c r="P6" s="212">
        <f>'Renew &amp; Vac '!AU9</f>
        <v>0.63500000000000001</v>
      </c>
      <c r="Q6" s="102"/>
      <c r="R6" s="102"/>
      <c r="S6" s="232"/>
    </row>
    <row r="7" spans="1:20" s="25" customFormat="1" x14ac:dyDescent="0.35">
      <c r="B7" s="26"/>
      <c r="D7" s="211" t="s">
        <v>323</v>
      </c>
      <c r="E7" s="213">
        <f>$B$4*E6</f>
        <v>4262.0041000000001</v>
      </c>
      <c r="F7" s="213">
        <f t="shared" ref="F7:P7" si="0">$B$4*F6</f>
        <v>4262.0041000000001</v>
      </c>
      <c r="G7" s="213">
        <f t="shared" si="0"/>
        <v>4262.0041000000001</v>
      </c>
      <c r="H7" s="213">
        <f t="shared" si="0"/>
        <v>4262.0041000000001</v>
      </c>
      <c r="I7" s="213">
        <f t="shared" si="0"/>
        <v>4262.0041000000001</v>
      </c>
      <c r="J7" s="213">
        <f t="shared" si="0"/>
        <v>5262.2449999999999</v>
      </c>
      <c r="K7" s="213">
        <f t="shared" si="0"/>
        <v>5262.2449999999999</v>
      </c>
      <c r="L7" s="213">
        <f t="shared" si="0"/>
        <v>5262.2449999999999</v>
      </c>
      <c r="M7" s="213">
        <f t="shared" si="0"/>
        <v>5262.2449999999999</v>
      </c>
      <c r="N7" s="213">
        <f t="shared" si="0"/>
        <v>5262.2449999999999</v>
      </c>
      <c r="O7" s="213">
        <f t="shared" si="0"/>
        <v>5262.2449999999999</v>
      </c>
      <c r="P7" s="213">
        <f t="shared" si="0"/>
        <v>5262.2449999999999</v>
      </c>
      <c r="Q7" s="102"/>
      <c r="R7" s="102"/>
      <c r="S7" s="232"/>
    </row>
    <row r="8" spans="1:20" ht="18" x14ac:dyDescent="0.35">
      <c r="B8" s="7" t="s">
        <v>14</v>
      </c>
      <c r="Q8" s="101"/>
      <c r="R8" s="101"/>
    </row>
    <row r="9" spans="1:20" x14ac:dyDescent="0.35">
      <c r="A9" s="66"/>
      <c r="Q9" s="101"/>
      <c r="R9" s="101"/>
    </row>
    <row r="10" spans="1:20" x14ac:dyDescent="0.35">
      <c r="A10" s="66" t="s">
        <v>132</v>
      </c>
      <c r="C10" s="6" t="s">
        <v>159</v>
      </c>
      <c r="E10" s="6">
        <f>SUMIFS('In Place Revenue'!$G:$G,'In Place Revenue'!$A:$A,$B$1,'In Place Revenue'!$H:$H,1)</f>
        <v>0</v>
      </c>
      <c r="F10" s="6">
        <f>SUMIFS('In Place Revenue'!$G:$G,'In Place Revenue'!$A:$A,$B$1,'In Place Revenue'!$H:$H,2)</f>
        <v>0</v>
      </c>
      <c r="G10" s="6">
        <f>SUMIFS('In Place Revenue'!$G:$G,'In Place Revenue'!$A:$A,$B$1,'In Place Revenue'!$H:$H,3)</f>
        <v>0</v>
      </c>
      <c r="H10" s="6">
        <f>SUMIFS('In Place Revenue'!$G:$G,'In Place Revenue'!$A:$A,$B$1,'In Place Revenue'!$H:$H,4)</f>
        <v>0</v>
      </c>
      <c r="I10" s="6">
        <f>SUMIFS('In Place Revenue'!$G:$G,'In Place Revenue'!$A:$A,$B$1,'In Place Revenue'!$H:$H,5)</f>
        <v>0</v>
      </c>
      <c r="J10" s="6">
        <f>SUMIFS('In Place Revenue'!$G:$G,'In Place Revenue'!$A:$A,$B$1,'In Place Revenue'!$H:$H,6)</f>
        <v>0</v>
      </c>
      <c r="K10" s="6">
        <f>SUMIFS('In Place Revenue'!$G:$G,'In Place Revenue'!$A:$A,$B$1,'In Place Revenue'!$H:$H,7)</f>
        <v>0</v>
      </c>
      <c r="L10" s="6">
        <f>SUMIFS('In Place Revenue'!$G:$G,'In Place Revenue'!$A:$A,$B$1,'In Place Revenue'!$H:$H,8)</f>
        <v>0</v>
      </c>
      <c r="M10" s="6">
        <f>SUMIFS('In Place Revenue'!$G:$G,'In Place Revenue'!$A:$A,$B$1,'In Place Revenue'!$H:$H,9)</f>
        <v>0</v>
      </c>
      <c r="N10" s="6">
        <f>SUMIFS('In Place Revenue'!$G:$G,'In Place Revenue'!$A:$A,$B$1,'In Place Revenue'!$H:$H,10)</f>
        <v>0</v>
      </c>
      <c r="O10" s="6">
        <f>SUMIFS('In Place Revenue'!$G:$G,'In Place Revenue'!$A:$A,$B$1,'In Place Revenue'!$H:$H,11)</f>
        <v>0</v>
      </c>
      <c r="P10" s="6">
        <f>SUMIFS('In Place Revenue'!$G:$G,'In Place Revenue'!$A:$A,$B$1,'In Place Revenue'!$H:$H,12)</f>
        <v>0</v>
      </c>
      <c r="Q10" s="101">
        <f>SUM(E10:P10)</f>
        <v>0</v>
      </c>
      <c r="R10" s="184">
        <f>Q10/$B$4</f>
        <v>0</v>
      </c>
      <c r="S10" s="233"/>
    </row>
    <row r="11" spans="1:20" x14ac:dyDescent="0.35">
      <c r="A11" s="66" t="s">
        <v>132</v>
      </c>
      <c r="C11" s="6" t="s">
        <v>160</v>
      </c>
      <c r="E11" s="6">
        <f>'Renew &amp; Vac '!AJ10</f>
        <v>3056.1666666666665</v>
      </c>
      <c r="F11" s="6">
        <f>'Renew &amp; Vac '!AK10</f>
        <v>3056.1666666666665</v>
      </c>
      <c r="G11" s="6">
        <f>'Renew &amp; Vac '!AL10</f>
        <v>3056.1666666666665</v>
      </c>
      <c r="H11" s="6">
        <f>'Renew &amp; Vac '!AM10</f>
        <v>3056.1666666666665</v>
      </c>
      <c r="I11" s="6">
        <f>'Renew &amp; Vac '!AN10</f>
        <v>3056.1666666666665</v>
      </c>
      <c r="J11" s="6">
        <f>'Renew &amp; Vac '!AO10</f>
        <v>4306.166666666667</v>
      </c>
      <c r="K11" s="6">
        <f>'Renew &amp; Vac '!AP10</f>
        <v>4306.166666666667</v>
      </c>
      <c r="L11" s="6">
        <f>'Renew &amp; Vac '!AQ10</f>
        <v>4306.166666666667</v>
      </c>
      <c r="M11" s="6">
        <f>'Renew &amp; Vac '!AR10</f>
        <v>4306.166666666667</v>
      </c>
      <c r="N11" s="6">
        <f>'Renew &amp; Vac '!AS10</f>
        <v>4306.166666666667</v>
      </c>
      <c r="O11" s="6">
        <f>'Renew &amp; Vac '!AT10</f>
        <v>4306.166666666667</v>
      </c>
      <c r="P11" s="6">
        <f>'Renew &amp; Vac '!AU10</f>
        <v>4306.166666666667</v>
      </c>
      <c r="Q11" s="101">
        <f>SUM(E11:P11)</f>
        <v>45424</v>
      </c>
      <c r="R11" s="184">
        <f t="shared" ref="R11:R73" si="1">Q11/$B$4</f>
        <v>5.4813563412573911</v>
      </c>
      <c r="S11" s="233"/>
    </row>
    <row r="12" spans="1:20" x14ac:dyDescent="0.35">
      <c r="A12" s="66" t="s">
        <v>97</v>
      </c>
      <c r="C12" s="6" t="s">
        <v>15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01">
        <f>SUM(E12:P12)</f>
        <v>0</v>
      </c>
      <c r="R12" s="184">
        <f t="shared" si="1"/>
        <v>0</v>
      </c>
      <c r="S12" s="233"/>
    </row>
    <row r="13" spans="1:20" x14ac:dyDescent="0.35">
      <c r="A13" s="66" t="s">
        <v>133</v>
      </c>
      <c r="C13" s="6" t="s">
        <v>16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01">
        <f>SUM(E13:P13)</f>
        <v>0</v>
      </c>
      <c r="R13" s="184">
        <f t="shared" si="1"/>
        <v>0</v>
      </c>
      <c r="S13" s="233"/>
    </row>
    <row r="14" spans="1:20" x14ac:dyDescent="0.35">
      <c r="A14" s="66" t="s">
        <v>134</v>
      </c>
      <c r="C14" s="6" t="s">
        <v>17</v>
      </c>
      <c r="E14" s="12">
        <f>1.03*3</f>
        <v>3.09</v>
      </c>
      <c r="F14" s="12">
        <f t="shared" ref="F14:P14" si="2">1.03*3</f>
        <v>3.09</v>
      </c>
      <c r="G14" s="12">
        <f t="shared" si="2"/>
        <v>3.09</v>
      </c>
      <c r="H14" s="12">
        <f t="shared" si="2"/>
        <v>3.09</v>
      </c>
      <c r="I14" s="12">
        <f t="shared" si="2"/>
        <v>3.09</v>
      </c>
      <c r="J14" s="12">
        <f t="shared" si="2"/>
        <v>3.09</v>
      </c>
      <c r="K14" s="12">
        <f t="shared" si="2"/>
        <v>3.09</v>
      </c>
      <c r="L14" s="12">
        <f t="shared" si="2"/>
        <v>3.09</v>
      </c>
      <c r="M14" s="12">
        <f t="shared" si="2"/>
        <v>3.09</v>
      </c>
      <c r="N14" s="12">
        <f t="shared" si="2"/>
        <v>3.09</v>
      </c>
      <c r="O14" s="12">
        <f t="shared" si="2"/>
        <v>3.09</v>
      </c>
      <c r="P14" s="12">
        <f t="shared" si="2"/>
        <v>3.09</v>
      </c>
      <c r="Q14" s="101">
        <f>SUM(E14:P14)</f>
        <v>37.08</v>
      </c>
      <c r="R14" s="184">
        <f t="shared" si="1"/>
        <v>4.4744780982261369E-3</v>
      </c>
      <c r="S14" s="233" t="s">
        <v>283</v>
      </c>
      <c r="T14" s="6" t="s">
        <v>348</v>
      </c>
    </row>
    <row r="15" spans="1:20" x14ac:dyDescent="0.35">
      <c r="A15" s="66"/>
      <c r="C15" s="6" t="s">
        <v>18</v>
      </c>
      <c r="D15" s="16"/>
      <c r="E15" s="28">
        <f t="shared" ref="E15:Q15" si="3">SUM(E10:E14)</f>
        <v>3059.2566666666667</v>
      </c>
      <c r="F15" s="28">
        <f t="shared" si="3"/>
        <v>3059.2566666666667</v>
      </c>
      <c r="G15" s="28">
        <f t="shared" si="3"/>
        <v>3059.2566666666667</v>
      </c>
      <c r="H15" s="28">
        <f t="shared" si="3"/>
        <v>3059.2566666666667</v>
      </c>
      <c r="I15" s="28">
        <f t="shared" si="3"/>
        <v>3059.2566666666667</v>
      </c>
      <c r="J15" s="28">
        <f t="shared" si="3"/>
        <v>4309.2566666666671</v>
      </c>
      <c r="K15" s="28">
        <f t="shared" si="3"/>
        <v>4309.2566666666671</v>
      </c>
      <c r="L15" s="28">
        <f t="shared" si="3"/>
        <v>4309.2566666666671</v>
      </c>
      <c r="M15" s="28">
        <f t="shared" si="3"/>
        <v>4309.2566666666671</v>
      </c>
      <c r="N15" s="28">
        <f t="shared" si="3"/>
        <v>4309.2566666666671</v>
      </c>
      <c r="O15" s="28">
        <f t="shared" si="3"/>
        <v>4309.2566666666671</v>
      </c>
      <c r="P15" s="28">
        <f t="shared" si="3"/>
        <v>4309.2566666666671</v>
      </c>
      <c r="Q15" s="110">
        <f t="shared" si="3"/>
        <v>45461.08</v>
      </c>
      <c r="R15" s="191">
        <f t="shared" si="1"/>
        <v>5.4858308193556171</v>
      </c>
      <c r="S15" s="233"/>
    </row>
    <row r="16" spans="1:20" ht="18" x14ac:dyDescent="0.35">
      <c r="A16" s="66"/>
      <c r="Q16" s="103"/>
      <c r="R16" s="185"/>
      <c r="S16" s="234"/>
    </row>
    <row r="17" spans="1:20" ht="18" x14ac:dyDescent="0.35">
      <c r="A17" s="66"/>
      <c r="B17" s="7" t="s">
        <v>19</v>
      </c>
      <c r="Q17" s="101"/>
      <c r="R17" s="184"/>
      <c r="S17" s="233"/>
    </row>
    <row r="18" spans="1:20" x14ac:dyDescent="0.35">
      <c r="A18" s="66" t="s">
        <v>98</v>
      </c>
      <c r="C18" s="6" t="s">
        <v>20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01">
        <f>SUM(E18:P18)</f>
        <v>0</v>
      </c>
      <c r="R18" s="184">
        <f t="shared" si="1"/>
        <v>0</v>
      </c>
      <c r="S18" s="233"/>
    </row>
    <row r="19" spans="1:20" x14ac:dyDescent="0.35">
      <c r="A19" s="66" t="s">
        <v>99</v>
      </c>
      <c r="C19" s="6" t="s">
        <v>21</v>
      </c>
      <c r="E19" s="6">
        <f>+'Tenant Recoveries'!E26</f>
        <v>2600</v>
      </c>
      <c r="F19" s="6">
        <f t="shared" ref="F19:P19" si="4">+E19</f>
        <v>2600</v>
      </c>
      <c r="G19" s="6">
        <f t="shared" si="4"/>
        <v>2600</v>
      </c>
      <c r="H19" s="6">
        <f t="shared" si="4"/>
        <v>2600</v>
      </c>
      <c r="I19" s="6">
        <f t="shared" si="4"/>
        <v>2600</v>
      </c>
      <c r="J19" s="6">
        <f t="shared" si="4"/>
        <v>2600</v>
      </c>
      <c r="K19" s="6">
        <f t="shared" si="4"/>
        <v>2600</v>
      </c>
      <c r="L19" s="6">
        <f t="shared" si="4"/>
        <v>2600</v>
      </c>
      <c r="M19" s="6">
        <f t="shared" si="4"/>
        <v>2600</v>
      </c>
      <c r="N19" s="6">
        <f t="shared" si="4"/>
        <v>2600</v>
      </c>
      <c r="O19" s="6">
        <f t="shared" si="4"/>
        <v>2600</v>
      </c>
      <c r="P19" s="6">
        <f t="shared" si="4"/>
        <v>2600</v>
      </c>
      <c r="Q19" s="101">
        <f>SUM(E19:P19)</f>
        <v>31200</v>
      </c>
      <c r="R19" s="184">
        <f t="shared" si="1"/>
        <v>3.764933027633643</v>
      </c>
      <c r="S19" s="233"/>
    </row>
    <row r="20" spans="1:20" x14ac:dyDescent="0.35">
      <c r="A20" s="66" t="s">
        <v>100</v>
      </c>
      <c r="C20" s="6" t="s">
        <v>22</v>
      </c>
      <c r="E20" s="6">
        <f>+'Tenant Recoveries'!E27</f>
        <v>600</v>
      </c>
      <c r="F20" s="6">
        <f t="shared" ref="F20:P20" si="5">+E20</f>
        <v>600</v>
      </c>
      <c r="G20" s="6">
        <f t="shared" si="5"/>
        <v>600</v>
      </c>
      <c r="H20" s="6">
        <f t="shared" si="5"/>
        <v>600</v>
      </c>
      <c r="I20" s="6">
        <f t="shared" si="5"/>
        <v>600</v>
      </c>
      <c r="J20" s="6">
        <f t="shared" si="5"/>
        <v>600</v>
      </c>
      <c r="K20" s="6">
        <f t="shared" si="5"/>
        <v>600</v>
      </c>
      <c r="L20" s="6">
        <f t="shared" si="5"/>
        <v>600</v>
      </c>
      <c r="M20" s="6">
        <f t="shared" si="5"/>
        <v>600</v>
      </c>
      <c r="N20" s="6">
        <f t="shared" si="5"/>
        <v>600</v>
      </c>
      <c r="O20" s="6">
        <f t="shared" si="5"/>
        <v>600</v>
      </c>
      <c r="P20" s="6">
        <f t="shared" si="5"/>
        <v>600</v>
      </c>
      <c r="Q20" s="101">
        <f>SUM(E20:P20)</f>
        <v>7200</v>
      </c>
      <c r="R20" s="184">
        <f t="shared" si="1"/>
        <v>0.86883069868468688</v>
      </c>
      <c r="S20" s="233"/>
    </row>
    <row r="21" spans="1:20" x14ac:dyDescent="0.35">
      <c r="A21" s="66" t="s">
        <v>135</v>
      </c>
      <c r="C21" s="6" t="s">
        <v>23</v>
      </c>
      <c r="Q21" s="101">
        <f>SUM(E21:P21)</f>
        <v>0</v>
      </c>
      <c r="R21" s="184">
        <f t="shared" si="1"/>
        <v>0</v>
      </c>
      <c r="S21" s="233"/>
    </row>
    <row r="22" spans="1:20" x14ac:dyDescent="0.35">
      <c r="A22" s="66"/>
      <c r="C22" s="6" t="s">
        <v>24</v>
      </c>
      <c r="D22" s="16"/>
      <c r="E22" s="28">
        <f t="shared" ref="E22:Q22" si="6">SUM(E18:E21)</f>
        <v>3200</v>
      </c>
      <c r="F22" s="28">
        <f t="shared" si="6"/>
        <v>3200</v>
      </c>
      <c r="G22" s="28">
        <f t="shared" si="6"/>
        <v>3200</v>
      </c>
      <c r="H22" s="28">
        <f t="shared" si="6"/>
        <v>3200</v>
      </c>
      <c r="I22" s="28">
        <f t="shared" si="6"/>
        <v>3200</v>
      </c>
      <c r="J22" s="28">
        <f t="shared" si="6"/>
        <v>3200</v>
      </c>
      <c r="K22" s="28">
        <f t="shared" si="6"/>
        <v>3200</v>
      </c>
      <c r="L22" s="28">
        <f t="shared" si="6"/>
        <v>3200</v>
      </c>
      <c r="M22" s="28">
        <f t="shared" si="6"/>
        <v>3200</v>
      </c>
      <c r="N22" s="28">
        <f t="shared" si="6"/>
        <v>3200</v>
      </c>
      <c r="O22" s="28">
        <f t="shared" si="6"/>
        <v>3200</v>
      </c>
      <c r="P22" s="28">
        <f t="shared" si="6"/>
        <v>3200</v>
      </c>
      <c r="Q22" s="110">
        <f t="shared" si="6"/>
        <v>38400</v>
      </c>
      <c r="R22" s="191">
        <f t="shared" si="1"/>
        <v>4.63376372631833</v>
      </c>
      <c r="S22" s="233"/>
    </row>
    <row r="23" spans="1:20" ht="16.5" thickBot="1" x14ac:dyDescent="0.4">
      <c r="A23" s="66"/>
      <c r="Q23" s="101"/>
      <c r="R23" s="184">
        <f t="shared" si="1"/>
        <v>0</v>
      </c>
      <c r="S23" s="233"/>
    </row>
    <row r="24" spans="1:20" s="9" customFormat="1" ht="18" thickBot="1" x14ac:dyDescent="0.4">
      <c r="A24" s="218"/>
      <c r="B24" s="219" t="s">
        <v>25</v>
      </c>
      <c r="C24" s="220"/>
      <c r="D24" s="220"/>
      <c r="E24" s="220">
        <f t="shared" ref="E24:Q24" si="7">+E15+E22</f>
        <v>6259.2566666666662</v>
      </c>
      <c r="F24" s="220">
        <f t="shared" si="7"/>
        <v>6259.2566666666662</v>
      </c>
      <c r="G24" s="220">
        <f t="shared" si="7"/>
        <v>6259.2566666666662</v>
      </c>
      <c r="H24" s="220">
        <f t="shared" si="7"/>
        <v>6259.2566666666662</v>
      </c>
      <c r="I24" s="220">
        <f t="shared" si="7"/>
        <v>6259.2566666666662</v>
      </c>
      <c r="J24" s="220">
        <f t="shared" si="7"/>
        <v>7509.2566666666671</v>
      </c>
      <c r="K24" s="220">
        <f t="shared" si="7"/>
        <v>7509.2566666666671</v>
      </c>
      <c r="L24" s="220">
        <f t="shared" si="7"/>
        <v>7509.2566666666671</v>
      </c>
      <c r="M24" s="220">
        <f t="shared" si="7"/>
        <v>7509.2566666666671</v>
      </c>
      <c r="N24" s="220">
        <f t="shared" si="7"/>
        <v>7509.2566666666671</v>
      </c>
      <c r="O24" s="220">
        <f t="shared" si="7"/>
        <v>7509.2566666666671</v>
      </c>
      <c r="P24" s="220">
        <f t="shared" si="7"/>
        <v>7509.2566666666671</v>
      </c>
      <c r="Q24" s="221">
        <f t="shared" si="7"/>
        <v>83861.08</v>
      </c>
      <c r="R24" s="222">
        <f t="shared" si="1"/>
        <v>10.119594545673948</v>
      </c>
      <c r="S24" s="235"/>
    </row>
    <row r="25" spans="1:20" ht="18" x14ac:dyDescent="0.35">
      <c r="A25" s="66"/>
      <c r="Q25" s="103"/>
      <c r="R25" s="185"/>
      <c r="S25" s="234"/>
    </row>
    <row r="26" spans="1:20" ht="18" x14ac:dyDescent="0.35">
      <c r="A26" s="66"/>
      <c r="B26" s="7" t="s">
        <v>26</v>
      </c>
      <c r="Q26" s="101"/>
      <c r="R26" s="184"/>
      <c r="S26" s="233"/>
    </row>
    <row r="27" spans="1:20" x14ac:dyDescent="0.35">
      <c r="A27" s="66" t="s">
        <v>101</v>
      </c>
      <c r="C27" s="6" t="s">
        <v>27</v>
      </c>
      <c r="E27" s="6">
        <f>VLOOKUP($B$1,'Allocated Expenses'!$B$6:$P$15,4,FALSE)</f>
        <v>255.18264950958095</v>
      </c>
      <c r="F27" s="6">
        <f>VLOOKUP($B$1,'Allocated Expenses'!$B$6:$P$15,5,FALSE)</f>
        <v>255.18264950958095</v>
      </c>
      <c r="G27" s="6">
        <f>VLOOKUP($B$1,'Allocated Expenses'!$B$6:$P$15,6,FALSE)</f>
        <v>255.18264950958095</v>
      </c>
      <c r="H27" s="6">
        <f>VLOOKUP($B$1,'Allocated Expenses'!$B$6:$P$15,7,FALSE)</f>
        <v>255.18264950958095</v>
      </c>
      <c r="I27" s="6">
        <f>VLOOKUP($B$1,'Allocated Expenses'!$B$6:$P$15,8,FALSE)</f>
        <v>255.18264950958095</v>
      </c>
      <c r="J27" s="6">
        <f>VLOOKUP($B$1,'Allocated Expenses'!$B$6:$P$15,9,FALSE)</f>
        <v>255.18264950958095</v>
      </c>
      <c r="K27" s="6">
        <f>VLOOKUP($B$1,'Allocated Expenses'!$B$6:$P$15,10,FALSE)</f>
        <v>255.18264950958095</v>
      </c>
      <c r="L27" s="6">
        <f>VLOOKUP($B$1,'Allocated Expenses'!$B$6:$P$15,11,FALSE)</f>
        <v>255.18264950958095</v>
      </c>
      <c r="M27" s="6">
        <f>VLOOKUP($B$1,'Allocated Expenses'!$B$6:$P$15,12,FALSE)</f>
        <v>255.18264950958095</v>
      </c>
      <c r="N27" s="6">
        <f>VLOOKUP($B$1,'Allocated Expenses'!$B$6:$P$15,13,FALSE)</f>
        <v>255.18264950958095</v>
      </c>
      <c r="O27" s="6">
        <f>VLOOKUP($B$1,'Allocated Expenses'!$B$6:$P$15,14,FALSE)</f>
        <v>255.18264950958095</v>
      </c>
      <c r="P27" s="6">
        <f>VLOOKUP($B$1,'Allocated Expenses'!$B$6:$P$15,15,FALSE)</f>
        <v>255.18264950958095</v>
      </c>
      <c r="Q27" s="101">
        <f>SUM(E27:P27)</f>
        <v>3062.1917941149718</v>
      </c>
      <c r="R27" s="184">
        <f t="shared" si="1"/>
        <v>0.36951753277603133</v>
      </c>
      <c r="S27" s="233"/>
    </row>
    <row r="28" spans="1:20" x14ac:dyDescent="0.35">
      <c r="A28" s="66"/>
      <c r="Q28" s="101"/>
      <c r="R28" s="184"/>
      <c r="S28" s="233"/>
    </row>
    <row r="29" spans="1:20" x14ac:dyDescent="0.35">
      <c r="A29" s="66" t="s">
        <v>102</v>
      </c>
      <c r="C29" s="6" t="s">
        <v>20</v>
      </c>
      <c r="E29" s="12">
        <f>1.03*641</f>
        <v>660.23</v>
      </c>
      <c r="F29" s="12">
        <f>1.03*622</f>
        <v>640.66</v>
      </c>
      <c r="G29" s="12">
        <f>1.03*712</f>
        <v>733.36</v>
      </c>
      <c r="H29" s="12">
        <f>1.03*651</f>
        <v>670.53</v>
      </c>
      <c r="I29" s="12">
        <f>1.03*616</f>
        <v>634.48</v>
      </c>
      <c r="J29" s="12">
        <f>1.03*527</f>
        <v>542.81000000000006</v>
      </c>
      <c r="K29" s="12">
        <f>1.03*192</f>
        <v>197.76</v>
      </c>
      <c r="L29" s="12">
        <f>1.03*171</f>
        <v>176.13</v>
      </c>
      <c r="M29" s="12">
        <f>1.03*176</f>
        <v>181.28</v>
      </c>
      <c r="N29" s="12">
        <f>1.03*170</f>
        <v>175.1</v>
      </c>
      <c r="O29" s="12">
        <f>1.03*581</f>
        <v>598.43000000000006</v>
      </c>
      <c r="P29" s="12">
        <f>1.03*774</f>
        <v>797.22</v>
      </c>
      <c r="Q29" s="101">
        <f>SUM(E29:P29)</f>
        <v>6007.9900000000007</v>
      </c>
      <c r="R29" s="184">
        <f t="shared" si="1"/>
        <v>0.72498974297091834</v>
      </c>
      <c r="S29" s="233" t="s">
        <v>283</v>
      </c>
      <c r="T29" s="6" t="s">
        <v>348</v>
      </c>
    </row>
    <row r="30" spans="1:20" x14ac:dyDescent="0.35">
      <c r="A30" s="66"/>
      <c r="Q30" s="101"/>
      <c r="R30" s="184"/>
      <c r="S30" s="233"/>
    </row>
    <row r="31" spans="1:20" x14ac:dyDescent="0.35">
      <c r="A31" s="66" t="s">
        <v>103</v>
      </c>
      <c r="C31" s="6" t="s">
        <v>28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01">
        <f>SUM(E31:P31)</f>
        <v>0</v>
      </c>
      <c r="R31" s="184">
        <f t="shared" si="1"/>
        <v>0</v>
      </c>
      <c r="S31" s="233"/>
    </row>
    <row r="32" spans="1:20" x14ac:dyDescent="0.35">
      <c r="A32" s="66"/>
      <c r="Q32" s="101"/>
      <c r="R32" s="184"/>
      <c r="S32" s="233"/>
    </row>
    <row r="33" spans="1:20" x14ac:dyDescent="0.35">
      <c r="A33" s="66"/>
      <c r="D33" s="50" t="s">
        <v>29</v>
      </c>
      <c r="E33" s="45">
        <f>'Building Maint'!C20</f>
        <v>0</v>
      </c>
      <c r="F33" s="45">
        <f>'Building Maint'!D20</f>
        <v>0</v>
      </c>
      <c r="G33" s="45">
        <f>'Building Maint'!E20</f>
        <v>0</v>
      </c>
      <c r="H33" s="45">
        <f>'Building Maint'!F20</f>
        <v>0</v>
      </c>
      <c r="I33" s="45">
        <f>'Building Maint'!G20</f>
        <v>400</v>
      </c>
      <c r="J33" s="45">
        <f>'Building Maint'!H20</f>
        <v>0</v>
      </c>
      <c r="K33" s="45">
        <f>'Building Maint'!I20</f>
        <v>0</v>
      </c>
      <c r="L33" s="45">
        <f>'Building Maint'!J20</f>
        <v>0</v>
      </c>
      <c r="M33" s="45">
        <f>'Building Maint'!K20</f>
        <v>300</v>
      </c>
      <c r="N33" s="45">
        <f>'Building Maint'!L20</f>
        <v>0</v>
      </c>
      <c r="O33" s="45">
        <f>'Building Maint'!M20</f>
        <v>400</v>
      </c>
      <c r="P33" s="45">
        <f>'Building Maint'!N20</f>
        <v>0</v>
      </c>
      <c r="Q33" s="195">
        <f>SUM(E33:P33)</f>
        <v>1100</v>
      </c>
      <c r="R33" s="186">
        <f t="shared" si="1"/>
        <v>0.1327380234101605</v>
      </c>
      <c r="S33" s="233" t="s">
        <v>283</v>
      </c>
      <c r="T33" s="6" t="s">
        <v>348</v>
      </c>
    </row>
    <row r="34" spans="1:20" x14ac:dyDescent="0.35">
      <c r="A34" s="66"/>
      <c r="D34" s="51" t="s">
        <v>30</v>
      </c>
      <c r="E34" s="6">
        <f>'Building Maint'!C6</f>
        <v>200</v>
      </c>
      <c r="F34" s="6">
        <f>'Building Maint'!D6</f>
        <v>200</v>
      </c>
      <c r="G34" s="6">
        <f>'Building Maint'!E6</f>
        <v>200</v>
      </c>
      <c r="H34" s="6">
        <f>'Building Maint'!F6</f>
        <v>500</v>
      </c>
      <c r="I34" s="6">
        <f>'Building Maint'!G6</f>
        <v>200</v>
      </c>
      <c r="J34" s="6">
        <f>'Building Maint'!H6</f>
        <v>200</v>
      </c>
      <c r="K34" s="6">
        <f>'Building Maint'!I6</f>
        <v>200</v>
      </c>
      <c r="L34" s="6">
        <f>'Building Maint'!J6</f>
        <v>200</v>
      </c>
      <c r="M34" s="6">
        <f>'Building Maint'!K6</f>
        <v>200</v>
      </c>
      <c r="N34" s="6">
        <f>'Building Maint'!L6</f>
        <v>650</v>
      </c>
      <c r="O34" s="6">
        <f>'Building Maint'!M6</f>
        <v>200</v>
      </c>
      <c r="P34" s="6">
        <f>'Building Maint'!N6</f>
        <v>200</v>
      </c>
      <c r="Q34" s="196">
        <f>SUM(E34:P34)</f>
        <v>3150</v>
      </c>
      <c r="R34" s="187">
        <f t="shared" si="1"/>
        <v>0.3801134306745505</v>
      </c>
      <c r="S34" s="233" t="s">
        <v>283</v>
      </c>
      <c r="T34" s="6" t="s">
        <v>348</v>
      </c>
    </row>
    <row r="35" spans="1:20" x14ac:dyDescent="0.35">
      <c r="A35" s="66"/>
      <c r="D35" s="52" t="s">
        <v>31</v>
      </c>
      <c r="E35" s="14"/>
      <c r="F35" s="14">
        <v>500</v>
      </c>
      <c r="G35" s="14"/>
      <c r="H35" s="14"/>
      <c r="I35" s="14">
        <v>500</v>
      </c>
      <c r="J35" s="14"/>
      <c r="K35" s="14"/>
      <c r="L35" s="14">
        <v>500</v>
      </c>
      <c r="M35" s="14"/>
      <c r="N35" s="14"/>
      <c r="O35" s="14">
        <v>500</v>
      </c>
      <c r="P35" s="14"/>
      <c r="Q35" s="197">
        <f>SUM(E35:P35)</f>
        <v>2000</v>
      </c>
      <c r="R35" s="188">
        <f t="shared" si="1"/>
        <v>0.24134186074574634</v>
      </c>
      <c r="S35" s="233" t="s">
        <v>465</v>
      </c>
      <c r="T35" s="6" t="s">
        <v>466</v>
      </c>
    </row>
    <row r="36" spans="1:20" x14ac:dyDescent="0.35">
      <c r="A36" s="66" t="s">
        <v>104</v>
      </c>
      <c r="C36" s="6" t="s">
        <v>32</v>
      </c>
      <c r="E36" s="15">
        <f t="shared" ref="E36:Q36" si="8">SUM(E33:E35)</f>
        <v>200</v>
      </c>
      <c r="F36" s="15">
        <f t="shared" si="8"/>
        <v>700</v>
      </c>
      <c r="G36" s="15">
        <f t="shared" si="8"/>
        <v>200</v>
      </c>
      <c r="H36" s="15">
        <f t="shared" si="8"/>
        <v>500</v>
      </c>
      <c r="I36" s="15">
        <f t="shared" si="8"/>
        <v>1100</v>
      </c>
      <c r="J36" s="15">
        <f t="shared" si="8"/>
        <v>200</v>
      </c>
      <c r="K36" s="15">
        <f t="shared" si="8"/>
        <v>200</v>
      </c>
      <c r="L36" s="15">
        <f t="shared" si="8"/>
        <v>700</v>
      </c>
      <c r="M36" s="15">
        <f t="shared" si="8"/>
        <v>500</v>
      </c>
      <c r="N36" s="15">
        <f t="shared" si="8"/>
        <v>650</v>
      </c>
      <c r="O36" s="15">
        <f t="shared" si="8"/>
        <v>1100</v>
      </c>
      <c r="P36" s="15">
        <f>SUM(P33:P35)</f>
        <v>200</v>
      </c>
      <c r="Q36" s="108">
        <f t="shared" si="8"/>
        <v>6250</v>
      </c>
      <c r="R36" s="189">
        <f t="shared" si="1"/>
        <v>0.75419331483045737</v>
      </c>
      <c r="S36" s="233"/>
    </row>
    <row r="37" spans="1:20" x14ac:dyDescent="0.35">
      <c r="A37" s="66"/>
      <c r="Q37" s="101"/>
      <c r="R37" s="184"/>
      <c r="S37" s="233"/>
    </row>
    <row r="38" spans="1:20" x14ac:dyDescent="0.35">
      <c r="A38" s="66" t="s">
        <v>136</v>
      </c>
      <c r="B38" s="6" t="s">
        <v>33</v>
      </c>
      <c r="C38" s="6" t="s">
        <v>34</v>
      </c>
      <c r="E38" s="12">
        <v>300</v>
      </c>
      <c r="F38" s="12">
        <v>300</v>
      </c>
      <c r="G38" s="12">
        <v>300</v>
      </c>
      <c r="H38" s="12">
        <v>300</v>
      </c>
      <c r="I38" s="12">
        <v>300</v>
      </c>
      <c r="J38" s="12">
        <v>300</v>
      </c>
      <c r="K38" s="12">
        <v>300</v>
      </c>
      <c r="L38" s="12">
        <v>300</v>
      </c>
      <c r="M38" s="12">
        <v>300</v>
      </c>
      <c r="N38" s="12">
        <v>300</v>
      </c>
      <c r="O38" s="12">
        <v>300</v>
      </c>
      <c r="P38" s="12">
        <v>300</v>
      </c>
      <c r="Q38" s="101">
        <f>SUM(E38:P38)</f>
        <v>3600</v>
      </c>
      <c r="R38" s="184">
        <f t="shared" si="1"/>
        <v>0.43441534934234344</v>
      </c>
      <c r="S38" s="233" t="s">
        <v>283</v>
      </c>
      <c r="T38" s="6" t="s">
        <v>348</v>
      </c>
    </row>
    <row r="39" spans="1:20" x14ac:dyDescent="0.35">
      <c r="A39" s="66"/>
      <c r="Q39" s="101"/>
      <c r="R39" s="184"/>
      <c r="S39" s="233"/>
    </row>
    <row r="40" spans="1:20" x14ac:dyDescent="0.35">
      <c r="A40" s="66"/>
      <c r="D40" s="50" t="s">
        <v>35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195">
        <f>SUM(E40:P40)</f>
        <v>0</v>
      </c>
      <c r="R40" s="186">
        <f t="shared" si="1"/>
        <v>0</v>
      </c>
      <c r="S40" s="233"/>
    </row>
    <row r="41" spans="1:20" x14ac:dyDescent="0.35">
      <c r="A41" s="66"/>
      <c r="D41" s="51" t="s">
        <v>36</v>
      </c>
      <c r="E41" s="12"/>
      <c r="F41" s="12"/>
      <c r="G41" s="12">
        <v>1250</v>
      </c>
      <c r="H41" s="12"/>
      <c r="I41" s="12"/>
      <c r="J41" s="12">
        <v>1250</v>
      </c>
      <c r="K41" s="12"/>
      <c r="L41" s="12"/>
      <c r="M41" s="12">
        <v>1250</v>
      </c>
      <c r="N41" s="12"/>
      <c r="O41" s="12"/>
      <c r="P41" s="12">
        <v>1250</v>
      </c>
      <c r="Q41" s="196">
        <f>SUM(E41:P41)</f>
        <v>5000</v>
      </c>
      <c r="R41" s="187">
        <f t="shared" si="1"/>
        <v>0.60335465186436588</v>
      </c>
      <c r="S41" s="233" t="s">
        <v>283</v>
      </c>
      <c r="T41" s="6" t="s">
        <v>497</v>
      </c>
    </row>
    <row r="42" spans="1:20" x14ac:dyDescent="0.35">
      <c r="A42" s="66"/>
      <c r="D42" s="52" t="s">
        <v>37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97">
        <f>SUM(E42:P42)</f>
        <v>0</v>
      </c>
      <c r="R42" s="188">
        <f t="shared" si="1"/>
        <v>0</v>
      </c>
      <c r="S42" s="233" t="s">
        <v>465</v>
      </c>
    </row>
    <row r="43" spans="1:20" x14ac:dyDescent="0.35">
      <c r="A43" s="66" t="s">
        <v>105</v>
      </c>
      <c r="C43" s="6" t="s">
        <v>38</v>
      </c>
      <c r="E43" s="15">
        <f t="shared" ref="E43:P43" si="9">SUM(E40:E42)</f>
        <v>0</v>
      </c>
      <c r="F43" s="15">
        <f t="shared" si="9"/>
        <v>0</v>
      </c>
      <c r="G43" s="15">
        <f t="shared" si="9"/>
        <v>1250</v>
      </c>
      <c r="H43" s="15">
        <f t="shared" si="9"/>
        <v>0</v>
      </c>
      <c r="I43" s="15">
        <f t="shared" si="9"/>
        <v>0</v>
      </c>
      <c r="J43" s="15">
        <f t="shared" si="9"/>
        <v>1250</v>
      </c>
      <c r="K43" s="15">
        <f t="shared" si="9"/>
        <v>0</v>
      </c>
      <c r="L43" s="15">
        <f t="shared" si="9"/>
        <v>0</v>
      </c>
      <c r="M43" s="15">
        <f t="shared" si="9"/>
        <v>1250</v>
      </c>
      <c r="N43" s="15">
        <f t="shared" si="9"/>
        <v>0</v>
      </c>
      <c r="O43" s="15">
        <f t="shared" si="9"/>
        <v>0</v>
      </c>
      <c r="P43" s="15">
        <f t="shared" si="9"/>
        <v>1250</v>
      </c>
      <c r="Q43" s="108">
        <f>SUM(Q40:Q42)</f>
        <v>5000</v>
      </c>
      <c r="R43" s="189">
        <f t="shared" si="1"/>
        <v>0.60335465186436588</v>
      </c>
      <c r="S43" s="233"/>
    </row>
    <row r="44" spans="1:20" x14ac:dyDescent="0.35">
      <c r="A44" s="66"/>
      <c r="Q44" s="101"/>
      <c r="R44" s="184"/>
      <c r="S44" s="233"/>
    </row>
    <row r="45" spans="1:20" x14ac:dyDescent="0.35">
      <c r="A45" s="66" t="s">
        <v>106</v>
      </c>
      <c r="C45" s="6" t="s">
        <v>39</v>
      </c>
      <c r="E45" s="12">
        <f>1.03*3500</f>
        <v>3605</v>
      </c>
      <c r="F45" s="12">
        <f>1.03*3500</f>
        <v>3605</v>
      </c>
      <c r="G45" s="12">
        <f>1.03*1000</f>
        <v>1030</v>
      </c>
      <c r="H45" s="12"/>
      <c r="I45" s="12"/>
      <c r="J45" s="12"/>
      <c r="K45" s="12"/>
      <c r="L45" s="12"/>
      <c r="M45" s="12"/>
      <c r="N45" s="12"/>
      <c r="O45" s="12">
        <f>1.03*1000</f>
        <v>1030</v>
      </c>
      <c r="P45" s="12">
        <f>1.03*2000</f>
        <v>2060</v>
      </c>
      <c r="Q45" s="101">
        <f>SUM(E45:P45)</f>
        <v>11330</v>
      </c>
      <c r="R45" s="184">
        <f t="shared" si="1"/>
        <v>1.367201641124653</v>
      </c>
      <c r="S45" s="233" t="s">
        <v>283</v>
      </c>
      <c r="T45" s="6" t="s">
        <v>348</v>
      </c>
    </row>
    <row r="46" spans="1:20" x14ac:dyDescent="0.35">
      <c r="A46" s="66"/>
      <c r="Q46" s="101"/>
      <c r="R46" s="184"/>
      <c r="S46" s="233"/>
    </row>
    <row r="47" spans="1:20" x14ac:dyDescent="0.35">
      <c r="A47" s="66"/>
      <c r="D47" s="50" t="s">
        <v>40</v>
      </c>
      <c r="E47" s="70"/>
      <c r="F47" s="70"/>
      <c r="G47" s="70"/>
      <c r="H47" s="70">
        <v>376</v>
      </c>
      <c r="I47" s="70">
        <v>376</v>
      </c>
      <c r="J47" s="70">
        <v>376</v>
      </c>
      <c r="K47" s="70">
        <v>376</v>
      </c>
      <c r="L47" s="70">
        <v>376</v>
      </c>
      <c r="M47" s="70">
        <v>376</v>
      </c>
      <c r="N47" s="70">
        <v>376</v>
      </c>
      <c r="O47" s="70"/>
      <c r="P47" s="70"/>
      <c r="Q47" s="195">
        <f>SUM(E47:P47)</f>
        <v>2632</v>
      </c>
      <c r="R47" s="186">
        <f t="shared" si="1"/>
        <v>0.31760588874140222</v>
      </c>
      <c r="S47" s="233" t="s">
        <v>283</v>
      </c>
      <c r="T47" s="6" t="s">
        <v>498</v>
      </c>
    </row>
    <row r="48" spans="1:20" x14ac:dyDescent="0.35">
      <c r="A48" s="66"/>
      <c r="D48" s="51" t="s">
        <v>41</v>
      </c>
      <c r="E48" s="12"/>
      <c r="F48" s="12"/>
      <c r="G48" s="12"/>
      <c r="H48" s="12">
        <f>1.03*100</f>
        <v>103</v>
      </c>
      <c r="I48" s="12">
        <f t="shared" ref="I48:N48" si="10">1.03*100</f>
        <v>103</v>
      </c>
      <c r="J48" s="12">
        <f t="shared" si="10"/>
        <v>103</v>
      </c>
      <c r="K48" s="12">
        <f t="shared" si="10"/>
        <v>103</v>
      </c>
      <c r="L48" s="12">
        <f t="shared" si="10"/>
        <v>103</v>
      </c>
      <c r="M48" s="12">
        <f t="shared" si="10"/>
        <v>103</v>
      </c>
      <c r="N48" s="12">
        <f t="shared" si="10"/>
        <v>103</v>
      </c>
      <c r="O48" s="12"/>
      <c r="P48" s="12"/>
      <c r="Q48" s="196">
        <f>SUM(E48:P48)</f>
        <v>721</v>
      </c>
      <c r="R48" s="187">
        <f t="shared" si="1"/>
        <v>8.7003740798841558E-2</v>
      </c>
      <c r="S48" s="233" t="s">
        <v>283</v>
      </c>
      <c r="T48" s="6" t="s">
        <v>348</v>
      </c>
    </row>
    <row r="49" spans="1:20" x14ac:dyDescent="0.35">
      <c r="A49" s="66"/>
      <c r="D49" s="52" t="s">
        <v>42</v>
      </c>
      <c r="E49" s="14"/>
      <c r="F49" s="14"/>
      <c r="G49" s="14"/>
      <c r="H49" s="14"/>
      <c r="I49" s="14">
        <v>500</v>
      </c>
      <c r="J49" s="14"/>
      <c r="K49" s="14"/>
      <c r="L49" s="14">
        <v>500</v>
      </c>
      <c r="M49" s="14"/>
      <c r="N49" s="14"/>
      <c r="O49" s="14"/>
      <c r="P49" s="14"/>
      <c r="Q49" s="197">
        <f>SUM(G49:P49)</f>
        <v>1000</v>
      </c>
      <c r="R49" s="188">
        <f t="shared" si="1"/>
        <v>0.12067093037287317</v>
      </c>
      <c r="S49" s="233" t="s">
        <v>283</v>
      </c>
    </row>
    <row r="50" spans="1:20" x14ac:dyDescent="0.35">
      <c r="A50" s="66" t="s">
        <v>107</v>
      </c>
      <c r="C50" s="6" t="s">
        <v>43</v>
      </c>
      <c r="E50" s="15">
        <f>SUM(E47:E49)</f>
        <v>0</v>
      </c>
      <c r="F50" s="15">
        <f>SUM(F47:F49)</f>
        <v>0</v>
      </c>
      <c r="G50" s="15">
        <f>SUM(G47:G49)</f>
        <v>0</v>
      </c>
      <c r="H50" s="15">
        <f t="shared" ref="H50:N50" si="11">SUM(H47:H49)</f>
        <v>479</v>
      </c>
      <c r="I50" s="15">
        <f t="shared" si="11"/>
        <v>979</v>
      </c>
      <c r="J50" s="15">
        <f t="shared" si="11"/>
        <v>479</v>
      </c>
      <c r="K50" s="15">
        <f t="shared" si="11"/>
        <v>479</v>
      </c>
      <c r="L50" s="15">
        <f t="shared" si="11"/>
        <v>979</v>
      </c>
      <c r="M50" s="15">
        <f t="shared" si="11"/>
        <v>479</v>
      </c>
      <c r="N50" s="15">
        <f t="shared" si="11"/>
        <v>479</v>
      </c>
      <c r="O50" s="15">
        <f>SUM(O47:O49)</f>
        <v>0</v>
      </c>
      <c r="P50" s="15">
        <f>SUM(P47:P49)</f>
        <v>0</v>
      </c>
      <c r="Q50" s="108">
        <f>SUM(Q47:Q49)</f>
        <v>4353</v>
      </c>
      <c r="R50" s="189">
        <f t="shared" si="1"/>
        <v>0.52528055991311695</v>
      </c>
      <c r="S50" s="233"/>
    </row>
    <row r="51" spans="1:20" x14ac:dyDescent="0.35">
      <c r="A51" s="66"/>
      <c r="Q51" s="101"/>
      <c r="R51" s="184"/>
      <c r="S51" s="233"/>
    </row>
    <row r="52" spans="1:20" x14ac:dyDescent="0.35">
      <c r="A52" s="66" t="s">
        <v>108</v>
      </c>
      <c r="C52" s="6" t="s">
        <v>44</v>
      </c>
      <c r="E52" s="12">
        <f>1.03*1300</f>
        <v>1339</v>
      </c>
      <c r="F52" s="12">
        <f t="shared" ref="F52:P52" si="12">1.03*1300</f>
        <v>1339</v>
      </c>
      <c r="G52" s="12">
        <f t="shared" si="12"/>
        <v>1339</v>
      </c>
      <c r="H52" s="12">
        <f t="shared" si="12"/>
        <v>1339</v>
      </c>
      <c r="I52" s="12">
        <f t="shared" si="12"/>
        <v>1339</v>
      </c>
      <c r="J52" s="12">
        <f t="shared" si="12"/>
        <v>1339</v>
      </c>
      <c r="K52" s="12">
        <f t="shared" si="12"/>
        <v>1339</v>
      </c>
      <c r="L52" s="12">
        <f t="shared" si="12"/>
        <v>1339</v>
      </c>
      <c r="M52" s="12">
        <f t="shared" si="12"/>
        <v>1339</v>
      </c>
      <c r="N52" s="12">
        <f t="shared" si="12"/>
        <v>1339</v>
      </c>
      <c r="O52" s="12">
        <f t="shared" si="12"/>
        <v>1339</v>
      </c>
      <c r="P52" s="12">
        <f t="shared" si="12"/>
        <v>1339</v>
      </c>
      <c r="Q52" s="101">
        <f>SUM(E52:P52)</f>
        <v>16068</v>
      </c>
      <c r="R52" s="184">
        <f t="shared" si="1"/>
        <v>1.9389405092313261</v>
      </c>
      <c r="S52" s="233" t="s">
        <v>283</v>
      </c>
      <c r="T52" s="6" t="s">
        <v>348</v>
      </c>
    </row>
    <row r="53" spans="1:20" x14ac:dyDescent="0.35">
      <c r="A53" s="66"/>
      <c r="Q53" s="101"/>
      <c r="R53" s="184"/>
      <c r="S53" s="233"/>
    </row>
    <row r="54" spans="1:20" hidden="1" x14ac:dyDescent="0.35">
      <c r="A54" s="66" t="s">
        <v>109</v>
      </c>
      <c r="B54" s="6" t="s">
        <v>45</v>
      </c>
      <c r="C54" s="6" t="s">
        <v>46</v>
      </c>
      <c r="Q54" s="101">
        <f>SUM(E54:P54)</f>
        <v>0</v>
      </c>
      <c r="R54" s="184">
        <f t="shared" si="1"/>
        <v>0</v>
      </c>
      <c r="S54" s="233"/>
    </row>
    <row r="55" spans="1:20" hidden="1" x14ac:dyDescent="0.35">
      <c r="A55" s="66"/>
      <c r="Q55" s="101"/>
      <c r="R55" s="184"/>
      <c r="S55" s="233"/>
    </row>
    <row r="56" spans="1:20" x14ac:dyDescent="0.35">
      <c r="A56" s="66" t="s">
        <v>110</v>
      </c>
      <c r="C56" s="6" t="s">
        <v>47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01">
        <f>SUM(E56:P56)</f>
        <v>0</v>
      </c>
      <c r="R56" s="184">
        <f t="shared" si="1"/>
        <v>0</v>
      </c>
      <c r="S56" s="233"/>
    </row>
    <row r="57" spans="1:20" x14ac:dyDescent="0.35">
      <c r="A57" s="66"/>
      <c r="Q57" s="101"/>
      <c r="R57" s="184"/>
      <c r="S57" s="233"/>
    </row>
    <row r="58" spans="1:20" x14ac:dyDescent="0.35">
      <c r="A58" s="66" t="s">
        <v>111</v>
      </c>
      <c r="C58" s="6" t="s">
        <v>22</v>
      </c>
      <c r="E58" s="6">
        <f>+'INS RET DEBT'!E81</f>
        <v>1391.0508333333335</v>
      </c>
      <c r="F58" s="6">
        <f>+'INS RET DEBT'!F81</f>
        <v>1391.0508333333335</v>
      </c>
      <c r="G58" s="6">
        <f>+'INS RET DEBT'!G81</f>
        <v>1391.0508333333335</v>
      </c>
      <c r="H58" s="6">
        <f>+'INS RET DEBT'!H81</f>
        <v>1391.0508333333335</v>
      </c>
      <c r="I58" s="6">
        <f>+'INS RET DEBT'!I81</f>
        <v>1391.0508333333335</v>
      </c>
      <c r="J58" s="6">
        <f>+'INS RET DEBT'!J81</f>
        <v>1391.0508333333335</v>
      </c>
      <c r="K58" s="6">
        <f>+'INS RET DEBT'!K81</f>
        <v>1391.0508333333335</v>
      </c>
      <c r="L58" s="6">
        <f>+'INS RET DEBT'!L81</f>
        <v>1391.0508333333335</v>
      </c>
      <c r="M58" s="6">
        <f>+'INS RET DEBT'!M81</f>
        <v>1391.0508333333335</v>
      </c>
      <c r="N58" s="6">
        <f>+'INS RET DEBT'!N81</f>
        <v>1391.0508333333335</v>
      </c>
      <c r="O58" s="6">
        <f>+'INS RET DEBT'!O81</f>
        <v>1391.0508333333335</v>
      </c>
      <c r="P58" s="6">
        <f>+'INS RET DEBT'!P81</f>
        <v>1391.0508333333335</v>
      </c>
      <c r="Q58" s="101">
        <f>SUM(E58:P58)</f>
        <v>16692.609999999997</v>
      </c>
      <c r="R58" s="184">
        <f t="shared" si="1"/>
        <v>2.0143127790515263</v>
      </c>
      <c r="S58" s="233"/>
    </row>
    <row r="59" spans="1:20" x14ac:dyDescent="0.35">
      <c r="A59" s="66"/>
      <c r="Q59" s="101"/>
      <c r="R59" s="184"/>
      <c r="S59" s="233"/>
    </row>
    <row r="60" spans="1:20" x14ac:dyDescent="0.35">
      <c r="A60" s="66"/>
      <c r="D60" s="50" t="s">
        <v>48</v>
      </c>
      <c r="E60" s="45">
        <f>+'INS RET DEBT'!E6+'INS RET DEBT'!E7</f>
        <v>560</v>
      </c>
      <c r="F60" s="45">
        <f>+'INS RET DEBT'!F6+'INS RET DEBT'!F7</f>
        <v>560</v>
      </c>
      <c r="G60" s="45">
        <f>+'INS RET DEBT'!G6+'INS RET DEBT'!G7</f>
        <v>560</v>
      </c>
      <c r="H60" s="45">
        <f>+'INS RET DEBT'!H6+'INS RET DEBT'!H7</f>
        <v>560</v>
      </c>
      <c r="I60" s="45">
        <f>+'INS RET DEBT'!I6+'INS RET DEBT'!I7</f>
        <v>560</v>
      </c>
      <c r="J60" s="45">
        <f>+'INS RET DEBT'!J6+'INS RET DEBT'!J7</f>
        <v>560</v>
      </c>
      <c r="K60" s="45">
        <f>+'INS RET DEBT'!K6+'INS RET DEBT'!K7</f>
        <v>560</v>
      </c>
      <c r="L60" s="45">
        <f>+'INS RET DEBT'!L6+'INS RET DEBT'!L7</f>
        <v>560</v>
      </c>
      <c r="M60" s="45">
        <f>+'INS RET DEBT'!M6+'INS RET DEBT'!M7</f>
        <v>560</v>
      </c>
      <c r="N60" s="45">
        <f>+'INS RET DEBT'!N6+'INS RET DEBT'!N7</f>
        <v>560</v>
      </c>
      <c r="O60" s="45">
        <f>+'INS RET DEBT'!O6+'INS RET DEBT'!O7</f>
        <v>571.20000000000005</v>
      </c>
      <c r="P60" s="45">
        <f>+'INS RET DEBT'!P6+'INS RET DEBT'!P7</f>
        <v>571.20000000000005</v>
      </c>
      <c r="Q60" s="195">
        <f>SUM(E60:P60)</f>
        <v>6742.4</v>
      </c>
      <c r="R60" s="186">
        <f t="shared" si="1"/>
        <v>0.81361168094606007</v>
      </c>
      <c r="S60" s="233"/>
    </row>
    <row r="61" spans="1:20" x14ac:dyDescent="0.35">
      <c r="A61" s="66"/>
      <c r="D61" s="51" t="s">
        <v>89</v>
      </c>
      <c r="E61" s="6">
        <f>+'INS RET DEBT'!E9</f>
        <v>93</v>
      </c>
      <c r="F61" s="6">
        <f>+'INS RET DEBT'!F9</f>
        <v>93</v>
      </c>
      <c r="G61" s="6">
        <f>+'INS RET DEBT'!G9</f>
        <v>93</v>
      </c>
      <c r="H61" s="6">
        <f>+'INS RET DEBT'!H9</f>
        <v>93</v>
      </c>
      <c r="I61" s="6">
        <f>+'INS RET DEBT'!I9</f>
        <v>93</v>
      </c>
      <c r="J61" s="6">
        <f>+'INS RET DEBT'!J9</f>
        <v>93</v>
      </c>
      <c r="K61" s="6">
        <f>+'INS RET DEBT'!K9</f>
        <v>93</v>
      </c>
      <c r="L61" s="6">
        <f>+'INS RET DEBT'!L9</f>
        <v>93</v>
      </c>
      <c r="M61" s="6">
        <f>+'INS RET DEBT'!M9</f>
        <v>93</v>
      </c>
      <c r="N61" s="6">
        <f>+'INS RET DEBT'!N9</f>
        <v>93</v>
      </c>
      <c r="O61" s="6">
        <f>+'INS RET DEBT'!O9</f>
        <v>94.86</v>
      </c>
      <c r="P61" s="6">
        <f>+'INS RET DEBT'!P9</f>
        <v>94.86</v>
      </c>
      <c r="Q61" s="196">
        <f>SUM(E61:P61)</f>
        <v>1119.7199999999998</v>
      </c>
      <c r="R61" s="187">
        <f t="shared" si="1"/>
        <v>0.13511765415711352</v>
      </c>
      <c r="S61" s="233"/>
    </row>
    <row r="62" spans="1:20" x14ac:dyDescent="0.35">
      <c r="A62" s="66"/>
      <c r="D62" s="52" t="s">
        <v>50</v>
      </c>
      <c r="E62" s="15">
        <f>+'INS RET DEBT'!E10</f>
        <v>0</v>
      </c>
      <c r="F62" s="15">
        <f>+'INS RET DEBT'!F10</f>
        <v>0</v>
      </c>
      <c r="G62" s="15">
        <f>+'INS RET DEBT'!G10</f>
        <v>0</v>
      </c>
      <c r="H62" s="15">
        <f>+'INS RET DEBT'!H10</f>
        <v>0</v>
      </c>
      <c r="I62" s="15">
        <f>+'INS RET DEBT'!I10</f>
        <v>0</v>
      </c>
      <c r="J62" s="15">
        <f>+'INS RET DEBT'!J10</f>
        <v>0</v>
      </c>
      <c r="K62" s="15">
        <f>+'INS RET DEBT'!K10</f>
        <v>0</v>
      </c>
      <c r="L62" s="15">
        <f>+'INS RET DEBT'!L10</f>
        <v>0</v>
      </c>
      <c r="M62" s="15">
        <f>+'INS RET DEBT'!M10</f>
        <v>0</v>
      </c>
      <c r="N62" s="15">
        <f>+'INS RET DEBT'!N10</f>
        <v>0</v>
      </c>
      <c r="O62" s="15">
        <f>+'INS RET DEBT'!O10</f>
        <v>0</v>
      </c>
      <c r="P62" s="15">
        <f>+'INS RET DEBT'!P10</f>
        <v>0</v>
      </c>
      <c r="Q62" s="197">
        <f>SUM(E62:P62)</f>
        <v>0</v>
      </c>
      <c r="R62" s="188">
        <f t="shared" si="1"/>
        <v>0</v>
      </c>
      <c r="S62" s="233"/>
    </row>
    <row r="63" spans="1:20" x14ac:dyDescent="0.35">
      <c r="A63" s="66" t="s">
        <v>112</v>
      </c>
      <c r="C63" s="6" t="s">
        <v>23</v>
      </c>
      <c r="E63" s="15">
        <f t="shared" ref="E63:Q63" si="13">SUM(E60:E62)</f>
        <v>653</v>
      </c>
      <c r="F63" s="15">
        <f t="shared" si="13"/>
        <v>653</v>
      </c>
      <c r="G63" s="15">
        <f t="shared" si="13"/>
        <v>653</v>
      </c>
      <c r="H63" s="15">
        <f t="shared" si="13"/>
        <v>653</v>
      </c>
      <c r="I63" s="15">
        <f t="shared" si="13"/>
        <v>653</v>
      </c>
      <c r="J63" s="15">
        <f t="shared" si="13"/>
        <v>653</v>
      </c>
      <c r="K63" s="15">
        <f t="shared" si="13"/>
        <v>653</v>
      </c>
      <c r="L63" s="15">
        <f t="shared" si="13"/>
        <v>653</v>
      </c>
      <c r="M63" s="15">
        <f t="shared" si="13"/>
        <v>653</v>
      </c>
      <c r="N63" s="15">
        <f t="shared" si="13"/>
        <v>653</v>
      </c>
      <c r="O63" s="15">
        <f t="shared" si="13"/>
        <v>666.06000000000006</v>
      </c>
      <c r="P63" s="15">
        <f t="shared" si="13"/>
        <v>666.06000000000006</v>
      </c>
      <c r="Q63" s="108">
        <f t="shared" si="13"/>
        <v>7862.119999999999</v>
      </c>
      <c r="R63" s="189">
        <f t="shared" si="1"/>
        <v>0.94872933510317348</v>
      </c>
      <c r="S63" s="233"/>
    </row>
    <row r="64" spans="1:20" x14ac:dyDescent="0.35">
      <c r="A64" s="66"/>
      <c r="Q64" s="101"/>
      <c r="R64" s="184"/>
      <c r="S64" s="233"/>
    </row>
    <row r="65" spans="1:20" x14ac:dyDescent="0.35">
      <c r="A65" s="66"/>
      <c r="D65" s="50" t="s">
        <v>51</v>
      </c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198">
        <f>SUM(E65:P65)</f>
        <v>0</v>
      </c>
      <c r="R65" s="186">
        <f t="shared" si="1"/>
        <v>0</v>
      </c>
      <c r="S65" s="233"/>
    </row>
    <row r="66" spans="1:20" x14ac:dyDescent="0.35">
      <c r="A66" s="66"/>
      <c r="D66" s="52" t="s">
        <v>52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08">
        <f>SUM(E66:P66)</f>
        <v>0</v>
      </c>
      <c r="R66" s="188">
        <f t="shared" si="1"/>
        <v>0</v>
      </c>
      <c r="S66" s="233"/>
    </row>
    <row r="67" spans="1:20" x14ac:dyDescent="0.35">
      <c r="A67" s="66" t="s">
        <v>113</v>
      </c>
      <c r="B67" s="6" t="s">
        <v>45</v>
      </c>
      <c r="C67" s="6" t="s">
        <v>51</v>
      </c>
      <c r="E67" s="15">
        <f>SUM(E65:E66)</f>
        <v>0</v>
      </c>
      <c r="F67" s="15">
        <f t="shared" ref="F67:Q67" si="14">SUM(F65:F66)</f>
        <v>0</v>
      </c>
      <c r="G67" s="15">
        <f t="shared" si="14"/>
        <v>0</v>
      </c>
      <c r="H67" s="15">
        <f t="shared" si="14"/>
        <v>0</v>
      </c>
      <c r="I67" s="15">
        <f t="shared" si="14"/>
        <v>0</v>
      </c>
      <c r="J67" s="15">
        <f t="shared" si="14"/>
        <v>0</v>
      </c>
      <c r="K67" s="15">
        <f t="shared" si="14"/>
        <v>0</v>
      </c>
      <c r="L67" s="15">
        <f t="shared" si="14"/>
        <v>0</v>
      </c>
      <c r="M67" s="15">
        <f t="shared" si="14"/>
        <v>0</v>
      </c>
      <c r="N67" s="15">
        <f t="shared" si="14"/>
        <v>0</v>
      </c>
      <c r="O67" s="15">
        <f t="shared" si="14"/>
        <v>0</v>
      </c>
      <c r="P67" s="15">
        <f t="shared" si="14"/>
        <v>0</v>
      </c>
      <c r="Q67" s="108">
        <f t="shared" si="14"/>
        <v>0</v>
      </c>
      <c r="R67" s="189">
        <f t="shared" si="1"/>
        <v>0</v>
      </c>
      <c r="S67" s="233"/>
    </row>
    <row r="68" spans="1:20" x14ac:dyDescent="0.35">
      <c r="A68" s="66"/>
      <c r="Q68" s="101"/>
      <c r="R68" s="184"/>
      <c r="S68" s="233"/>
    </row>
    <row r="69" spans="1:20" x14ac:dyDescent="0.35">
      <c r="A69" s="66"/>
      <c r="B69" s="6" t="s">
        <v>33</v>
      </c>
      <c r="C69" s="6" t="s">
        <v>53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01">
        <f>SUM(E69:P69)</f>
        <v>0</v>
      </c>
      <c r="R69" s="184">
        <f t="shared" si="1"/>
        <v>0</v>
      </c>
      <c r="S69" s="233"/>
    </row>
    <row r="70" spans="1:20" x14ac:dyDescent="0.35">
      <c r="A70" s="66"/>
      <c r="Q70" s="101"/>
      <c r="R70" s="184"/>
      <c r="S70" s="233"/>
    </row>
    <row r="71" spans="1:20" ht="18" x14ac:dyDescent="0.35">
      <c r="A71" s="66"/>
      <c r="C71" s="53" t="s">
        <v>54</v>
      </c>
      <c r="D71" s="54"/>
      <c r="E71" s="54">
        <f t="shared" ref="E71:P71" si="15">+E27+E29+E31+E36+E38+E43+E45+E50+E52+E54+E56+E58+E63+E67+E69</f>
        <v>8403.4634828429153</v>
      </c>
      <c r="F71" s="54">
        <f>+F27+F29+F31+F36+F38+F43+F45+F50+F52+F54+F56+F58+F63+F67+F69</f>
        <v>8883.8934828429137</v>
      </c>
      <c r="G71" s="54">
        <f t="shared" si="15"/>
        <v>7151.5934828429145</v>
      </c>
      <c r="H71" s="54">
        <f t="shared" si="15"/>
        <v>5587.7634828429145</v>
      </c>
      <c r="I71" s="54">
        <f t="shared" si="15"/>
        <v>6651.7134828429143</v>
      </c>
      <c r="J71" s="54">
        <f>+J27+J29+J31+J36+J38+J43+J45+J50+J52+J54+J56+J58+J63+J67+J69</f>
        <v>6410.0434828429143</v>
      </c>
      <c r="K71" s="54">
        <f t="shared" si="15"/>
        <v>4814.9934828429141</v>
      </c>
      <c r="L71" s="54">
        <f t="shared" si="15"/>
        <v>5793.3634828429149</v>
      </c>
      <c r="M71" s="54">
        <f t="shared" si="15"/>
        <v>6348.5134828429145</v>
      </c>
      <c r="N71" s="54">
        <f t="shared" si="15"/>
        <v>5242.3334828429142</v>
      </c>
      <c r="O71" s="54">
        <f t="shared" si="15"/>
        <v>6679.7234828429155</v>
      </c>
      <c r="P71" s="54">
        <f t="shared" si="15"/>
        <v>8258.5134828429145</v>
      </c>
      <c r="Q71" s="109">
        <f>+Q27+Q29+Q31+Q36+Q38+Q43+Q45+Q50+Q52+Q54+Q56+Q58+Q63+Q67+Q69</f>
        <v>80225.91179411496</v>
      </c>
      <c r="R71" s="190">
        <f t="shared" si="1"/>
        <v>9.6809354162079106</v>
      </c>
      <c r="S71" s="236"/>
      <c r="T71" s="293">
        <f>+(Q71-Q58-Q61)/B4</f>
        <v>7.5315049829992713</v>
      </c>
    </row>
    <row r="72" spans="1:20" ht="18" x14ac:dyDescent="0.35">
      <c r="A72" s="66"/>
      <c r="Q72" s="103"/>
      <c r="R72" s="185"/>
      <c r="S72" s="234"/>
      <c r="T72" s="293">
        <f>+Q58/B4</f>
        <v>2.0143127790515263</v>
      </c>
    </row>
    <row r="73" spans="1:20" ht="18" x14ac:dyDescent="0.35">
      <c r="A73" s="66"/>
      <c r="B73" s="7" t="s">
        <v>55</v>
      </c>
      <c r="Q73" s="101"/>
      <c r="R73" s="184">
        <f t="shared" si="1"/>
        <v>0</v>
      </c>
      <c r="S73" s="233"/>
      <c r="T73" s="293">
        <f>+Q61/B4</f>
        <v>0.13511765415711352</v>
      </c>
    </row>
    <row r="74" spans="1:20" x14ac:dyDescent="0.35">
      <c r="A74" s="66"/>
      <c r="Q74" s="101"/>
      <c r="R74" s="184"/>
      <c r="S74" s="233"/>
    </row>
    <row r="75" spans="1:20" x14ac:dyDescent="0.35">
      <c r="A75" s="66" t="s">
        <v>144</v>
      </c>
      <c r="C75" s="6" t="s">
        <v>56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01">
        <f>SUM(E75:P75)</f>
        <v>0</v>
      </c>
      <c r="R75" s="184">
        <f t="shared" ref="R75:R134" si="16">Q75/$B$4</f>
        <v>0</v>
      </c>
      <c r="S75" s="233"/>
    </row>
    <row r="76" spans="1:20" x14ac:dyDescent="0.35">
      <c r="A76" s="66"/>
      <c r="Q76" s="101"/>
      <c r="R76" s="184"/>
      <c r="S76" s="233"/>
    </row>
    <row r="77" spans="1:20" x14ac:dyDescent="0.35">
      <c r="A77" s="66" t="s">
        <v>114</v>
      </c>
      <c r="D77" s="6" t="s">
        <v>57</v>
      </c>
      <c r="E77" s="6">
        <f>VLOOKUP($B$1,'Allocated Expenses'!$B$20:$P$29,4,FALSE)</f>
        <v>616.27185240579377</v>
      </c>
      <c r="F77" s="6">
        <f>VLOOKUP($B$1,'Allocated Expenses'!$B$20:$P$29,5,FALSE)</f>
        <v>616.27185240579377</v>
      </c>
      <c r="G77" s="6">
        <f>VLOOKUP($B$1,'Allocated Expenses'!$B$20:$P$29,6,FALSE)</f>
        <v>616.27185240579377</v>
      </c>
      <c r="H77" s="6">
        <f>VLOOKUP($B$1,'Allocated Expenses'!$B$20:$P$29,7,FALSE)</f>
        <v>616.27185240579377</v>
      </c>
      <c r="I77" s="6">
        <f>VLOOKUP($B$1,'Allocated Expenses'!$B$20:$P$29,8,FALSE)</f>
        <v>616.27185240579377</v>
      </c>
      <c r="J77" s="6">
        <f>VLOOKUP($B$1,'Allocated Expenses'!$B$20:$P$29,9,FALSE)</f>
        <v>616.27185240579377</v>
      </c>
      <c r="K77" s="6">
        <f>VLOOKUP($B$1,'Allocated Expenses'!$B$20:$P$29,10,FALSE)</f>
        <v>616.27185240579377</v>
      </c>
      <c r="L77" s="6">
        <f>VLOOKUP($B$1,'Allocated Expenses'!$B$20:$P$29,11,FALSE)</f>
        <v>616.27185240579377</v>
      </c>
      <c r="M77" s="6">
        <f>VLOOKUP($B$1,'Allocated Expenses'!$B$20:$P$29,12,FALSE)</f>
        <v>616.27185240579377</v>
      </c>
      <c r="N77" s="6">
        <f>VLOOKUP($B$1,'Allocated Expenses'!$B$20:$P$29,13,FALSE)</f>
        <v>616.27185240579377</v>
      </c>
      <c r="O77" s="6">
        <f>VLOOKUP($B$1,'Allocated Expenses'!$B$20:$P$29,14,FALSE)</f>
        <v>616.27185240579377</v>
      </c>
      <c r="P77" s="6">
        <f>VLOOKUP($B$1,'Allocated Expenses'!$B$20:$P$29,15,FALSE)</f>
        <v>616.27185240579377</v>
      </c>
      <c r="Q77" s="101">
        <f>SUM(E77:P77)</f>
        <v>7395.2622288695247</v>
      </c>
      <c r="R77" s="184">
        <f t="shared" si="16"/>
        <v>0.89239317350905334</v>
      </c>
      <c r="S77" s="233"/>
    </row>
    <row r="78" spans="1:20" x14ac:dyDescent="0.35">
      <c r="A78" s="66" t="s">
        <v>115</v>
      </c>
      <c r="D78" s="6" t="s">
        <v>58</v>
      </c>
      <c r="E78" s="15">
        <f>VLOOKUP($B$1,'Allocated Expenses'!$B$132:$P$141,4,FALSE)</f>
        <v>0</v>
      </c>
      <c r="F78" s="15">
        <f>VLOOKUP($B$1,'Allocated Expenses'!$B$132:$P$141,5,FALSE)</f>
        <v>0</v>
      </c>
      <c r="G78" s="15">
        <f>VLOOKUP($B$1,'Allocated Expenses'!$B$132:$P$141,6,FALSE)</f>
        <v>0</v>
      </c>
      <c r="H78" s="15">
        <f>VLOOKUP($B$1,'Allocated Expenses'!$B$132:$P$141,7,FALSE)</f>
        <v>0</v>
      </c>
      <c r="I78" s="15">
        <f>VLOOKUP($B$1,'Allocated Expenses'!$B$132:$P$141,8,FALSE)</f>
        <v>0</v>
      </c>
      <c r="J78" s="15">
        <f>VLOOKUP($B$1,'Allocated Expenses'!$B$132:$P$141,9,FALSE)</f>
        <v>0</v>
      </c>
      <c r="K78" s="15">
        <f>VLOOKUP($B$1,'Allocated Expenses'!$B$132:$P$141,10,FALSE)</f>
        <v>0</v>
      </c>
      <c r="L78" s="15">
        <f>VLOOKUP($B$1,'Allocated Expenses'!$B$132:$P$141,11,FALSE)</f>
        <v>0</v>
      </c>
      <c r="M78" s="15">
        <f>VLOOKUP($B$1,'Allocated Expenses'!$B$132:$P$141,12,FALSE)</f>
        <v>0</v>
      </c>
      <c r="N78" s="15">
        <f>VLOOKUP($B$1,'Allocated Expenses'!$B$132:$P$141,13,FALSE)</f>
        <v>0</v>
      </c>
      <c r="O78" s="15">
        <f>VLOOKUP($B$1,'Allocated Expenses'!$B$132:$P$141,14,FALSE)</f>
        <v>0</v>
      </c>
      <c r="P78" s="15">
        <f>VLOOKUP($B$1,'Allocated Expenses'!$B$132:$P$141,15,FALSE)</f>
        <v>0</v>
      </c>
      <c r="Q78" s="108">
        <f>SUM(E78:P78)</f>
        <v>0</v>
      </c>
      <c r="R78" s="189">
        <f t="shared" si="16"/>
        <v>0</v>
      </c>
      <c r="S78" s="233"/>
    </row>
    <row r="79" spans="1:20" x14ac:dyDescent="0.35">
      <c r="A79" s="66"/>
      <c r="C79" s="6" t="s">
        <v>59</v>
      </c>
      <c r="E79" s="15">
        <f t="shared" ref="E79:Q79" si="17">SUM(E77:E78)</f>
        <v>616.27185240579377</v>
      </c>
      <c r="F79" s="15">
        <f>SUM(F77:F78)</f>
        <v>616.27185240579377</v>
      </c>
      <c r="G79" s="15">
        <f t="shared" si="17"/>
        <v>616.27185240579377</v>
      </c>
      <c r="H79" s="15">
        <f t="shared" si="17"/>
        <v>616.27185240579377</v>
      </c>
      <c r="I79" s="15">
        <f t="shared" si="17"/>
        <v>616.27185240579377</v>
      </c>
      <c r="J79" s="15">
        <f t="shared" si="17"/>
        <v>616.27185240579377</v>
      </c>
      <c r="K79" s="15">
        <f t="shared" si="17"/>
        <v>616.27185240579377</v>
      </c>
      <c r="L79" s="15">
        <f t="shared" si="17"/>
        <v>616.27185240579377</v>
      </c>
      <c r="M79" s="15">
        <f t="shared" si="17"/>
        <v>616.27185240579377</v>
      </c>
      <c r="N79" s="15">
        <f t="shared" si="17"/>
        <v>616.27185240579377</v>
      </c>
      <c r="O79" s="15">
        <f t="shared" si="17"/>
        <v>616.27185240579377</v>
      </c>
      <c r="P79" s="15">
        <f t="shared" si="17"/>
        <v>616.27185240579377</v>
      </c>
      <c r="Q79" s="108">
        <f t="shared" si="17"/>
        <v>7395.2622288695247</v>
      </c>
      <c r="R79" s="189">
        <f t="shared" si="16"/>
        <v>0.89239317350905334</v>
      </c>
      <c r="S79" s="233"/>
    </row>
    <row r="80" spans="1:20" x14ac:dyDescent="0.35">
      <c r="A80" s="66"/>
      <c r="Q80" s="101"/>
      <c r="R80" s="184"/>
      <c r="S80" s="233"/>
    </row>
    <row r="81" spans="1:20" x14ac:dyDescent="0.35">
      <c r="A81" s="66" t="s">
        <v>138</v>
      </c>
      <c r="D81" s="6" t="s">
        <v>60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01">
        <f>SUM(E81:P81)</f>
        <v>0</v>
      </c>
      <c r="R81" s="184">
        <f t="shared" si="16"/>
        <v>0</v>
      </c>
      <c r="S81" s="233" t="s">
        <v>283</v>
      </c>
      <c r="T81" s="6" t="s">
        <v>348</v>
      </c>
    </row>
    <row r="82" spans="1:20" x14ac:dyDescent="0.35">
      <c r="A82" s="66" t="s">
        <v>139</v>
      </c>
      <c r="D82" s="6" t="s">
        <v>20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01">
        <f>SUM(E82:P82)</f>
        <v>0</v>
      </c>
      <c r="R82" s="184">
        <f t="shared" si="16"/>
        <v>0</v>
      </c>
      <c r="S82" s="233" t="s">
        <v>283</v>
      </c>
      <c r="T82" s="6" t="s">
        <v>348</v>
      </c>
    </row>
    <row r="83" spans="1:20" x14ac:dyDescent="0.35">
      <c r="A83" s="66" t="s">
        <v>140</v>
      </c>
      <c r="D83" s="6" t="s">
        <v>28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08">
        <f>SUM(E83:P83)</f>
        <v>0</v>
      </c>
      <c r="R83" s="189">
        <f t="shared" si="16"/>
        <v>0</v>
      </c>
      <c r="S83" s="233"/>
    </row>
    <row r="84" spans="1:20" x14ac:dyDescent="0.35">
      <c r="A84" s="66"/>
      <c r="C84" s="6" t="s">
        <v>61</v>
      </c>
      <c r="E84" s="15">
        <f t="shared" ref="E84:Q84" si="18">SUM(E81:E83)</f>
        <v>0</v>
      </c>
      <c r="F84" s="15">
        <f t="shared" si="18"/>
        <v>0</v>
      </c>
      <c r="G84" s="15">
        <f t="shared" si="18"/>
        <v>0</v>
      </c>
      <c r="H84" s="15">
        <f t="shared" si="18"/>
        <v>0</v>
      </c>
      <c r="I84" s="15">
        <f t="shared" si="18"/>
        <v>0</v>
      </c>
      <c r="J84" s="15">
        <f t="shared" si="18"/>
        <v>0</v>
      </c>
      <c r="K84" s="15">
        <f t="shared" si="18"/>
        <v>0</v>
      </c>
      <c r="L84" s="15">
        <f t="shared" si="18"/>
        <v>0</v>
      </c>
      <c r="M84" s="15">
        <f t="shared" si="18"/>
        <v>0</v>
      </c>
      <c r="N84" s="15">
        <f t="shared" si="18"/>
        <v>0</v>
      </c>
      <c r="O84" s="15">
        <f t="shared" si="18"/>
        <v>0</v>
      </c>
      <c r="P84" s="15">
        <f t="shared" si="18"/>
        <v>0</v>
      </c>
      <c r="Q84" s="108">
        <f t="shared" si="18"/>
        <v>0</v>
      </c>
      <c r="R84" s="189">
        <f t="shared" si="16"/>
        <v>0</v>
      </c>
      <c r="S84" s="233"/>
    </row>
    <row r="85" spans="1:20" x14ac:dyDescent="0.35">
      <c r="A85" s="66"/>
      <c r="Q85" s="101"/>
      <c r="R85" s="184"/>
      <c r="S85" s="233"/>
    </row>
    <row r="86" spans="1:20" x14ac:dyDescent="0.35">
      <c r="A86" s="66"/>
      <c r="D86" s="50" t="s">
        <v>30</v>
      </c>
      <c r="E86" s="70">
        <f>1.03*150+500</f>
        <v>654.5</v>
      </c>
      <c r="F86" s="70">
        <f t="shared" ref="F86:P86" si="19">1.03*150+500</f>
        <v>654.5</v>
      </c>
      <c r="G86" s="70">
        <f t="shared" si="19"/>
        <v>654.5</v>
      </c>
      <c r="H86" s="70">
        <f t="shared" si="19"/>
        <v>654.5</v>
      </c>
      <c r="I86" s="70">
        <f t="shared" si="19"/>
        <v>654.5</v>
      </c>
      <c r="J86" s="70">
        <f t="shared" si="19"/>
        <v>654.5</v>
      </c>
      <c r="K86" s="70">
        <f t="shared" si="19"/>
        <v>654.5</v>
      </c>
      <c r="L86" s="70">
        <f t="shared" si="19"/>
        <v>654.5</v>
      </c>
      <c r="M86" s="70">
        <f t="shared" si="19"/>
        <v>654.5</v>
      </c>
      <c r="N86" s="70">
        <f t="shared" si="19"/>
        <v>654.5</v>
      </c>
      <c r="O86" s="70">
        <f t="shared" si="19"/>
        <v>654.5</v>
      </c>
      <c r="P86" s="70">
        <f t="shared" si="19"/>
        <v>654.5</v>
      </c>
      <c r="Q86" s="198">
        <f>SUM(E86:P86)</f>
        <v>7854</v>
      </c>
      <c r="R86" s="186">
        <f t="shared" si="16"/>
        <v>0.9477494871485459</v>
      </c>
      <c r="S86" s="233" t="s">
        <v>283</v>
      </c>
      <c r="T86" s="6" t="s">
        <v>499</v>
      </c>
    </row>
    <row r="87" spans="1:20" x14ac:dyDescent="0.35">
      <c r="A87" s="66"/>
      <c r="D87" s="52" t="s">
        <v>31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08">
        <f>SUM(E87:P87)</f>
        <v>0</v>
      </c>
      <c r="R87" s="188">
        <f t="shared" si="16"/>
        <v>0</v>
      </c>
      <c r="S87" s="233"/>
    </row>
    <row r="88" spans="1:20" x14ac:dyDescent="0.35">
      <c r="A88" s="66" t="s">
        <v>116</v>
      </c>
      <c r="C88" s="6" t="s">
        <v>32</v>
      </c>
      <c r="E88" s="15">
        <f t="shared" ref="E88:Q88" si="20">SUM(E86:E87)</f>
        <v>654.5</v>
      </c>
      <c r="F88" s="15">
        <f t="shared" si="20"/>
        <v>654.5</v>
      </c>
      <c r="G88" s="15">
        <f t="shared" si="20"/>
        <v>654.5</v>
      </c>
      <c r="H88" s="15">
        <f t="shared" si="20"/>
        <v>654.5</v>
      </c>
      <c r="I88" s="15">
        <f t="shared" si="20"/>
        <v>654.5</v>
      </c>
      <c r="J88" s="15">
        <f t="shared" si="20"/>
        <v>654.5</v>
      </c>
      <c r="K88" s="15">
        <f t="shared" si="20"/>
        <v>654.5</v>
      </c>
      <c r="L88" s="15">
        <f t="shared" si="20"/>
        <v>654.5</v>
      </c>
      <c r="M88" s="15">
        <f t="shared" si="20"/>
        <v>654.5</v>
      </c>
      <c r="N88" s="15">
        <f t="shared" si="20"/>
        <v>654.5</v>
      </c>
      <c r="O88" s="15">
        <f t="shared" si="20"/>
        <v>654.5</v>
      </c>
      <c r="P88" s="15">
        <f t="shared" si="20"/>
        <v>654.5</v>
      </c>
      <c r="Q88" s="108">
        <f t="shared" si="20"/>
        <v>7854</v>
      </c>
      <c r="R88" s="189">
        <f t="shared" si="16"/>
        <v>0.9477494871485459</v>
      </c>
      <c r="S88" s="233"/>
    </row>
    <row r="89" spans="1:20" x14ac:dyDescent="0.35">
      <c r="A89" s="66"/>
      <c r="Q89" s="101"/>
      <c r="R89" s="184"/>
      <c r="S89" s="233"/>
    </row>
    <row r="90" spans="1:20" x14ac:dyDescent="0.35">
      <c r="A90" s="66" t="s">
        <v>141</v>
      </c>
      <c r="B90" s="6" t="s">
        <v>33</v>
      </c>
      <c r="C90" s="6" t="s">
        <v>62</v>
      </c>
      <c r="E90" s="6">
        <f>ROUND(E$24*0.06,0)</f>
        <v>376</v>
      </c>
      <c r="F90" s="6">
        <f t="shared" ref="F90:P90" si="21">ROUND(F$24*0.06,0)</f>
        <v>376</v>
      </c>
      <c r="G90" s="6">
        <f t="shared" si="21"/>
        <v>376</v>
      </c>
      <c r="H90" s="6">
        <f t="shared" si="21"/>
        <v>376</v>
      </c>
      <c r="I90" s="6">
        <f t="shared" si="21"/>
        <v>376</v>
      </c>
      <c r="J90" s="6">
        <f t="shared" si="21"/>
        <v>451</v>
      </c>
      <c r="K90" s="6">
        <f t="shared" si="21"/>
        <v>451</v>
      </c>
      <c r="L90" s="6">
        <f t="shared" si="21"/>
        <v>451</v>
      </c>
      <c r="M90" s="6">
        <f t="shared" si="21"/>
        <v>451</v>
      </c>
      <c r="N90" s="6">
        <f t="shared" si="21"/>
        <v>451</v>
      </c>
      <c r="O90" s="6">
        <f t="shared" si="21"/>
        <v>451</v>
      </c>
      <c r="P90" s="6">
        <f t="shared" si="21"/>
        <v>451</v>
      </c>
      <c r="Q90" s="101">
        <f>SUM(E90:P90)</f>
        <v>5037</v>
      </c>
      <c r="R90" s="184">
        <f t="shared" si="16"/>
        <v>0.60781947628816213</v>
      </c>
      <c r="S90" s="233"/>
    </row>
    <row r="91" spans="1:20" x14ac:dyDescent="0.35">
      <c r="A91" s="66"/>
      <c r="Q91" s="101"/>
      <c r="R91" s="184"/>
      <c r="S91" s="233"/>
    </row>
    <row r="92" spans="1:20" x14ac:dyDescent="0.35">
      <c r="A92" s="66" t="s">
        <v>117</v>
      </c>
      <c r="C92" s="6" t="s">
        <v>63</v>
      </c>
      <c r="E92" s="6">
        <f>VLOOKUP($B$1,'Allocated Expenses'!$B$34:$P$43,4,FALSE)+VLOOKUP($B$1,'Allocated Expenses'!$B$48:$P$57,4,FALSE)</f>
        <v>241.1335249851881</v>
      </c>
      <c r="F92" s="6">
        <f>VLOOKUP($B$1,'Allocated Expenses'!$B$34:$P$43,5,FALSE)+VLOOKUP($B$1,'Allocated Expenses'!$B$48:$P$57,5,FALSE)</f>
        <v>241.1335249851881</v>
      </c>
      <c r="G92" s="6">
        <f>VLOOKUP($B$1,'Allocated Expenses'!$B$34:$P$43,6,FALSE)+VLOOKUP($B$1,'Allocated Expenses'!$B$48:$P$57,6,FALSE)</f>
        <v>241.1335249851881</v>
      </c>
      <c r="H92" s="6">
        <f>VLOOKUP($B$1,'Allocated Expenses'!$B$34:$P$43,7,FALSE)+VLOOKUP($B$1,'Allocated Expenses'!$B$48:$P$57,7,FALSE)</f>
        <v>241.1335249851881</v>
      </c>
      <c r="I92" s="6">
        <f>VLOOKUP($B$1,'Allocated Expenses'!$B$34:$P$43,8,FALSE)+VLOOKUP($B$1,'Allocated Expenses'!$B$48:$P$57,8,FALSE)</f>
        <v>241.1335249851881</v>
      </c>
      <c r="J92" s="6">
        <f>VLOOKUP($B$1,'Allocated Expenses'!$B$34:$P$43,9,FALSE)+VLOOKUP($B$1,'Allocated Expenses'!$B$48:$P$57,9,FALSE)</f>
        <v>241.1335249851881</v>
      </c>
      <c r="K92" s="6">
        <f>VLOOKUP($B$1,'Allocated Expenses'!$B$34:$P$43,10,FALSE)+VLOOKUP($B$1,'Allocated Expenses'!$B$48:$P$57,10,FALSE)</f>
        <v>241.1335249851881</v>
      </c>
      <c r="L92" s="6">
        <f>VLOOKUP($B$1,'Allocated Expenses'!$B$34:$P$43,11,FALSE)+VLOOKUP($B$1,'Allocated Expenses'!$B$48:$P$57,11,FALSE)</f>
        <v>241.1335249851881</v>
      </c>
      <c r="M92" s="6">
        <f>VLOOKUP($B$1,'Allocated Expenses'!$B$34:$P$43,12,FALSE)+VLOOKUP($B$1,'Allocated Expenses'!$B$48:$P$57,12,FALSE)</f>
        <v>241.1335249851881</v>
      </c>
      <c r="N92" s="6">
        <f>VLOOKUP($B$1,'Allocated Expenses'!$B$34:$P$43,13,FALSE)+VLOOKUP($B$1,'Allocated Expenses'!$B$48:$P$57,13,FALSE)</f>
        <v>241.1335249851881</v>
      </c>
      <c r="O92" s="6">
        <f>VLOOKUP($B$1,'Allocated Expenses'!$B$34:$P$43,14,FALSE)+VLOOKUP($B$1,'Allocated Expenses'!$B$48:$P$57,14,FALSE)</f>
        <v>241.1335249851881</v>
      </c>
      <c r="P92" s="6">
        <f>VLOOKUP($B$1,'Allocated Expenses'!$B$34:$P$43,15,FALSE)+VLOOKUP($B$1,'Allocated Expenses'!$B$48:$P$57,15,FALSE)</f>
        <v>241.1335249851881</v>
      </c>
      <c r="Q92" s="101">
        <f>SUM(E92:P92)</f>
        <v>2893.6022998222575</v>
      </c>
      <c r="R92" s="184">
        <f t="shared" si="16"/>
        <v>0.34917368164863732</v>
      </c>
      <c r="S92" s="233"/>
    </row>
    <row r="93" spans="1:20" x14ac:dyDescent="0.35">
      <c r="A93" s="66"/>
      <c r="Q93" s="101"/>
      <c r="R93" s="184"/>
      <c r="S93" s="233"/>
    </row>
    <row r="94" spans="1:20" x14ac:dyDescent="0.35">
      <c r="A94" s="66" t="s">
        <v>118</v>
      </c>
      <c r="C94" s="6" t="s">
        <v>64</v>
      </c>
      <c r="E94" s="12">
        <v>0</v>
      </c>
      <c r="F94" s="12">
        <v>0</v>
      </c>
      <c r="G94" s="12">
        <v>0</v>
      </c>
      <c r="H94" s="12">
        <f>1.03*4200</f>
        <v>4326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01">
        <f>SUM(E94:P94)</f>
        <v>4326</v>
      </c>
      <c r="R94" s="184">
        <f t="shared" si="16"/>
        <v>0.52202244479304938</v>
      </c>
      <c r="S94" s="233" t="s">
        <v>283</v>
      </c>
      <c r="T94" s="6" t="s">
        <v>348</v>
      </c>
    </row>
    <row r="95" spans="1:20" x14ac:dyDescent="0.35">
      <c r="A95" s="66"/>
      <c r="Q95" s="101"/>
      <c r="R95" s="184"/>
      <c r="S95" s="233"/>
    </row>
    <row r="96" spans="1:20" x14ac:dyDescent="0.35">
      <c r="A96" s="66" t="s">
        <v>119</v>
      </c>
      <c r="C96" s="6" t="s">
        <v>65</v>
      </c>
      <c r="E96" s="6">
        <f>VLOOKUP($B$1,'Allocated Expenses'!$B$62:$P$71,4,FALSE)</f>
        <v>578.25916666666672</v>
      </c>
      <c r="F96" s="6">
        <f>VLOOKUP($B$1,'Allocated Expenses'!$B$62:$P$71,5,FALSE)</f>
        <v>578.25916666666672</v>
      </c>
      <c r="G96" s="6">
        <f>VLOOKUP($B$1,'Allocated Expenses'!$B$62:$P$71,6,FALSE)</f>
        <v>578.25916666666672</v>
      </c>
      <c r="H96" s="6">
        <f>VLOOKUP($B$1,'Allocated Expenses'!$B$62:$P$71,7,FALSE)</f>
        <v>578.25916666666672</v>
      </c>
      <c r="I96" s="6">
        <f>VLOOKUP($B$1,'Allocated Expenses'!$B$62:$P$71,8,FALSE)</f>
        <v>578.25916666666672</v>
      </c>
      <c r="J96" s="6">
        <f>VLOOKUP($B$1,'Allocated Expenses'!$B$62:$P$71,9,FALSE)</f>
        <v>578.25916666666672</v>
      </c>
      <c r="K96" s="6">
        <f>VLOOKUP($B$1,'Allocated Expenses'!$B$62:$P$71,10,FALSE)</f>
        <v>578.25916666666672</v>
      </c>
      <c r="L96" s="6">
        <f>VLOOKUP($B$1,'Allocated Expenses'!$B$62:$P$71,11,FALSE)</f>
        <v>578.25916666666672</v>
      </c>
      <c r="M96" s="6">
        <f>VLOOKUP($B$1,'Allocated Expenses'!$B$62:$P$71,12,FALSE)</f>
        <v>578.25916666666672</v>
      </c>
      <c r="N96" s="6">
        <f>VLOOKUP($B$1,'Allocated Expenses'!$B$62:$P$71,13,FALSE)</f>
        <v>578.25916666666672</v>
      </c>
      <c r="O96" s="6">
        <f>VLOOKUP($B$1,'Allocated Expenses'!$B$62:$P$71,14,FALSE)</f>
        <v>578.25916666666672</v>
      </c>
      <c r="P96" s="6">
        <f>VLOOKUP($B$1,'Allocated Expenses'!$B$62:$P$71,15,FALSE)</f>
        <v>578.25916666666672</v>
      </c>
      <c r="Q96" s="101">
        <f>SUM(E96:P96)</f>
        <v>6939.1100000000006</v>
      </c>
      <c r="R96" s="184">
        <f t="shared" si="16"/>
        <v>0.83734885965970807</v>
      </c>
      <c r="S96" s="233"/>
    </row>
    <row r="97" spans="1:19" x14ac:dyDescent="0.35">
      <c r="A97" s="66"/>
      <c r="Q97" s="101"/>
      <c r="R97" s="184"/>
      <c r="S97" s="233"/>
    </row>
    <row r="98" spans="1:19" x14ac:dyDescent="0.35">
      <c r="A98" s="66" t="s">
        <v>126</v>
      </c>
      <c r="D98" s="6" t="s">
        <v>66</v>
      </c>
      <c r="E98" s="6">
        <f>VLOOKUP($B$1,'Allocated Expenses'!$B$76:$P$85,4,FALSE)</f>
        <v>0</v>
      </c>
      <c r="F98" s="6">
        <f>VLOOKUP($B$1,'Allocated Expenses'!$B$76:$P$85,5,FALSE)</f>
        <v>0</v>
      </c>
      <c r="G98" s="6">
        <f>VLOOKUP($B$1,'Allocated Expenses'!$B$76:$P$85,6,FALSE)</f>
        <v>0</v>
      </c>
      <c r="H98" s="6">
        <f>VLOOKUP($B$1,'Allocated Expenses'!$B$76:$P$85,7,FALSE)</f>
        <v>0</v>
      </c>
      <c r="I98" s="6">
        <f>VLOOKUP($B$1,'Allocated Expenses'!$B$76:$P$85,8,FALSE)</f>
        <v>0</v>
      </c>
      <c r="J98" s="6">
        <f>VLOOKUP($B$1,'Allocated Expenses'!$B$76:$P$85,9,FALSE)</f>
        <v>0</v>
      </c>
      <c r="K98" s="6">
        <f>VLOOKUP($B$1,'Allocated Expenses'!$B$76:$P$85,10,FALSE)</f>
        <v>0</v>
      </c>
      <c r="L98" s="6">
        <f>VLOOKUP($B$1,'Allocated Expenses'!$B$76:$P$85,11,FALSE)</f>
        <v>0</v>
      </c>
      <c r="M98" s="6">
        <f>VLOOKUP($B$1,'Allocated Expenses'!$B$76:$P$85,12,FALSE)</f>
        <v>0</v>
      </c>
      <c r="N98" s="6">
        <f>VLOOKUP($B$1,'Allocated Expenses'!$B$76:$P$85,13,FALSE)</f>
        <v>0</v>
      </c>
      <c r="O98" s="6">
        <f>VLOOKUP($B$1,'Allocated Expenses'!$B$76:$P$85,14,FALSE)</f>
        <v>0</v>
      </c>
      <c r="P98" s="6">
        <f>VLOOKUP($B$1,'Allocated Expenses'!$B$76:$P$85,15,FALSE)</f>
        <v>0</v>
      </c>
      <c r="Q98" s="101">
        <f>SUM(E98:P98)</f>
        <v>0</v>
      </c>
      <c r="R98" s="184">
        <f t="shared" si="16"/>
        <v>0</v>
      </c>
      <c r="S98" s="233"/>
    </row>
    <row r="99" spans="1:19" x14ac:dyDescent="0.35">
      <c r="A99" s="66" t="s">
        <v>142</v>
      </c>
      <c r="D99" s="6" t="s">
        <v>67</v>
      </c>
      <c r="E99" s="6">
        <f>VLOOKUP($B$1,'Allocated Expenses'!$B$104:$P$113,4,FALSE)</f>
        <v>0</v>
      </c>
      <c r="F99" s="6">
        <f>VLOOKUP($B$1,'Allocated Expenses'!$B$104:$P$113,5,FALSE)</f>
        <v>0</v>
      </c>
      <c r="G99" s="6">
        <f>VLOOKUP($B$1,'Allocated Expenses'!$B$104:$P$113,6,FALSE)</f>
        <v>0</v>
      </c>
      <c r="H99" s="6">
        <f>VLOOKUP($B$1,'Allocated Expenses'!$B$104:$P$113,7,FALSE)</f>
        <v>0</v>
      </c>
      <c r="I99" s="6">
        <f>VLOOKUP($B$1,'Allocated Expenses'!$B$104:$P$113,8,FALSE)</f>
        <v>0</v>
      </c>
      <c r="J99" s="6">
        <f>VLOOKUP($B$1,'Allocated Expenses'!$B$104:$P$113,9,FALSE)</f>
        <v>0</v>
      </c>
      <c r="K99" s="6">
        <f>VLOOKUP($B$1,'Allocated Expenses'!$B$104:$P$113,10,FALSE)</f>
        <v>0</v>
      </c>
      <c r="L99" s="6">
        <f>VLOOKUP($B$1,'Allocated Expenses'!$B$104:$P$113,11,FALSE)</f>
        <v>0</v>
      </c>
      <c r="M99" s="6">
        <f>VLOOKUP($B$1,'Allocated Expenses'!$B$104:$P$113,12,FALSE)</f>
        <v>0</v>
      </c>
      <c r="N99" s="6">
        <f>VLOOKUP($B$1,'Allocated Expenses'!$B$104:$P$113,13,FALSE)</f>
        <v>0</v>
      </c>
      <c r="O99" s="6">
        <f>VLOOKUP($B$1,'Allocated Expenses'!$B$104:$P$113,14,FALSE)</f>
        <v>0</v>
      </c>
      <c r="P99" s="6">
        <f>VLOOKUP($B$1,'Allocated Expenses'!$B$104:$P$113,15,FALSE)</f>
        <v>0</v>
      </c>
      <c r="Q99" s="101">
        <f>SUM(E99:P99)</f>
        <v>0</v>
      </c>
      <c r="R99" s="184">
        <f t="shared" si="16"/>
        <v>0</v>
      </c>
      <c r="S99" s="233"/>
    </row>
    <row r="100" spans="1:19" x14ac:dyDescent="0.35">
      <c r="A100" s="66" t="s">
        <v>143</v>
      </c>
      <c r="D100" s="6" t="s">
        <v>68</v>
      </c>
      <c r="E100" s="6">
        <f>VLOOKUP($B$1,'Allocated Expenses'!$B$90:$P$99,4,FALSE)</f>
        <v>0</v>
      </c>
      <c r="F100" s="6">
        <f>VLOOKUP($B$1,'Allocated Expenses'!$B$90:$P$99,5,FALSE)</f>
        <v>0</v>
      </c>
      <c r="G100" s="6">
        <f>VLOOKUP($B$1,'Allocated Expenses'!$B$90:$P$99,6,FALSE)</f>
        <v>0</v>
      </c>
      <c r="H100" s="6">
        <f>VLOOKUP($B$1,'Allocated Expenses'!$B$90:$P$99,7,FALSE)</f>
        <v>0</v>
      </c>
      <c r="I100" s="6">
        <f>VLOOKUP($B$1,'Allocated Expenses'!$B$90:$P$99,8,FALSE)</f>
        <v>0</v>
      </c>
      <c r="J100" s="6">
        <f>VLOOKUP($B$1,'Allocated Expenses'!$B$90:$P$99,9,FALSE)</f>
        <v>0</v>
      </c>
      <c r="K100" s="6">
        <f>VLOOKUP($B$1,'Allocated Expenses'!$B$90:$P$99,10,FALSE)</f>
        <v>0</v>
      </c>
      <c r="L100" s="6">
        <f>VLOOKUP($B$1,'Allocated Expenses'!$B$90:$P$99,11,FALSE)</f>
        <v>0</v>
      </c>
      <c r="M100" s="6">
        <f>VLOOKUP($B$1,'Allocated Expenses'!$B$90:$P$99,12,FALSE)</f>
        <v>0</v>
      </c>
      <c r="N100" s="6">
        <f>VLOOKUP($B$1,'Allocated Expenses'!$B$90:$P$99,13,FALSE)</f>
        <v>0</v>
      </c>
      <c r="O100" s="6">
        <f>VLOOKUP($B$1,'Allocated Expenses'!$B$90:$P$99,14,FALSE)</f>
        <v>0</v>
      </c>
      <c r="P100" s="6">
        <f>VLOOKUP($B$1,'Allocated Expenses'!$B$90:$P$99,15,FALSE)</f>
        <v>0</v>
      </c>
      <c r="Q100" s="101">
        <f>SUM(E100:P100)</f>
        <v>0</v>
      </c>
      <c r="R100" s="184">
        <f t="shared" si="16"/>
        <v>0</v>
      </c>
      <c r="S100" s="233"/>
    </row>
    <row r="101" spans="1:19" x14ac:dyDescent="0.35">
      <c r="A101" s="66" t="s">
        <v>127</v>
      </c>
      <c r="D101" s="6" t="s">
        <v>69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01">
        <f>SUM(E101:P101)</f>
        <v>0</v>
      </c>
      <c r="R101" s="184">
        <f t="shared" si="16"/>
        <v>0</v>
      </c>
      <c r="S101" s="233"/>
    </row>
    <row r="102" spans="1:19" x14ac:dyDescent="0.35">
      <c r="A102" s="66" t="s">
        <v>120</v>
      </c>
      <c r="D102" s="6" t="s">
        <v>70</v>
      </c>
      <c r="E102" s="15">
        <f>VLOOKUP($B$1,'Allocated Expenses'!$B$118:$P$127,4,FALSE)</f>
        <v>24.033333333333335</v>
      </c>
      <c r="F102" s="15">
        <f>VLOOKUP($B$1,'Allocated Expenses'!$B$118:$P$127,5,FALSE)</f>
        <v>24.033333333333335</v>
      </c>
      <c r="G102" s="15">
        <f>VLOOKUP($B$1,'Allocated Expenses'!$B$118:$P$127,6,FALSE)</f>
        <v>24.033333333333335</v>
      </c>
      <c r="H102" s="15">
        <f>VLOOKUP($B$1,'Allocated Expenses'!$B$118:$P$127,7,FALSE)</f>
        <v>24.033333333333335</v>
      </c>
      <c r="I102" s="15">
        <f>VLOOKUP($B$1,'Allocated Expenses'!$B$118:$P$127,8,FALSE)</f>
        <v>24.033333333333335</v>
      </c>
      <c r="J102" s="15">
        <f>VLOOKUP($B$1,'Allocated Expenses'!$B$118:$P$127,9,FALSE)</f>
        <v>24.033333333333335</v>
      </c>
      <c r="K102" s="15">
        <f>VLOOKUP($B$1,'Allocated Expenses'!$B$118:$P$127,10,FALSE)</f>
        <v>24.033333333333335</v>
      </c>
      <c r="L102" s="15">
        <f>VLOOKUP($B$1,'Allocated Expenses'!$B$118:$P$127,11,FALSE)</f>
        <v>24.033333333333335</v>
      </c>
      <c r="M102" s="15">
        <f>VLOOKUP($B$1,'Allocated Expenses'!$B$118:$P$127,12,FALSE)</f>
        <v>24.033333333333335</v>
      </c>
      <c r="N102" s="15">
        <f>VLOOKUP($B$1,'Allocated Expenses'!$B$118:$P$127,13,FALSE)</f>
        <v>24.033333333333335</v>
      </c>
      <c r="O102" s="15">
        <f>VLOOKUP($B$1,'Allocated Expenses'!$B$118:$P$127,14,FALSE)</f>
        <v>24.033333333333335</v>
      </c>
      <c r="P102" s="15">
        <f>VLOOKUP($B$1,'Allocated Expenses'!$B$118:$P$127,15,FALSE)</f>
        <v>24.033333333333335</v>
      </c>
      <c r="Q102" s="108">
        <f>SUM(E102:P102)</f>
        <v>288.40000000000003</v>
      </c>
      <c r="R102" s="189">
        <f t="shared" si="16"/>
        <v>3.4801496319536628E-2</v>
      </c>
      <c r="S102" s="233"/>
    </row>
    <row r="103" spans="1:19" x14ac:dyDescent="0.35">
      <c r="A103" s="66"/>
      <c r="C103" s="6" t="s">
        <v>71</v>
      </c>
      <c r="E103" s="15">
        <f>SUM(E98:E102)</f>
        <v>24.033333333333335</v>
      </c>
      <c r="F103" s="15">
        <f t="shared" ref="F103:Q103" si="22">SUM(F98:F102)</f>
        <v>24.033333333333335</v>
      </c>
      <c r="G103" s="15">
        <f t="shared" si="22"/>
        <v>24.033333333333335</v>
      </c>
      <c r="H103" s="15">
        <f t="shared" si="22"/>
        <v>24.033333333333335</v>
      </c>
      <c r="I103" s="15">
        <f t="shared" si="22"/>
        <v>24.033333333333335</v>
      </c>
      <c r="J103" s="15">
        <f t="shared" si="22"/>
        <v>24.033333333333335</v>
      </c>
      <c r="K103" s="15">
        <f t="shared" si="22"/>
        <v>24.033333333333335</v>
      </c>
      <c r="L103" s="15">
        <f t="shared" si="22"/>
        <v>24.033333333333335</v>
      </c>
      <c r="M103" s="15">
        <f t="shared" si="22"/>
        <v>24.033333333333335</v>
      </c>
      <c r="N103" s="15">
        <f t="shared" si="22"/>
        <v>24.033333333333335</v>
      </c>
      <c r="O103" s="15">
        <f t="shared" si="22"/>
        <v>24.033333333333335</v>
      </c>
      <c r="P103" s="15">
        <f t="shared" si="22"/>
        <v>24.033333333333335</v>
      </c>
      <c r="Q103" s="108">
        <f t="shared" si="22"/>
        <v>288.40000000000003</v>
      </c>
      <c r="R103" s="189">
        <f t="shared" si="16"/>
        <v>3.4801496319536628E-2</v>
      </c>
      <c r="S103" s="233"/>
    </row>
    <row r="104" spans="1:19" x14ac:dyDescent="0.35">
      <c r="A104" s="66"/>
      <c r="Q104" s="101"/>
      <c r="R104" s="184"/>
      <c r="S104" s="233"/>
    </row>
    <row r="105" spans="1:19" ht="18" x14ac:dyDescent="0.35">
      <c r="A105" s="66"/>
      <c r="C105" s="29" t="s">
        <v>72</v>
      </c>
      <c r="D105" s="54"/>
      <c r="E105" s="54">
        <f t="shared" ref="E105:P105" si="23">+E75+E79+E84+E88+E90+E92+E94+E96+E103</f>
        <v>2490.1978773909818</v>
      </c>
      <c r="F105" s="54">
        <f t="shared" si="23"/>
        <v>2490.1978773909818</v>
      </c>
      <c r="G105" s="54">
        <f t="shared" si="23"/>
        <v>2490.1978773909818</v>
      </c>
      <c r="H105" s="54">
        <f t="shared" si="23"/>
        <v>6816.1978773909823</v>
      </c>
      <c r="I105" s="54">
        <f t="shared" si="23"/>
        <v>2490.1978773909818</v>
      </c>
      <c r="J105" s="54">
        <f t="shared" si="23"/>
        <v>2565.1978773909818</v>
      </c>
      <c r="K105" s="54">
        <f t="shared" si="23"/>
        <v>2565.1978773909818</v>
      </c>
      <c r="L105" s="54">
        <f t="shared" si="23"/>
        <v>2565.1978773909818</v>
      </c>
      <c r="M105" s="54">
        <f t="shared" si="23"/>
        <v>2565.1978773909818</v>
      </c>
      <c r="N105" s="54">
        <f t="shared" si="23"/>
        <v>2565.1978773909818</v>
      </c>
      <c r="O105" s="54">
        <f t="shared" si="23"/>
        <v>2565.1978773909818</v>
      </c>
      <c r="P105" s="54">
        <f t="shared" si="23"/>
        <v>2565.1978773909818</v>
      </c>
      <c r="Q105" s="109">
        <f>+Q75+Q79+Q84+Q88+Q90+Q92+Q94+Q96+Q103</f>
        <v>34733.374528691784</v>
      </c>
      <c r="R105" s="190">
        <f t="shared" si="16"/>
        <v>4.1913086193666933</v>
      </c>
      <c r="S105" s="236"/>
    </row>
    <row r="106" spans="1:19" ht="18" x14ac:dyDescent="0.35">
      <c r="A106" s="66"/>
      <c r="Q106" s="103"/>
      <c r="R106" s="185"/>
      <c r="S106" s="234"/>
    </row>
    <row r="107" spans="1:19" ht="16.5" thickBot="1" x14ac:dyDescent="0.4">
      <c r="A107" s="66"/>
      <c r="Q107" s="101"/>
      <c r="R107" s="184"/>
      <c r="S107" s="233"/>
    </row>
    <row r="108" spans="1:19" s="8" customFormat="1" ht="18" thickBot="1" x14ac:dyDescent="0.4">
      <c r="A108" s="218"/>
      <c r="B108" s="219" t="s">
        <v>73</v>
      </c>
      <c r="C108" s="220"/>
      <c r="D108" s="220"/>
      <c r="E108" s="220">
        <f t="shared" ref="E108:Q108" si="24">+E71+E105</f>
        <v>10893.661360233897</v>
      </c>
      <c r="F108" s="220">
        <f t="shared" si="24"/>
        <v>11374.091360233895</v>
      </c>
      <c r="G108" s="220">
        <f t="shared" si="24"/>
        <v>9641.7913602338958</v>
      </c>
      <c r="H108" s="220">
        <f t="shared" si="24"/>
        <v>12403.961360233898</v>
      </c>
      <c r="I108" s="220">
        <f t="shared" si="24"/>
        <v>9141.9113602338966</v>
      </c>
      <c r="J108" s="220">
        <f t="shared" si="24"/>
        <v>8975.2413602338966</v>
      </c>
      <c r="K108" s="220">
        <f t="shared" si="24"/>
        <v>7380.1913602338955</v>
      </c>
      <c r="L108" s="220">
        <f t="shared" si="24"/>
        <v>8358.5613602338963</v>
      </c>
      <c r="M108" s="220">
        <f t="shared" si="24"/>
        <v>8913.7113602338959</v>
      </c>
      <c r="N108" s="220">
        <f t="shared" si="24"/>
        <v>7807.5313602338956</v>
      </c>
      <c r="O108" s="220">
        <f t="shared" si="24"/>
        <v>9244.9213602338968</v>
      </c>
      <c r="P108" s="220">
        <f t="shared" si="24"/>
        <v>10823.711360233896</v>
      </c>
      <c r="Q108" s="221">
        <f t="shared" si="24"/>
        <v>114959.28632280674</v>
      </c>
      <c r="R108" s="222">
        <f t="shared" si="16"/>
        <v>13.872244035574605</v>
      </c>
      <c r="S108" s="235"/>
    </row>
    <row r="109" spans="1:19" ht="18" x14ac:dyDescent="0.35">
      <c r="A109" s="66"/>
      <c r="Q109" s="103"/>
      <c r="R109" s="185"/>
      <c r="S109" s="234"/>
    </row>
    <row r="110" spans="1:19" ht="16.5" thickBot="1" x14ac:dyDescent="0.4">
      <c r="A110" s="66"/>
      <c r="Q110" s="101"/>
      <c r="R110" s="184"/>
      <c r="S110" s="233"/>
    </row>
    <row r="111" spans="1:19" s="8" customFormat="1" ht="18" thickBot="1" x14ac:dyDescent="0.4">
      <c r="A111" s="218"/>
      <c r="B111" s="219" t="s">
        <v>74</v>
      </c>
      <c r="C111" s="220"/>
      <c r="D111" s="220"/>
      <c r="E111" s="220">
        <f t="shared" ref="E111:Q111" si="25">+E24-E108</f>
        <v>-4634.4046935672304</v>
      </c>
      <c r="F111" s="220">
        <f t="shared" si="25"/>
        <v>-5114.8346935672289</v>
      </c>
      <c r="G111" s="220">
        <f t="shared" si="25"/>
        <v>-3382.5346935672296</v>
      </c>
      <c r="H111" s="220">
        <f t="shared" si="25"/>
        <v>-6144.7046935672315</v>
      </c>
      <c r="I111" s="220">
        <f t="shared" si="25"/>
        <v>-2882.6546935672304</v>
      </c>
      <c r="J111" s="220">
        <f t="shared" si="25"/>
        <v>-1465.9846935672294</v>
      </c>
      <c r="K111" s="220">
        <f t="shared" si="25"/>
        <v>129.06530643277165</v>
      </c>
      <c r="L111" s="220">
        <f t="shared" si="25"/>
        <v>-849.30469356722915</v>
      </c>
      <c r="M111" s="220">
        <f t="shared" si="25"/>
        <v>-1404.4546935672288</v>
      </c>
      <c r="N111" s="220">
        <f t="shared" si="25"/>
        <v>-298.2746935672285</v>
      </c>
      <c r="O111" s="220">
        <f t="shared" si="25"/>
        <v>-1735.6646935672297</v>
      </c>
      <c r="P111" s="220">
        <f t="shared" si="25"/>
        <v>-3314.4546935672288</v>
      </c>
      <c r="Q111" s="221">
        <f t="shared" si="25"/>
        <v>-31098.206322806742</v>
      </c>
      <c r="R111" s="222">
        <f t="shared" si="16"/>
        <v>-3.7526494899006568</v>
      </c>
      <c r="S111" s="235"/>
    </row>
    <row r="112" spans="1:19" ht="18" x14ac:dyDescent="0.35">
      <c r="A112" s="66"/>
      <c r="Q112" s="103"/>
      <c r="R112" s="185"/>
      <c r="S112" s="234"/>
    </row>
    <row r="113" spans="1:20" x14ac:dyDescent="0.35">
      <c r="A113" s="66" t="s">
        <v>121</v>
      </c>
      <c r="D113" s="6" t="s">
        <v>75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01">
        <f>SUM(E113:P113)</f>
        <v>0</v>
      </c>
      <c r="R113" s="184">
        <f t="shared" si="16"/>
        <v>0</v>
      </c>
      <c r="S113" s="233"/>
    </row>
    <row r="114" spans="1:20" x14ac:dyDescent="0.35">
      <c r="A114" s="66" t="s">
        <v>122</v>
      </c>
      <c r="D114" s="6" t="s">
        <v>76</v>
      </c>
      <c r="E114" s="12"/>
      <c r="F114" s="12"/>
      <c r="G114" s="12"/>
      <c r="H114" s="12">
        <f>1.03*8500</f>
        <v>8755</v>
      </c>
      <c r="I114" s="12"/>
      <c r="J114" s="12"/>
      <c r="K114" s="12"/>
      <c r="L114" s="12"/>
      <c r="M114" s="12"/>
      <c r="N114" s="12"/>
      <c r="O114" s="12"/>
      <c r="P114" s="12"/>
      <c r="Q114" s="101">
        <f>SUM(E114:P114)</f>
        <v>8755</v>
      </c>
      <c r="R114" s="184">
        <f t="shared" si="16"/>
        <v>1.0564739954145046</v>
      </c>
      <c r="S114" s="233" t="s">
        <v>283</v>
      </c>
      <c r="T114" s="6" t="s">
        <v>348</v>
      </c>
    </row>
    <row r="115" spans="1:20" x14ac:dyDescent="0.35">
      <c r="A115" s="66" t="s">
        <v>123</v>
      </c>
      <c r="D115" s="6" t="s">
        <v>77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01">
        <f>SUM(E115:P115)</f>
        <v>0</v>
      </c>
      <c r="R115" s="184">
        <f t="shared" si="16"/>
        <v>0</v>
      </c>
      <c r="S115" s="233"/>
    </row>
    <row r="116" spans="1:20" x14ac:dyDescent="0.35">
      <c r="A116" s="66" t="s">
        <v>131</v>
      </c>
      <c r="D116" s="6" t="s">
        <v>78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08">
        <f>SUM(E116:P116)</f>
        <v>0</v>
      </c>
      <c r="R116" s="189">
        <f t="shared" si="16"/>
        <v>0</v>
      </c>
      <c r="S116" s="233"/>
    </row>
    <row r="117" spans="1:20" x14ac:dyDescent="0.35">
      <c r="A117" s="66"/>
      <c r="C117" s="6" t="s">
        <v>78</v>
      </c>
      <c r="E117" s="15">
        <f t="shared" ref="E117:Q117" si="26">SUM(E113:E116)</f>
        <v>0</v>
      </c>
      <c r="F117" s="15">
        <f t="shared" si="26"/>
        <v>0</v>
      </c>
      <c r="G117" s="15">
        <f t="shared" si="26"/>
        <v>0</v>
      </c>
      <c r="H117" s="15">
        <f t="shared" si="26"/>
        <v>8755</v>
      </c>
      <c r="I117" s="15">
        <f t="shared" si="26"/>
        <v>0</v>
      </c>
      <c r="J117" s="15">
        <f t="shared" si="26"/>
        <v>0</v>
      </c>
      <c r="K117" s="15">
        <f t="shared" si="26"/>
        <v>0</v>
      </c>
      <c r="L117" s="15">
        <f t="shared" si="26"/>
        <v>0</v>
      </c>
      <c r="M117" s="15">
        <f t="shared" si="26"/>
        <v>0</v>
      </c>
      <c r="N117" s="15">
        <f t="shared" si="26"/>
        <v>0</v>
      </c>
      <c r="O117" s="15">
        <f t="shared" si="26"/>
        <v>0</v>
      </c>
      <c r="P117" s="15">
        <f t="shared" si="26"/>
        <v>0</v>
      </c>
      <c r="Q117" s="108">
        <f t="shared" si="26"/>
        <v>8755</v>
      </c>
      <c r="R117" s="189">
        <f t="shared" si="16"/>
        <v>1.0564739954145046</v>
      </c>
      <c r="S117" s="233"/>
    </row>
    <row r="118" spans="1:20" x14ac:dyDescent="0.35">
      <c r="A118" s="66"/>
      <c r="Q118" s="101"/>
      <c r="R118" s="184"/>
      <c r="S118" s="233"/>
    </row>
    <row r="119" spans="1:20" x14ac:dyDescent="0.35">
      <c r="A119" s="66" t="s">
        <v>124</v>
      </c>
      <c r="C119" s="6" t="s">
        <v>79</v>
      </c>
      <c r="E119" s="6">
        <f>'Renew &amp; Vac '!AJ11</f>
        <v>0</v>
      </c>
      <c r="F119" s="6">
        <f>'Renew &amp; Vac '!AK11</f>
        <v>0</v>
      </c>
      <c r="G119" s="6">
        <f>'Renew &amp; Vac '!AL11</f>
        <v>0</v>
      </c>
      <c r="H119" s="6">
        <f>'Renew &amp; Vac '!AM11</f>
        <v>0</v>
      </c>
      <c r="I119" s="6">
        <f>'Renew &amp; Vac '!AN11</f>
        <v>0</v>
      </c>
      <c r="J119" s="6">
        <f>'Renew &amp; Vac '!AO11</f>
        <v>15000</v>
      </c>
      <c r="K119" s="6">
        <f>'Renew &amp; Vac '!AP11</f>
        <v>0</v>
      </c>
      <c r="L119" s="6">
        <f>'Renew &amp; Vac '!AQ11</f>
        <v>0</v>
      </c>
      <c r="M119" s="6">
        <f>'Renew &amp; Vac '!AR11</f>
        <v>0</v>
      </c>
      <c r="N119" s="6">
        <f>'Renew &amp; Vac '!AS11</f>
        <v>0</v>
      </c>
      <c r="O119" s="6">
        <f>'Renew &amp; Vac '!AT11</f>
        <v>0</v>
      </c>
      <c r="P119" s="6">
        <f>'Renew &amp; Vac '!AU11</f>
        <v>0</v>
      </c>
      <c r="Q119" s="101">
        <f>SUM(E119:P119)</f>
        <v>15000</v>
      </c>
      <c r="R119" s="184">
        <f t="shared" si="16"/>
        <v>1.8100639555930975</v>
      </c>
      <c r="S119" s="233"/>
    </row>
    <row r="120" spans="1:20" ht="18" x14ac:dyDescent="0.35">
      <c r="A120" s="6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11"/>
      <c r="R120" s="192"/>
      <c r="S120" s="236"/>
    </row>
    <row r="121" spans="1:20" ht="18" x14ac:dyDescent="0.35">
      <c r="A121" s="66" t="s">
        <v>125</v>
      </c>
      <c r="D121" s="6" t="s">
        <v>80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03">
        <f>SUM(E121:P121)</f>
        <v>0</v>
      </c>
      <c r="R121" s="185">
        <f t="shared" si="16"/>
        <v>0</v>
      </c>
      <c r="S121" s="234"/>
    </row>
    <row r="122" spans="1:20" x14ac:dyDescent="0.35">
      <c r="A122" s="66" t="s">
        <v>125</v>
      </c>
      <c r="B122" s="8"/>
      <c r="D122" s="6" t="s">
        <v>81</v>
      </c>
      <c r="E122" s="15">
        <f>'Renew &amp; Vac '!AJ12</f>
        <v>0</v>
      </c>
      <c r="F122" s="15">
        <f>'Renew &amp; Vac '!AK12</f>
        <v>0</v>
      </c>
      <c r="G122" s="15">
        <f>'Renew &amp; Vac '!AL12</f>
        <v>0</v>
      </c>
      <c r="H122" s="15">
        <f>'Renew &amp; Vac '!AM12</f>
        <v>0</v>
      </c>
      <c r="I122" s="15">
        <f>'Renew &amp; Vac '!AN12</f>
        <v>0</v>
      </c>
      <c r="J122" s="15">
        <f>'Renew &amp; Vac '!AO12</f>
        <v>0</v>
      </c>
      <c r="K122" s="15">
        <f>'Renew &amp; Vac '!AP12</f>
        <v>0</v>
      </c>
      <c r="L122" s="15">
        <f>'Renew &amp; Vac '!AQ12</f>
        <v>0</v>
      </c>
      <c r="M122" s="15">
        <f>'Renew &amp; Vac '!AR12</f>
        <v>0</v>
      </c>
      <c r="N122" s="15">
        <f>'Renew &amp; Vac '!AS12</f>
        <v>0</v>
      </c>
      <c r="O122" s="15">
        <f>'Renew &amp; Vac '!AT12</f>
        <v>0</v>
      </c>
      <c r="P122" s="15">
        <f>'Renew &amp; Vac '!AU12</f>
        <v>0</v>
      </c>
      <c r="Q122" s="108">
        <f>SUM(E122:P122)</f>
        <v>0</v>
      </c>
      <c r="R122" s="189">
        <f t="shared" si="16"/>
        <v>0</v>
      </c>
      <c r="S122" s="233"/>
    </row>
    <row r="123" spans="1:20" x14ac:dyDescent="0.35">
      <c r="A123" s="66"/>
      <c r="C123" s="6" t="s">
        <v>81</v>
      </c>
      <c r="D123" s="30"/>
      <c r="E123" s="6">
        <f>SUM(E121:E122)</f>
        <v>0</v>
      </c>
      <c r="F123" s="6">
        <f t="shared" ref="F123:Q123" si="27">SUM(F121:F122)</f>
        <v>0</v>
      </c>
      <c r="G123" s="6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6">
        <f t="shared" si="27"/>
        <v>0</v>
      </c>
      <c r="L123" s="6">
        <f t="shared" si="27"/>
        <v>0</v>
      </c>
      <c r="M123" s="6">
        <f t="shared" si="27"/>
        <v>0</v>
      </c>
      <c r="N123" s="6">
        <f t="shared" si="27"/>
        <v>0</v>
      </c>
      <c r="O123" s="6">
        <f t="shared" si="27"/>
        <v>0</v>
      </c>
      <c r="P123" s="6">
        <f t="shared" si="27"/>
        <v>0</v>
      </c>
      <c r="Q123" s="101">
        <f t="shared" si="27"/>
        <v>0</v>
      </c>
      <c r="R123" s="184">
        <f t="shared" si="16"/>
        <v>0</v>
      </c>
      <c r="S123" s="233"/>
    </row>
    <row r="124" spans="1:20" s="8" customFormat="1" ht="18.5" thickBot="1" x14ac:dyDescent="0.4">
      <c r="A124" s="67"/>
      <c r="Q124" s="113"/>
      <c r="R124" s="194"/>
      <c r="S124" s="237"/>
    </row>
    <row r="125" spans="1:20" s="8" customFormat="1" ht="18" thickBot="1" x14ac:dyDescent="0.4">
      <c r="A125" s="218"/>
      <c r="B125" s="219" t="s">
        <v>82</v>
      </c>
      <c r="C125" s="220"/>
      <c r="D125" s="220"/>
      <c r="E125" s="220">
        <f t="shared" ref="E125:Q125" si="28">+E111-E117-E119-E123</f>
        <v>-4634.4046935672304</v>
      </c>
      <c r="F125" s="220">
        <f t="shared" si="28"/>
        <v>-5114.8346935672289</v>
      </c>
      <c r="G125" s="220">
        <f t="shared" si="28"/>
        <v>-3382.5346935672296</v>
      </c>
      <c r="H125" s="220">
        <f t="shared" si="28"/>
        <v>-14899.704693567232</v>
      </c>
      <c r="I125" s="220">
        <f t="shared" si="28"/>
        <v>-2882.6546935672304</v>
      </c>
      <c r="J125" s="220">
        <f t="shared" si="28"/>
        <v>-16465.984693567229</v>
      </c>
      <c r="K125" s="220">
        <f t="shared" si="28"/>
        <v>129.06530643277165</v>
      </c>
      <c r="L125" s="220">
        <f t="shared" si="28"/>
        <v>-849.30469356722915</v>
      </c>
      <c r="M125" s="220">
        <f t="shared" si="28"/>
        <v>-1404.4546935672288</v>
      </c>
      <c r="N125" s="220">
        <f t="shared" si="28"/>
        <v>-298.2746935672285</v>
      </c>
      <c r="O125" s="220">
        <f t="shared" si="28"/>
        <v>-1735.6646935672297</v>
      </c>
      <c r="P125" s="220">
        <f t="shared" si="28"/>
        <v>-3314.4546935672288</v>
      </c>
      <c r="Q125" s="221">
        <f t="shared" si="28"/>
        <v>-54853.206322806742</v>
      </c>
      <c r="R125" s="225">
        <f t="shared" si="16"/>
        <v>-6.6191874409082585</v>
      </c>
      <c r="S125" s="235"/>
    </row>
    <row r="126" spans="1:20" x14ac:dyDescent="0.35">
      <c r="A126" s="66"/>
      <c r="Q126" s="101"/>
      <c r="R126" s="184"/>
      <c r="S126" s="233"/>
    </row>
    <row r="127" spans="1:20" x14ac:dyDescent="0.35">
      <c r="A127" s="66"/>
      <c r="B127" s="6" t="s">
        <v>83</v>
      </c>
      <c r="Q127" s="101"/>
      <c r="R127" s="184"/>
      <c r="S127" s="233"/>
    </row>
    <row r="128" spans="1:20" x14ac:dyDescent="0.35">
      <c r="A128" s="66" t="s">
        <v>128</v>
      </c>
      <c r="C128" s="6" t="s">
        <v>84</v>
      </c>
      <c r="E128" s="6">
        <f>VLOOKUP($B$1,'INS RET DEBT'!$C$98:$Q$107,3,FALSE)</f>
        <v>0</v>
      </c>
      <c r="F128" s="6">
        <f>VLOOKUP($B$1,'INS RET DEBT'!$C$98:$Q$107,4,FALSE)</f>
        <v>0</v>
      </c>
      <c r="G128" s="6">
        <f>VLOOKUP($B$1,'INS RET DEBT'!$C$98:$Q$107,5,FALSE)</f>
        <v>0</v>
      </c>
      <c r="H128" s="6">
        <f>VLOOKUP($B$1,'INS RET DEBT'!$C$98:$Q$107,6,FALSE)</f>
        <v>0</v>
      </c>
      <c r="I128" s="6">
        <f>VLOOKUP($B$1,'INS RET DEBT'!$C$98:$Q$107,7,FALSE)</f>
        <v>0</v>
      </c>
      <c r="J128" s="6">
        <f>VLOOKUP($B$1,'INS RET DEBT'!$C$98:$Q$107,8,FALSE)</f>
        <v>0</v>
      </c>
      <c r="K128" s="6">
        <f>VLOOKUP($B$1,'INS RET DEBT'!$C$98:$Q$107,9,FALSE)</f>
        <v>0</v>
      </c>
      <c r="L128" s="6">
        <f>VLOOKUP($B$1,'INS RET DEBT'!$C$98:$Q$107,10,FALSE)</f>
        <v>0</v>
      </c>
      <c r="M128" s="6">
        <f>VLOOKUP($B$1,'INS RET DEBT'!$C$98:$Q$107,11,FALSE)</f>
        <v>0</v>
      </c>
      <c r="N128" s="6">
        <f>VLOOKUP($B$1,'INS RET DEBT'!$C$98:$Q$107,12,FALSE)</f>
        <v>0</v>
      </c>
      <c r="O128" s="6">
        <f>VLOOKUP($B$1,'INS RET DEBT'!$C$98:$Q$107,13,FALSE)</f>
        <v>0</v>
      </c>
      <c r="P128" s="6">
        <f>VLOOKUP($B$1,'INS RET DEBT'!$C$98:$Q$107,14,FALSE)</f>
        <v>0</v>
      </c>
      <c r="Q128" s="101">
        <f>SUM(E128:P128)</f>
        <v>0</v>
      </c>
      <c r="R128" s="184">
        <f t="shared" si="16"/>
        <v>0</v>
      </c>
      <c r="S128" s="233"/>
    </row>
    <row r="129" spans="1:21" x14ac:dyDescent="0.35">
      <c r="A129" s="66" t="s">
        <v>145</v>
      </c>
      <c r="C129" s="6" t="s">
        <v>85</v>
      </c>
      <c r="E129" s="6">
        <f>VLOOKUP($B$1,'INS RET DEBT'!$C$113:$Q$122,3,FALSE)</f>
        <v>0</v>
      </c>
      <c r="F129" s="6">
        <f>VLOOKUP($B$1,'INS RET DEBT'!$C$113:$Q$122,4,FALSE)</f>
        <v>0</v>
      </c>
      <c r="G129" s="6">
        <f>VLOOKUP($B$1,'INS RET DEBT'!$C$113:$Q$122,5,FALSE)</f>
        <v>0</v>
      </c>
      <c r="H129" s="6">
        <f>VLOOKUP($B$1,'INS RET DEBT'!$C$113:$Q$122,6,FALSE)</f>
        <v>0</v>
      </c>
      <c r="I129" s="6">
        <f>VLOOKUP($B$1,'INS RET DEBT'!$C$113:$Q$122,7,FALSE)</f>
        <v>0</v>
      </c>
      <c r="J129" s="6">
        <f>VLOOKUP($B$1,'INS RET DEBT'!$C$113:$Q$122,8,FALSE)</f>
        <v>0</v>
      </c>
      <c r="K129" s="6">
        <f>VLOOKUP($B$1,'INS RET DEBT'!$C$113:$Q$122,9,FALSE)</f>
        <v>0</v>
      </c>
      <c r="L129" s="6">
        <f>VLOOKUP($B$1,'INS RET DEBT'!$C$113:$Q$122,10,FALSE)</f>
        <v>0</v>
      </c>
      <c r="M129" s="6">
        <f>VLOOKUP($B$1,'INS RET DEBT'!$C$113:$Q$122,11,FALSE)</f>
        <v>0</v>
      </c>
      <c r="N129" s="6">
        <f>VLOOKUP($B$1,'INS RET DEBT'!$C$113:$Q$122,12,FALSE)</f>
        <v>0</v>
      </c>
      <c r="O129" s="6">
        <f>VLOOKUP($B$1,'INS RET DEBT'!$C$113:$Q$122,13,FALSE)</f>
        <v>0</v>
      </c>
      <c r="P129" s="6">
        <f>VLOOKUP($B$1,'INS RET DEBT'!$C$113:$Q$122,14,FALSE)</f>
        <v>0</v>
      </c>
      <c r="Q129" s="101">
        <f>SUM(E129:P129)</f>
        <v>0</v>
      </c>
      <c r="R129" s="184">
        <f t="shared" si="16"/>
        <v>0</v>
      </c>
      <c r="S129" s="233"/>
    </row>
    <row r="130" spans="1:21" x14ac:dyDescent="0.35">
      <c r="A130" s="66" t="s">
        <v>146</v>
      </c>
      <c r="C130" s="6" t="s">
        <v>86</v>
      </c>
      <c r="Q130" s="101">
        <f>SUM(E130:P130)</f>
        <v>0</v>
      </c>
      <c r="R130" s="184">
        <f t="shared" si="16"/>
        <v>0</v>
      </c>
      <c r="S130" s="233"/>
    </row>
    <row r="131" spans="1:21" x14ac:dyDescent="0.35">
      <c r="A131" s="66"/>
      <c r="C131" s="6" t="s">
        <v>87</v>
      </c>
      <c r="E131" s="28">
        <f t="shared" ref="E131:Q131" si="29">SUM(E128:E130)</f>
        <v>0</v>
      </c>
      <c r="F131" s="28">
        <f t="shared" si="29"/>
        <v>0</v>
      </c>
      <c r="G131" s="28">
        <f t="shared" si="29"/>
        <v>0</v>
      </c>
      <c r="H131" s="28">
        <f t="shared" si="29"/>
        <v>0</v>
      </c>
      <c r="I131" s="28">
        <f t="shared" si="29"/>
        <v>0</v>
      </c>
      <c r="J131" s="28">
        <f t="shared" si="29"/>
        <v>0</v>
      </c>
      <c r="K131" s="28">
        <f t="shared" si="29"/>
        <v>0</v>
      </c>
      <c r="L131" s="28">
        <f t="shared" si="29"/>
        <v>0</v>
      </c>
      <c r="M131" s="28">
        <f t="shared" si="29"/>
        <v>0</v>
      </c>
      <c r="N131" s="28">
        <f t="shared" si="29"/>
        <v>0</v>
      </c>
      <c r="O131" s="28">
        <f t="shared" si="29"/>
        <v>0</v>
      </c>
      <c r="P131" s="28">
        <f t="shared" si="29"/>
        <v>0</v>
      </c>
      <c r="Q131" s="110">
        <f t="shared" si="29"/>
        <v>0</v>
      </c>
      <c r="R131" s="191">
        <f t="shared" si="16"/>
        <v>0</v>
      </c>
      <c r="S131" s="233"/>
    </row>
    <row r="132" spans="1:21" x14ac:dyDescent="0.35">
      <c r="A132" s="66"/>
      <c r="Q132" s="101"/>
      <c r="R132" s="184"/>
      <c r="S132" s="233"/>
    </row>
    <row r="133" spans="1:21" ht="18.5" thickBot="1" x14ac:dyDescent="0.4">
      <c r="A133" s="67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12"/>
      <c r="R133" s="193"/>
      <c r="S133" s="234"/>
    </row>
    <row r="134" spans="1:21" s="8" customFormat="1" ht="18" thickBot="1" x14ac:dyDescent="0.4">
      <c r="A134" s="218"/>
      <c r="B134" s="219" t="s">
        <v>88</v>
      </c>
      <c r="C134" s="220"/>
      <c r="D134" s="220"/>
      <c r="E134" s="220">
        <f t="shared" ref="E134:Q134" si="30">+E125-E131</f>
        <v>-4634.4046935672304</v>
      </c>
      <c r="F134" s="220">
        <f t="shared" si="30"/>
        <v>-5114.8346935672289</v>
      </c>
      <c r="G134" s="220">
        <f t="shared" si="30"/>
        <v>-3382.5346935672296</v>
      </c>
      <c r="H134" s="220">
        <f t="shared" si="30"/>
        <v>-14899.704693567232</v>
      </c>
      <c r="I134" s="220">
        <f t="shared" si="30"/>
        <v>-2882.6546935672304</v>
      </c>
      <c r="J134" s="220">
        <f t="shared" si="30"/>
        <v>-16465.984693567229</v>
      </c>
      <c r="K134" s="220">
        <f t="shared" si="30"/>
        <v>129.06530643277165</v>
      </c>
      <c r="L134" s="220">
        <f t="shared" si="30"/>
        <v>-849.30469356722915</v>
      </c>
      <c r="M134" s="220">
        <f t="shared" si="30"/>
        <v>-1404.4546935672288</v>
      </c>
      <c r="N134" s="220">
        <f t="shared" si="30"/>
        <v>-298.2746935672285</v>
      </c>
      <c r="O134" s="220">
        <f t="shared" si="30"/>
        <v>-1735.6646935672297</v>
      </c>
      <c r="P134" s="220">
        <f t="shared" si="30"/>
        <v>-3314.4546935672288</v>
      </c>
      <c r="Q134" s="221">
        <f t="shared" si="30"/>
        <v>-54853.206322806742</v>
      </c>
      <c r="R134" s="225">
        <f t="shared" si="16"/>
        <v>-6.6191874409082585</v>
      </c>
      <c r="S134" s="235"/>
    </row>
    <row r="135" spans="1:21" x14ac:dyDescent="0.35">
      <c r="A135" s="68"/>
      <c r="B135" s="8"/>
      <c r="C135" s="32"/>
    </row>
    <row r="136" spans="1:21" s="8" customFormat="1" ht="15" x14ac:dyDescent="0.3">
      <c r="A136" s="68"/>
      <c r="C136" s="32"/>
      <c r="D136" s="33"/>
      <c r="S136" s="238"/>
    </row>
    <row r="137" spans="1:21" x14ac:dyDescent="0.35">
      <c r="A137" s="66"/>
    </row>
    <row r="138" spans="1:21" x14ac:dyDescent="0.35">
      <c r="A138" s="69"/>
    </row>
    <row r="139" spans="1:21" x14ac:dyDescent="0.35">
      <c r="A139" s="47"/>
    </row>
    <row r="140" spans="1:21" ht="17.5" x14ac:dyDescent="0.35">
      <c r="B140" s="9" t="s">
        <v>530</v>
      </c>
      <c r="E140" s="349"/>
      <c r="F140" s="350"/>
      <c r="G140" s="350"/>
      <c r="H140" s="350"/>
      <c r="I140" s="350"/>
      <c r="J140" s="350"/>
      <c r="K140" s="350"/>
      <c r="L140" s="350"/>
      <c r="M140" s="350"/>
      <c r="N140" s="350"/>
      <c r="O140" s="350"/>
      <c r="P140" s="350"/>
      <c r="S140" s="6"/>
    </row>
    <row r="141" spans="1:21" x14ac:dyDescent="0.35">
      <c r="B141" s="15" t="s">
        <v>503</v>
      </c>
      <c r="C141" s="15"/>
      <c r="D141" s="15" t="s">
        <v>302</v>
      </c>
      <c r="E141" s="338">
        <f t="shared" ref="E141:P141" si="31">E161</f>
        <v>46023</v>
      </c>
      <c r="F141" s="338">
        <f t="shared" si="31"/>
        <v>46054</v>
      </c>
      <c r="G141" s="338">
        <f t="shared" si="31"/>
        <v>46082</v>
      </c>
      <c r="H141" s="338">
        <f t="shared" si="31"/>
        <v>46113</v>
      </c>
      <c r="I141" s="338">
        <f t="shared" si="31"/>
        <v>46143</v>
      </c>
      <c r="J141" s="338">
        <f t="shared" si="31"/>
        <v>46174</v>
      </c>
      <c r="K141" s="338">
        <f t="shared" si="31"/>
        <v>46204</v>
      </c>
      <c r="L141" s="338">
        <f t="shared" si="31"/>
        <v>46235</v>
      </c>
      <c r="M141" s="338">
        <f t="shared" si="31"/>
        <v>46266</v>
      </c>
      <c r="N141" s="338">
        <f t="shared" si="31"/>
        <v>46296</v>
      </c>
      <c r="O141" s="338">
        <f t="shared" si="31"/>
        <v>46327</v>
      </c>
      <c r="P141" s="338">
        <f t="shared" si="31"/>
        <v>46357</v>
      </c>
      <c r="Q141" s="285" t="s">
        <v>12</v>
      </c>
      <c r="S141" s="6"/>
    </row>
    <row r="142" spans="1:21" x14ac:dyDescent="0.35">
      <c r="B142" s="79" t="str">
        <f>B162</f>
        <v>1100-30</v>
      </c>
      <c r="D142" s="45" t="str">
        <f>IF(D152="None",D162,D152)</f>
        <v>VACANT</v>
      </c>
      <c r="E142" s="6">
        <f t="shared" ref="E142:P146" si="32">SUMIF($B$152:$B$156,$B142,E$152:E$156)+SUMIF($B$162:$B$166,$B142,E$162:E$166)</f>
        <v>0</v>
      </c>
      <c r="F142" s="6">
        <f t="shared" si="32"/>
        <v>0</v>
      </c>
      <c r="G142" s="6">
        <f t="shared" si="32"/>
        <v>0</v>
      </c>
      <c r="H142" s="6">
        <f t="shared" si="32"/>
        <v>0</v>
      </c>
      <c r="I142" s="6">
        <f t="shared" si="32"/>
        <v>0</v>
      </c>
      <c r="J142" s="6">
        <f t="shared" si="32"/>
        <v>0</v>
      </c>
      <c r="K142" s="6">
        <f t="shared" si="32"/>
        <v>0</v>
      </c>
      <c r="L142" s="6">
        <f t="shared" si="32"/>
        <v>0</v>
      </c>
      <c r="M142" s="6">
        <f t="shared" si="32"/>
        <v>0</v>
      </c>
      <c r="N142" s="6">
        <f t="shared" si="32"/>
        <v>0</v>
      </c>
      <c r="O142" s="6">
        <f t="shared" si="32"/>
        <v>0</v>
      </c>
      <c r="P142" s="6">
        <f t="shared" si="32"/>
        <v>0</v>
      </c>
      <c r="Q142" s="8">
        <f>SUM(E142:P142)</f>
        <v>0</v>
      </c>
      <c r="S142" s="6"/>
    </row>
    <row r="143" spans="1:21" x14ac:dyDescent="0.35">
      <c r="B143" s="79" t="str">
        <f>B163</f>
        <v>1100-32</v>
      </c>
      <c r="D143" s="6" t="str">
        <f>IF(D153="None",D163,D153)</f>
        <v>VACANT</v>
      </c>
      <c r="E143" s="6">
        <f t="shared" si="32"/>
        <v>0</v>
      </c>
      <c r="F143" s="6">
        <f t="shared" si="32"/>
        <v>0</v>
      </c>
      <c r="G143" s="6">
        <f t="shared" si="32"/>
        <v>0</v>
      </c>
      <c r="H143" s="6">
        <f t="shared" si="32"/>
        <v>0</v>
      </c>
      <c r="I143" s="6">
        <f t="shared" si="32"/>
        <v>0</v>
      </c>
      <c r="J143" s="6">
        <f t="shared" si="32"/>
        <v>1250</v>
      </c>
      <c r="K143" s="6">
        <f t="shared" si="32"/>
        <v>1250</v>
      </c>
      <c r="L143" s="6">
        <f t="shared" si="32"/>
        <v>1250</v>
      </c>
      <c r="M143" s="6">
        <f t="shared" si="32"/>
        <v>1250</v>
      </c>
      <c r="N143" s="6">
        <f t="shared" si="32"/>
        <v>1250</v>
      </c>
      <c r="O143" s="6">
        <f t="shared" si="32"/>
        <v>1250</v>
      </c>
      <c r="P143" s="6">
        <f t="shared" si="32"/>
        <v>1250</v>
      </c>
      <c r="Q143" s="8">
        <f t="shared" ref="Q143:Q146" si="33">SUM(E143:P143)</f>
        <v>8750</v>
      </c>
      <c r="S143" s="6"/>
      <c r="T143" s="273"/>
      <c r="U143" s="23"/>
    </row>
    <row r="144" spans="1:21" x14ac:dyDescent="0.35">
      <c r="B144" s="79" t="str">
        <f>B164</f>
        <v>1100-34</v>
      </c>
      <c r="D144" s="6" t="str">
        <f>IF(D154="None",D164,D154)</f>
        <v>Shear Sensation</v>
      </c>
      <c r="E144" s="6">
        <f t="shared" si="32"/>
        <v>1772.8333333333333</v>
      </c>
      <c r="F144" s="6">
        <f t="shared" si="32"/>
        <v>1772.8333333333333</v>
      </c>
      <c r="G144" s="6">
        <f t="shared" si="32"/>
        <v>1772.8333333333333</v>
      </c>
      <c r="H144" s="6">
        <f t="shared" si="32"/>
        <v>1772.8333333333333</v>
      </c>
      <c r="I144" s="6">
        <f t="shared" si="32"/>
        <v>1772.8333333333333</v>
      </c>
      <c r="J144" s="6">
        <f t="shared" si="32"/>
        <v>1772.8333333333333</v>
      </c>
      <c r="K144" s="6">
        <f t="shared" si="32"/>
        <v>1772.8333333333333</v>
      </c>
      <c r="L144" s="6">
        <f t="shared" si="32"/>
        <v>1772.8333333333333</v>
      </c>
      <c r="M144" s="6">
        <f t="shared" si="32"/>
        <v>1772.8333333333333</v>
      </c>
      <c r="N144" s="6">
        <f t="shared" si="32"/>
        <v>1772.8333333333333</v>
      </c>
      <c r="O144" s="6">
        <f t="shared" si="32"/>
        <v>1772.8333333333333</v>
      </c>
      <c r="P144" s="6">
        <f t="shared" si="32"/>
        <v>1772.8333333333333</v>
      </c>
      <c r="Q144" s="8">
        <f t="shared" si="33"/>
        <v>21274</v>
      </c>
      <c r="S144" s="6"/>
      <c r="T144" s="273"/>
      <c r="U144" s="23"/>
    </row>
    <row r="145" spans="2:21" x14ac:dyDescent="0.35">
      <c r="B145" s="79" t="str">
        <f>B165</f>
        <v>1100-36</v>
      </c>
      <c r="D145" s="6" t="str">
        <f>IF(D155="None",D165,D155)</f>
        <v>Honest Real Estate</v>
      </c>
      <c r="E145" s="6">
        <f t="shared" si="32"/>
        <v>1283.3333333333333</v>
      </c>
      <c r="F145" s="6">
        <f t="shared" si="32"/>
        <v>1283.3333333333333</v>
      </c>
      <c r="G145" s="6">
        <f t="shared" si="32"/>
        <v>1283.3333333333333</v>
      </c>
      <c r="H145" s="6">
        <f t="shared" si="32"/>
        <v>1283.3333333333333</v>
      </c>
      <c r="I145" s="6">
        <f t="shared" si="32"/>
        <v>1283.3333333333333</v>
      </c>
      <c r="J145" s="6">
        <f t="shared" si="32"/>
        <v>1283.3333333333333</v>
      </c>
      <c r="K145" s="6">
        <f t="shared" si="32"/>
        <v>1283.3333333333333</v>
      </c>
      <c r="L145" s="6">
        <f t="shared" si="32"/>
        <v>1283.3333333333333</v>
      </c>
      <c r="M145" s="6">
        <f t="shared" si="32"/>
        <v>1283.3333333333333</v>
      </c>
      <c r="N145" s="6">
        <f t="shared" si="32"/>
        <v>1283.3333333333333</v>
      </c>
      <c r="O145" s="6">
        <f t="shared" si="32"/>
        <v>1283.3333333333333</v>
      </c>
      <c r="P145" s="6">
        <f t="shared" si="32"/>
        <v>1283.3333333333333</v>
      </c>
      <c r="Q145" s="8">
        <f t="shared" si="33"/>
        <v>15400.000000000002</v>
      </c>
      <c r="S145" s="6"/>
      <c r="T145" s="273"/>
      <c r="U145" s="23"/>
    </row>
    <row r="146" spans="2:21" x14ac:dyDescent="0.35">
      <c r="B146" s="227" t="str">
        <f>B166</f>
        <v>1100-12330</v>
      </c>
      <c r="C146" s="15"/>
      <c r="D146" s="15" t="str">
        <f>IF(D156="None",D166,D156)</f>
        <v>None</v>
      </c>
      <c r="E146" s="15">
        <f t="shared" si="32"/>
        <v>0</v>
      </c>
      <c r="F146" s="15">
        <f t="shared" si="32"/>
        <v>0</v>
      </c>
      <c r="G146" s="15">
        <f t="shared" si="32"/>
        <v>0</v>
      </c>
      <c r="H146" s="15">
        <f t="shared" si="32"/>
        <v>0</v>
      </c>
      <c r="I146" s="15">
        <f t="shared" si="32"/>
        <v>0</v>
      </c>
      <c r="J146" s="15">
        <f t="shared" si="32"/>
        <v>0</v>
      </c>
      <c r="K146" s="15">
        <f t="shared" si="32"/>
        <v>0</v>
      </c>
      <c r="L146" s="15">
        <f t="shared" si="32"/>
        <v>0</v>
      </c>
      <c r="M146" s="15">
        <f t="shared" si="32"/>
        <v>0</v>
      </c>
      <c r="N146" s="15">
        <f t="shared" si="32"/>
        <v>0</v>
      </c>
      <c r="O146" s="15">
        <f t="shared" si="32"/>
        <v>0</v>
      </c>
      <c r="P146" s="15">
        <f t="shared" si="32"/>
        <v>0</v>
      </c>
      <c r="Q146" s="49">
        <f t="shared" si="33"/>
        <v>0</v>
      </c>
      <c r="S146" s="6"/>
      <c r="T146" s="273"/>
      <c r="U146" s="23"/>
    </row>
    <row r="147" spans="2:21" ht="16.5" customHeight="1" x14ac:dyDescent="0.35">
      <c r="B147" s="3"/>
      <c r="D147" s="16"/>
      <c r="E147" s="8">
        <f t="shared" ref="E147:Q147" si="34">SUM(E142:E146)</f>
        <v>3056.1666666666665</v>
      </c>
      <c r="F147" s="8">
        <f t="shared" si="34"/>
        <v>3056.1666666666665</v>
      </c>
      <c r="G147" s="8">
        <f t="shared" si="34"/>
        <v>3056.1666666666665</v>
      </c>
      <c r="H147" s="8">
        <f t="shared" si="34"/>
        <v>3056.1666666666665</v>
      </c>
      <c r="I147" s="8">
        <f t="shared" si="34"/>
        <v>3056.1666666666665</v>
      </c>
      <c r="J147" s="8">
        <f t="shared" si="34"/>
        <v>4306.1666666666661</v>
      </c>
      <c r="K147" s="8">
        <f t="shared" si="34"/>
        <v>4306.1666666666661</v>
      </c>
      <c r="L147" s="8">
        <f t="shared" si="34"/>
        <v>4306.1666666666661</v>
      </c>
      <c r="M147" s="8">
        <f t="shared" si="34"/>
        <v>4306.1666666666661</v>
      </c>
      <c r="N147" s="8">
        <f t="shared" si="34"/>
        <v>4306.1666666666661</v>
      </c>
      <c r="O147" s="8">
        <f t="shared" si="34"/>
        <v>4306.1666666666661</v>
      </c>
      <c r="P147" s="8">
        <f t="shared" si="34"/>
        <v>4306.1666666666661</v>
      </c>
      <c r="Q147" s="8">
        <f t="shared" si="34"/>
        <v>45424</v>
      </c>
      <c r="S147" s="6"/>
      <c r="T147" s="273"/>
      <c r="U147" s="23"/>
    </row>
    <row r="148" spans="2:21" x14ac:dyDescent="0.35">
      <c r="E148" s="55">
        <f t="shared" ref="E148:Q148" si="35">(E10+E11)-E147</f>
        <v>0</v>
      </c>
      <c r="F148" s="55">
        <f t="shared" si="35"/>
        <v>0</v>
      </c>
      <c r="G148" s="55">
        <f t="shared" si="35"/>
        <v>0</v>
      </c>
      <c r="H148" s="55">
        <f t="shared" si="35"/>
        <v>0</v>
      </c>
      <c r="I148" s="55">
        <f t="shared" si="35"/>
        <v>0</v>
      </c>
      <c r="J148" s="55">
        <f t="shared" si="35"/>
        <v>0</v>
      </c>
      <c r="K148" s="55">
        <f t="shared" si="35"/>
        <v>0</v>
      </c>
      <c r="L148" s="55">
        <f t="shared" si="35"/>
        <v>0</v>
      </c>
      <c r="M148" s="55">
        <f t="shared" si="35"/>
        <v>0</v>
      </c>
      <c r="N148" s="55">
        <f t="shared" si="35"/>
        <v>0</v>
      </c>
      <c r="O148" s="55">
        <f t="shared" si="35"/>
        <v>0</v>
      </c>
      <c r="P148" s="55">
        <f t="shared" si="35"/>
        <v>0</v>
      </c>
      <c r="Q148" s="6">
        <f t="shared" si="35"/>
        <v>0</v>
      </c>
      <c r="S148" s="6"/>
    </row>
    <row r="149" spans="2:21" x14ac:dyDescent="0.35">
      <c r="B149" s="3"/>
      <c r="E149" s="55">
        <f t="shared" ref="E149:Q149" si="36">(E167+E157)-E147</f>
        <v>0</v>
      </c>
      <c r="F149" s="55">
        <f t="shared" si="36"/>
        <v>0</v>
      </c>
      <c r="G149" s="55">
        <f t="shared" si="36"/>
        <v>0</v>
      </c>
      <c r="H149" s="55">
        <f t="shared" si="36"/>
        <v>0</v>
      </c>
      <c r="I149" s="55">
        <f t="shared" si="36"/>
        <v>0</v>
      </c>
      <c r="J149" s="55">
        <f t="shared" si="36"/>
        <v>0</v>
      </c>
      <c r="K149" s="55">
        <f t="shared" si="36"/>
        <v>0</v>
      </c>
      <c r="L149" s="55">
        <f t="shared" si="36"/>
        <v>0</v>
      </c>
      <c r="M149" s="55">
        <f t="shared" si="36"/>
        <v>0</v>
      </c>
      <c r="N149" s="55">
        <f t="shared" si="36"/>
        <v>0</v>
      </c>
      <c r="O149" s="55">
        <f t="shared" si="36"/>
        <v>0</v>
      </c>
      <c r="P149" s="55">
        <f t="shared" si="36"/>
        <v>0</v>
      </c>
      <c r="Q149" s="55">
        <f t="shared" si="36"/>
        <v>0</v>
      </c>
      <c r="S149" s="6"/>
      <c r="T149" s="273"/>
      <c r="U149" s="23"/>
    </row>
    <row r="150" spans="2:21" ht="17.5" x14ac:dyDescent="0.35">
      <c r="B150" s="352" t="s">
        <v>159</v>
      </c>
      <c r="E150" s="336"/>
      <c r="F150" s="336"/>
      <c r="G150" s="336"/>
      <c r="H150" s="336"/>
      <c r="I150" s="336"/>
      <c r="J150" s="336"/>
      <c r="K150" s="336"/>
      <c r="L150" s="336"/>
      <c r="M150" s="336"/>
      <c r="N150" s="336"/>
      <c r="O150" s="336"/>
      <c r="P150" s="336"/>
    </row>
    <row r="151" spans="2:21" hidden="1" outlineLevel="1" x14ac:dyDescent="0.35">
      <c r="B151" s="15" t="s">
        <v>503</v>
      </c>
      <c r="C151" s="15"/>
      <c r="D151" s="15" t="s">
        <v>302</v>
      </c>
      <c r="E151" s="338">
        <v>46023</v>
      </c>
      <c r="F151" s="338">
        <v>46054</v>
      </c>
      <c r="G151" s="338">
        <v>46082</v>
      </c>
      <c r="H151" s="338">
        <v>46113</v>
      </c>
      <c r="I151" s="338">
        <v>46143</v>
      </c>
      <c r="J151" s="338">
        <v>46174</v>
      </c>
      <c r="K151" s="338">
        <v>46204</v>
      </c>
      <c r="L151" s="338">
        <v>46235</v>
      </c>
      <c r="M151" s="338">
        <v>46266</v>
      </c>
      <c r="N151" s="338">
        <v>46296</v>
      </c>
      <c r="O151" s="338">
        <v>46327</v>
      </c>
      <c r="P151" s="338">
        <v>46357</v>
      </c>
      <c r="Q151" s="285" t="s">
        <v>12</v>
      </c>
      <c r="R151" s="23"/>
    </row>
    <row r="152" spans="2:21" hidden="1" outlineLevel="1" x14ac:dyDescent="0.35">
      <c r="B152" s="339" t="s">
        <v>506</v>
      </c>
      <c r="C152" s="341"/>
      <c r="D152" s="6" t="str">
        <f>IFERROR(VLOOKUP(B152,'In Place Revenue'!$B$2:$H$630,2,FALSE),"None")</f>
        <v>None</v>
      </c>
      <c r="E152" s="6">
        <f>SUMIFS('In Place Revenue'!$G$2:$G$764,'In Place Revenue'!$B$2:$B$764,$B152,'In Place Revenue'!$D$2:$D$764,E$151)</f>
        <v>0</v>
      </c>
      <c r="F152" s="6">
        <f>SUMIFS('In Place Revenue'!$G$2:$G$764,'In Place Revenue'!$B$2:$B$764,$B152,'In Place Revenue'!$D$2:$D$764,F$151)</f>
        <v>0</v>
      </c>
      <c r="G152" s="6">
        <f>SUMIFS('In Place Revenue'!$G$2:$G$764,'In Place Revenue'!$B$2:$B$764,$B152,'In Place Revenue'!$D$2:$D$764,G$151)</f>
        <v>0</v>
      </c>
      <c r="H152" s="6">
        <f>SUMIFS('In Place Revenue'!$G$2:$G$764,'In Place Revenue'!$B$2:$B$764,$B152,'In Place Revenue'!$D$2:$D$764,H$151)</f>
        <v>0</v>
      </c>
      <c r="I152" s="6">
        <f>SUMIFS('In Place Revenue'!$G$2:$G$764,'In Place Revenue'!$B$2:$B$764,$B152,'In Place Revenue'!$D$2:$D$764,I$151)</f>
        <v>0</v>
      </c>
      <c r="J152" s="6">
        <f>SUMIFS('In Place Revenue'!$G$2:$G$764,'In Place Revenue'!$B$2:$B$764,$B152,'In Place Revenue'!$D$2:$D$764,J$151)</f>
        <v>0</v>
      </c>
      <c r="K152" s="6">
        <f>SUMIFS('In Place Revenue'!$G$2:$G$764,'In Place Revenue'!$B$2:$B$764,$B152,'In Place Revenue'!$D$2:$D$764,K$151)</f>
        <v>0</v>
      </c>
      <c r="L152" s="6">
        <f>SUMIFS('In Place Revenue'!$G$2:$G$764,'In Place Revenue'!$B$2:$B$764,$B152,'In Place Revenue'!$D$2:$D$764,L$151)</f>
        <v>0</v>
      </c>
      <c r="M152" s="6">
        <f>SUMIFS('In Place Revenue'!$G$2:$G$764,'In Place Revenue'!$B$2:$B$764,$B152,'In Place Revenue'!$D$2:$D$764,M$151)</f>
        <v>0</v>
      </c>
      <c r="N152" s="6">
        <f>SUMIFS('In Place Revenue'!$G$2:$G$764,'In Place Revenue'!$B$2:$B$764,$B152,'In Place Revenue'!$D$2:$D$764,N$151)</f>
        <v>0</v>
      </c>
      <c r="O152" s="6">
        <f>SUMIFS('In Place Revenue'!$G$2:$G$764,'In Place Revenue'!$B$2:$B$764,$B152,'In Place Revenue'!$D$2:$D$764,O$151)</f>
        <v>0</v>
      </c>
      <c r="P152" s="6">
        <f>SUMIFS('In Place Revenue'!$G$2:$G$764,'In Place Revenue'!$B$2:$B$764,$B152,'In Place Revenue'!$D$2:$D$764,P$151)</f>
        <v>0</v>
      </c>
      <c r="Q152" s="8">
        <f>SUM(E152:P152)</f>
        <v>0</v>
      </c>
      <c r="S152" s="6"/>
      <c r="T152" s="273"/>
      <c r="U152" s="23"/>
    </row>
    <row r="153" spans="2:21" hidden="1" outlineLevel="1" x14ac:dyDescent="0.35">
      <c r="B153" s="339" t="s">
        <v>507</v>
      </c>
      <c r="C153" s="341"/>
      <c r="D153" s="6" t="str">
        <f>IFERROR(VLOOKUP(B153,'In Place Revenue'!$B$2:$H$630,2,FALSE),"None")</f>
        <v>None</v>
      </c>
      <c r="E153" s="6">
        <f>SUMIFS('In Place Revenue'!$G$2:$G$764,'In Place Revenue'!$B$2:$B$764,$B153,'In Place Revenue'!$D$2:$D$764,E$151)</f>
        <v>0</v>
      </c>
      <c r="F153" s="6">
        <f>SUMIFS('In Place Revenue'!$G$2:$G$764,'In Place Revenue'!$B$2:$B$764,$B153,'In Place Revenue'!$D$2:$D$764,F$151)</f>
        <v>0</v>
      </c>
      <c r="G153" s="6">
        <f>SUMIFS('In Place Revenue'!$G$2:$G$764,'In Place Revenue'!$B$2:$B$764,$B153,'In Place Revenue'!$D$2:$D$764,G$151)</f>
        <v>0</v>
      </c>
      <c r="H153" s="6">
        <f>SUMIFS('In Place Revenue'!$G$2:$G$764,'In Place Revenue'!$B$2:$B$764,$B153,'In Place Revenue'!$D$2:$D$764,H$151)</f>
        <v>0</v>
      </c>
      <c r="I153" s="6">
        <f>SUMIFS('In Place Revenue'!$G$2:$G$764,'In Place Revenue'!$B$2:$B$764,$B153,'In Place Revenue'!$D$2:$D$764,I$151)</f>
        <v>0</v>
      </c>
      <c r="J153" s="6">
        <f>SUMIFS('In Place Revenue'!$G$2:$G$764,'In Place Revenue'!$B$2:$B$764,$B153,'In Place Revenue'!$D$2:$D$764,J$151)</f>
        <v>0</v>
      </c>
      <c r="K153" s="6">
        <f>SUMIFS('In Place Revenue'!$G$2:$G$764,'In Place Revenue'!$B$2:$B$764,$B153,'In Place Revenue'!$D$2:$D$764,K$151)</f>
        <v>0</v>
      </c>
      <c r="L153" s="6">
        <f>SUMIFS('In Place Revenue'!$G$2:$G$764,'In Place Revenue'!$B$2:$B$764,$B153,'In Place Revenue'!$D$2:$D$764,L$151)</f>
        <v>0</v>
      </c>
      <c r="M153" s="6">
        <f>SUMIFS('In Place Revenue'!$G$2:$G$764,'In Place Revenue'!$B$2:$B$764,$B153,'In Place Revenue'!$D$2:$D$764,M$151)</f>
        <v>0</v>
      </c>
      <c r="N153" s="6">
        <f>SUMIFS('In Place Revenue'!$G$2:$G$764,'In Place Revenue'!$B$2:$B$764,$B153,'In Place Revenue'!$D$2:$D$764,N$151)</f>
        <v>0</v>
      </c>
      <c r="O153" s="6">
        <f>SUMIFS('In Place Revenue'!$G$2:$G$764,'In Place Revenue'!$B$2:$B$764,$B153,'In Place Revenue'!$D$2:$D$764,O$151)</f>
        <v>0</v>
      </c>
      <c r="P153" s="6">
        <f>SUMIFS('In Place Revenue'!$G$2:$G$764,'In Place Revenue'!$B$2:$B$764,$B153,'In Place Revenue'!$D$2:$D$764,P$151)</f>
        <v>0</v>
      </c>
      <c r="Q153" s="8">
        <f t="shared" ref="Q153:Q156" si="37">SUM(E153:P153)</f>
        <v>0</v>
      </c>
      <c r="S153" s="6"/>
      <c r="T153" s="273"/>
      <c r="U153" s="23"/>
    </row>
    <row r="154" spans="2:21" hidden="1" outlineLevel="1" x14ac:dyDescent="0.35">
      <c r="B154" s="339" t="s">
        <v>504</v>
      </c>
      <c r="C154" s="341"/>
      <c r="D154" s="6" t="str">
        <f>IFERROR(VLOOKUP(B154,'In Place Revenue'!$B$2:$H$630,2,FALSE),"None")</f>
        <v>None</v>
      </c>
      <c r="E154" s="6">
        <f>SUMIFS('In Place Revenue'!$G$2:$G$764,'In Place Revenue'!$B$2:$B$764,$B154,'In Place Revenue'!$D$2:$D$764,E$151)</f>
        <v>0</v>
      </c>
      <c r="F154" s="6">
        <f>SUMIFS('In Place Revenue'!$G$2:$G$764,'In Place Revenue'!$B$2:$B$764,$B154,'In Place Revenue'!$D$2:$D$764,F$151)</f>
        <v>0</v>
      </c>
      <c r="G154" s="6">
        <f>SUMIFS('In Place Revenue'!$G$2:$G$764,'In Place Revenue'!$B$2:$B$764,$B154,'In Place Revenue'!$D$2:$D$764,G$151)</f>
        <v>0</v>
      </c>
      <c r="H154" s="6">
        <f>SUMIFS('In Place Revenue'!$G$2:$G$764,'In Place Revenue'!$B$2:$B$764,$B154,'In Place Revenue'!$D$2:$D$764,H$151)</f>
        <v>0</v>
      </c>
      <c r="I154" s="6">
        <f>SUMIFS('In Place Revenue'!$G$2:$G$764,'In Place Revenue'!$B$2:$B$764,$B154,'In Place Revenue'!$D$2:$D$764,I$151)</f>
        <v>0</v>
      </c>
      <c r="J154" s="6">
        <f>SUMIFS('In Place Revenue'!$G$2:$G$764,'In Place Revenue'!$B$2:$B$764,$B154,'In Place Revenue'!$D$2:$D$764,J$151)</f>
        <v>0</v>
      </c>
      <c r="K154" s="6">
        <f>SUMIFS('In Place Revenue'!$G$2:$G$764,'In Place Revenue'!$B$2:$B$764,$B154,'In Place Revenue'!$D$2:$D$764,K$151)</f>
        <v>0</v>
      </c>
      <c r="L154" s="6">
        <f>SUMIFS('In Place Revenue'!$G$2:$G$764,'In Place Revenue'!$B$2:$B$764,$B154,'In Place Revenue'!$D$2:$D$764,L$151)</f>
        <v>0</v>
      </c>
      <c r="M154" s="6">
        <f>SUMIFS('In Place Revenue'!$G$2:$G$764,'In Place Revenue'!$B$2:$B$764,$B154,'In Place Revenue'!$D$2:$D$764,M$151)</f>
        <v>0</v>
      </c>
      <c r="N154" s="6">
        <f>SUMIFS('In Place Revenue'!$G$2:$G$764,'In Place Revenue'!$B$2:$B$764,$B154,'In Place Revenue'!$D$2:$D$764,N$151)</f>
        <v>0</v>
      </c>
      <c r="O154" s="6">
        <f>SUMIFS('In Place Revenue'!$G$2:$G$764,'In Place Revenue'!$B$2:$B$764,$B154,'In Place Revenue'!$D$2:$D$764,O$151)</f>
        <v>0</v>
      </c>
      <c r="P154" s="6">
        <f>SUMIFS('In Place Revenue'!$G$2:$G$764,'In Place Revenue'!$B$2:$B$764,$B154,'In Place Revenue'!$D$2:$D$764,P$151)</f>
        <v>0</v>
      </c>
      <c r="Q154" s="8">
        <f t="shared" si="37"/>
        <v>0</v>
      </c>
      <c r="S154" s="6"/>
      <c r="T154" s="273"/>
      <c r="U154" s="23"/>
    </row>
    <row r="155" spans="2:21" hidden="1" outlineLevel="1" x14ac:dyDescent="0.35">
      <c r="B155" s="339" t="s">
        <v>505</v>
      </c>
      <c r="C155" s="341"/>
      <c r="D155" s="6" t="str">
        <f>IFERROR(VLOOKUP(B155,'In Place Revenue'!$B$2:$H$630,2,FALSE),"None")</f>
        <v>None</v>
      </c>
      <c r="E155" s="6">
        <f>SUMIFS('In Place Revenue'!$G$2:$G$764,'In Place Revenue'!$B$2:$B$764,$B155,'In Place Revenue'!$D$2:$D$764,E$151)</f>
        <v>0</v>
      </c>
      <c r="F155" s="6">
        <f>SUMIFS('In Place Revenue'!$G$2:$G$764,'In Place Revenue'!$B$2:$B$764,$B155,'In Place Revenue'!$D$2:$D$764,F$151)</f>
        <v>0</v>
      </c>
      <c r="G155" s="6">
        <f>SUMIFS('In Place Revenue'!$G$2:$G$764,'In Place Revenue'!$B$2:$B$764,$B155,'In Place Revenue'!$D$2:$D$764,G$151)</f>
        <v>0</v>
      </c>
      <c r="H155" s="6">
        <f>SUMIFS('In Place Revenue'!$G$2:$G$764,'In Place Revenue'!$B$2:$B$764,$B155,'In Place Revenue'!$D$2:$D$764,H$151)</f>
        <v>0</v>
      </c>
      <c r="I155" s="6">
        <f>SUMIFS('In Place Revenue'!$G$2:$G$764,'In Place Revenue'!$B$2:$B$764,$B155,'In Place Revenue'!$D$2:$D$764,I$151)</f>
        <v>0</v>
      </c>
      <c r="J155" s="6">
        <f>SUMIFS('In Place Revenue'!$G$2:$G$764,'In Place Revenue'!$B$2:$B$764,$B155,'In Place Revenue'!$D$2:$D$764,J$151)</f>
        <v>0</v>
      </c>
      <c r="K155" s="6">
        <f>SUMIFS('In Place Revenue'!$G$2:$G$764,'In Place Revenue'!$B$2:$B$764,$B155,'In Place Revenue'!$D$2:$D$764,K$151)</f>
        <v>0</v>
      </c>
      <c r="L155" s="6">
        <f>SUMIFS('In Place Revenue'!$G$2:$G$764,'In Place Revenue'!$B$2:$B$764,$B155,'In Place Revenue'!$D$2:$D$764,L$151)</f>
        <v>0</v>
      </c>
      <c r="M155" s="6">
        <f>SUMIFS('In Place Revenue'!$G$2:$G$764,'In Place Revenue'!$B$2:$B$764,$B155,'In Place Revenue'!$D$2:$D$764,M$151)</f>
        <v>0</v>
      </c>
      <c r="N155" s="6">
        <f>SUMIFS('In Place Revenue'!$G$2:$G$764,'In Place Revenue'!$B$2:$B$764,$B155,'In Place Revenue'!$D$2:$D$764,N$151)</f>
        <v>0</v>
      </c>
      <c r="O155" s="6">
        <f>SUMIFS('In Place Revenue'!$G$2:$G$764,'In Place Revenue'!$B$2:$B$764,$B155,'In Place Revenue'!$D$2:$D$764,O$151)</f>
        <v>0</v>
      </c>
      <c r="P155" s="6">
        <f>SUMIFS('In Place Revenue'!$G$2:$G$764,'In Place Revenue'!$B$2:$B$764,$B155,'In Place Revenue'!$D$2:$D$764,P$151)</f>
        <v>0</v>
      </c>
      <c r="Q155" s="8">
        <f t="shared" si="37"/>
        <v>0</v>
      </c>
      <c r="S155" s="6"/>
      <c r="T155" s="273"/>
      <c r="U155" s="23"/>
    </row>
    <row r="156" spans="2:21" hidden="1" outlineLevel="1" x14ac:dyDescent="0.35">
      <c r="B156" s="340" t="s">
        <v>508</v>
      </c>
      <c r="C156" s="342"/>
      <c r="D156" s="15" t="str">
        <f>IFERROR(VLOOKUP(B156,'In Place Revenue'!$B$2:$H$630,2,FALSE),"None")</f>
        <v>None</v>
      </c>
      <c r="E156" s="15">
        <f>SUMIFS('In Place Revenue'!$G$2:$G$764,'In Place Revenue'!$B$2:$B$764,$B156,'In Place Revenue'!$D$2:$D$764,E$151)</f>
        <v>0</v>
      </c>
      <c r="F156" s="15">
        <f>SUMIFS('In Place Revenue'!$G$2:$G$764,'In Place Revenue'!$B$2:$B$764,$B156,'In Place Revenue'!$D$2:$D$764,F$151)</f>
        <v>0</v>
      </c>
      <c r="G156" s="15">
        <f>SUMIFS('In Place Revenue'!$G$2:$G$764,'In Place Revenue'!$B$2:$B$764,$B156,'In Place Revenue'!$D$2:$D$764,G$151)</f>
        <v>0</v>
      </c>
      <c r="H156" s="15">
        <f>SUMIFS('In Place Revenue'!$G$2:$G$764,'In Place Revenue'!$B$2:$B$764,$B156,'In Place Revenue'!$D$2:$D$764,H$151)</f>
        <v>0</v>
      </c>
      <c r="I156" s="15">
        <f>SUMIFS('In Place Revenue'!$G$2:$G$764,'In Place Revenue'!$B$2:$B$764,$B156,'In Place Revenue'!$D$2:$D$764,I$151)</f>
        <v>0</v>
      </c>
      <c r="J156" s="15">
        <f>SUMIFS('In Place Revenue'!$G$2:$G$764,'In Place Revenue'!$B$2:$B$764,$B156,'In Place Revenue'!$D$2:$D$764,J$151)</f>
        <v>0</v>
      </c>
      <c r="K156" s="15">
        <f>SUMIFS('In Place Revenue'!$G$2:$G$764,'In Place Revenue'!$B$2:$B$764,$B156,'In Place Revenue'!$D$2:$D$764,K$151)</f>
        <v>0</v>
      </c>
      <c r="L156" s="15">
        <f>SUMIFS('In Place Revenue'!$G$2:$G$764,'In Place Revenue'!$B$2:$B$764,$B156,'In Place Revenue'!$D$2:$D$764,L$151)</f>
        <v>0</v>
      </c>
      <c r="M156" s="15">
        <f>SUMIFS('In Place Revenue'!$G$2:$G$764,'In Place Revenue'!$B$2:$B$764,$B156,'In Place Revenue'!$D$2:$D$764,M$151)</f>
        <v>0</v>
      </c>
      <c r="N156" s="15">
        <f>SUMIFS('In Place Revenue'!$G$2:$G$764,'In Place Revenue'!$B$2:$B$764,$B156,'In Place Revenue'!$D$2:$D$764,N$151)</f>
        <v>0</v>
      </c>
      <c r="O156" s="15">
        <f>SUMIFS('In Place Revenue'!$G$2:$G$764,'In Place Revenue'!$B$2:$B$764,$B156,'In Place Revenue'!$D$2:$D$764,O$151)</f>
        <v>0</v>
      </c>
      <c r="P156" s="15">
        <f>SUMIFS('In Place Revenue'!$G$2:$G$764,'In Place Revenue'!$B$2:$B$764,$B156,'In Place Revenue'!$D$2:$D$764,P$151)</f>
        <v>0</v>
      </c>
      <c r="Q156" s="49">
        <f t="shared" si="37"/>
        <v>0</v>
      </c>
      <c r="S156" s="6"/>
      <c r="T156" s="273"/>
      <c r="U156" s="23"/>
    </row>
    <row r="157" spans="2:21" hidden="1" outlineLevel="1" x14ac:dyDescent="0.35">
      <c r="B157" s="3"/>
      <c r="D157" s="16" t="s">
        <v>12</v>
      </c>
      <c r="E157" s="8">
        <f t="shared" ref="E157:Q157" si="38">SUM(E152:E156)</f>
        <v>0</v>
      </c>
      <c r="F157" s="8">
        <f t="shared" si="38"/>
        <v>0</v>
      </c>
      <c r="G157" s="8">
        <f t="shared" si="38"/>
        <v>0</v>
      </c>
      <c r="H157" s="8">
        <f t="shared" si="38"/>
        <v>0</v>
      </c>
      <c r="I157" s="8">
        <f t="shared" si="38"/>
        <v>0</v>
      </c>
      <c r="J157" s="8">
        <f t="shared" si="38"/>
        <v>0</v>
      </c>
      <c r="K157" s="8">
        <f t="shared" si="38"/>
        <v>0</v>
      </c>
      <c r="L157" s="8">
        <f t="shared" si="38"/>
        <v>0</v>
      </c>
      <c r="M157" s="8">
        <f t="shared" si="38"/>
        <v>0</v>
      </c>
      <c r="N157" s="8">
        <f t="shared" si="38"/>
        <v>0</v>
      </c>
      <c r="O157" s="8">
        <f t="shared" si="38"/>
        <v>0</v>
      </c>
      <c r="P157" s="8">
        <f t="shared" si="38"/>
        <v>0</v>
      </c>
      <c r="Q157" s="8">
        <f t="shared" si="38"/>
        <v>0</v>
      </c>
      <c r="S157" s="6"/>
      <c r="T157" s="273"/>
      <c r="U157" s="23"/>
    </row>
    <row r="158" spans="2:21" hidden="1" outlineLevel="1" x14ac:dyDescent="0.35">
      <c r="E158" s="55">
        <f t="shared" ref="E158:P158" si="39">E10-E157</f>
        <v>0</v>
      </c>
      <c r="F158" s="55">
        <f t="shared" si="39"/>
        <v>0</v>
      </c>
      <c r="G158" s="55">
        <f t="shared" si="39"/>
        <v>0</v>
      </c>
      <c r="H158" s="55">
        <f t="shared" si="39"/>
        <v>0</v>
      </c>
      <c r="I158" s="55">
        <f t="shared" si="39"/>
        <v>0</v>
      </c>
      <c r="J158" s="55">
        <f t="shared" si="39"/>
        <v>0</v>
      </c>
      <c r="K158" s="55">
        <f t="shared" si="39"/>
        <v>0</v>
      </c>
      <c r="L158" s="55">
        <f t="shared" si="39"/>
        <v>0</v>
      </c>
      <c r="M158" s="55">
        <f t="shared" si="39"/>
        <v>0</v>
      </c>
      <c r="N158" s="55">
        <f t="shared" si="39"/>
        <v>0</v>
      </c>
      <c r="O158" s="55">
        <f t="shared" si="39"/>
        <v>0</v>
      </c>
      <c r="P158" s="55">
        <f t="shared" si="39"/>
        <v>0</v>
      </c>
      <c r="Q158" s="6">
        <f>Q2-Q157</f>
        <v>0</v>
      </c>
      <c r="S158" s="6"/>
    </row>
    <row r="159" spans="2:21" collapsed="1" x14ac:dyDescent="0.35"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S159" s="6"/>
    </row>
    <row r="160" spans="2:21" ht="17.5" x14ac:dyDescent="0.35">
      <c r="B160" s="9" t="s">
        <v>160</v>
      </c>
      <c r="E160" s="349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S160" s="6"/>
    </row>
    <row r="161" spans="1:21" outlineLevel="1" x14ac:dyDescent="0.35">
      <c r="B161" s="15" t="s">
        <v>503</v>
      </c>
      <c r="C161" s="15"/>
      <c r="D161" s="15" t="s">
        <v>302</v>
      </c>
      <c r="E161" s="338">
        <f>E151</f>
        <v>46023</v>
      </c>
      <c r="F161" s="338">
        <f t="shared" ref="F161:P161" si="40">F151</f>
        <v>46054</v>
      </c>
      <c r="G161" s="338">
        <f t="shared" si="40"/>
        <v>46082</v>
      </c>
      <c r="H161" s="338">
        <f t="shared" si="40"/>
        <v>46113</v>
      </c>
      <c r="I161" s="338">
        <f t="shared" si="40"/>
        <v>46143</v>
      </c>
      <c r="J161" s="338">
        <f t="shared" si="40"/>
        <v>46174</v>
      </c>
      <c r="K161" s="338">
        <f t="shared" si="40"/>
        <v>46204</v>
      </c>
      <c r="L161" s="338">
        <f t="shared" si="40"/>
        <v>46235</v>
      </c>
      <c r="M161" s="338">
        <f t="shared" si="40"/>
        <v>46266</v>
      </c>
      <c r="N161" s="338">
        <f t="shared" si="40"/>
        <v>46296</v>
      </c>
      <c r="O161" s="338">
        <f t="shared" si="40"/>
        <v>46327</v>
      </c>
      <c r="P161" s="338">
        <f t="shared" si="40"/>
        <v>46357</v>
      </c>
      <c r="Q161" s="285" t="s">
        <v>12</v>
      </c>
      <c r="S161" s="6"/>
    </row>
    <row r="162" spans="1:21" outlineLevel="1" x14ac:dyDescent="0.35">
      <c r="B162" s="245" t="str">
        <f>B152</f>
        <v>1100-30</v>
      </c>
      <c r="D162" s="6" t="str">
        <f>IFERROR(VLOOKUP(B162,'Renew &amp; Vac '!$L$9:$M$23,2,FALSE),IFERROR(VLOOKUP(B162,'Renew &amp; Vac '!$A$9:$B$23,2,FALSE),VLOOKUP(B162,$B$152:$D$156,3,FALSE)))</f>
        <v>VACANT</v>
      </c>
      <c r="E162" s="45">
        <f>SUMIFS('Renew &amp; Vac '!$S$9:$S$23,'Renew &amp; Vac '!$L$9:$L$23,$B162,'Renew &amp; Vac '!$O$9:$O$23,"&lt;="&amp;E$161,'Renew &amp; Vac '!$P$9:$P$23,"&gt;="&amp;E$161)+SUMIFS('Renew &amp; Vac '!$H$9:$H$23,'Renew &amp; Vac '!$A$9:$A$23,$B162,'Renew &amp; Vac '!$D$9:$D$23,"&lt;="&amp;E$161,'Renew &amp; Vac '!$E$9:$E$23,"&gt;="&amp;E$161)</f>
        <v>0</v>
      </c>
      <c r="F162" s="45">
        <f>SUMIFS('Renew &amp; Vac '!$S$9:$S$23,'Renew &amp; Vac '!$L$9:$L$23,$B162,'Renew &amp; Vac '!$O$9:$O$23,"&lt;="&amp;F$161,'Renew &amp; Vac '!$P$9:$P$23,"&gt;="&amp;F$161)+SUMIFS('Renew &amp; Vac '!$H$9:$H$23,'Renew &amp; Vac '!$A$9:$A$23,$B162,'Renew &amp; Vac '!$D$9:$D$23,"&lt;="&amp;F$161,'Renew &amp; Vac '!$E$9:$E$23,"&gt;="&amp;F$161)</f>
        <v>0</v>
      </c>
      <c r="G162" s="45">
        <f>SUMIFS('Renew &amp; Vac '!$S$9:$S$23,'Renew &amp; Vac '!$L$9:$L$23,$B162,'Renew &amp; Vac '!$O$9:$O$23,"&lt;="&amp;G$161,'Renew &amp; Vac '!$P$9:$P$23,"&gt;="&amp;G$161)+SUMIFS('Renew &amp; Vac '!$H$9:$H$23,'Renew &amp; Vac '!$A$9:$A$23,$B162,'Renew &amp; Vac '!$D$9:$D$23,"&lt;="&amp;G$161,'Renew &amp; Vac '!$E$9:$E$23,"&gt;="&amp;G$161)</f>
        <v>0</v>
      </c>
      <c r="H162" s="45">
        <f>SUMIFS('Renew &amp; Vac '!$S$9:$S$23,'Renew &amp; Vac '!$L$9:$L$23,$B162,'Renew &amp; Vac '!$O$9:$O$23,"&lt;="&amp;H$161,'Renew &amp; Vac '!$P$9:$P$23,"&gt;="&amp;H$161)+SUMIFS('Renew &amp; Vac '!$H$9:$H$23,'Renew &amp; Vac '!$A$9:$A$23,$B162,'Renew &amp; Vac '!$D$9:$D$23,"&lt;="&amp;H$161,'Renew &amp; Vac '!$E$9:$E$23,"&gt;="&amp;H$161)</f>
        <v>0</v>
      </c>
      <c r="I162" s="45">
        <f>SUMIFS('Renew &amp; Vac '!$S$9:$S$23,'Renew &amp; Vac '!$L$9:$L$23,$B162,'Renew &amp; Vac '!$O$9:$O$23,"&lt;="&amp;I$161,'Renew &amp; Vac '!$P$9:$P$23,"&gt;="&amp;I$161)+SUMIFS('Renew &amp; Vac '!$H$9:$H$23,'Renew &amp; Vac '!$A$9:$A$23,$B162,'Renew &amp; Vac '!$D$9:$D$23,"&lt;="&amp;I$161,'Renew &amp; Vac '!$E$9:$E$23,"&gt;="&amp;I$161)</f>
        <v>0</v>
      </c>
      <c r="J162" s="45">
        <f>SUMIFS('Renew &amp; Vac '!$S$9:$S$23,'Renew &amp; Vac '!$L$9:$L$23,$B162,'Renew &amp; Vac '!$O$9:$O$23,"&lt;="&amp;J$161,'Renew &amp; Vac '!$P$9:$P$23,"&gt;="&amp;J$161)+SUMIFS('Renew &amp; Vac '!$H$9:$H$23,'Renew &amp; Vac '!$A$9:$A$23,$B162,'Renew &amp; Vac '!$D$9:$D$23,"&lt;="&amp;J$161,'Renew &amp; Vac '!$E$9:$E$23,"&gt;="&amp;J$161)</f>
        <v>0</v>
      </c>
      <c r="K162" s="45">
        <f>SUMIFS('Renew &amp; Vac '!$S$9:$S$23,'Renew &amp; Vac '!$L$9:$L$23,$B162,'Renew &amp; Vac '!$O$9:$O$23,"&lt;="&amp;K$161,'Renew &amp; Vac '!$P$9:$P$23,"&gt;="&amp;K$161)+SUMIFS('Renew &amp; Vac '!$H$9:$H$23,'Renew &amp; Vac '!$A$9:$A$23,$B162,'Renew &amp; Vac '!$D$9:$D$23,"&lt;="&amp;K$161,'Renew &amp; Vac '!$E$9:$E$23,"&gt;="&amp;K$161)</f>
        <v>0</v>
      </c>
      <c r="L162" s="45">
        <f>SUMIFS('Renew &amp; Vac '!$S$9:$S$23,'Renew &amp; Vac '!$L$9:$L$23,$B162,'Renew &amp; Vac '!$O$9:$O$23,"&lt;="&amp;L$161,'Renew &amp; Vac '!$P$9:$P$23,"&gt;="&amp;L$161)+SUMIFS('Renew &amp; Vac '!$H$9:$H$23,'Renew &amp; Vac '!$A$9:$A$23,$B162,'Renew &amp; Vac '!$D$9:$D$23,"&lt;="&amp;L$161,'Renew &amp; Vac '!$E$9:$E$23,"&gt;="&amp;L$161)</f>
        <v>0</v>
      </c>
      <c r="M162" s="45">
        <f>SUMIFS('Renew &amp; Vac '!$S$9:$S$23,'Renew &amp; Vac '!$L$9:$L$23,$B162,'Renew &amp; Vac '!$O$9:$O$23,"&lt;="&amp;M$161,'Renew &amp; Vac '!$P$9:$P$23,"&gt;="&amp;M$161)+SUMIFS('Renew &amp; Vac '!$H$9:$H$23,'Renew &amp; Vac '!$A$9:$A$23,$B162,'Renew &amp; Vac '!$D$9:$D$23,"&lt;="&amp;M$161,'Renew &amp; Vac '!$E$9:$E$23,"&gt;="&amp;M$161)</f>
        <v>0</v>
      </c>
      <c r="N162" s="45">
        <f>SUMIFS('Renew &amp; Vac '!$S$9:$S$23,'Renew &amp; Vac '!$L$9:$L$23,$B162,'Renew &amp; Vac '!$O$9:$O$23,"&lt;="&amp;N$161,'Renew &amp; Vac '!$P$9:$P$23,"&gt;="&amp;N$161)+SUMIFS('Renew &amp; Vac '!$H$9:$H$23,'Renew &amp; Vac '!$A$9:$A$23,$B162,'Renew &amp; Vac '!$D$9:$D$23,"&lt;="&amp;N$161,'Renew &amp; Vac '!$E$9:$E$23,"&gt;="&amp;N$161)</f>
        <v>0</v>
      </c>
      <c r="O162" s="45">
        <f>SUMIFS('Renew &amp; Vac '!$S$9:$S$23,'Renew &amp; Vac '!$L$9:$L$23,$B162,'Renew &amp; Vac '!$O$9:$O$23,"&lt;="&amp;O$161,'Renew &amp; Vac '!$P$9:$P$23,"&gt;="&amp;O$161)+SUMIFS('Renew &amp; Vac '!$H$9:$H$23,'Renew &amp; Vac '!$A$9:$A$23,$B162,'Renew &amp; Vac '!$D$9:$D$23,"&lt;="&amp;O$161,'Renew &amp; Vac '!$E$9:$E$23,"&gt;="&amp;O$161)</f>
        <v>0</v>
      </c>
      <c r="P162" s="45">
        <f>SUMIFS('Renew &amp; Vac '!$S$9:$S$23,'Renew &amp; Vac '!$L$9:$L$23,$B162,'Renew &amp; Vac '!$O$9:$O$23,"&lt;="&amp;P$161,'Renew &amp; Vac '!$P$9:$P$23,"&gt;="&amp;P$161)+SUMIFS('Renew &amp; Vac '!$H$9:$H$23,'Renew &amp; Vac '!$A$9:$A$23,$B162,'Renew &amp; Vac '!$D$9:$D$23,"&lt;="&amp;P$161,'Renew &amp; Vac '!$E$9:$E$23,"&gt;="&amp;P$161)</f>
        <v>0</v>
      </c>
      <c r="Q162" s="8">
        <f>SUM(E162:P162)</f>
        <v>0</v>
      </c>
      <c r="S162" s="6"/>
    </row>
    <row r="163" spans="1:21" outlineLevel="1" x14ac:dyDescent="0.35">
      <c r="B163" s="245" t="str">
        <f t="shared" ref="B163:B166" si="41">B153</f>
        <v>1100-32</v>
      </c>
      <c r="D163" s="6" t="str">
        <f>IFERROR(VLOOKUP(B163,'Renew &amp; Vac '!$L$9:$M$23,2,FALSE),IFERROR(VLOOKUP(B163,'Renew &amp; Vac '!$A$9:$B$23,2,FALSE),VLOOKUP(B163,$B$152:$D$156,3,FALSE)))</f>
        <v>VACANT</v>
      </c>
      <c r="E163" s="6">
        <f>SUMIFS('Renew &amp; Vac '!$S$9:$S$23,'Renew &amp; Vac '!$L$9:$L$23,$B163,'Renew &amp; Vac '!$O$9:$O$23,"&lt;="&amp;E$161,'Renew &amp; Vac '!$P$9:$P$23,"&gt;="&amp;E$161)+SUMIFS('Renew &amp; Vac '!$H$9:$H$23,'Renew &amp; Vac '!$A$9:$A$23,$B163,'Renew &amp; Vac '!$D$9:$D$23,"&lt;="&amp;E$161,'Renew &amp; Vac '!$E$9:$E$23,"&gt;="&amp;E$161)</f>
        <v>0</v>
      </c>
      <c r="F163" s="6">
        <f>SUMIFS('Renew &amp; Vac '!$S$9:$S$23,'Renew &amp; Vac '!$L$9:$L$23,$B163,'Renew &amp; Vac '!$O$9:$O$23,"&lt;="&amp;F$161,'Renew &amp; Vac '!$P$9:$P$23,"&gt;="&amp;F$161)+SUMIFS('Renew &amp; Vac '!$H$9:$H$23,'Renew &amp; Vac '!$A$9:$A$23,$B163,'Renew &amp; Vac '!$D$9:$D$23,"&lt;="&amp;F$161,'Renew &amp; Vac '!$E$9:$E$23,"&gt;="&amp;F$161)</f>
        <v>0</v>
      </c>
      <c r="G163" s="6">
        <f>SUMIFS('Renew &amp; Vac '!$S$9:$S$23,'Renew &amp; Vac '!$L$9:$L$23,$B163,'Renew &amp; Vac '!$O$9:$O$23,"&lt;="&amp;G$161,'Renew &amp; Vac '!$P$9:$P$23,"&gt;="&amp;G$161)+SUMIFS('Renew &amp; Vac '!$H$9:$H$23,'Renew &amp; Vac '!$A$9:$A$23,$B163,'Renew &amp; Vac '!$D$9:$D$23,"&lt;="&amp;G$161,'Renew &amp; Vac '!$E$9:$E$23,"&gt;="&amp;G$161)</f>
        <v>0</v>
      </c>
      <c r="H163" s="6">
        <f>SUMIFS('Renew &amp; Vac '!$S$9:$S$23,'Renew &amp; Vac '!$L$9:$L$23,$B163,'Renew &amp; Vac '!$O$9:$O$23,"&lt;="&amp;H$161,'Renew &amp; Vac '!$P$9:$P$23,"&gt;="&amp;H$161)+SUMIFS('Renew &amp; Vac '!$H$9:$H$23,'Renew &amp; Vac '!$A$9:$A$23,$B163,'Renew &amp; Vac '!$D$9:$D$23,"&lt;="&amp;H$161,'Renew &amp; Vac '!$E$9:$E$23,"&gt;="&amp;H$161)</f>
        <v>0</v>
      </c>
      <c r="I163" s="6">
        <f>SUMIFS('Renew &amp; Vac '!$S$9:$S$23,'Renew &amp; Vac '!$L$9:$L$23,$B163,'Renew &amp; Vac '!$O$9:$O$23,"&lt;="&amp;I$161,'Renew &amp; Vac '!$P$9:$P$23,"&gt;="&amp;I$161)+SUMIFS('Renew &amp; Vac '!$H$9:$H$23,'Renew &amp; Vac '!$A$9:$A$23,$B163,'Renew &amp; Vac '!$D$9:$D$23,"&lt;="&amp;I$161,'Renew &amp; Vac '!$E$9:$E$23,"&gt;="&amp;I$161)</f>
        <v>0</v>
      </c>
      <c r="J163" s="6">
        <f>SUMIFS('Renew &amp; Vac '!$S$9:$S$23,'Renew &amp; Vac '!$L$9:$L$23,$B163,'Renew &amp; Vac '!$O$9:$O$23,"&lt;="&amp;J$161,'Renew &amp; Vac '!$P$9:$P$23,"&gt;="&amp;J$161)+SUMIFS('Renew &amp; Vac '!$H$9:$H$23,'Renew &amp; Vac '!$A$9:$A$23,$B163,'Renew &amp; Vac '!$D$9:$D$23,"&lt;="&amp;J$161,'Renew &amp; Vac '!$E$9:$E$23,"&gt;="&amp;J$161)</f>
        <v>1250</v>
      </c>
      <c r="K163" s="6">
        <f>SUMIFS('Renew &amp; Vac '!$S$9:$S$23,'Renew &amp; Vac '!$L$9:$L$23,$B163,'Renew &amp; Vac '!$O$9:$O$23,"&lt;="&amp;K$161,'Renew &amp; Vac '!$P$9:$P$23,"&gt;="&amp;K$161)+SUMIFS('Renew &amp; Vac '!$H$9:$H$23,'Renew &amp; Vac '!$A$9:$A$23,$B163,'Renew &amp; Vac '!$D$9:$D$23,"&lt;="&amp;K$161,'Renew &amp; Vac '!$E$9:$E$23,"&gt;="&amp;K$161)</f>
        <v>1250</v>
      </c>
      <c r="L163" s="6">
        <f>SUMIFS('Renew &amp; Vac '!$S$9:$S$23,'Renew &amp; Vac '!$L$9:$L$23,$B163,'Renew &amp; Vac '!$O$9:$O$23,"&lt;="&amp;L$161,'Renew &amp; Vac '!$P$9:$P$23,"&gt;="&amp;L$161)+SUMIFS('Renew &amp; Vac '!$H$9:$H$23,'Renew &amp; Vac '!$A$9:$A$23,$B163,'Renew &amp; Vac '!$D$9:$D$23,"&lt;="&amp;L$161,'Renew &amp; Vac '!$E$9:$E$23,"&gt;="&amp;L$161)</f>
        <v>1250</v>
      </c>
      <c r="M163" s="6">
        <f>SUMIFS('Renew &amp; Vac '!$S$9:$S$23,'Renew &amp; Vac '!$L$9:$L$23,$B163,'Renew &amp; Vac '!$O$9:$O$23,"&lt;="&amp;M$161,'Renew &amp; Vac '!$P$9:$P$23,"&gt;="&amp;M$161)+SUMIFS('Renew &amp; Vac '!$H$9:$H$23,'Renew &amp; Vac '!$A$9:$A$23,$B163,'Renew &amp; Vac '!$D$9:$D$23,"&lt;="&amp;M$161,'Renew &amp; Vac '!$E$9:$E$23,"&gt;="&amp;M$161)</f>
        <v>1250</v>
      </c>
      <c r="N163" s="6">
        <f>SUMIFS('Renew &amp; Vac '!$S$9:$S$23,'Renew &amp; Vac '!$L$9:$L$23,$B163,'Renew &amp; Vac '!$O$9:$O$23,"&lt;="&amp;N$161,'Renew &amp; Vac '!$P$9:$P$23,"&gt;="&amp;N$161)+SUMIFS('Renew &amp; Vac '!$H$9:$H$23,'Renew &amp; Vac '!$A$9:$A$23,$B163,'Renew &amp; Vac '!$D$9:$D$23,"&lt;="&amp;N$161,'Renew &amp; Vac '!$E$9:$E$23,"&gt;="&amp;N$161)</f>
        <v>1250</v>
      </c>
      <c r="O163" s="6">
        <f>SUMIFS('Renew &amp; Vac '!$S$9:$S$23,'Renew &amp; Vac '!$L$9:$L$23,$B163,'Renew &amp; Vac '!$O$9:$O$23,"&lt;="&amp;O$161,'Renew &amp; Vac '!$P$9:$P$23,"&gt;="&amp;O$161)+SUMIFS('Renew &amp; Vac '!$H$9:$H$23,'Renew &amp; Vac '!$A$9:$A$23,$B163,'Renew &amp; Vac '!$D$9:$D$23,"&lt;="&amp;O$161,'Renew &amp; Vac '!$E$9:$E$23,"&gt;="&amp;O$161)</f>
        <v>1250</v>
      </c>
      <c r="P163" s="6">
        <f>SUMIFS('Renew &amp; Vac '!$S$9:$S$23,'Renew &amp; Vac '!$L$9:$L$23,$B163,'Renew &amp; Vac '!$O$9:$O$23,"&lt;="&amp;P$161,'Renew &amp; Vac '!$P$9:$P$23,"&gt;="&amp;P$161)+SUMIFS('Renew &amp; Vac '!$H$9:$H$23,'Renew &amp; Vac '!$A$9:$A$23,$B163,'Renew &amp; Vac '!$D$9:$D$23,"&lt;="&amp;P$161,'Renew &amp; Vac '!$E$9:$E$23,"&gt;="&amp;P$161)</f>
        <v>1250</v>
      </c>
      <c r="Q163" s="8">
        <f t="shared" ref="Q163:Q166" si="42">SUM(E163:P163)</f>
        <v>8750</v>
      </c>
      <c r="S163" s="6"/>
      <c r="T163" s="273"/>
      <c r="U163" s="23"/>
    </row>
    <row r="164" spans="1:21" outlineLevel="1" x14ac:dyDescent="0.35">
      <c r="B164" s="245" t="str">
        <f t="shared" si="41"/>
        <v>1100-34</v>
      </c>
      <c r="D164" s="6" t="str">
        <f>IFERROR(VLOOKUP(B164,'Renew &amp; Vac '!$L$9:$M$23,2,FALSE),IFERROR(VLOOKUP(B164,'Renew &amp; Vac '!$A$9:$B$23,2,FALSE),VLOOKUP(B164,$B$152:$D$156,3,FALSE)))</f>
        <v>Shear Sensation</v>
      </c>
      <c r="E164" s="6">
        <f>SUMIFS('Renew &amp; Vac '!$S$9:$S$23,'Renew &amp; Vac '!$L$9:$L$23,$B164,'Renew &amp; Vac '!$O$9:$O$23,"&lt;="&amp;E$161,'Renew &amp; Vac '!$P$9:$P$23,"&gt;="&amp;E$161)+SUMIFS('Renew &amp; Vac '!$H$9:$H$23,'Renew &amp; Vac '!$A$9:$A$23,$B164,'Renew &amp; Vac '!$D$9:$D$23,"&lt;="&amp;E$161,'Renew &amp; Vac '!$E$9:$E$23,"&gt;="&amp;E$161)</f>
        <v>1772.8333333333333</v>
      </c>
      <c r="F164" s="6">
        <f>SUMIFS('Renew &amp; Vac '!$S$9:$S$23,'Renew &amp; Vac '!$L$9:$L$23,$B164,'Renew &amp; Vac '!$O$9:$O$23,"&lt;="&amp;F$161,'Renew &amp; Vac '!$P$9:$P$23,"&gt;="&amp;F$161)+SUMIFS('Renew &amp; Vac '!$H$9:$H$23,'Renew &amp; Vac '!$A$9:$A$23,$B164,'Renew &amp; Vac '!$D$9:$D$23,"&lt;="&amp;F$161,'Renew &amp; Vac '!$E$9:$E$23,"&gt;="&amp;F$161)</f>
        <v>1772.8333333333333</v>
      </c>
      <c r="G164" s="6">
        <f>SUMIFS('Renew &amp; Vac '!$S$9:$S$23,'Renew &amp; Vac '!$L$9:$L$23,$B164,'Renew &amp; Vac '!$O$9:$O$23,"&lt;="&amp;G$161,'Renew &amp; Vac '!$P$9:$P$23,"&gt;="&amp;G$161)+SUMIFS('Renew &amp; Vac '!$H$9:$H$23,'Renew &amp; Vac '!$A$9:$A$23,$B164,'Renew &amp; Vac '!$D$9:$D$23,"&lt;="&amp;G$161,'Renew &amp; Vac '!$E$9:$E$23,"&gt;="&amp;G$161)</f>
        <v>1772.8333333333333</v>
      </c>
      <c r="H164" s="6">
        <f>SUMIFS('Renew &amp; Vac '!$S$9:$S$23,'Renew &amp; Vac '!$L$9:$L$23,$B164,'Renew &amp; Vac '!$O$9:$O$23,"&lt;="&amp;H$161,'Renew &amp; Vac '!$P$9:$P$23,"&gt;="&amp;H$161)+SUMIFS('Renew &amp; Vac '!$H$9:$H$23,'Renew &amp; Vac '!$A$9:$A$23,$B164,'Renew &amp; Vac '!$D$9:$D$23,"&lt;="&amp;H$161,'Renew &amp; Vac '!$E$9:$E$23,"&gt;="&amp;H$161)</f>
        <v>1772.8333333333333</v>
      </c>
      <c r="I164" s="6">
        <f>SUMIFS('Renew &amp; Vac '!$S$9:$S$23,'Renew &amp; Vac '!$L$9:$L$23,$B164,'Renew &amp; Vac '!$O$9:$O$23,"&lt;="&amp;I$161,'Renew &amp; Vac '!$P$9:$P$23,"&gt;="&amp;I$161)+SUMIFS('Renew &amp; Vac '!$H$9:$H$23,'Renew &amp; Vac '!$A$9:$A$23,$B164,'Renew &amp; Vac '!$D$9:$D$23,"&lt;="&amp;I$161,'Renew &amp; Vac '!$E$9:$E$23,"&gt;="&amp;I$161)</f>
        <v>1772.8333333333333</v>
      </c>
      <c r="J164" s="6">
        <f>SUMIFS('Renew &amp; Vac '!$S$9:$S$23,'Renew &amp; Vac '!$L$9:$L$23,$B164,'Renew &amp; Vac '!$O$9:$O$23,"&lt;="&amp;J$161,'Renew &amp; Vac '!$P$9:$P$23,"&gt;="&amp;J$161)+SUMIFS('Renew &amp; Vac '!$H$9:$H$23,'Renew &amp; Vac '!$A$9:$A$23,$B164,'Renew &amp; Vac '!$D$9:$D$23,"&lt;="&amp;J$161,'Renew &amp; Vac '!$E$9:$E$23,"&gt;="&amp;J$161)</f>
        <v>1772.8333333333333</v>
      </c>
      <c r="K164" s="6">
        <f>SUMIFS('Renew &amp; Vac '!$S$9:$S$23,'Renew &amp; Vac '!$L$9:$L$23,$B164,'Renew &amp; Vac '!$O$9:$O$23,"&lt;="&amp;K$161,'Renew &amp; Vac '!$P$9:$P$23,"&gt;="&amp;K$161)+SUMIFS('Renew &amp; Vac '!$H$9:$H$23,'Renew &amp; Vac '!$A$9:$A$23,$B164,'Renew &amp; Vac '!$D$9:$D$23,"&lt;="&amp;K$161,'Renew &amp; Vac '!$E$9:$E$23,"&gt;="&amp;K$161)</f>
        <v>1772.8333333333333</v>
      </c>
      <c r="L164" s="6">
        <f>SUMIFS('Renew &amp; Vac '!$S$9:$S$23,'Renew &amp; Vac '!$L$9:$L$23,$B164,'Renew &amp; Vac '!$O$9:$O$23,"&lt;="&amp;L$161,'Renew &amp; Vac '!$P$9:$P$23,"&gt;="&amp;L$161)+SUMIFS('Renew &amp; Vac '!$H$9:$H$23,'Renew &amp; Vac '!$A$9:$A$23,$B164,'Renew &amp; Vac '!$D$9:$D$23,"&lt;="&amp;L$161,'Renew &amp; Vac '!$E$9:$E$23,"&gt;="&amp;L$161)</f>
        <v>1772.8333333333333</v>
      </c>
      <c r="M164" s="6">
        <f>SUMIFS('Renew &amp; Vac '!$S$9:$S$23,'Renew &amp; Vac '!$L$9:$L$23,$B164,'Renew &amp; Vac '!$O$9:$O$23,"&lt;="&amp;M$161,'Renew &amp; Vac '!$P$9:$P$23,"&gt;="&amp;M$161)+SUMIFS('Renew &amp; Vac '!$H$9:$H$23,'Renew &amp; Vac '!$A$9:$A$23,$B164,'Renew &amp; Vac '!$D$9:$D$23,"&lt;="&amp;M$161,'Renew &amp; Vac '!$E$9:$E$23,"&gt;="&amp;M$161)</f>
        <v>1772.8333333333333</v>
      </c>
      <c r="N164" s="6">
        <f>SUMIFS('Renew &amp; Vac '!$S$9:$S$23,'Renew &amp; Vac '!$L$9:$L$23,$B164,'Renew &amp; Vac '!$O$9:$O$23,"&lt;="&amp;N$161,'Renew &amp; Vac '!$P$9:$P$23,"&gt;="&amp;N$161)+SUMIFS('Renew &amp; Vac '!$H$9:$H$23,'Renew &amp; Vac '!$A$9:$A$23,$B164,'Renew &amp; Vac '!$D$9:$D$23,"&lt;="&amp;N$161,'Renew &amp; Vac '!$E$9:$E$23,"&gt;="&amp;N$161)</f>
        <v>1772.8333333333333</v>
      </c>
      <c r="O164" s="6">
        <f>SUMIFS('Renew &amp; Vac '!$S$9:$S$23,'Renew &amp; Vac '!$L$9:$L$23,$B164,'Renew &amp; Vac '!$O$9:$O$23,"&lt;="&amp;O$161,'Renew &amp; Vac '!$P$9:$P$23,"&gt;="&amp;O$161)+SUMIFS('Renew &amp; Vac '!$H$9:$H$23,'Renew &amp; Vac '!$A$9:$A$23,$B164,'Renew &amp; Vac '!$D$9:$D$23,"&lt;="&amp;O$161,'Renew &amp; Vac '!$E$9:$E$23,"&gt;="&amp;O$161)</f>
        <v>1772.8333333333333</v>
      </c>
      <c r="P164" s="6">
        <f>SUMIFS('Renew &amp; Vac '!$S$9:$S$23,'Renew &amp; Vac '!$L$9:$L$23,$B164,'Renew &amp; Vac '!$O$9:$O$23,"&lt;="&amp;P$161,'Renew &amp; Vac '!$P$9:$P$23,"&gt;="&amp;P$161)+SUMIFS('Renew &amp; Vac '!$H$9:$H$23,'Renew &amp; Vac '!$A$9:$A$23,$B164,'Renew &amp; Vac '!$D$9:$D$23,"&lt;="&amp;P$161,'Renew &amp; Vac '!$E$9:$E$23,"&gt;="&amp;P$161)</f>
        <v>1772.8333333333333</v>
      </c>
      <c r="Q164" s="8">
        <f t="shared" si="42"/>
        <v>21274</v>
      </c>
      <c r="S164" s="6"/>
      <c r="T164" s="273"/>
      <c r="U164" s="23"/>
    </row>
    <row r="165" spans="1:21" outlineLevel="1" x14ac:dyDescent="0.35">
      <c r="B165" s="245" t="str">
        <f t="shared" si="41"/>
        <v>1100-36</v>
      </c>
      <c r="D165" s="6" t="str">
        <f>IFERROR(VLOOKUP(B165,'Renew &amp; Vac '!$L$9:$M$23,2,FALSE),IFERROR(VLOOKUP(B165,'Renew &amp; Vac '!$A$9:$B$23,2,FALSE),VLOOKUP(B165,$B$152:$D$156,3,FALSE)))</f>
        <v>Honest Real Estate</v>
      </c>
      <c r="E165" s="6">
        <f>SUMIFS('Renew &amp; Vac '!$S$9:$S$23,'Renew &amp; Vac '!$L$9:$L$23,$B165,'Renew &amp; Vac '!$O$9:$O$23,"&lt;="&amp;E$161,'Renew &amp; Vac '!$P$9:$P$23,"&gt;="&amp;E$161)+SUMIFS('Renew &amp; Vac '!$H$9:$H$23,'Renew &amp; Vac '!$A$9:$A$23,$B165,'Renew &amp; Vac '!$D$9:$D$23,"&lt;="&amp;E$161,'Renew &amp; Vac '!$E$9:$E$23,"&gt;="&amp;E$161)</f>
        <v>1283.3333333333333</v>
      </c>
      <c r="F165" s="6">
        <f>SUMIFS('Renew &amp; Vac '!$S$9:$S$23,'Renew &amp; Vac '!$L$9:$L$23,$B165,'Renew &amp; Vac '!$O$9:$O$23,"&lt;="&amp;F$161,'Renew &amp; Vac '!$P$9:$P$23,"&gt;="&amp;F$161)+SUMIFS('Renew &amp; Vac '!$H$9:$H$23,'Renew &amp; Vac '!$A$9:$A$23,$B165,'Renew &amp; Vac '!$D$9:$D$23,"&lt;="&amp;F$161,'Renew &amp; Vac '!$E$9:$E$23,"&gt;="&amp;F$161)</f>
        <v>1283.3333333333333</v>
      </c>
      <c r="G165" s="6">
        <f>SUMIFS('Renew &amp; Vac '!$S$9:$S$23,'Renew &amp; Vac '!$L$9:$L$23,$B165,'Renew &amp; Vac '!$O$9:$O$23,"&lt;="&amp;G$161,'Renew &amp; Vac '!$P$9:$P$23,"&gt;="&amp;G$161)+SUMIFS('Renew &amp; Vac '!$H$9:$H$23,'Renew &amp; Vac '!$A$9:$A$23,$B165,'Renew &amp; Vac '!$D$9:$D$23,"&lt;="&amp;G$161,'Renew &amp; Vac '!$E$9:$E$23,"&gt;="&amp;G$161)</f>
        <v>1283.3333333333333</v>
      </c>
      <c r="H165" s="6">
        <f>SUMIFS('Renew &amp; Vac '!$S$9:$S$23,'Renew &amp; Vac '!$L$9:$L$23,$B165,'Renew &amp; Vac '!$O$9:$O$23,"&lt;="&amp;H$161,'Renew &amp; Vac '!$P$9:$P$23,"&gt;="&amp;H$161)+SUMIFS('Renew &amp; Vac '!$H$9:$H$23,'Renew &amp; Vac '!$A$9:$A$23,$B165,'Renew &amp; Vac '!$D$9:$D$23,"&lt;="&amp;H$161,'Renew &amp; Vac '!$E$9:$E$23,"&gt;="&amp;H$161)</f>
        <v>1283.3333333333333</v>
      </c>
      <c r="I165" s="6">
        <f>SUMIFS('Renew &amp; Vac '!$S$9:$S$23,'Renew &amp; Vac '!$L$9:$L$23,$B165,'Renew &amp; Vac '!$O$9:$O$23,"&lt;="&amp;I$161,'Renew &amp; Vac '!$P$9:$P$23,"&gt;="&amp;I$161)+SUMIFS('Renew &amp; Vac '!$H$9:$H$23,'Renew &amp; Vac '!$A$9:$A$23,$B165,'Renew &amp; Vac '!$D$9:$D$23,"&lt;="&amp;I$161,'Renew &amp; Vac '!$E$9:$E$23,"&gt;="&amp;I$161)</f>
        <v>1283.3333333333333</v>
      </c>
      <c r="J165" s="6">
        <f>SUMIFS('Renew &amp; Vac '!$S$9:$S$23,'Renew &amp; Vac '!$L$9:$L$23,$B165,'Renew &amp; Vac '!$O$9:$O$23,"&lt;="&amp;J$161,'Renew &amp; Vac '!$P$9:$P$23,"&gt;="&amp;J$161)+SUMIFS('Renew &amp; Vac '!$H$9:$H$23,'Renew &amp; Vac '!$A$9:$A$23,$B165,'Renew &amp; Vac '!$D$9:$D$23,"&lt;="&amp;J$161,'Renew &amp; Vac '!$E$9:$E$23,"&gt;="&amp;J$161)</f>
        <v>1283.3333333333333</v>
      </c>
      <c r="K165" s="6">
        <f>SUMIFS('Renew &amp; Vac '!$S$9:$S$23,'Renew &amp; Vac '!$L$9:$L$23,$B165,'Renew &amp; Vac '!$O$9:$O$23,"&lt;="&amp;K$161,'Renew &amp; Vac '!$P$9:$P$23,"&gt;="&amp;K$161)+SUMIFS('Renew &amp; Vac '!$H$9:$H$23,'Renew &amp; Vac '!$A$9:$A$23,$B165,'Renew &amp; Vac '!$D$9:$D$23,"&lt;="&amp;K$161,'Renew &amp; Vac '!$E$9:$E$23,"&gt;="&amp;K$161)</f>
        <v>1283.3333333333333</v>
      </c>
      <c r="L165" s="6">
        <f>SUMIFS('Renew &amp; Vac '!$S$9:$S$23,'Renew &amp; Vac '!$L$9:$L$23,$B165,'Renew &amp; Vac '!$O$9:$O$23,"&lt;="&amp;L$161,'Renew &amp; Vac '!$P$9:$P$23,"&gt;="&amp;L$161)+SUMIFS('Renew &amp; Vac '!$H$9:$H$23,'Renew &amp; Vac '!$A$9:$A$23,$B165,'Renew &amp; Vac '!$D$9:$D$23,"&lt;="&amp;L$161,'Renew &amp; Vac '!$E$9:$E$23,"&gt;="&amp;L$161)</f>
        <v>1283.3333333333333</v>
      </c>
      <c r="M165" s="6">
        <f>SUMIFS('Renew &amp; Vac '!$S$9:$S$23,'Renew &amp; Vac '!$L$9:$L$23,$B165,'Renew &amp; Vac '!$O$9:$O$23,"&lt;="&amp;M$161,'Renew &amp; Vac '!$P$9:$P$23,"&gt;="&amp;M$161)+SUMIFS('Renew &amp; Vac '!$H$9:$H$23,'Renew &amp; Vac '!$A$9:$A$23,$B165,'Renew &amp; Vac '!$D$9:$D$23,"&lt;="&amp;M$161,'Renew &amp; Vac '!$E$9:$E$23,"&gt;="&amp;M$161)</f>
        <v>1283.3333333333333</v>
      </c>
      <c r="N165" s="6">
        <f>SUMIFS('Renew &amp; Vac '!$S$9:$S$23,'Renew &amp; Vac '!$L$9:$L$23,$B165,'Renew &amp; Vac '!$O$9:$O$23,"&lt;="&amp;N$161,'Renew &amp; Vac '!$P$9:$P$23,"&gt;="&amp;N$161)+SUMIFS('Renew &amp; Vac '!$H$9:$H$23,'Renew &amp; Vac '!$A$9:$A$23,$B165,'Renew &amp; Vac '!$D$9:$D$23,"&lt;="&amp;N$161,'Renew &amp; Vac '!$E$9:$E$23,"&gt;="&amp;N$161)</f>
        <v>1283.3333333333333</v>
      </c>
      <c r="O165" s="6">
        <f>SUMIFS('Renew &amp; Vac '!$S$9:$S$23,'Renew &amp; Vac '!$L$9:$L$23,$B165,'Renew &amp; Vac '!$O$9:$O$23,"&lt;="&amp;O$161,'Renew &amp; Vac '!$P$9:$P$23,"&gt;="&amp;O$161)+SUMIFS('Renew &amp; Vac '!$H$9:$H$23,'Renew &amp; Vac '!$A$9:$A$23,$B165,'Renew &amp; Vac '!$D$9:$D$23,"&lt;="&amp;O$161,'Renew &amp; Vac '!$E$9:$E$23,"&gt;="&amp;O$161)</f>
        <v>1283.3333333333333</v>
      </c>
      <c r="P165" s="6">
        <f>SUMIFS('Renew &amp; Vac '!$S$9:$S$23,'Renew &amp; Vac '!$L$9:$L$23,$B165,'Renew &amp; Vac '!$O$9:$O$23,"&lt;="&amp;P$161,'Renew &amp; Vac '!$P$9:$P$23,"&gt;="&amp;P$161)+SUMIFS('Renew &amp; Vac '!$H$9:$H$23,'Renew &amp; Vac '!$A$9:$A$23,$B165,'Renew &amp; Vac '!$D$9:$D$23,"&lt;="&amp;P$161,'Renew &amp; Vac '!$E$9:$E$23,"&gt;="&amp;P$161)</f>
        <v>1283.3333333333333</v>
      </c>
      <c r="Q165" s="8">
        <f t="shared" si="42"/>
        <v>15400.000000000002</v>
      </c>
      <c r="S165" s="6"/>
      <c r="T165" s="273"/>
      <c r="U165" s="23"/>
    </row>
    <row r="166" spans="1:21" outlineLevel="1" x14ac:dyDescent="0.35">
      <c r="B166" s="337" t="str">
        <f t="shared" si="41"/>
        <v>1100-12330</v>
      </c>
      <c r="C166" s="15"/>
      <c r="D166" s="15" t="str">
        <f>IFERROR(VLOOKUP(B166,'Renew &amp; Vac '!$L$9:$M$23,2,FALSE),IFERROR(VLOOKUP(B166,'Renew &amp; Vac '!$A$9:$B$23,2,FALSE),VLOOKUP(B166,$B$152:$D$156,3,FALSE)))</f>
        <v>None</v>
      </c>
      <c r="E166" s="15">
        <f>SUMIFS('Renew &amp; Vac '!$S$9:$S$23,'Renew &amp; Vac '!$L$9:$L$23,$B166,'Renew &amp; Vac '!$O$9:$O$23,"&lt;="&amp;E$161,'Renew &amp; Vac '!$P$9:$P$23,"&gt;="&amp;E$161)+SUMIFS('Renew &amp; Vac '!$H$9:$H$23,'Renew &amp; Vac '!$A$9:$A$23,$B166,'Renew &amp; Vac '!$D$9:$D$23,"&lt;="&amp;E$161,'Renew &amp; Vac '!$E$9:$E$23,"&gt;="&amp;E$161)</f>
        <v>0</v>
      </c>
      <c r="F166" s="15">
        <f>SUMIFS('Renew &amp; Vac '!$S$9:$S$23,'Renew &amp; Vac '!$L$9:$L$23,$B166,'Renew &amp; Vac '!$O$9:$O$23,"&lt;="&amp;F$161,'Renew &amp; Vac '!$P$9:$P$23,"&gt;="&amp;F$161)+SUMIFS('Renew &amp; Vac '!$H$9:$H$23,'Renew &amp; Vac '!$A$9:$A$23,$B166,'Renew &amp; Vac '!$D$9:$D$23,"&lt;="&amp;F$161,'Renew &amp; Vac '!$E$9:$E$23,"&gt;="&amp;F$161)</f>
        <v>0</v>
      </c>
      <c r="G166" s="15">
        <f>SUMIFS('Renew &amp; Vac '!$S$9:$S$23,'Renew &amp; Vac '!$L$9:$L$23,$B166,'Renew &amp; Vac '!$O$9:$O$23,"&lt;="&amp;G$161,'Renew &amp; Vac '!$P$9:$P$23,"&gt;="&amp;G$161)+SUMIFS('Renew &amp; Vac '!$H$9:$H$23,'Renew &amp; Vac '!$A$9:$A$23,$B166,'Renew &amp; Vac '!$D$9:$D$23,"&lt;="&amp;G$161,'Renew &amp; Vac '!$E$9:$E$23,"&gt;="&amp;G$161)</f>
        <v>0</v>
      </c>
      <c r="H166" s="15">
        <f>SUMIFS('Renew &amp; Vac '!$S$9:$S$23,'Renew &amp; Vac '!$L$9:$L$23,$B166,'Renew &amp; Vac '!$O$9:$O$23,"&lt;="&amp;H$161,'Renew &amp; Vac '!$P$9:$P$23,"&gt;="&amp;H$161)+SUMIFS('Renew &amp; Vac '!$H$9:$H$23,'Renew &amp; Vac '!$A$9:$A$23,$B166,'Renew &amp; Vac '!$D$9:$D$23,"&lt;="&amp;H$161,'Renew &amp; Vac '!$E$9:$E$23,"&gt;="&amp;H$161)</f>
        <v>0</v>
      </c>
      <c r="I166" s="15">
        <f>SUMIFS('Renew &amp; Vac '!$S$9:$S$23,'Renew &amp; Vac '!$L$9:$L$23,$B166,'Renew &amp; Vac '!$O$9:$O$23,"&lt;="&amp;I$161,'Renew &amp; Vac '!$P$9:$P$23,"&gt;="&amp;I$161)+SUMIFS('Renew &amp; Vac '!$H$9:$H$23,'Renew &amp; Vac '!$A$9:$A$23,$B166,'Renew &amp; Vac '!$D$9:$D$23,"&lt;="&amp;I$161,'Renew &amp; Vac '!$E$9:$E$23,"&gt;="&amp;I$161)</f>
        <v>0</v>
      </c>
      <c r="J166" s="15">
        <f>SUMIFS('Renew &amp; Vac '!$S$9:$S$23,'Renew &amp; Vac '!$L$9:$L$23,$B166,'Renew &amp; Vac '!$O$9:$O$23,"&lt;="&amp;J$161,'Renew &amp; Vac '!$P$9:$P$23,"&gt;="&amp;J$161)+SUMIFS('Renew &amp; Vac '!$H$9:$H$23,'Renew &amp; Vac '!$A$9:$A$23,$B166,'Renew &amp; Vac '!$D$9:$D$23,"&lt;="&amp;J$161,'Renew &amp; Vac '!$E$9:$E$23,"&gt;="&amp;J$161)</f>
        <v>0</v>
      </c>
      <c r="K166" s="15">
        <f>SUMIFS('Renew &amp; Vac '!$S$9:$S$23,'Renew &amp; Vac '!$L$9:$L$23,$B166,'Renew &amp; Vac '!$O$9:$O$23,"&lt;="&amp;K$161,'Renew &amp; Vac '!$P$9:$P$23,"&gt;="&amp;K$161)+SUMIFS('Renew &amp; Vac '!$H$9:$H$23,'Renew &amp; Vac '!$A$9:$A$23,$B166,'Renew &amp; Vac '!$D$9:$D$23,"&lt;="&amp;K$161,'Renew &amp; Vac '!$E$9:$E$23,"&gt;="&amp;K$161)</f>
        <v>0</v>
      </c>
      <c r="L166" s="15">
        <f>SUMIFS('Renew &amp; Vac '!$S$9:$S$23,'Renew &amp; Vac '!$L$9:$L$23,$B166,'Renew &amp; Vac '!$O$9:$O$23,"&lt;="&amp;L$161,'Renew &amp; Vac '!$P$9:$P$23,"&gt;="&amp;L$161)+SUMIFS('Renew &amp; Vac '!$H$9:$H$23,'Renew &amp; Vac '!$A$9:$A$23,$B166,'Renew &amp; Vac '!$D$9:$D$23,"&lt;="&amp;L$161,'Renew &amp; Vac '!$E$9:$E$23,"&gt;="&amp;L$161)</f>
        <v>0</v>
      </c>
      <c r="M166" s="15">
        <f>SUMIFS('Renew &amp; Vac '!$S$9:$S$23,'Renew &amp; Vac '!$L$9:$L$23,$B166,'Renew &amp; Vac '!$O$9:$O$23,"&lt;="&amp;M$161,'Renew &amp; Vac '!$P$9:$P$23,"&gt;="&amp;M$161)+SUMIFS('Renew &amp; Vac '!$H$9:$H$23,'Renew &amp; Vac '!$A$9:$A$23,$B166,'Renew &amp; Vac '!$D$9:$D$23,"&lt;="&amp;M$161,'Renew &amp; Vac '!$E$9:$E$23,"&gt;="&amp;M$161)</f>
        <v>0</v>
      </c>
      <c r="N166" s="15">
        <f>SUMIFS('Renew &amp; Vac '!$S$9:$S$23,'Renew &amp; Vac '!$L$9:$L$23,$B166,'Renew &amp; Vac '!$O$9:$O$23,"&lt;="&amp;N$161,'Renew &amp; Vac '!$P$9:$P$23,"&gt;="&amp;N$161)+SUMIFS('Renew &amp; Vac '!$H$9:$H$23,'Renew &amp; Vac '!$A$9:$A$23,$B166,'Renew &amp; Vac '!$D$9:$D$23,"&lt;="&amp;N$161,'Renew &amp; Vac '!$E$9:$E$23,"&gt;="&amp;N$161)</f>
        <v>0</v>
      </c>
      <c r="O166" s="15">
        <f>SUMIFS('Renew &amp; Vac '!$S$9:$S$23,'Renew &amp; Vac '!$L$9:$L$23,$B166,'Renew &amp; Vac '!$O$9:$O$23,"&lt;="&amp;O$161,'Renew &amp; Vac '!$P$9:$P$23,"&gt;="&amp;O$161)+SUMIFS('Renew &amp; Vac '!$H$9:$H$23,'Renew &amp; Vac '!$A$9:$A$23,$B166,'Renew &amp; Vac '!$D$9:$D$23,"&lt;="&amp;O$161,'Renew &amp; Vac '!$E$9:$E$23,"&gt;="&amp;O$161)</f>
        <v>0</v>
      </c>
      <c r="P166" s="15">
        <f>SUMIFS('Renew &amp; Vac '!$S$9:$S$23,'Renew &amp; Vac '!$L$9:$L$23,$B166,'Renew &amp; Vac '!$O$9:$O$23,"&lt;="&amp;P$161,'Renew &amp; Vac '!$P$9:$P$23,"&gt;="&amp;P$161)+SUMIFS('Renew &amp; Vac '!$H$9:$H$23,'Renew &amp; Vac '!$A$9:$A$23,$B166,'Renew &amp; Vac '!$D$9:$D$23,"&lt;="&amp;P$161,'Renew &amp; Vac '!$E$9:$E$23,"&gt;="&amp;P$161)</f>
        <v>0</v>
      </c>
      <c r="Q166" s="49">
        <f t="shared" si="42"/>
        <v>0</v>
      </c>
      <c r="S166" s="6"/>
      <c r="T166" s="273"/>
      <c r="U166" s="23"/>
    </row>
    <row r="167" spans="1:21" outlineLevel="1" x14ac:dyDescent="0.35">
      <c r="B167" s="3"/>
      <c r="D167" s="16"/>
      <c r="E167" s="8">
        <f t="shared" ref="E167:Q167" si="43">SUM(E162:E166)</f>
        <v>3056.1666666666665</v>
      </c>
      <c r="F167" s="8">
        <f t="shared" si="43"/>
        <v>3056.1666666666665</v>
      </c>
      <c r="G167" s="8">
        <f t="shared" si="43"/>
        <v>3056.1666666666665</v>
      </c>
      <c r="H167" s="8">
        <f t="shared" si="43"/>
        <v>3056.1666666666665</v>
      </c>
      <c r="I167" s="8">
        <f t="shared" si="43"/>
        <v>3056.1666666666665</v>
      </c>
      <c r="J167" s="8">
        <f t="shared" si="43"/>
        <v>4306.1666666666661</v>
      </c>
      <c r="K167" s="8">
        <f t="shared" si="43"/>
        <v>4306.1666666666661</v>
      </c>
      <c r="L167" s="8">
        <f t="shared" si="43"/>
        <v>4306.1666666666661</v>
      </c>
      <c r="M167" s="8">
        <f t="shared" si="43"/>
        <v>4306.1666666666661</v>
      </c>
      <c r="N167" s="8">
        <f t="shared" si="43"/>
        <v>4306.1666666666661</v>
      </c>
      <c r="O167" s="8">
        <f t="shared" si="43"/>
        <v>4306.1666666666661</v>
      </c>
      <c r="P167" s="8">
        <f t="shared" si="43"/>
        <v>4306.1666666666661</v>
      </c>
      <c r="Q167" s="8">
        <f t="shared" si="43"/>
        <v>45424</v>
      </c>
      <c r="S167" s="6"/>
      <c r="T167" s="273"/>
      <c r="U167" s="23"/>
    </row>
    <row r="168" spans="1:21" outlineLevel="1" x14ac:dyDescent="0.35">
      <c r="B168" s="3"/>
      <c r="E168" s="55">
        <f t="shared" ref="E168:Q168" si="44">E11-E167</f>
        <v>0</v>
      </c>
      <c r="F168" s="55">
        <f t="shared" si="44"/>
        <v>0</v>
      </c>
      <c r="G168" s="55">
        <f t="shared" si="44"/>
        <v>0</v>
      </c>
      <c r="H168" s="55">
        <f t="shared" si="44"/>
        <v>0</v>
      </c>
      <c r="I168" s="55">
        <f t="shared" si="44"/>
        <v>0</v>
      </c>
      <c r="J168" s="55">
        <f t="shared" si="44"/>
        <v>0</v>
      </c>
      <c r="K168" s="55">
        <f t="shared" si="44"/>
        <v>0</v>
      </c>
      <c r="L168" s="55">
        <f t="shared" si="44"/>
        <v>0</v>
      </c>
      <c r="M168" s="55">
        <f t="shared" si="44"/>
        <v>0</v>
      </c>
      <c r="N168" s="55">
        <f t="shared" si="44"/>
        <v>0</v>
      </c>
      <c r="O168" s="55">
        <f t="shared" si="44"/>
        <v>0</v>
      </c>
      <c r="P168" s="55">
        <f t="shared" si="44"/>
        <v>0</v>
      </c>
      <c r="Q168" s="55">
        <f t="shared" si="44"/>
        <v>0</v>
      </c>
      <c r="S168" s="6"/>
      <c r="T168" s="273"/>
      <c r="U168" s="23"/>
    </row>
    <row r="170" spans="1:21" ht="17.5" x14ac:dyDescent="0.35">
      <c r="A170" s="47"/>
      <c r="B170" s="9" t="str">
        <f>"Budget Import - "&amp;B1</f>
        <v>Budget Import - 1100</v>
      </c>
      <c r="E170" s="389">
        <v>5</v>
      </c>
      <c r="F170" s="390">
        <f>E170+1</f>
        <v>6</v>
      </c>
      <c r="G170" s="390">
        <f t="shared" ref="G170:P170" si="45">F170+1</f>
        <v>7</v>
      </c>
      <c r="H170" s="390">
        <f t="shared" si="45"/>
        <v>8</v>
      </c>
      <c r="I170" s="390">
        <f t="shared" si="45"/>
        <v>9</v>
      </c>
      <c r="J170" s="390">
        <f t="shared" si="45"/>
        <v>10</v>
      </c>
      <c r="K170" s="390">
        <f t="shared" si="45"/>
        <v>11</v>
      </c>
      <c r="L170" s="390">
        <f t="shared" si="45"/>
        <v>12</v>
      </c>
      <c r="M170" s="390">
        <f t="shared" si="45"/>
        <v>13</v>
      </c>
      <c r="N170" s="390">
        <f t="shared" si="45"/>
        <v>14</v>
      </c>
      <c r="O170" s="390">
        <f t="shared" si="45"/>
        <v>15</v>
      </c>
      <c r="P170" s="390">
        <f t="shared" si="45"/>
        <v>16</v>
      </c>
      <c r="Q170" s="390" t="s">
        <v>566</v>
      </c>
    </row>
    <row r="171" spans="1:21" ht="16.5" outlineLevel="1" thickBot="1" x14ac:dyDescent="0.4">
      <c r="A171" s="47"/>
      <c r="D171" s="6" t="s">
        <v>96</v>
      </c>
      <c r="E171" s="6">
        <v>1</v>
      </c>
      <c r="F171" s="6">
        <v>2</v>
      </c>
      <c r="G171" s="6">
        <v>3</v>
      </c>
      <c r="H171" s="6">
        <v>4</v>
      </c>
      <c r="I171" s="6">
        <v>5</v>
      </c>
      <c r="J171" s="6">
        <v>6</v>
      </c>
      <c r="K171" s="6">
        <v>7</v>
      </c>
      <c r="L171" s="6">
        <v>8</v>
      </c>
      <c r="M171" s="6">
        <v>9</v>
      </c>
      <c r="N171" s="6">
        <v>10</v>
      </c>
      <c r="O171" s="6">
        <v>11</v>
      </c>
      <c r="P171" s="6">
        <v>12</v>
      </c>
      <c r="Q171" s="13" t="s">
        <v>12</v>
      </c>
    </row>
    <row r="172" spans="1:21" outlineLevel="1" x14ac:dyDescent="0.35">
      <c r="A172" s="294" t="str">
        <f t="shared" ref="A172:A191" si="46">VLOOKUP($D172,$A$10:$D$130,3,FALSE)</f>
        <v>Rental Income - In Place</v>
      </c>
      <c r="D172" s="57" t="s">
        <v>132</v>
      </c>
      <c r="E172" s="58">
        <f>-(VLOOKUP($D172,$A$10:$P$134,E$170,FALSE)+E11)</f>
        <v>-3056.1666666666665</v>
      </c>
      <c r="F172" s="58">
        <f t="shared" ref="F172:P172" si="47">-(VLOOKUP($D172,$A$10:$P$134,F$170,FALSE)+F11)</f>
        <v>-3056.1666666666665</v>
      </c>
      <c r="G172" s="58">
        <f t="shared" si="47"/>
        <v>-3056.1666666666665</v>
      </c>
      <c r="H172" s="58">
        <f t="shared" si="47"/>
        <v>-3056.1666666666665</v>
      </c>
      <c r="I172" s="58">
        <f t="shared" si="47"/>
        <v>-3056.1666666666665</v>
      </c>
      <c r="J172" s="58">
        <f t="shared" si="47"/>
        <v>-4306.166666666667</v>
      </c>
      <c r="K172" s="58">
        <f t="shared" si="47"/>
        <v>-4306.166666666667</v>
      </c>
      <c r="L172" s="58">
        <f t="shared" si="47"/>
        <v>-4306.166666666667</v>
      </c>
      <c r="M172" s="58">
        <f t="shared" si="47"/>
        <v>-4306.166666666667</v>
      </c>
      <c r="N172" s="58">
        <f t="shared" si="47"/>
        <v>-4306.166666666667</v>
      </c>
      <c r="O172" s="58">
        <f t="shared" si="47"/>
        <v>-4306.166666666667</v>
      </c>
      <c r="P172" s="59">
        <f t="shared" si="47"/>
        <v>-4306.166666666667</v>
      </c>
      <c r="Q172" s="13">
        <f>SUM(E172:P172)</f>
        <v>-45424</v>
      </c>
      <c r="R172" s="13"/>
    </row>
    <row r="173" spans="1:21" outlineLevel="1" x14ac:dyDescent="0.35">
      <c r="A173" s="294" t="str">
        <f>VLOOKUP($D173,$A$10:$D$130,3,FALSE)</f>
        <v>Interest Income</v>
      </c>
      <c r="D173" s="60" t="s">
        <v>134</v>
      </c>
      <c r="E173" s="61">
        <f t="shared" ref="E173:P175" si="48">-VLOOKUP($D173,$A$10:$P$134,E$170,FALSE)</f>
        <v>-3.09</v>
      </c>
      <c r="F173" s="61">
        <f t="shared" si="48"/>
        <v>-3.09</v>
      </c>
      <c r="G173" s="61">
        <f t="shared" si="48"/>
        <v>-3.09</v>
      </c>
      <c r="H173" s="61">
        <f t="shared" si="48"/>
        <v>-3.09</v>
      </c>
      <c r="I173" s="61">
        <f t="shared" si="48"/>
        <v>-3.09</v>
      </c>
      <c r="J173" s="61">
        <f t="shared" si="48"/>
        <v>-3.09</v>
      </c>
      <c r="K173" s="61">
        <f t="shared" si="48"/>
        <v>-3.09</v>
      </c>
      <c r="L173" s="61">
        <f t="shared" si="48"/>
        <v>-3.09</v>
      </c>
      <c r="M173" s="61">
        <f t="shared" si="48"/>
        <v>-3.09</v>
      </c>
      <c r="N173" s="61">
        <f t="shared" si="48"/>
        <v>-3.09</v>
      </c>
      <c r="O173" s="61">
        <f t="shared" si="48"/>
        <v>-3.09</v>
      </c>
      <c r="P173" s="62">
        <f t="shared" si="48"/>
        <v>-3.09</v>
      </c>
      <c r="Q173" s="13">
        <f>SUM(E173:P173)</f>
        <v>-37.08</v>
      </c>
      <c r="R173" s="13"/>
    </row>
    <row r="174" spans="1:21" outlineLevel="1" x14ac:dyDescent="0.35">
      <c r="A174" s="294" t="str">
        <f t="shared" si="46"/>
        <v>Electric</v>
      </c>
      <c r="D174" s="60" t="s">
        <v>98</v>
      </c>
      <c r="E174" s="61">
        <f t="shared" si="48"/>
        <v>0</v>
      </c>
      <c r="F174" s="61">
        <f t="shared" si="48"/>
        <v>0</v>
      </c>
      <c r="G174" s="61">
        <f t="shared" si="48"/>
        <v>0</v>
      </c>
      <c r="H174" s="61">
        <f t="shared" si="48"/>
        <v>0</v>
      </c>
      <c r="I174" s="61">
        <f t="shared" si="48"/>
        <v>0</v>
      </c>
      <c r="J174" s="61">
        <f t="shared" si="48"/>
        <v>0</v>
      </c>
      <c r="K174" s="61">
        <f t="shared" si="48"/>
        <v>0</v>
      </c>
      <c r="L174" s="61">
        <f t="shared" si="48"/>
        <v>0</v>
      </c>
      <c r="M174" s="61">
        <f t="shared" si="48"/>
        <v>0</v>
      </c>
      <c r="N174" s="61">
        <f t="shared" si="48"/>
        <v>0</v>
      </c>
      <c r="O174" s="61">
        <f t="shared" si="48"/>
        <v>0</v>
      </c>
      <c r="P174" s="62">
        <f t="shared" si="48"/>
        <v>0</v>
      </c>
      <c r="Q174" s="13">
        <f t="shared" ref="Q174:Q207" si="49">SUM(E174:P174)</f>
        <v>0</v>
      </c>
      <c r="R174" s="13"/>
    </row>
    <row r="175" spans="1:21" outlineLevel="1" x14ac:dyDescent="0.35">
      <c r="A175" s="294" t="str">
        <f t="shared" si="46"/>
        <v>Common Area Maintenance</v>
      </c>
      <c r="D175" s="60" t="s">
        <v>99</v>
      </c>
      <c r="E175" s="61">
        <f t="shared" si="48"/>
        <v>-2600</v>
      </c>
      <c r="F175" s="61">
        <f t="shared" si="48"/>
        <v>-2600</v>
      </c>
      <c r="G175" s="61">
        <f t="shared" si="48"/>
        <v>-2600</v>
      </c>
      <c r="H175" s="61">
        <f t="shared" si="48"/>
        <v>-2600</v>
      </c>
      <c r="I175" s="61">
        <f t="shared" si="48"/>
        <v>-2600</v>
      </c>
      <c r="J175" s="61">
        <f t="shared" si="48"/>
        <v>-2600</v>
      </c>
      <c r="K175" s="61">
        <f t="shared" si="48"/>
        <v>-2600</v>
      </c>
      <c r="L175" s="61">
        <f t="shared" si="48"/>
        <v>-2600</v>
      </c>
      <c r="M175" s="61">
        <f t="shared" si="48"/>
        <v>-2600</v>
      </c>
      <c r="N175" s="61">
        <f t="shared" si="48"/>
        <v>-2600</v>
      </c>
      <c r="O175" s="61">
        <f t="shared" si="48"/>
        <v>-2600</v>
      </c>
      <c r="P175" s="62">
        <f t="shared" si="48"/>
        <v>-2600</v>
      </c>
      <c r="Q175" s="13">
        <f t="shared" si="49"/>
        <v>-31200</v>
      </c>
      <c r="R175" s="13"/>
    </row>
    <row r="176" spans="1:21" outlineLevel="1" x14ac:dyDescent="0.35">
      <c r="A176" s="294" t="str">
        <f t="shared" si="46"/>
        <v>Real Estate Taxes</v>
      </c>
      <c r="D176" s="60" t="s">
        <v>100</v>
      </c>
      <c r="E176" s="61">
        <f>-VLOOKUP($D176,$A$10:$P$134,E$170,FALSE)</f>
        <v>-600</v>
      </c>
      <c r="F176" s="61">
        <f t="shared" ref="F176:P177" si="50">-VLOOKUP($D176,$A$10:$P$134,F$170,FALSE)</f>
        <v>-600</v>
      </c>
      <c r="G176" s="61">
        <f t="shared" si="50"/>
        <v>-600</v>
      </c>
      <c r="H176" s="61">
        <f t="shared" si="50"/>
        <v>-600</v>
      </c>
      <c r="I176" s="61">
        <f t="shared" si="50"/>
        <v>-600</v>
      </c>
      <c r="J176" s="61">
        <f t="shared" si="50"/>
        <v>-600</v>
      </c>
      <c r="K176" s="61">
        <f t="shared" si="50"/>
        <v>-600</v>
      </c>
      <c r="L176" s="61">
        <f t="shared" si="50"/>
        <v>-600</v>
      </c>
      <c r="M176" s="61">
        <f t="shared" si="50"/>
        <v>-600</v>
      </c>
      <c r="N176" s="61">
        <f t="shared" si="50"/>
        <v>-600</v>
      </c>
      <c r="O176" s="61">
        <f t="shared" si="50"/>
        <v>-600</v>
      </c>
      <c r="P176" s="62">
        <f t="shared" si="50"/>
        <v>-600</v>
      </c>
      <c r="Q176" s="13">
        <f t="shared" si="49"/>
        <v>-7200</v>
      </c>
      <c r="R176" s="13"/>
    </row>
    <row r="177" spans="1:18" outlineLevel="1" x14ac:dyDescent="0.35">
      <c r="A177" s="294" t="str">
        <f t="shared" si="46"/>
        <v>Insurance</v>
      </c>
      <c r="D177" s="60" t="s">
        <v>135</v>
      </c>
      <c r="E177" s="61">
        <f>-VLOOKUP($D177,$A$10:$P$134,E$170,FALSE)</f>
        <v>0</v>
      </c>
      <c r="F177" s="61">
        <f t="shared" si="50"/>
        <v>0</v>
      </c>
      <c r="G177" s="61">
        <f t="shared" si="50"/>
        <v>0</v>
      </c>
      <c r="H177" s="61">
        <f t="shared" si="50"/>
        <v>0</v>
      </c>
      <c r="I177" s="61">
        <f t="shared" si="50"/>
        <v>0</v>
      </c>
      <c r="J177" s="61">
        <f t="shared" si="50"/>
        <v>0</v>
      </c>
      <c r="K177" s="61">
        <f t="shared" si="50"/>
        <v>0</v>
      </c>
      <c r="L177" s="61">
        <f t="shared" si="50"/>
        <v>0</v>
      </c>
      <c r="M177" s="61">
        <f t="shared" si="50"/>
        <v>0</v>
      </c>
      <c r="N177" s="61">
        <f t="shared" si="50"/>
        <v>0</v>
      </c>
      <c r="O177" s="61">
        <f t="shared" si="50"/>
        <v>0</v>
      </c>
      <c r="P177" s="62">
        <f t="shared" si="50"/>
        <v>0</v>
      </c>
      <c r="Q177" s="13">
        <f>SUM(E177:P177)</f>
        <v>0</v>
      </c>
      <c r="R177" s="13"/>
    </row>
    <row r="178" spans="1:18" outlineLevel="1" x14ac:dyDescent="0.35">
      <c r="A178" s="294" t="str">
        <f t="shared" si="46"/>
        <v>Maintenance Salaries</v>
      </c>
      <c r="D178" s="60" t="s">
        <v>101</v>
      </c>
      <c r="E178" s="61">
        <f>VLOOKUP($D178,$A$10:$P$134,E$170,FALSE)</f>
        <v>255.18264950958095</v>
      </c>
      <c r="F178" s="61">
        <f t="shared" ref="F178:P193" si="51">VLOOKUP($D178,$A$10:$P$134,F$170,FALSE)</f>
        <v>255.18264950958095</v>
      </c>
      <c r="G178" s="61">
        <f t="shared" si="51"/>
        <v>255.18264950958095</v>
      </c>
      <c r="H178" s="61">
        <f t="shared" si="51"/>
        <v>255.18264950958095</v>
      </c>
      <c r="I178" s="61">
        <f t="shared" si="51"/>
        <v>255.18264950958095</v>
      </c>
      <c r="J178" s="61">
        <f t="shared" si="51"/>
        <v>255.18264950958095</v>
      </c>
      <c r="K178" s="61">
        <f t="shared" si="51"/>
        <v>255.18264950958095</v>
      </c>
      <c r="L178" s="61">
        <f t="shared" si="51"/>
        <v>255.18264950958095</v>
      </c>
      <c r="M178" s="61">
        <f t="shared" si="51"/>
        <v>255.18264950958095</v>
      </c>
      <c r="N178" s="61">
        <f t="shared" si="51"/>
        <v>255.18264950958095</v>
      </c>
      <c r="O178" s="61">
        <f t="shared" si="51"/>
        <v>255.18264950958095</v>
      </c>
      <c r="P178" s="62">
        <f t="shared" si="51"/>
        <v>255.18264950958095</v>
      </c>
      <c r="Q178" s="13">
        <f t="shared" si="49"/>
        <v>3062.1917941149718</v>
      </c>
      <c r="R178" s="13"/>
    </row>
    <row r="179" spans="1:18" outlineLevel="1" x14ac:dyDescent="0.35">
      <c r="A179" s="294" t="str">
        <f t="shared" si="46"/>
        <v>Electric</v>
      </c>
      <c r="D179" s="60" t="s">
        <v>102</v>
      </c>
      <c r="E179" s="61">
        <f t="shared" ref="E179:P207" si="52">VLOOKUP($D179,$A$10:$P$134,E$170,FALSE)</f>
        <v>660.23</v>
      </c>
      <c r="F179" s="61">
        <f t="shared" si="51"/>
        <v>640.66</v>
      </c>
      <c r="G179" s="61">
        <f t="shared" si="51"/>
        <v>733.36</v>
      </c>
      <c r="H179" s="61">
        <f t="shared" si="51"/>
        <v>670.53</v>
      </c>
      <c r="I179" s="61">
        <f t="shared" si="51"/>
        <v>634.48</v>
      </c>
      <c r="J179" s="61">
        <f t="shared" si="51"/>
        <v>542.81000000000006</v>
      </c>
      <c r="K179" s="61">
        <f t="shared" si="51"/>
        <v>197.76</v>
      </c>
      <c r="L179" s="61">
        <f t="shared" si="51"/>
        <v>176.13</v>
      </c>
      <c r="M179" s="61">
        <f t="shared" si="51"/>
        <v>181.28</v>
      </c>
      <c r="N179" s="61">
        <f t="shared" si="51"/>
        <v>175.1</v>
      </c>
      <c r="O179" s="61">
        <f t="shared" si="51"/>
        <v>598.43000000000006</v>
      </c>
      <c r="P179" s="62">
        <f t="shared" si="51"/>
        <v>797.22</v>
      </c>
      <c r="Q179" s="13">
        <f t="shared" si="49"/>
        <v>6007.9900000000007</v>
      </c>
      <c r="R179" s="13"/>
    </row>
    <row r="180" spans="1:18" outlineLevel="1" x14ac:dyDescent="0.35">
      <c r="A180" s="294" t="str">
        <f t="shared" si="46"/>
        <v>Water &amp; Sewer</v>
      </c>
      <c r="D180" s="60" t="s">
        <v>103</v>
      </c>
      <c r="E180" s="61">
        <f t="shared" si="52"/>
        <v>0</v>
      </c>
      <c r="F180" s="61">
        <f t="shared" si="51"/>
        <v>0</v>
      </c>
      <c r="G180" s="61">
        <f t="shared" si="51"/>
        <v>0</v>
      </c>
      <c r="H180" s="61">
        <f t="shared" si="51"/>
        <v>0</v>
      </c>
      <c r="I180" s="61">
        <f t="shared" si="51"/>
        <v>0</v>
      </c>
      <c r="J180" s="61">
        <f t="shared" si="51"/>
        <v>0</v>
      </c>
      <c r="K180" s="61">
        <f t="shared" si="51"/>
        <v>0</v>
      </c>
      <c r="L180" s="61">
        <f t="shared" si="51"/>
        <v>0</v>
      </c>
      <c r="M180" s="61">
        <f t="shared" si="51"/>
        <v>0</v>
      </c>
      <c r="N180" s="61">
        <f t="shared" si="51"/>
        <v>0</v>
      </c>
      <c r="O180" s="61">
        <f t="shared" si="51"/>
        <v>0</v>
      </c>
      <c r="P180" s="62">
        <f t="shared" si="51"/>
        <v>0</v>
      </c>
      <c r="Q180" s="13">
        <f t="shared" si="49"/>
        <v>0</v>
      </c>
      <c r="R180" s="13"/>
    </row>
    <row r="181" spans="1:18" outlineLevel="1" x14ac:dyDescent="0.35">
      <c r="A181" s="294" t="str">
        <f t="shared" si="46"/>
        <v>Building Maintenance</v>
      </c>
      <c r="D181" s="60" t="s">
        <v>104</v>
      </c>
      <c r="E181" s="61">
        <f t="shared" si="52"/>
        <v>200</v>
      </c>
      <c r="F181" s="61">
        <f t="shared" si="51"/>
        <v>700</v>
      </c>
      <c r="G181" s="61">
        <f t="shared" si="51"/>
        <v>200</v>
      </c>
      <c r="H181" s="61">
        <f t="shared" si="51"/>
        <v>500</v>
      </c>
      <c r="I181" s="61">
        <f t="shared" si="51"/>
        <v>1100</v>
      </c>
      <c r="J181" s="61">
        <f t="shared" si="51"/>
        <v>200</v>
      </c>
      <c r="K181" s="61">
        <f t="shared" si="51"/>
        <v>200</v>
      </c>
      <c r="L181" s="61">
        <f t="shared" si="51"/>
        <v>700</v>
      </c>
      <c r="M181" s="61">
        <f t="shared" si="51"/>
        <v>500</v>
      </c>
      <c r="N181" s="61">
        <f t="shared" si="51"/>
        <v>650</v>
      </c>
      <c r="O181" s="61">
        <f t="shared" si="51"/>
        <v>1100</v>
      </c>
      <c r="P181" s="62">
        <f t="shared" si="51"/>
        <v>200</v>
      </c>
      <c r="Q181" s="13">
        <f t="shared" si="49"/>
        <v>6250</v>
      </c>
      <c r="R181" s="13"/>
    </row>
    <row r="182" spans="1:18" outlineLevel="1" x14ac:dyDescent="0.35">
      <c r="A182" s="294" t="str">
        <f t="shared" si="46"/>
        <v>Parking Lot Cleaning</v>
      </c>
      <c r="D182" s="60" t="s">
        <v>136</v>
      </c>
      <c r="E182" s="61">
        <f t="shared" si="52"/>
        <v>300</v>
      </c>
      <c r="F182" s="61">
        <f t="shared" si="51"/>
        <v>300</v>
      </c>
      <c r="G182" s="61">
        <f t="shared" si="51"/>
        <v>300</v>
      </c>
      <c r="H182" s="61">
        <f t="shared" si="51"/>
        <v>300</v>
      </c>
      <c r="I182" s="61">
        <f t="shared" si="51"/>
        <v>300</v>
      </c>
      <c r="J182" s="61">
        <f t="shared" si="51"/>
        <v>300</v>
      </c>
      <c r="K182" s="61">
        <f t="shared" si="51"/>
        <v>300</v>
      </c>
      <c r="L182" s="61">
        <f t="shared" si="51"/>
        <v>300</v>
      </c>
      <c r="M182" s="61">
        <f t="shared" si="51"/>
        <v>300</v>
      </c>
      <c r="N182" s="61">
        <f t="shared" si="51"/>
        <v>300</v>
      </c>
      <c r="O182" s="61">
        <f t="shared" si="51"/>
        <v>300</v>
      </c>
      <c r="P182" s="62">
        <f t="shared" si="51"/>
        <v>300</v>
      </c>
      <c r="Q182" s="13">
        <f t="shared" si="49"/>
        <v>3600</v>
      </c>
      <c r="R182" s="13"/>
    </row>
    <row r="183" spans="1:18" outlineLevel="1" x14ac:dyDescent="0.35">
      <c r="A183" s="294" t="str">
        <f t="shared" si="46"/>
        <v>Parking Lot Maintenance</v>
      </c>
      <c r="D183" s="60" t="s">
        <v>105</v>
      </c>
      <c r="E183" s="61">
        <f t="shared" si="52"/>
        <v>0</v>
      </c>
      <c r="F183" s="61">
        <f t="shared" si="51"/>
        <v>0</v>
      </c>
      <c r="G183" s="61">
        <f t="shared" si="51"/>
        <v>1250</v>
      </c>
      <c r="H183" s="61">
        <f t="shared" si="51"/>
        <v>0</v>
      </c>
      <c r="I183" s="61">
        <f t="shared" si="51"/>
        <v>0</v>
      </c>
      <c r="J183" s="61">
        <f t="shared" si="51"/>
        <v>1250</v>
      </c>
      <c r="K183" s="61">
        <f t="shared" si="51"/>
        <v>0</v>
      </c>
      <c r="L183" s="61">
        <f t="shared" si="51"/>
        <v>0</v>
      </c>
      <c r="M183" s="61">
        <f t="shared" si="51"/>
        <v>1250</v>
      </c>
      <c r="N183" s="61">
        <f t="shared" si="51"/>
        <v>0</v>
      </c>
      <c r="O183" s="61">
        <f t="shared" si="51"/>
        <v>0</v>
      </c>
      <c r="P183" s="62">
        <f t="shared" si="51"/>
        <v>1250</v>
      </c>
      <c r="Q183" s="13">
        <f t="shared" si="49"/>
        <v>5000</v>
      </c>
      <c r="R183" s="13"/>
    </row>
    <row r="184" spans="1:18" outlineLevel="1" x14ac:dyDescent="0.35">
      <c r="A184" s="294" t="str">
        <f t="shared" si="46"/>
        <v>Snow Removal</v>
      </c>
      <c r="D184" s="60" t="s">
        <v>106</v>
      </c>
      <c r="E184" s="61">
        <f t="shared" si="52"/>
        <v>3605</v>
      </c>
      <c r="F184" s="61">
        <f t="shared" si="51"/>
        <v>3605</v>
      </c>
      <c r="G184" s="61">
        <f t="shared" si="51"/>
        <v>1030</v>
      </c>
      <c r="H184" s="61">
        <f t="shared" si="51"/>
        <v>0</v>
      </c>
      <c r="I184" s="61">
        <f t="shared" si="51"/>
        <v>0</v>
      </c>
      <c r="J184" s="61">
        <f t="shared" si="51"/>
        <v>0</v>
      </c>
      <c r="K184" s="61">
        <f t="shared" si="51"/>
        <v>0</v>
      </c>
      <c r="L184" s="61">
        <f t="shared" si="51"/>
        <v>0</v>
      </c>
      <c r="M184" s="61">
        <f t="shared" si="51"/>
        <v>0</v>
      </c>
      <c r="N184" s="61">
        <f t="shared" si="51"/>
        <v>0</v>
      </c>
      <c r="O184" s="61">
        <f t="shared" si="51"/>
        <v>1030</v>
      </c>
      <c r="P184" s="62">
        <f t="shared" si="51"/>
        <v>2060</v>
      </c>
      <c r="Q184" s="13">
        <f t="shared" si="49"/>
        <v>11330</v>
      </c>
      <c r="R184" s="13"/>
    </row>
    <row r="185" spans="1:18" outlineLevel="1" x14ac:dyDescent="0.35">
      <c r="A185" s="294" t="str">
        <f t="shared" si="46"/>
        <v>Landscaping</v>
      </c>
      <c r="D185" s="60" t="s">
        <v>107</v>
      </c>
      <c r="E185" s="61">
        <f t="shared" si="52"/>
        <v>0</v>
      </c>
      <c r="F185" s="61">
        <f t="shared" si="51"/>
        <v>0</v>
      </c>
      <c r="G185" s="61">
        <f t="shared" si="51"/>
        <v>0</v>
      </c>
      <c r="H185" s="61">
        <f t="shared" si="51"/>
        <v>479</v>
      </c>
      <c r="I185" s="61">
        <f t="shared" si="51"/>
        <v>979</v>
      </c>
      <c r="J185" s="61">
        <f t="shared" si="51"/>
        <v>479</v>
      </c>
      <c r="K185" s="61">
        <f t="shared" si="51"/>
        <v>479</v>
      </c>
      <c r="L185" s="61">
        <f t="shared" si="51"/>
        <v>979</v>
      </c>
      <c r="M185" s="61">
        <f t="shared" si="51"/>
        <v>479</v>
      </c>
      <c r="N185" s="61">
        <f t="shared" si="51"/>
        <v>479</v>
      </c>
      <c r="O185" s="61">
        <f t="shared" si="51"/>
        <v>0</v>
      </c>
      <c r="P185" s="62">
        <f t="shared" si="51"/>
        <v>0</v>
      </c>
      <c r="Q185" s="13">
        <f t="shared" si="49"/>
        <v>4353</v>
      </c>
      <c r="R185" s="13"/>
    </row>
    <row r="186" spans="1:18" outlineLevel="1" x14ac:dyDescent="0.35">
      <c r="A186" s="294" t="str">
        <f t="shared" si="46"/>
        <v>Security</v>
      </c>
      <c r="D186" s="60" t="s">
        <v>108</v>
      </c>
      <c r="E186" s="61">
        <f t="shared" si="52"/>
        <v>1339</v>
      </c>
      <c r="F186" s="61">
        <f t="shared" si="51"/>
        <v>1339</v>
      </c>
      <c r="G186" s="61">
        <f t="shared" si="51"/>
        <v>1339</v>
      </c>
      <c r="H186" s="61">
        <f t="shared" si="51"/>
        <v>1339</v>
      </c>
      <c r="I186" s="61">
        <f t="shared" si="51"/>
        <v>1339</v>
      </c>
      <c r="J186" s="61">
        <f t="shared" si="51"/>
        <v>1339</v>
      </c>
      <c r="K186" s="61">
        <f t="shared" si="51"/>
        <v>1339</v>
      </c>
      <c r="L186" s="61">
        <f t="shared" si="51"/>
        <v>1339</v>
      </c>
      <c r="M186" s="61">
        <f t="shared" si="51"/>
        <v>1339</v>
      </c>
      <c r="N186" s="61">
        <f t="shared" si="51"/>
        <v>1339</v>
      </c>
      <c r="O186" s="61">
        <f t="shared" si="51"/>
        <v>1339</v>
      </c>
      <c r="P186" s="62">
        <f t="shared" si="51"/>
        <v>1339</v>
      </c>
      <c r="Q186" s="13">
        <f t="shared" si="49"/>
        <v>16068</v>
      </c>
      <c r="R186" s="13"/>
    </row>
    <row r="187" spans="1:18" outlineLevel="1" x14ac:dyDescent="0.35">
      <c r="A187" s="294" t="str">
        <f t="shared" si="46"/>
        <v>Management fee</v>
      </c>
      <c r="D187" s="60" t="s">
        <v>141</v>
      </c>
      <c r="E187" s="61">
        <f t="shared" si="52"/>
        <v>376</v>
      </c>
      <c r="F187" s="61">
        <f t="shared" si="51"/>
        <v>376</v>
      </c>
      <c r="G187" s="61">
        <f t="shared" si="51"/>
        <v>376</v>
      </c>
      <c r="H187" s="61">
        <f t="shared" si="51"/>
        <v>376</v>
      </c>
      <c r="I187" s="61">
        <f t="shared" si="51"/>
        <v>376</v>
      </c>
      <c r="J187" s="61">
        <f t="shared" si="51"/>
        <v>451</v>
      </c>
      <c r="K187" s="61">
        <f t="shared" si="51"/>
        <v>451</v>
      </c>
      <c r="L187" s="61">
        <f t="shared" si="51"/>
        <v>451</v>
      </c>
      <c r="M187" s="61">
        <f t="shared" si="51"/>
        <v>451</v>
      </c>
      <c r="N187" s="61">
        <f t="shared" si="51"/>
        <v>451</v>
      </c>
      <c r="O187" s="61">
        <f t="shared" si="51"/>
        <v>451</v>
      </c>
      <c r="P187" s="62">
        <f t="shared" si="51"/>
        <v>451</v>
      </c>
      <c r="Q187" s="13">
        <f t="shared" si="49"/>
        <v>5037</v>
      </c>
      <c r="R187" s="13"/>
    </row>
    <row r="188" spans="1:18" outlineLevel="1" x14ac:dyDescent="0.35">
      <c r="A188" s="294" t="str">
        <f t="shared" si="46"/>
        <v>Trash Removal</v>
      </c>
      <c r="D188" s="60" t="s">
        <v>110</v>
      </c>
      <c r="E188" s="61">
        <f t="shared" si="52"/>
        <v>0</v>
      </c>
      <c r="F188" s="61">
        <f t="shared" si="51"/>
        <v>0</v>
      </c>
      <c r="G188" s="61">
        <f t="shared" si="51"/>
        <v>0</v>
      </c>
      <c r="H188" s="61">
        <f t="shared" si="51"/>
        <v>0</v>
      </c>
      <c r="I188" s="61">
        <f t="shared" si="51"/>
        <v>0</v>
      </c>
      <c r="J188" s="61">
        <f t="shared" si="51"/>
        <v>0</v>
      </c>
      <c r="K188" s="61">
        <f t="shared" si="51"/>
        <v>0</v>
      </c>
      <c r="L188" s="61">
        <f t="shared" si="51"/>
        <v>0</v>
      </c>
      <c r="M188" s="61">
        <f t="shared" si="51"/>
        <v>0</v>
      </c>
      <c r="N188" s="61">
        <f t="shared" si="51"/>
        <v>0</v>
      </c>
      <c r="O188" s="61">
        <f t="shared" si="51"/>
        <v>0</v>
      </c>
      <c r="P188" s="62">
        <f t="shared" si="51"/>
        <v>0</v>
      </c>
      <c r="Q188" s="13">
        <f t="shared" si="49"/>
        <v>0</v>
      </c>
      <c r="R188" s="13"/>
    </row>
    <row r="189" spans="1:18" outlineLevel="1" x14ac:dyDescent="0.35">
      <c r="A189" s="294" t="str">
        <f t="shared" si="46"/>
        <v>Real Estate Taxes</v>
      </c>
      <c r="D189" s="60" t="s">
        <v>111</v>
      </c>
      <c r="E189" s="61">
        <f t="shared" si="52"/>
        <v>1391.0508333333335</v>
      </c>
      <c r="F189" s="61">
        <f t="shared" si="51"/>
        <v>1391.0508333333335</v>
      </c>
      <c r="G189" s="61">
        <f t="shared" si="51"/>
        <v>1391.0508333333335</v>
      </c>
      <c r="H189" s="61">
        <f t="shared" si="51"/>
        <v>1391.0508333333335</v>
      </c>
      <c r="I189" s="61">
        <f t="shared" si="51"/>
        <v>1391.0508333333335</v>
      </c>
      <c r="J189" s="61">
        <f t="shared" si="51"/>
        <v>1391.0508333333335</v>
      </c>
      <c r="K189" s="61">
        <f t="shared" si="51"/>
        <v>1391.0508333333335</v>
      </c>
      <c r="L189" s="61">
        <f t="shared" si="51"/>
        <v>1391.0508333333335</v>
      </c>
      <c r="M189" s="61">
        <f t="shared" si="51"/>
        <v>1391.0508333333335</v>
      </c>
      <c r="N189" s="61">
        <f t="shared" si="51"/>
        <v>1391.0508333333335</v>
      </c>
      <c r="O189" s="61">
        <f t="shared" si="51"/>
        <v>1391.0508333333335</v>
      </c>
      <c r="P189" s="62">
        <f t="shared" si="51"/>
        <v>1391.0508333333335</v>
      </c>
      <c r="Q189" s="13">
        <f t="shared" si="49"/>
        <v>16692.609999999997</v>
      </c>
      <c r="R189" s="13"/>
    </row>
    <row r="190" spans="1:18" outlineLevel="1" x14ac:dyDescent="0.35">
      <c r="A190" s="294" t="str">
        <f t="shared" si="46"/>
        <v>Insurance</v>
      </c>
      <c r="D190" s="60" t="s">
        <v>112</v>
      </c>
      <c r="E190" s="61">
        <f t="shared" si="52"/>
        <v>653</v>
      </c>
      <c r="F190" s="61">
        <f t="shared" si="51"/>
        <v>653</v>
      </c>
      <c r="G190" s="61">
        <f t="shared" si="51"/>
        <v>653</v>
      </c>
      <c r="H190" s="61">
        <f t="shared" si="51"/>
        <v>653</v>
      </c>
      <c r="I190" s="61">
        <f t="shared" si="51"/>
        <v>653</v>
      </c>
      <c r="J190" s="61">
        <f t="shared" si="51"/>
        <v>653</v>
      </c>
      <c r="K190" s="61">
        <f t="shared" si="51"/>
        <v>653</v>
      </c>
      <c r="L190" s="61">
        <f t="shared" si="51"/>
        <v>653</v>
      </c>
      <c r="M190" s="61">
        <f t="shared" si="51"/>
        <v>653</v>
      </c>
      <c r="N190" s="61">
        <f t="shared" si="51"/>
        <v>653</v>
      </c>
      <c r="O190" s="61">
        <f t="shared" si="51"/>
        <v>666.06000000000006</v>
      </c>
      <c r="P190" s="62">
        <f t="shared" si="51"/>
        <v>666.06000000000006</v>
      </c>
      <c r="Q190" s="13">
        <f t="shared" si="49"/>
        <v>7862.1200000000008</v>
      </c>
      <c r="R190" s="13"/>
    </row>
    <row r="191" spans="1:18" outlineLevel="1" x14ac:dyDescent="0.35">
      <c r="A191" s="294" t="str">
        <f t="shared" si="46"/>
        <v>Cleaning &amp; Supplies</v>
      </c>
      <c r="D191" s="60" t="s">
        <v>113</v>
      </c>
      <c r="E191" s="61">
        <f t="shared" si="52"/>
        <v>0</v>
      </c>
      <c r="F191" s="61">
        <f t="shared" si="51"/>
        <v>0</v>
      </c>
      <c r="G191" s="61">
        <f t="shared" si="51"/>
        <v>0</v>
      </c>
      <c r="H191" s="61">
        <f t="shared" si="51"/>
        <v>0</v>
      </c>
      <c r="I191" s="61">
        <f t="shared" si="51"/>
        <v>0</v>
      </c>
      <c r="J191" s="61">
        <f t="shared" si="51"/>
        <v>0</v>
      </c>
      <c r="K191" s="61">
        <f t="shared" si="51"/>
        <v>0</v>
      </c>
      <c r="L191" s="61">
        <f t="shared" si="51"/>
        <v>0</v>
      </c>
      <c r="M191" s="61">
        <f t="shared" si="51"/>
        <v>0</v>
      </c>
      <c r="N191" s="61">
        <f t="shared" si="51"/>
        <v>0</v>
      </c>
      <c r="O191" s="61">
        <f t="shared" si="51"/>
        <v>0</v>
      </c>
      <c r="P191" s="62">
        <f t="shared" si="51"/>
        <v>0</v>
      </c>
      <c r="Q191" s="13">
        <f t="shared" si="49"/>
        <v>0</v>
      </c>
      <c r="R191" s="13"/>
    </row>
    <row r="192" spans="1:18" outlineLevel="1" x14ac:dyDescent="0.35">
      <c r="A192" s="294" t="str">
        <f>VLOOKUP($D192,$A$10:$D$130,4,FALSE)</f>
        <v>Salaries &amp; Wages</v>
      </c>
      <c r="D192" s="60" t="s">
        <v>114</v>
      </c>
      <c r="E192" s="61">
        <f t="shared" si="52"/>
        <v>616.27185240579377</v>
      </c>
      <c r="F192" s="61">
        <f t="shared" si="51"/>
        <v>616.27185240579377</v>
      </c>
      <c r="G192" s="61">
        <f t="shared" si="51"/>
        <v>616.27185240579377</v>
      </c>
      <c r="H192" s="61">
        <f t="shared" si="51"/>
        <v>616.27185240579377</v>
      </c>
      <c r="I192" s="61">
        <f t="shared" si="51"/>
        <v>616.27185240579377</v>
      </c>
      <c r="J192" s="61">
        <f t="shared" si="51"/>
        <v>616.27185240579377</v>
      </c>
      <c r="K192" s="61">
        <f t="shared" si="51"/>
        <v>616.27185240579377</v>
      </c>
      <c r="L192" s="61">
        <f t="shared" si="51"/>
        <v>616.27185240579377</v>
      </c>
      <c r="M192" s="61">
        <f t="shared" si="51"/>
        <v>616.27185240579377</v>
      </c>
      <c r="N192" s="61">
        <f t="shared" si="51"/>
        <v>616.27185240579377</v>
      </c>
      <c r="O192" s="61">
        <f t="shared" si="51"/>
        <v>616.27185240579377</v>
      </c>
      <c r="P192" s="62">
        <f t="shared" si="51"/>
        <v>616.27185240579377</v>
      </c>
      <c r="Q192" s="13">
        <f t="shared" si="49"/>
        <v>7395.2622288695247</v>
      </c>
      <c r="R192" s="13"/>
    </row>
    <row r="193" spans="1:18" outlineLevel="1" x14ac:dyDescent="0.35">
      <c r="A193" s="294" t="str">
        <f>VLOOKUP($D193,$A$10:$D$130,4,FALSE)</f>
        <v>Commissions-Internal Broker</v>
      </c>
      <c r="D193" s="60" t="s">
        <v>115</v>
      </c>
      <c r="E193" s="61">
        <f t="shared" si="52"/>
        <v>0</v>
      </c>
      <c r="F193" s="61">
        <f t="shared" si="51"/>
        <v>0</v>
      </c>
      <c r="G193" s="61">
        <f t="shared" si="51"/>
        <v>0</v>
      </c>
      <c r="H193" s="61">
        <f t="shared" si="51"/>
        <v>0</v>
      </c>
      <c r="I193" s="61">
        <f t="shared" si="51"/>
        <v>0</v>
      </c>
      <c r="J193" s="61">
        <f t="shared" si="51"/>
        <v>0</v>
      </c>
      <c r="K193" s="61">
        <f t="shared" si="51"/>
        <v>0</v>
      </c>
      <c r="L193" s="61">
        <f t="shared" si="51"/>
        <v>0</v>
      </c>
      <c r="M193" s="61">
        <f t="shared" si="51"/>
        <v>0</v>
      </c>
      <c r="N193" s="61">
        <f t="shared" si="51"/>
        <v>0</v>
      </c>
      <c r="O193" s="61">
        <f t="shared" si="51"/>
        <v>0</v>
      </c>
      <c r="P193" s="62">
        <f t="shared" si="51"/>
        <v>0</v>
      </c>
      <c r="Q193" s="13">
        <f t="shared" si="49"/>
        <v>0</v>
      </c>
      <c r="R193" s="13"/>
    </row>
    <row r="194" spans="1:18" outlineLevel="1" x14ac:dyDescent="0.35">
      <c r="A194" s="294" t="str">
        <f>VLOOKUP($D194,$A$10:$D$130,3,FALSE)</f>
        <v>Building Maintenance</v>
      </c>
      <c r="D194" s="60" t="s">
        <v>116</v>
      </c>
      <c r="E194" s="61">
        <f t="shared" si="52"/>
        <v>654.5</v>
      </c>
      <c r="F194" s="61">
        <f t="shared" si="52"/>
        <v>654.5</v>
      </c>
      <c r="G194" s="61">
        <f t="shared" si="52"/>
        <v>654.5</v>
      </c>
      <c r="H194" s="61">
        <f t="shared" si="52"/>
        <v>654.5</v>
      </c>
      <c r="I194" s="61">
        <f t="shared" si="52"/>
        <v>654.5</v>
      </c>
      <c r="J194" s="61">
        <f t="shared" si="52"/>
        <v>654.5</v>
      </c>
      <c r="K194" s="61">
        <f t="shared" si="52"/>
        <v>654.5</v>
      </c>
      <c r="L194" s="61">
        <f t="shared" si="52"/>
        <v>654.5</v>
      </c>
      <c r="M194" s="61">
        <f t="shared" si="52"/>
        <v>654.5</v>
      </c>
      <c r="N194" s="61">
        <f t="shared" si="52"/>
        <v>654.5</v>
      </c>
      <c r="O194" s="61">
        <f t="shared" si="52"/>
        <v>654.5</v>
      </c>
      <c r="P194" s="62">
        <f t="shared" si="52"/>
        <v>654.5</v>
      </c>
      <c r="Q194" s="13">
        <f t="shared" si="49"/>
        <v>7854</v>
      </c>
      <c r="R194" s="13"/>
    </row>
    <row r="195" spans="1:18" outlineLevel="1" x14ac:dyDescent="0.35">
      <c r="A195" s="294" t="str">
        <f>VLOOKUP($D195,$A$10:$D$130,3,FALSE)</f>
        <v>Marketing</v>
      </c>
      <c r="D195" s="60" t="s">
        <v>117</v>
      </c>
      <c r="E195" s="61">
        <f t="shared" si="52"/>
        <v>241.1335249851881</v>
      </c>
      <c r="F195" s="61">
        <f t="shared" si="52"/>
        <v>241.1335249851881</v>
      </c>
      <c r="G195" s="61">
        <f t="shared" si="52"/>
        <v>241.1335249851881</v>
      </c>
      <c r="H195" s="61">
        <f t="shared" si="52"/>
        <v>241.1335249851881</v>
      </c>
      <c r="I195" s="61">
        <f t="shared" si="52"/>
        <v>241.1335249851881</v>
      </c>
      <c r="J195" s="61">
        <f t="shared" si="52"/>
        <v>241.1335249851881</v>
      </c>
      <c r="K195" s="61">
        <f t="shared" si="52"/>
        <v>241.1335249851881</v>
      </c>
      <c r="L195" s="61">
        <f t="shared" si="52"/>
        <v>241.1335249851881</v>
      </c>
      <c r="M195" s="61">
        <f t="shared" si="52"/>
        <v>241.1335249851881</v>
      </c>
      <c r="N195" s="61">
        <f t="shared" si="52"/>
        <v>241.1335249851881</v>
      </c>
      <c r="O195" s="61">
        <f t="shared" si="52"/>
        <v>241.1335249851881</v>
      </c>
      <c r="P195" s="62">
        <f t="shared" si="52"/>
        <v>241.1335249851881</v>
      </c>
      <c r="Q195" s="13">
        <f t="shared" si="49"/>
        <v>2893.6022998222575</v>
      </c>
      <c r="R195" s="13"/>
    </row>
    <row r="196" spans="1:18" outlineLevel="1" x14ac:dyDescent="0.35">
      <c r="A196" s="294" t="str">
        <f>VLOOKUP($D196,$A$10:$D$130,3,FALSE)</f>
        <v>Business Taxes</v>
      </c>
      <c r="D196" s="60" t="s">
        <v>118</v>
      </c>
      <c r="E196" s="61">
        <f t="shared" si="52"/>
        <v>0</v>
      </c>
      <c r="F196" s="61">
        <f t="shared" si="52"/>
        <v>0</v>
      </c>
      <c r="G196" s="61">
        <f t="shared" si="52"/>
        <v>0</v>
      </c>
      <c r="H196" s="61">
        <f t="shared" si="52"/>
        <v>4326</v>
      </c>
      <c r="I196" s="61">
        <f t="shared" si="52"/>
        <v>0</v>
      </c>
      <c r="J196" s="61">
        <f t="shared" si="52"/>
        <v>0</v>
      </c>
      <c r="K196" s="61">
        <f t="shared" si="52"/>
        <v>0</v>
      </c>
      <c r="L196" s="61">
        <f t="shared" si="52"/>
        <v>0</v>
      </c>
      <c r="M196" s="61">
        <f t="shared" si="52"/>
        <v>0</v>
      </c>
      <c r="N196" s="61">
        <f t="shared" si="52"/>
        <v>0</v>
      </c>
      <c r="O196" s="61">
        <f t="shared" si="52"/>
        <v>0</v>
      </c>
      <c r="P196" s="62">
        <f t="shared" si="52"/>
        <v>0</v>
      </c>
      <c r="Q196" s="13">
        <f t="shared" si="49"/>
        <v>4326</v>
      </c>
      <c r="R196" s="13"/>
    </row>
    <row r="197" spans="1:18" outlineLevel="1" x14ac:dyDescent="0.35">
      <c r="A197" s="294" t="str">
        <f>VLOOKUP($D197,$A$10:$D$130,3,FALSE)</f>
        <v>Legal &amp; Accounting</v>
      </c>
      <c r="D197" s="60" t="s">
        <v>119</v>
      </c>
      <c r="E197" s="61">
        <f t="shared" si="52"/>
        <v>578.25916666666672</v>
      </c>
      <c r="F197" s="61">
        <f t="shared" si="52"/>
        <v>578.25916666666672</v>
      </c>
      <c r="G197" s="61">
        <f t="shared" si="52"/>
        <v>578.25916666666672</v>
      </c>
      <c r="H197" s="61">
        <f t="shared" si="52"/>
        <v>578.25916666666672</v>
      </c>
      <c r="I197" s="61">
        <f t="shared" si="52"/>
        <v>578.25916666666672</v>
      </c>
      <c r="J197" s="61">
        <f t="shared" si="52"/>
        <v>578.25916666666672</v>
      </c>
      <c r="K197" s="61">
        <f t="shared" si="52"/>
        <v>578.25916666666672</v>
      </c>
      <c r="L197" s="61">
        <f t="shared" si="52"/>
        <v>578.25916666666672</v>
      </c>
      <c r="M197" s="61">
        <f t="shared" si="52"/>
        <v>578.25916666666672</v>
      </c>
      <c r="N197" s="61">
        <f t="shared" si="52"/>
        <v>578.25916666666672</v>
      </c>
      <c r="O197" s="61">
        <f t="shared" si="52"/>
        <v>578.25916666666672</v>
      </c>
      <c r="P197" s="62">
        <f t="shared" si="52"/>
        <v>578.25916666666672</v>
      </c>
      <c r="Q197" s="13">
        <f t="shared" si="49"/>
        <v>6939.1100000000006</v>
      </c>
      <c r="R197" s="13"/>
    </row>
    <row r="198" spans="1:18" outlineLevel="1" x14ac:dyDescent="0.35">
      <c r="A198" s="294" t="str">
        <f t="shared" ref="A198:A203" si="53">VLOOKUP($D198,$A$10:$D$130,4,FALSE)</f>
        <v>Bank Fees</v>
      </c>
      <c r="D198" s="60" t="s">
        <v>126</v>
      </c>
      <c r="E198" s="61">
        <f t="shared" si="52"/>
        <v>0</v>
      </c>
      <c r="F198" s="61">
        <f t="shared" si="52"/>
        <v>0</v>
      </c>
      <c r="G198" s="61">
        <f t="shared" si="52"/>
        <v>0</v>
      </c>
      <c r="H198" s="61">
        <f t="shared" si="52"/>
        <v>0</v>
      </c>
      <c r="I198" s="61">
        <f t="shared" si="52"/>
        <v>0</v>
      </c>
      <c r="J198" s="61">
        <f t="shared" si="52"/>
        <v>0</v>
      </c>
      <c r="K198" s="61">
        <f t="shared" si="52"/>
        <v>0</v>
      </c>
      <c r="L198" s="61">
        <f t="shared" si="52"/>
        <v>0</v>
      </c>
      <c r="M198" s="61">
        <f t="shared" si="52"/>
        <v>0</v>
      </c>
      <c r="N198" s="61">
        <f t="shared" si="52"/>
        <v>0</v>
      </c>
      <c r="O198" s="61">
        <f t="shared" si="52"/>
        <v>0</v>
      </c>
      <c r="P198" s="62">
        <f t="shared" si="52"/>
        <v>0</v>
      </c>
      <c r="Q198" s="13">
        <f t="shared" si="49"/>
        <v>0</v>
      </c>
      <c r="R198" s="13"/>
    </row>
    <row r="199" spans="1:18" outlineLevel="1" x14ac:dyDescent="0.35">
      <c r="A199" s="294" t="str">
        <f t="shared" si="53"/>
        <v>Other G&amp;A Expense</v>
      </c>
      <c r="D199" s="60" t="s">
        <v>127</v>
      </c>
      <c r="E199" s="61">
        <f t="shared" si="52"/>
        <v>0</v>
      </c>
      <c r="F199" s="61">
        <f t="shared" si="52"/>
        <v>0</v>
      </c>
      <c r="G199" s="61">
        <f t="shared" si="52"/>
        <v>0</v>
      </c>
      <c r="H199" s="61">
        <f t="shared" si="52"/>
        <v>0</v>
      </c>
      <c r="I199" s="61">
        <f t="shared" si="52"/>
        <v>0</v>
      </c>
      <c r="J199" s="61">
        <f t="shared" si="52"/>
        <v>0</v>
      </c>
      <c r="K199" s="61">
        <f t="shared" si="52"/>
        <v>0</v>
      </c>
      <c r="L199" s="61">
        <f t="shared" si="52"/>
        <v>0</v>
      </c>
      <c r="M199" s="61">
        <f t="shared" si="52"/>
        <v>0</v>
      </c>
      <c r="N199" s="61">
        <f t="shared" si="52"/>
        <v>0</v>
      </c>
      <c r="O199" s="61">
        <f t="shared" si="52"/>
        <v>0</v>
      </c>
      <c r="P199" s="62">
        <f t="shared" si="52"/>
        <v>0</v>
      </c>
      <c r="Q199" s="13">
        <f t="shared" si="49"/>
        <v>0</v>
      </c>
      <c r="R199" s="13"/>
    </row>
    <row r="200" spans="1:18" outlineLevel="1" x14ac:dyDescent="0.35">
      <c r="A200" s="294" t="str">
        <f t="shared" si="53"/>
        <v>Other G&amp;A-allocated from LIK</v>
      </c>
      <c r="D200" s="60" t="s">
        <v>120</v>
      </c>
      <c r="E200" s="61">
        <f t="shared" si="52"/>
        <v>24.033333333333335</v>
      </c>
      <c r="F200" s="61">
        <f t="shared" si="52"/>
        <v>24.033333333333335</v>
      </c>
      <c r="G200" s="61">
        <f t="shared" si="52"/>
        <v>24.033333333333335</v>
      </c>
      <c r="H200" s="61">
        <f t="shared" si="52"/>
        <v>24.033333333333335</v>
      </c>
      <c r="I200" s="61">
        <f t="shared" si="52"/>
        <v>24.033333333333335</v>
      </c>
      <c r="J200" s="61">
        <f t="shared" si="52"/>
        <v>24.033333333333335</v>
      </c>
      <c r="K200" s="61">
        <f t="shared" si="52"/>
        <v>24.033333333333335</v>
      </c>
      <c r="L200" s="61">
        <f t="shared" si="52"/>
        <v>24.033333333333335</v>
      </c>
      <c r="M200" s="61">
        <f t="shared" si="52"/>
        <v>24.033333333333335</v>
      </c>
      <c r="N200" s="61">
        <f t="shared" si="52"/>
        <v>24.033333333333335</v>
      </c>
      <c r="O200" s="61">
        <f t="shared" si="52"/>
        <v>24.033333333333335</v>
      </c>
      <c r="P200" s="62">
        <f t="shared" si="52"/>
        <v>24.033333333333335</v>
      </c>
      <c r="Q200" s="13">
        <f t="shared" si="49"/>
        <v>288.40000000000003</v>
      </c>
      <c r="R200" s="13"/>
    </row>
    <row r="201" spans="1:18" outlineLevel="1" x14ac:dyDescent="0.35">
      <c r="A201" s="294" t="str">
        <f t="shared" si="53"/>
        <v>Land Improvements</v>
      </c>
      <c r="D201" s="60" t="s">
        <v>121</v>
      </c>
      <c r="E201" s="61">
        <f t="shared" si="52"/>
        <v>0</v>
      </c>
      <c r="F201" s="61">
        <f t="shared" si="52"/>
        <v>0</v>
      </c>
      <c r="G201" s="61">
        <f t="shared" si="52"/>
        <v>0</v>
      </c>
      <c r="H201" s="61">
        <f t="shared" si="52"/>
        <v>0</v>
      </c>
      <c r="I201" s="61">
        <f t="shared" si="52"/>
        <v>0</v>
      </c>
      <c r="J201" s="61">
        <f t="shared" si="52"/>
        <v>0</v>
      </c>
      <c r="K201" s="61">
        <f t="shared" si="52"/>
        <v>0</v>
      </c>
      <c r="L201" s="61">
        <f t="shared" si="52"/>
        <v>0</v>
      </c>
      <c r="M201" s="61">
        <f t="shared" si="52"/>
        <v>0</v>
      </c>
      <c r="N201" s="61">
        <f t="shared" si="52"/>
        <v>0</v>
      </c>
      <c r="O201" s="61">
        <f t="shared" si="52"/>
        <v>0</v>
      </c>
      <c r="P201" s="62">
        <f t="shared" si="52"/>
        <v>0</v>
      </c>
      <c r="Q201" s="13">
        <f t="shared" si="49"/>
        <v>0</v>
      </c>
      <c r="R201" s="13"/>
    </row>
    <row r="202" spans="1:18" outlineLevel="1" x14ac:dyDescent="0.35">
      <c r="A202" s="294" t="str">
        <f t="shared" si="53"/>
        <v>Buildings</v>
      </c>
      <c r="D202" s="60" t="s">
        <v>122</v>
      </c>
      <c r="E202" s="61">
        <f t="shared" si="52"/>
        <v>0</v>
      </c>
      <c r="F202" s="61">
        <f t="shared" si="52"/>
        <v>0</v>
      </c>
      <c r="G202" s="61">
        <f t="shared" si="52"/>
        <v>0</v>
      </c>
      <c r="H202" s="61">
        <f t="shared" si="52"/>
        <v>8755</v>
      </c>
      <c r="I202" s="61">
        <f t="shared" si="52"/>
        <v>0</v>
      </c>
      <c r="J202" s="61">
        <f t="shared" si="52"/>
        <v>0</v>
      </c>
      <c r="K202" s="61">
        <f t="shared" si="52"/>
        <v>0</v>
      </c>
      <c r="L202" s="61">
        <f t="shared" si="52"/>
        <v>0</v>
      </c>
      <c r="M202" s="61">
        <f t="shared" si="52"/>
        <v>0</v>
      </c>
      <c r="N202" s="61">
        <f t="shared" si="52"/>
        <v>0</v>
      </c>
      <c r="O202" s="61">
        <f t="shared" si="52"/>
        <v>0</v>
      </c>
      <c r="P202" s="62">
        <f t="shared" si="52"/>
        <v>0</v>
      </c>
      <c r="Q202" s="13">
        <f t="shared" si="49"/>
        <v>8755</v>
      </c>
      <c r="R202" s="13"/>
    </row>
    <row r="203" spans="1:18" outlineLevel="1" x14ac:dyDescent="0.35">
      <c r="A203" s="294" t="str">
        <f t="shared" si="53"/>
        <v>Equipment</v>
      </c>
      <c r="D203" s="60" t="s">
        <v>123</v>
      </c>
      <c r="E203" s="61">
        <f t="shared" si="52"/>
        <v>0</v>
      </c>
      <c r="F203" s="61">
        <f t="shared" si="52"/>
        <v>0</v>
      </c>
      <c r="G203" s="61">
        <f t="shared" si="52"/>
        <v>0</v>
      </c>
      <c r="H203" s="61">
        <f t="shared" si="52"/>
        <v>0</v>
      </c>
      <c r="I203" s="61">
        <f t="shared" si="52"/>
        <v>0</v>
      </c>
      <c r="J203" s="61">
        <f t="shared" si="52"/>
        <v>0</v>
      </c>
      <c r="K203" s="61">
        <f t="shared" si="52"/>
        <v>0</v>
      </c>
      <c r="L203" s="61">
        <f t="shared" si="52"/>
        <v>0</v>
      </c>
      <c r="M203" s="61">
        <f t="shared" si="52"/>
        <v>0</v>
      </c>
      <c r="N203" s="61">
        <f t="shared" si="52"/>
        <v>0</v>
      </c>
      <c r="O203" s="61">
        <f t="shared" si="52"/>
        <v>0</v>
      </c>
      <c r="P203" s="62">
        <f t="shared" si="52"/>
        <v>0</v>
      </c>
      <c r="Q203" s="13">
        <f t="shared" si="49"/>
        <v>0</v>
      </c>
      <c r="R203" s="13"/>
    </row>
    <row r="204" spans="1:18" outlineLevel="1" x14ac:dyDescent="0.35">
      <c r="A204" s="294" t="str">
        <f>VLOOKUP($D204,$A$10:$D$130,3,FALSE)</f>
        <v>Tenant Improvements</v>
      </c>
      <c r="D204" s="60" t="s">
        <v>124</v>
      </c>
      <c r="E204" s="61">
        <f t="shared" si="52"/>
        <v>0</v>
      </c>
      <c r="F204" s="61">
        <f t="shared" si="52"/>
        <v>0</v>
      </c>
      <c r="G204" s="61">
        <f t="shared" si="52"/>
        <v>0</v>
      </c>
      <c r="H204" s="61">
        <f t="shared" si="52"/>
        <v>0</v>
      </c>
      <c r="I204" s="61">
        <f t="shared" si="52"/>
        <v>0</v>
      </c>
      <c r="J204" s="61">
        <f t="shared" si="52"/>
        <v>15000</v>
      </c>
      <c r="K204" s="61">
        <f t="shared" si="52"/>
        <v>0</v>
      </c>
      <c r="L204" s="61">
        <f t="shared" si="52"/>
        <v>0</v>
      </c>
      <c r="M204" s="61">
        <f t="shared" si="52"/>
        <v>0</v>
      </c>
      <c r="N204" s="61">
        <f t="shared" si="52"/>
        <v>0</v>
      </c>
      <c r="O204" s="61">
        <f t="shared" si="52"/>
        <v>0</v>
      </c>
      <c r="P204" s="62">
        <f t="shared" si="52"/>
        <v>0</v>
      </c>
      <c r="Q204" s="13">
        <f t="shared" si="49"/>
        <v>15000</v>
      </c>
      <c r="R204" s="13"/>
    </row>
    <row r="205" spans="1:18" outlineLevel="1" x14ac:dyDescent="0.35">
      <c r="A205" s="294" t="str">
        <f>VLOOKUP($D205,$A$10:$D$130,4,FALSE)</f>
        <v>Deferred Marketing</v>
      </c>
      <c r="D205" s="60" t="s">
        <v>125</v>
      </c>
      <c r="E205" s="61">
        <f t="shared" si="52"/>
        <v>0</v>
      </c>
      <c r="F205" s="61">
        <f t="shared" si="52"/>
        <v>0</v>
      </c>
      <c r="G205" s="61">
        <f t="shared" si="52"/>
        <v>0</v>
      </c>
      <c r="H205" s="61">
        <f t="shared" si="52"/>
        <v>0</v>
      </c>
      <c r="I205" s="61">
        <f t="shared" si="52"/>
        <v>0</v>
      </c>
      <c r="J205" s="61">
        <f t="shared" si="52"/>
        <v>0</v>
      </c>
      <c r="K205" s="61">
        <f t="shared" si="52"/>
        <v>0</v>
      </c>
      <c r="L205" s="61">
        <f t="shared" si="52"/>
        <v>0</v>
      </c>
      <c r="M205" s="61">
        <f t="shared" si="52"/>
        <v>0</v>
      </c>
      <c r="N205" s="61">
        <f t="shared" si="52"/>
        <v>0</v>
      </c>
      <c r="O205" s="61">
        <f t="shared" si="52"/>
        <v>0</v>
      </c>
      <c r="P205" s="62">
        <f t="shared" si="52"/>
        <v>0</v>
      </c>
      <c r="Q205" s="13">
        <f t="shared" si="49"/>
        <v>0</v>
      </c>
      <c r="R205" s="13"/>
    </row>
    <row r="206" spans="1:18" outlineLevel="1" x14ac:dyDescent="0.35">
      <c r="A206" s="294" t="str">
        <f>VLOOKUP($D206,$A$10:$D$130,3,FALSE)</f>
        <v>Interest</v>
      </c>
      <c r="D206" s="60" t="s">
        <v>128</v>
      </c>
      <c r="E206" s="61">
        <f t="shared" si="52"/>
        <v>0</v>
      </c>
      <c r="F206" s="61">
        <f t="shared" si="52"/>
        <v>0</v>
      </c>
      <c r="G206" s="61">
        <f t="shared" si="52"/>
        <v>0</v>
      </c>
      <c r="H206" s="61">
        <f t="shared" si="52"/>
        <v>0</v>
      </c>
      <c r="I206" s="61">
        <f t="shared" si="52"/>
        <v>0</v>
      </c>
      <c r="J206" s="61">
        <f t="shared" si="52"/>
        <v>0</v>
      </c>
      <c r="K206" s="61">
        <f t="shared" si="52"/>
        <v>0</v>
      </c>
      <c r="L206" s="61">
        <f t="shared" si="52"/>
        <v>0</v>
      </c>
      <c r="M206" s="61">
        <f t="shared" si="52"/>
        <v>0</v>
      </c>
      <c r="N206" s="61">
        <f t="shared" si="52"/>
        <v>0</v>
      </c>
      <c r="O206" s="61">
        <f t="shared" si="52"/>
        <v>0</v>
      </c>
      <c r="P206" s="62">
        <f t="shared" si="52"/>
        <v>0</v>
      </c>
      <c r="Q206" s="13">
        <f t="shared" si="49"/>
        <v>0</v>
      </c>
      <c r="R206" s="13"/>
    </row>
    <row r="207" spans="1:18" ht="16.5" outlineLevel="1" thickBot="1" x14ac:dyDescent="0.4">
      <c r="A207" s="294" t="str">
        <f>VLOOKUP($D207,$A$10:$D$130,3,FALSE)</f>
        <v>Mortgage Amortization</v>
      </c>
      <c r="D207" s="63" t="s">
        <v>145</v>
      </c>
      <c r="E207" s="64">
        <f t="shared" si="52"/>
        <v>0</v>
      </c>
      <c r="F207" s="64">
        <f t="shared" si="52"/>
        <v>0</v>
      </c>
      <c r="G207" s="64">
        <f t="shared" si="52"/>
        <v>0</v>
      </c>
      <c r="H207" s="64">
        <f t="shared" si="52"/>
        <v>0</v>
      </c>
      <c r="I207" s="64">
        <f t="shared" si="52"/>
        <v>0</v>
      </c>
      <c r="J207" s="64">
        <f t="shared" si="52"/>
        <v>0</v>
      </c>
      <c r="K207" s="64">
        <f t="shared" si="52"/>
        <v>0</v>
      </c>
      <c r="L207" s="64">
        <f t="shared" si="52"/>
        <v>0</v>
      </c>
      <c r="M207" s="64">
        <f t="shared" si="52"/>
        <v>0</v>
      </c>
      <c r="N207" s="64">
        <f t="shared" si="52"/>
        <v>0</v>
      </c>
      <c r="O207" s="64">
        <f t="shared" si="52"/>
        <v>0</v>
      </c>
      <c r="P207" s="65">
        <f t="shared" si="52"/>
        <v>0</v>
      </c>
      <c r="Q207" s="13">
        <f t="shared" si="49"/>
        <v>0</v>
      </c>
      <c r="R207" s="13"/>
    </row>
    <row r="208" spans="1:18" outlineLevel="1" x14ac:dyDescent="0.35">
      <c r="D208" s="79" t="s">
        <v>12</v>
      </c>
      <c r="E208" s="6">
        <f t="shared" ref="E208:Q208" si="54">SUM(E172:E207)</f>
        <v>4634.4046935672304</v>
      </c>
      <c r="F208" s="6">
        <f t="shared" si="54"/>
        <v>5114.8346935672307</v>
      </c>
      <c r="G208" s="6">
        <f t="shared" si="54"/>
        <v>3382.5346935672301</v>
      </c>
      <c r="H208" s="6">
        <f t="shared" si="54"/>
        <v>14899.70469356723</v>
      </c>
      <c r="I208" s="6">
        <f t="shared" si="54"/>
        <v>2882.65469356723</v>
      </c>
      <c r="J208" s="6">
        <f t="shared" si="54"/>
        <v>16465.984693567229</v>
      </c>
      <c r="K208" s="6">
        <f t="shared" si="54"/>
        <v>-129.06530643277026</v>
      </c>
      <c r="L208" s="6">
        <f t="shared" si="54"/>
        <v>849.30469356722938</v>
      </c>
      <c r="M208" s="6">
        <f t="shared" si="54"/>
        <v>1404.454693567229</v>
      </c>
      <c r="N208" s="6">
        <f t="shared" si="54"/>
        <v>298.27469356722986</v>
      </c>
      <c r="O208" s="6">
        <f t="shared" si="54"/>
        <v>1735.6646935672297</v>
      </c>
      <c r="P208" s="6">
        <f t="shared" si="54"/>
        <v>3314.4546935672297</v>
      </c>
      <c r="Q208" s="13">
        <f t="shared" si="54"/>
        <v>54853.206322806756</v>
      </c>
    </row>
    <row r="209" spans="5:17" outlineLevel="1" x14ac:dyDescent="0.35">
      <c r="E209" s="31">
        <f t="shared" ref="E209:Q209" si="55">E134+E208</f>
        <v>0</v>
      </c>
      <c r="F209" s="31">
        <f t="shared" si="55"/>
        <v>0</v>
      </c>
      <c r="G209" s="31">
        <f t="shared" si="55"/>
        <v>0</v>
      </c>
      <c r="H209" s="31">
        <f t="shared" si="55"/>
        <v>0</v>
      </c>
      <c r="I209" s="31">
        <f t="shared" si="55"/>
        <v>0</v>
      </c>
      <c r="J209" s="31">
        <f t="shared" si="55"/>
        <v>0</v>
      </c>
      <c r="K209" s="31">
        <f t="shared" si="55"/>
        <v>1.3926637620897964E-12</v>
      </c>
      <c r="L209" s="31">
        <f t="shared" si="55"/>
        <v>0</v>
      </c>
      <c r="M209" s="31">
        <f t="shared" si="55"/>
        <v>0</v>
      </c>
      <c r="N209" s="31">
        <f t="shared" si="55"/>
        <v>1.3642420526593924E-12</v>
      </c>
      <c r="O209" s="31">
        <f t="shared" si="55"/>
        <v>0</v>
      </c>
      <c r="P209" s="31">
        <f t="shared" si="55"/>
        <v>0</v>
      </c>
      <c r="Q209" s="31">
        <f t="shared" si="55"/>
        <v>0</v>
      </c>
    </row>
  </sheetData>
  <sheetProtection selectLockedCells="1"/>
  <phoneticPr fontId="0" type="noConversion"/>
  <conditionalFormatting sqref="E142:P146">
    <cfRule type="expression" dxfId="119" priority="470">
      <formula>E162&gt;0</formula>
    </cfRule>
    <cfRule type="expression" dxfId="118" priority="471">
      <formula>E152&gt;0</formula>
    </cfRule>
  </conditionalFormatting>
  <conditionalFormatting sqref="E148:Q149">
    <cfRule type="expression" dxfId="117" priority="2">
      <formula>ABS(E148)&lt;1</formula>
    </cfRule>
  </conditionalFormatting>
  <conditionalFormatting sqref="E158:Q159">
    <cfRule type="expression" dxfId="116" priority="7">
      <formula>ABS(E158)&lt;1</formula>
    </cfRule>
  </conditionalFormatting>
  <conditionalFormatting sqref="E168:Q168">
    <cfRule type="expression" dxfId="115" priority="6">
      <formula>ABS(E168)&lt;1</formula>
    </cfRule>
  </conditionalFormatting>
  <conditionalFormatting sqref="E209:Q209">
    <cfRule type="cellIs" dxfId="114" priority="1" operator="between">
      <formula>-1</formula>
      <formula>1</formula>
    </cfRule>
  </conditionalFormatting>
  <dataValidations count="1">
    <dataValidation operator="notEqual" showInputMessage="1" showErrorMessage="1" sqref="E18:P18" xr:uid="{00000000-0002-0000-0200-000000000000}"/>
  </dataValidations>
  <pageMargins left="0" right="0" top="0" bottom="0" header="0.05" footer="0"/>
  <pageSetup scale="48" fitToHeight="2" orientation="landscape" cellComments="asDisplayed" r:id="rId1"/>
  <headerFooter alignWithMargins="0">
    <oddFooter>&amp;L&amp;Z&amp;F\&amp;A&amp;R&amp;D;&amp;T</oddFooter>
  </headerFooter>
  <rowBreaks count="1" manualBreakCount="1">
    <brk id="72" min="1" max="1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theme="0"/>
  </sheetPr>
  <dimension ref="A1:T185"/>
  <sheetViews>
    <sheetView topLeftCell="A141" zoomScaleNormal="100" workbookViewId="0">
      <selection activeCell="Q181" sqref="Q181"/>
    </sheetView>
  </sheetViews>
  <sheetFormatPr defaultColWidth="10.81640625" defaultRowHeight="16" x14ac:dyDescent="0.35"/>
  <cols>
    <col min="1" max="1" width="15.54296875" style="6" bestFit="1" customWidth="1"/>
    <col min="2" max="2" width="9.1796875" style="6" customWidth="1"/>
    <col min="3" max="3" width="2.81640625" style="6" customWidth="1"/>
    <col min="4" max="4" width="37.81640625" style="6" customWidth="1"/>
    <col min="5" max="5" width="14" style="6" bestFit="1" customWidth="1"/>
    <col min="6" max="6" width="12.81640625" style="6" bestFit="1" customWidth="1"/>
    <col min="7" max="8" width="15.81640625" style="6" customWidth="1"/>
    <col min="9" max="9" width="13.81640625" style="6" customWidth="1"/>
    <col min="10" max="10" width="13.1796875" style="6" customWidth="1"/>
    <col min="11" max="16" width="12.81640625" style="6" bestFit="1" customWidth="1"/>
    <col min="17" max="18" width="15.1796875" style="6" bestFit="1" customWidth="1"/>
    <col min="19" max="19" width="9.1796875" style="23" bestFit="1" customWidth="1"/>
    <col min="20" max="20" width="33.1796875" style="6" bestFit="1" customWidth="1"/>
    <col min="21" max="16384" width="10.81640625" style="6"/>
  </cols>
  <sheetData>
    <row r="1" spans="1:20" s="20" customFormat="1" ht="29" x14ac:dyDescent="0.25">
      <c r="B1" s="214">
        <v>1500</v>
      </c>
      <c r="C1" s="388" t="s">
        <v>557</v>
      </c>
      <c r="J1" s="21" t="str">
        <f>+'All Shopping Centers'!J1</f>
        <v>Operating Budget</v>
      </c>
      <c r="Q1" s="22">
        <f>'All Shopping Centers'!Q1</f>
        <v>46023</v>
      </c>
      <c r="R1" s="22"/>
      <c r="S1" s="230"/>
    </row>
    <row r="2" spans="1:20" ht="18" x14ac:dyDescent="0.35">
      <c r="J2" s="73" t="str">
        <f>'All Shopping Centers'!J2&amp;" - "&amp;B1</f>
        <v>Shopping Centers - 1500</v>
      </c>
    </row>
    <row r="3" spans="1:20" ht="7.5" customHeight="1" x14ac:dyDescent="0.35"/>
    <row r="4" spans="1:20" s="11" customFormat="1" ht="18" x14ac:dyDescent="0.35">
      <c r="B4" s="253">
        <v>2280</v>
      </c>
      <c r="C4" s="215"/>
      <c r="D4" s="13"/>
      <c r="E4" s="24" t="s">
        <v>0</v>
      </c>
      <c r="F4" s="24" t="s">
        <v>1</v>
      </c>
      <c r="G4" s="24" t="s">
        <v>2</v>
      </c>
      <c r="H4" s="24" t="s">
        <v>3</v>
      </c>
      <c r="I4" s="24" t="s">
        <v>4</v>
      </c>
      <c r="J4" s="24" t="s">
        <v>5</v>
      </c>
      <c r="K4" s="24" t="s">
        <v>6</v>
      </c>
      <c r="L4" s="24" t="s">
        <v>7</v>
      </c>
      <c r="M4" s="24" t="s">
        <v>8</v>
      </c>
      <c r="N4" s="24" t="s">
        <v>9</v>
      </c>
      <c r="O4" s="24" t="s">
        <v>10</v>
      </c>
      <c r="P4" s="24" t="s">
        <v>11</v>
      </c>
      <c r="Q4" s="100" t="s">
        <v>12</v>
      </c>
      <c r="R4" s="100" t="s">
        <v>317</v>
      </c>
      <c r="S4" s="231" t="s">
        <v>349</v>
      </c>
      <c r="T4" s="227" t="s">
        <v>282</v>
      </c>
    </row>
    <row r="5" spans="1:20" x14ac:dyDescent="0.35">
      <c r="Q5" s="101"/>
      <c r="R5" s="101"/>
    </row>
    <row r="6" spans="1:20" s="25" customFormat="1" x14ac:dyDescent="0.35">
      <c r="B6" s="26"/>
      <c r="D6" s="211" t="s">
        <v>13</v>
      </c>
      <c r="E6" s="212">
        <f>'Renew &amp; Vac '!AJ31</f>
        <v>1</v>
      </c>
      <c r="F6" s="212">
        <f>'Renew &amp; Vac '!AK31</f>
        <v>1</v>
      </c>
      <c r="G6" s="212">
        <f>'Renew &amp; Vac '!AL31</f>
        <v>1</v>
      </c>
      <c r="H6" s="212">
        <f>'Renew &amp; Vac '!AM31</f>
        <v>1</v>
      </c>
      <c r="I6" s="212">
        <f>'Renew &amp; Vac '!AN31</f>
        <v>1</v>
      </c>
      <c r="J6" s="212">
        <f>'Renew &amp; Vac '!AO31</f>
        <v>1</v>
      </c>
      <c r="K6" s="212">
        <f>'Renew &amp; Vac '!AP31</f>
        <v>1</v>
      </c>
      <c r="L6" s="212">
        <f>'Renew &amp; Vac '!AQ31</f>
        <v>1</v>
      </c>
      <c r="M6" s="212">
        <f>'Renew &amp; Vac '!AR31</f>
        <v>1</v>
      </c>
      <c r="N6" s="212">
        <f>'Renew &amp; Vac '!AS31</f>
        <v>1</v>
      </c>
      <c r="O6" s="212">
        <f>'Renew &amp; Vac '!AT31</f>
        <v>1</v>
      </c>
      <c r="P6" s="212">
        <f>'Renew &amp; Vac '!AU31</f>
        <v>1</v>
      </c>
      <c r="Q6" s="102"/>
      <c r="R6" s="102"/>
      <c r="S6" s="232"/>
    </row>
    <row r="7" spans="1:20" s="25" customFormat="1" x14ac:dyDescent="0.35">
      <c r="B7" s="26"/>
      <c r="D7" s="211" t="s">
        <v>323</v>
      </c>
      <c r="E7" s="213">
        <f>$B$4*E6</f>
        <v>2280</v>
      </c>
      <c r="F7" s="213">
        <f t="shared" ref="F7:P7" si="0">$B$4*F6</f>
        <v>2280</v>
      </c>
      <c r="G7" s="213">
        <f t="shared" si="0"/>
        <v>2280</v>
      </c>
      <c r="H7" s="213">
        <f t="shared" si="0"/>
        <v>2280</v>
      </c>
      <c r="I7" s="213">
        <f t="shared" si="0"/>
        <v>2280</v>
      </c>
      <c r="J7" s="213">
        <f t="shared" si="0"/>
        <v>2280</v>
      </c>
      <c r="K7" s="213">
        <f t="shared" si="0"/>
        <v>2280</v>
      </c>
      <c r="L7" s="213">
        <f t="shared" si="0"/>
        <v>2280</v>
      </c>
      <c r="M7" s="213">
        <f t="shared" si="0"/>
        <v>2280</v>
      </c>
      <c r="N7" s="213">
        <f t="shared" si="0"/>
        <v>2280</v>
      </c>
      <c r="O7" s="213">
        <f t="shared" si="0"/>
        <v>2280</v>
      </c>
      <c r="P7" s="213">
        <f t="shared" si="0"/>
        <v>2280</v>
      </c>
      <c r="Q7" s="102"/>
      <c r="R7" s="102"/>
      <c r="S7" s="232"/>
    </row>
    <row r="8" spans="1:20" ht="18" x14ac:dyDescent="0.35">
      <c r="B8" s="7" t="s">
        <v>14</v>
      </c>
      <c r="Q8" s="101"/>
      <c r="R8" s="101"/>
    </row>
    <row r="9" spans="1:20" x14ac:dyDescent="0.35">
      <c r="A9" s="66"/>
      <c r="Q9" s="101"/>
      <c r="R9" s="101"/>
    </row>
    <row r="10" spans="1:20" x14ac:dyDescent="0.35">
      <c r="A10" s="66" t="s">
        <v>132</v>
      </c>
      <c r="C10" s="6" t="s">
        <v>159</v>
      </c>
      <c r="E10" s="6">
        <f>SUMIFS('In Place Revenue'!$G:$G,'In Place Revenue'!$A:$A,$B$1,'In Place Revenue'!$H:$H,1)</f>
        <v>0</v>
      </c>
      <c r="F10" s="6">
        <f>SUMIFS('In Place Revenue'!$G:$G,'In Place Revenue'!$A:$A,$B$1,'In Place Revenue'!$H:$H,2)</f>
        <v>0</v>
      </c>
      <c r="G10" s="6">
        <f>SUMIFS('In Place Revenue'!$G:$G,'In Place Revenue'!$A:$A,$B$1,'In Place Revenue'!$H:$H,3)</f>
        <v>0</v>
      </c>
      <c r="H10" s="6">
        <f>SUMIFS('In Place Revenue'!$G:$G,'In Place Revenue'!$A:$A,$B$1,'In Place Revenue'!$H:$H,4)</f>
        <v>0</v>
      </c>
      <c r="I10" s="6">
        <f>SUMIFS('In Place Revenue'!$G:$G,'In Place Revenue'!$A:$A,$B$1,'In Place Revenue'!$H:$H,5)</f>
        <v>0</v>
      </c>
      <c r="J10" s="6">
        <f>SUMIFS('In Place Revenue'!$G:$G,'In Place Revenue'!$A:$A,$B$1,'In Place Revenue'!$H:$H,6)</f>
        <v>0</v>
      </c>
      <c r="K10" s="6">
        <f>SUMIFS('In Place Revenue'!$G:$G,'In Place Revenue'!$A:$A,$B$1,'In Place Revenue'!$H:$H,7)</f>
        <v>0</v>
      </c>
      <c r="L10" s="6">
        <f>SUMIFS('In Place Revenue'!$G:$G,'In Place Revenue'!$A:$A,$B$1,'In Place Revenue'!$H:$H,8)</f>
        <v>0</v>
      </c>
      <c r="M10" s="6">
        <f>SUMIFS('In Place Revenue'!$G:$G,'In Place Revenue'!$A:$A,$B$1,'In Place Revenue'!$H:$H,9)</f>
        <v>0</v>
      </c>
      <c r="N10" s="6">
        <f>SUMIFS('In Place Revenue'!$G:$G,'In Place Revenue'!$A:$A,$B$1,'In Place Revenue'!$H:$H,10)</f>
        <v>0</v>
      </c>
      <c r="O10" s="6">
        <f>SUMIFS('In Place Revenue'!$G:$G,'In Place Revenue'!$A:$A,$B$1,'In Place Revenue'!$H:$H,11)</f>
        <v>0</v>
      </c>
      <c r="P10" s="6">
        <f>SUMIFS('In Place Revenue'!$G:$G,'In Place Revenue'!$A:$A,$B$1,'In Place Revenue'!$H:$H,12)</f>
        <v>0</v>
      </c>
      <c r="Q10" s="101">
        <f>SUM(E10:P10)</f>
        <v>0</v>
      </c>
      <c r="R10" s="184">
        <f>Q10/$B$4</f>
        <v>0</v>
      </c>
      <c r="S10" s="233"/>
    </row>
    <row r="11" spans="1:20" x14ac:dyDescent="0.35">
      <c r="A11" s="66" t="s">
        <v>132</v>
      </c>
      <c r="C11" s="6" t="s">
        <v>160</v>
      </c>
      <c r="E11" s="6">
        <f>'Renew &amp; Vac '!AJ32</f>
        <v>0</v>
      </c>
      <c r="F11" s="6">
        <f>'Renew &amp; Vac '!AK32</f>
        <v>0</v>
      </c>
      <c r="G11" s="6">
        <f>'Renew &amp; Vac '!AL32</f>
        <v>0</v>
      </c>
      <c r="H11" s="6">
        <f>'Renew &amp; Vac '!AM32</f>
        <v>0</v>
      </c>
      <c r="I11" s="6">
        <f>'Renew &amp; Vac '!AN32</f>
        <v>0</v>
      </c>
      <c r="J11" s="6">
        <f>'Renew &amp; Vac '!AO32</f>
        <v>0</v>
      </c>
      <c r="K11" s="6">
        <f>'Renew &amp; Vac '!AP32</f>
        <v>0</v>
      </c>
      <c r="L11" s="6">
        <f>'Renew &amp; Vac '!AQ32</f>
        <v>0</v>
      </c>
      <c r="M11" s="6">
        <f>'Renew &amp; Vac '!AR32</f>
        <v>0</v>
      </c>
      <c r="N11" s="6">
        <f>'Renew &amp; Vac '!AS32</f>
        <v>0</v>
      </c>
      <c r="O11" s="6">
        <f>'Renew &amp; Vac '!AT32</f>
        <v>0</v>
      </c>
      <c r="P11" s="6">
        <f>'Renew &amp; Vac '!AU32</f>
        <v>0</v>
      </c>
      <c r="Q11" s="101">
        <f>SUM(E11:P11)</f>
        <v>0</v>
      </c>
      <c r="R11" s="184">
        <f t="shared" ref="R11:R73" si="1">Q11/$B$4</f>
        <v>0</v>
      </c>
      <c r="S11" s="233"/>
    </row>
    <row r="12" spans="1:20" x14ac:dyDescent="0.35">
      <c r="A12" s="66" t="s">
        <v>97</v>
      </c>
      <c r="C12" s="6" t="s">
        <v>300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01">
        <f>SUM(E12:P12)</f>
        <v>0</v>
      </c>
      <c r="R12" s="184">
        <f t="shared" si="1"/>
        <v>0</v>
      </c>
      <c r="S12" s="233"/>
    </row>
    <row r="13" spans="1:20" x14ac:dyDescent="0.35">
      <c r="A13" s="66" t="s">
        <v>133</v>
      </c>
      <c r="C13" s="6" t="s">
        <v>16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01">
        <f>SUM(E13:P13)</f>
        <v>0</v>
      </c>
      <c r="R13" s="184">
        <f t="shared" si="1"/>
        <v>0</v>
      </c>
      <c r="S13" s="233"/>
    </row>
    <row r="14" spans="1:20" x14ac:dyDescent="0.35">
      <c r="A14" s="66" t="s">
        <v>134</v>
      </c>
      <c r="C14" s="6" t="s">
        <v>17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01">
        <f>SUM(E14:P14)</f>
        <v>0</v>
      </c>
      <c r="R14" s="184">
        <f t="shared" si="1"/>
        <v>0</v>
      </c>
      <c r="S14" s="233"/>
    </row>
    <row r="15" spans="1:20" x14ac:dyDescent="0.35">
      <c r="A15" s="66"/>
      <c r="C15" s="6" t="s">
        <v>18</v>
      </c>
      <c r="D15" s="16"/>
      <c r="E15" s="28">
        <f t="shared" ref="E15:Q15" si="2">SUM(E10:E14)</f>
        <v>0</v>
      </c>
      <c r="F15" s="28">
        <f t="shared" si="2"/>
        <v>0</v>
      </c>
      <c r="G15" s="28">
        <f t="shared" si="2"/>
        <v>0</v>
      </c>
      <c r="H15" s="28">
        <f t="shared" si="2"/>
        <v>0</v>
      </c>
      <c r="I15" s="28">
        <f t="shared" si="2"/>
        <v>0</v>
      </c>
      <c r="J15" s="28">
        <f t="shared" si="2"/>
        <v>0</v>
      </c>
      <c r="K15" s="28">
        <f t="shared" si="2"/>
        <v>0</v>
      </c>
      <c r="L15" s="28">
        <f t="shared" si="2"/>
        <v>0</v>
      </c>
      <c r="M15" s="28">
        <f t="shared" si="2"/>
        <v>0</v>
      </c>
      <c r="N15" s="28">
        <f t="shared" si="2"/>
        <v>0</v>
      </c>
      <c r="O15" s="28">
        <f t="shared" si="2"/>
        <v>0</v>
      </c>
      <c r="P15" s="28">
        <f t="shared" si="2"/>
        <v>0</v>
      </c>
      <c r="Q15" s="110">
        <f t="shared" si="2"/>
        <v>0</v>
      </c>
      <c r="R15" s="191">
        <f t="shared" si="1"/>
        <v>0</v>
      </c>
      <c r="S15" s="233"/>
    </row>
    <row r="16" spans="1:20" ht="18" x14ac:dyDescent="0.35">
      <c r="A16" s="66"/>
      <c r="Q16" s="103"/>
      <c r="R16" s="185"/>
      <c r="S16" s="234"/>
    </row>
    <row r="17" spans="1:19" ht="18" x14ac:dyDescent="0.35">
      <c r="A17" s="66"/>
      <c r="B17" s="7" t="s">
        <v>19</v>
      </c>
      <c r="Q17" s="101"/>
      <c r="R17" s="184"/>
      <c r="S17" s="233"/>
    </row>
    <row r="18" spans="1:19" x14ac:dyDescent="0.35">
      <c r="A18" s="66" t="s">
        <v>98</v>
      </c>
      <c r="C18" s="6" t="s">
        <v>20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01">
        <f>SUM(E18:P18)</f>
        <v>0</v>
      </c>
      <c r="R18" s="184">
        <f t="shared" ref="R18" si="3">Q18/$B$4</f>
        <v>0</v>
      </c>
      <c r="S18" s="233"/>
    </row>
    <row r="19" spans="1:19" x14ac:dyDescent="0.35">
      <c r="A19" s="66" t="s">
        <v>99</v>
      </c>
      <c r="C19" s="6" t="s">
        <v>21</v>
      </c>
      <c r="E19" s="6">
        <f>+'Tenant Recoveries'!F26</f>
        <v>0</v>
      </c>
      <c r="F19" s="6">
        <f>+E19</f>
        <v>0</v>
      </c>
      <c r="G19" s="6">
        <f t="shared" ref="G19:P20" si="4">+F19</f>
        <v>0</v>
      </c>
      <c r="H19" s="6">
        <f t="shared" si="4"/>
        <v>0</v>
      </c>
      <c r="I19" s="6">
        <f t="shared" si="4"/>
        <v>0</v>
      </c>
      <c r="J19" s="6">
        <f t="shared" si="4"/>
        <v>0</v>
      </c>
      <c r="K19" s="6">
        <f t="shared" si="4"/>
        <v>0</v>
      </c>
      <c r="L19" s="6">
        <f t="shared" si="4"/>
        <v>0</v>
      </c>
      <c r="M19" s="6">
        <f t="shared" si="4"/>
        <v>0</v>
      </c>
      <c r="N19" s="6">
        <f t="shared" si="4"/>
        <v>0</v>
      </c>
      <c r="O19" s="6">
        <f t="shared" si="4"/>
        <v>0</v>
      </c>
      <c r="P19" s="6">
        <f t="shared" si="4"/>
        <v>0</v>
      </c>
      <c r="Q19" s="101">
        <f>SUM(E19:P19)</f>
        <v>0</v>
      </c>
      <c r="R19" s="184">
        <f t="shared" si="1"/>
        <v>0</v>
      </c>
      <c r="S19" s="233"/>
    </row>
    <row r="20" spans="1:19" x14ac:dyDescent="0.35">
      <c r="A20" s="66" t="s">
        <v>100</v>
      </c>
      <c r="C20" s="6" t="s">
        <v>22</v>
      </c>
      <c r="E20" s="6">
        <f>+'Tenant Recoveries'!F27</f>
        <v>0</v>
      </c>
      <c r="F20" s="6">
        <f>+E20</f>
        <v>0</v>
      </c>
      <c r="G20" s="6">
        <f t="shared" si="4"/>
        <v>0</v>
      </c>
      <c r="H20" s="6">
        <f t="shared" si="4"/>
        <v>0</v>
      </c>
      <c r="I20" s="6">
        <f t="shared" si="4"/>
        <v>0</v>
      </c>
      <c r="J20" s="6">
        <f t="shared" si="4"/>
        <v>0</v>
      </c>
      <c r="K20" s="6">
        <f t="shared" si="4"/>
        <v>0</v>
      </c>
      <c r="L20" s="6">
        <f t="shared" si="4"/>
        <v>0</v>
      </c>
      <c r="M20" s="6">
        <f t="shared" si="4"/>
        <v>0</v>
      </c>
      <c r="N20" s="6">
        <f t="shared" si="4"/>
        <v>0</v>
      </c>
      <c r="O20" s="6">
        <f t="shared" si="4"/>
        <v>0</v>
      </c>
      <c r="P20" s="6">
        <f t="shared" si="4"/>
        <v>0</v>
      </c>
      <c r="Q20" s="101">
        <f>SUM(E20:P20)</f>
        <v>0</v>
      </c>
      <c r="R20" s="184">
        <f t="shared" si="1"/>
        <v>0</v>
      </c>
      <c r="S20" s="233"/>
    </row>
    <row r="21" spans="1:19" x14ac:dyDescent="0.35">
      <c r="A21" s="66" t="s">
        <v>135</v>
      </c>
      <c r="C21" s="6" t="s">
        <v>23</v>
      </c>
      <c r="Q21" s="101">
        <f>SUM(E21:P21)</f>
        <v>0</v>
      </c>
      <c r="R21" s="184">
        <f t="shared" si="1"/>
        <v>0</v>
      </c>
      <c r="S21" s="233"/>
    </row>
    <row r="22" spans="1:19" x14ac:dyDescent="0.35">
      <c r="A22" s="66"/>
      <c r="C22" s="6" t="s">
        <v>24</v>
      </c>
      <c r="D22" s="16"/>
      <c r="E22" s="28">
        <f t="shared" ref="E22:Q22" si="5">SUM(E18:E21)</f>
        <v>0</v>
      </c>
      <c r="F22" s="28">
        <f t="shared" si="5"/>
        <v>0</v>
      </c>
      <c r="G22" s="28">
        <f t="shared" si="5"/>
        <v>0</v>
      </c>
      <c r="H22" s="28">
        <f t="shared" si="5"/>
        <v>0</v>
      </c>
      <c r="I22" s="28">
        <f t="shared" si="5"/>
        <v>0</v>
      </c>
      <c r="J22" s="28">
        <f t="shared" si="5"/>
        <v>0</v>
      </c>
      <c r="K22" s="28">
        <f t="shared" si="5"/>
        <v>0</v>
      </c>
      <c r="L22" s="28">
        <f t="shared" si="5"/>
        <v>0</v>
      </c>
      <c r="M22" s="28">
        <f t="shared" si="5"/>
        <v>0</v>
      </c>
      <c r="N22" s="28">
        <f t="shared" si="5"/>
        <v>0</v>
      </c>
      <c r="O22" s="28">
        <f t="shared" si="5"/>
        <v>0</v>
      </c>
      <c r="P22" s="28">
        <f t="shared" si="5"/>
        <v>0</v>
      </c>
      <c r="Q22" s="110">
        <f t="shared" si="5"/>
        <v>0</v>
      </c>
      <c r="R22" s="191">
        <f t="shared" si="1"/>
        <v>0</v>
      </c>
      <c r="S22" s="233"/>
    </row>
    <row r="23" spans="1:19" ht="16.5" thickBot="1" x14ac:dyDescent="0.4">
      <c r="A23" s="66"/>
      <c r="Q23" s="101"/>
      <c r="R23" s="184">
        <f t="shared" si="1"/>
        <v>0</v>
      </c>
      <c r="S23" s="233"/>
    </row>
    <row r="24" spans="1:19" s="9" customFormat="1" ht="18" thickBot="1" x14ac:dyDescent="0.4">
      <c r="A24" s="218"/>
      <c r="B24" s="219" t="s">
        <v>25</v>
      </c>
      <c r="C24" s="220"/>
      <c r="D24" s="220"/>
      <c r="E24" s="220">
        <f t="shared" ref="E24:Q24" si="6">+E15+E22</f>
        <v>0</v>
      </c>
      <c r="F24" s="220">
        <f t="shared" si="6"/>
        <v>0</v>
      </c>
      <c r="G24" s="220">
        <f t="shared" si="6"/>
        <v>0</v>
      </c>
      <c r="H24" s="220">
        <f t="shared" si="6"/>
        <v>0</v>
      </c>
      <c r="I24" s="220">
        <f t="shared" si="6"/>
        <v>0</v>
      </c>
      <c r="J24" s="220">
        <f t="shared" si="6"/>
        <v>0</v>
      </c>
      <c r="K24" s="220">
        <f t="shared" si="6"/>
        <v>0</v>
      </c>
      <c r="L24" s="220">
        <f t="shared" si="6"/>
        <v>0</v>
      </c>
      <c r="M24" s="220">
        <f t="shared" si="6"/>
        <v>0</v>
      </c>
      <c r="N24" s="220">
        <f t="shared" si="6"/>
        <v>0</v>
      </c>
      <c r="O24" s="220">
        <f t="shared" si="6"/>
        <v>0</v>
      </c>
      <c r="P24" s="220">
        <f t="shared" si="6"/>
        <v>0</v>
      </c>
      <c r="Q24" s="221">
        <f t="shared" si="6"/>
        <v>0</v>
      </c>
      <c r="R24" s="222">
        <f t="shared" si="1"/>
        <v>0</v>
      </c>
      <c r="S24" s="235"/>
    </row>
    <row r="25" spans="1:19" ht="18" x14ac:dyDescent="0.35">
      <c r="A25" s="66"/>
      <c r="Q25" s="103"/>
      <c r="R25" s="185"/>
      <c r="S25" s="234"/>
    </row>
    <row r="26" spans="1:19" ht="18" x14ac:dyDescent="0.35">
      <c r="A26" s="66"/>
      <c r="B26" s="7" t="s">
        <v>26</v>
      </c>
      <c r="Q26" s="101"/>
      <c r="R26" s="184"/>
      <c r="S26" s="233"/>
    </row>
    <row r="27" spans="1:19" x14ac:dyDescent="0.35">
      <c r="A27" s="66" t="s">
        <v>101</v>
      </c>
      <c r="C27" s="6" t="s">
        <v>27</v>
      </c>
      <c r="E27" s="6">
        <f>VLOOKUP($B$1,'Allocated Expenses'!$B$6:$P$15,4,FALSE)</f>
        <v>70.208331227445953</v>
      </c>
      <c r="F27" s="6">
        <f>VLOOKUP($B$1,'Allocated Expenses'!$B$6:$P$15,5,FALSE)</f>
        <v>70.208331227445953</v>
      </c>
      <c r="G27" s="6">
        <f>VLOOKUP($B$1,'Allocated Expenses'!$B$6:$P$15,6,FALSE)</f>
        <v>70.208331227445953</v>
      </c>
      <c r="H27" s="6">
        <f>VLOOKUP($B$1,'Allocated Expenses'!$B$6:$P$15,7,FALSE)</f>
        <v>70.208331227445953</v>
      </c>
      <c r="I27" s="6">
        <f>VLOOKUP($B$1,'Allocated Expenses'!$B$6:$P$15,8,FALSE)</f>
        <v>70.208331227445953</v>
      </c>
      <c r="J27" s="6">
        <f>VLOOKUP($B$1,'Allocated Expenses'!$B$6:$P$15,9,FALSE)</f>
        <v>70.208331227445953</v>
      </c>
      <c r="K27" s="6">
        <f>VLOOKUP($B$1,'Allocated Expenses'!$B$6:$P$15,10,FALSE)</f>
        <v>70.208331227445953</v>
      </c>
      <c r="L27" s="6">
        <f>VLOOKUP($B$1,'Allocated Expenses'!$B$6:$P$15,11,FALSE)</f>
        <v>70.208331227445953</v>
      </c>
      <c r="M27" s="6">
        <f>VLOOKUP($B$1,'Allocated Expenses'!$B$6:$P$15,12,FALSE)</f>
        <v>70.208331227445953</v>
      </c>
      <c r="N27" s="6">
        <f>VLOOKUP($B$1,'Allocated Expenses'!$B$6:$P$15,13,FALSE)</f>
        <v>70.208331227445953</v>
      </c>
      <c r="O27" s="6">
        <f>VLOOKUP($B$1,'Allocated Expenses'!$B$6:$P$15,14,FALSE)</f>
        <v>70.208331227445953</v>
      </c>
      <c r="P27" s="6">
        <f>VLOOKUP($B$1,'Allocated Expenses'!$B$6:$P$15,15,FALSE)</f>
        <v>70.208331227445953</v>
      </c>
      <c r="Q27" s="101">
        <f>SUM(E27:P27)</f>
        <v>842.49997472935127</v>
      </c>
      <c r="R27" s="184">
        <f t="shared" si="1"/>
        <v>0.36951753277603128</v>
      </c>
      <c r="S27" s="233"/>
    </row>
    <row r="28" spans="1:19" x14ac:dyDescent="0.35">
      <c r="A28" s="66"/>
      <c r="Q28" s="101"/>
      <c r="R28" s="184"/>
      <c r="S28" s="233"/>
    </row>
    <row r="29" spans="1:19" x14ac:dyDescent="0.35">
      <c r="A29" s="66" t="s">
        <v>102</v>
      </c>
      <c r="C29" s="6" t="s">
        <v>20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01">
        <f>SUM(E29:P29)</f>
        <v>0</v>
      </c>
      <c r="R29" s="184">
        <f t="shared" si="1"/>
        <v>0</v>
      </c>
      <c r="S29" s="233"/>
    </row>
    <row r="30" spans="1:19" x14ac:dyDescent="0.35">
      <c r="A30" s="66"/>
      <c r="Q30" s="101"/>
      <c r="R30" s="184"/>
      <c r="S30" s="233"/>
    </row>
    <row r="31" spans="1:19" x14ac:dyDescent="0.35">
      <c r="A31" s="66" t="s">
        <v>103</v>
      </c>
      <c r="C31" s="6" t="s">
        <v>28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01">
        <f>SUM(E31:P31)</f>
        <v>0</v>
      </c>
      <c r="R31" s="184">
        <f t="shared" si="1"/>
        <v>0</v>
      </c>
      <c r="S31" s="233"/>
    </row>
    <row r="32" spans="1:19" x14ac:dyDescent="0.35">
      <c r="A32" s="66"/>
      <c r="Q32" s="101"/>
      <c r="R32" s="184"/>
      <c r="S32" s="233"/>
    </row>
    <row r="33" spans="1:19" x14ac:dyDescent="0.35">
      <c r="A33" s="66"/>
      <c r="D33" s="50" t="s">
        <v>29</v>
      </c>
      <c r="E33" s="45">
        <f>'Building Maint'!C21</f>
        <v>0</v>
      </c>
      <c r="F33" s="45">
        <f>'Building Maint'!D21</f>
        <v>0</v>
      </c>
      <c r="G33" s="45">
        <f>'Building Maint'!E21</f>
        <v>0</v>
      </c>
      <c r="H33" s="45">
        <f>'Building Maint'!F21</f>
        <v>0</v>
      </c>
      <c r="I33" s="45">
        <f>'Building Maint'!G21</f>
        <v>0</v>
      </c>
      <c r="J33" s="45">
        <f>'Building Maint'!H21</f>
        <v>0</v>
      </c>
      <c r="K33" s="45">
        <f>'Building Maint'!I21</f>
        <v>0</v>
      </c>
      <c r="L33" s="45">
        <f>'Building Maint'!J21</f>
        <v>0</v>
      </c>
      <c r="M33" s="45">
        <f>'Building Maint'!K21</f>
        <v>0</v>
      </c>
      <c r="N33" s="45">
        <f>'Building Maint'!L21</f>
        <v>0</v>
      </c>
      <c r="O33" s="45">
        <f>'Building Maint'!M21</f>
        <v>0</v>
      </c>
      <c r="P33" s="45">
        <f>'Building Maint'!N21</f>
        <v>0</v>
      </c>
      <c r="Q33" s="195">
        <f>SUM(E33:P33)</f>
        <v>0</v>
      </c>
      <c r="R33" s="186">
        <f t="shared" si="1"/>
        <v>0</v>
      </c>
      <c r="S33" s="233"/>
    </row>
    <row r="34" spans="1:19" x14ac:dyDescent="0.35">
      <c r="A34" s="66"/>
      <c r="D34" s="51" t="s">
        <v>30</v>
      </c>
      <c r="E34" s="6">
        <f>'Building Maint'!C7</f>
        <v>0</v>
      </c>
      <c r="F34" s="6">
        <f>'Building Maint'!D7</f>
        <v>0</v>
      </c>
      <c r="G34" s="6">
        <f>'Building Maint'!E7</f>
        <v>0</v>
      </c>
      <c r="H34" s="6">
        <f>'Building Maint'!F7</f>
        <v>0</v>
      </c>
      <c r="I34" s="6">
        <f>'Building Maint'!G7</f>
        <v>0</v>
      </c>
      <c r="J34" s="6">
        <f>'Building Maint'!H7</f>
        <v>0</v>
      </c>
      <c r="K34" s="6">
        <f>'Building Maint'!I7</f>
        <v>0</v>
      </c>
      <c r="L34" s="6">
        <f>'Building Maint'!J7</f>
        <v>0</v>
      </c>
      <c r="M34" s="6">
        <f>'Building Maint'!K7</f>
        <v>0</v>
      </c>
      <c r="N34" s="6">
        <f>'Building Maint'!L7</f>
        <v>0</v>
      </c>
      <c r="O34" s="6">
        <f>'Building Maint'!M7</f>
        <v>0</v>
      </c>
      <c r="P34" s="6">
        <f>'Building Maint'!N7</f>
        <v>0</v>
      </c>
      <c r="Q34" s="196">
        <f>SUM(E34:P34)</f>
        <v>0</v>
      </c>
      <c r="R34" s="187">
        <f t="shared" si="1"/>
        <v>0</v>
      </c>
      <c r="S34" s="233"/>
    </row>
    <row r="35" spans="1:19" x14ac:dyDescent="0.35">
      <c r="A35" s="66"/>
      <c r="D35" s="52" t="s">
        <v>31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97">
        <f>SUM(E35:P35)</f>
        <v>0</v>
      </c>
      <c r="R35" s="188">
        <f t="shared" si="1"/>
        <v>0</v>
      </c>
      <c r="S35" s="233"/>
    </row>
    <row r="36" spans="1:19" x14ac:dyDescent="0.35">
      <c r="A36" s="66" t="s">
        <v>104</v>
      </c>
      <c r="C36" s="6" t="s">
        <v>32</v>
      </c>
      <c r="E36" s="15">
        <f t="shared" ref="E36:Q36" si="7">SUM(E33:E35)</f>
        <v>0</v>
      </c>
      <c r="F36" s="15">
        <f t="shared" si="7"/>
        <v>0</v>
      </c>
      <c r="G36" s="15">
        <f t="shared" si="7"/>
        <v>0</v>
      </c>
      <c r="H36" s="15">
        <f t="shared" si="7"/>
        <v>0</v>
      </c>
      <c r="I36" s="15">
        <f t="shared" si="7"/>
        <v>0</v>
      </c>
      <c r="J36" s="15">
        <f t="shared" si="7"/>
        <v>0</v>
      </c>
      <c r="K36" s="15">
        <f t="shared" si="7"/>
        <v>0</v>
      </c>
      <c r="L36" s="15">
        <f t="shared" si="7"/>
        <v>0</v>
      </c>
      <c r="M36" s="15">
        <f t="shared" si="7"/>
        <v>0</v>
      </c>
      <c r="N36" s="15">
        <f>SUM(N33:N35)</f>
        <v>0</v>
      </c>
      <c r="O36" s="15">
        <f t="shared" si="7"/>
        <v>0</v>
      </c>
      <c r="P36" s="15">
        <f t="shared" si="7"/>
        <v>0</v>
      </c>
      <c r="Q36" s="108">
        <f t="shared" si="7"/>
        <v>0</v>
      </c>
      <c r="R36" s="189">
        <f t="shared" si="1"/>
        <v>0</v>
      </c>
      <c r="S36" s="233"/>
    </row>
    <row r="37" spans="1:19" x14ac:dyDescent="0.35">
      <c r="A37" s="66"/>
      <c r="Q37" s="101"/>
      <c r="R37" s="184"/>
      <c r="S37" s="233"/>
    </row>
    <row r="38" spans="1:19" x14ac:dyDescent="0.35">
      <c r="A38" s="66" t="s">
        <v>136</v>
      </c>
      <c r="B38" s="6" t="s">
        <v>33</v>
      </c>
      <c r="C38" s="6" t="s">
        <v>34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01">
        <f>SUM(E38:P38)</f>
        <v>0</v>
      </c>
      <c r="R38" s="184">
        <f t="shared" si="1"/>
        <v>0</v>
      </c>
      <c r="S38" s="233"/>
    </row>
    <row r="39" spans="1:19" x14ac:dyDescent="0.35">
      <c r="A39" s="66"/>
      <c r="Q39" s="101"/>
      <c r="R39" s="184"/>
      <c r="S39" s="233"/>
    </row>
    <row r="40" spans="1:19" x14ac:dyDescent="0.35">
      <c r="A40" s="66"/>
      <c r="D40" s="50" t="s">
        <v>35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195">
        <f>SUM(E40:P40)</f>
        <v>0</v>
      </c>
      <c r="R40" s="186">
        <f t="shared" si="1"/>
        <v>0</v>
      </c>
      <c r="S40" s="233"/>
    </row>
    <row r="41" spans="1:19" x14ac:dyDescent="0.35">
      <c r="A41" s="66"/>
      <c r="D41" s="51" t="s">
        <v>36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96">
        <f>SUM(E41:P41)</f>
        <v>0</v>
      </c>
      <c r="R41" s="187">
        <f t="shared" si="1"/>
        <v>0</v>
      </c>
      <c r="S41" s="233"/>
    </row>
    <row r="42" spans="1:19" x14ac:dyDescent="0.35">
      <c r="A42" s="66"/>
      <c r="D42" s="52" t="s">
        <v>37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97">
        <f>SUM(E42:P42)</f>
        <v>0</v>
      </c>
      <c r="R42" s="188">
        <f t="shared" si="1"/>
        <v>0</v>
      </c>
      <c r="S42" s="233"/>
    </row>
    <row r="43" spans="1:19" x14ac:dyDescent="0.35">
      <c r="A43" s="66" t="s">
        <v>105</v>
      </c>
      <c r="C43" s="6" t="s">
        <v>38</v>
      </c>
      <c r="E43" s="15">
        <f t="shared" ref="E43:Q43" si="8">SUM(E40:E42)</f>
        <v>0</v>
      </c>
      <c r="F43" s="15">
        <f t="shared" si="8"/>
        <v>0</v>
      </c>
      <c r="G43" s="15">
        <f t="shared" si="8"/>
        <v>0</v>
      </c>
      <c r="H43" s="15">
        <f t="shared" si="8"/>
        <v>0</v>
      </c>
      <c r="I43" s="15">
        <f t="shared" si="8"/>
        <v>0</v>
      </c>
      <c r="J43" s="15">
        <f t="shared" si="8"/>
        <v>0</v>
      </c>
      <c r="K43" s="15">
        <f t="shared" si="8"/>
        <v>0</v>
      </c>
      <c r="L43" s="15">
        <f t="shared" si="8"/>
        <v>0</v>
      </c>
      <c r="M43" s="15">
        <f>SUM(M40:M42)</f>
        <v>0</v>
      </c>
      <c r="N43" s="15">
        <f t="shared" si="8"/>
        <v>0</v>
      </c>
      <c r="O43" s="15">
        <f t="shared" si="8"/>
        <v>0</v>
      </c>
      <c r="P43" s="15">
        <f t="shared" si="8"/>
        <v>0</v>
      </c>
      <c r="Q43" s="108">
        <f t="shared" si="8"/>
        <v>0</v>
      </c>
      <c r="R43" s="189">
        <f t="shared" si="1"/>
        <v>0</v>
      </c>
      <c r="S43" s="233"/>
    </row>
    <row r="44" spans="1:19" x14ac:dyDescent="0.35">
      <c r="A44" s="66"/>
      <c r="Q44" s="101"/>
      <c r="R44" s="184"/>
      <c r="S44" s="233"/>
    </row>
    <row r="45" spans="1:19" x14ac:dyDescent="0.35">
      <c r="A45" s="66" t="s">
        <v>106</v>
      </c>
      <c r="C45" s="6" t="s">
        <v>39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01">
        <f>SUM(E45:P45)</f>
        <v>0</v>
      </c>
      <c r="R45" s="184">
        <f t="shared" si="1"/>
        <v>0</v>
      </c>
      <c r="S45" s="233"/>
    </row>
    <row r="46" spans="1:19" x14ac:dyDescent="0.35">
      <c r="A46" s="66"/>
      <c r="Q46" s="101">
        <f>SUM(E46:P46)</f>
        <v>0</v>
      </c>
      <c r="R46" s="184"/>
      <c r="S46" s="233"/>
    </row>
    <row r="47" spans="1:19" x14ac:dyDescent="0.35">
      <c r="A47" s="66"/>
      <c r="D47" s="50" t="s">
        <v>40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195">
        <f>SUM(E47:P47)</f>
        <v>0</v>
      </c>
      <c r="R47" s="186">
        <f t="shared" si="1"/>
        <v>0</v>
      </c>
      <c r="S47" s="233"/>
    </row>
    <row r="48" spans="1:19" x14ac:dyDescent="0.35">
      <c r="A48" s="66"/>
      <c r="D48" s="51" t="s">
        <v>41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96">
        <f>SUM(E48:P48)</f>
        <v>0</v>
      </c>
      <c r="R48" s="187">
        <f t="shared" si="1"/>
        <v>0</v>
      </c>
      <c r="S48" s="233"/>
    </row>
    <row r="49" spans="1:19" x14ac:dyDescent="0.35">
      <c r="A49" s="66"/>
      <c r="D49" s="52" t="s">
        <v>42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97">
        <f>SUM(E49:P49)</f>
        <v>0</v>
      </c>
      <c r="R49" s="188">
        <f t="shared" si="1"/>
        <v>0</v>
      </c>
      <c r="S49" s="233"/>
    </row>
    <row r="50" spans="1:19" x14ac:dyDescent="0.35">
      <c r="A50" s="66" t="s">
        <v>107</v>
      </c>
      <c r="C50" s="6" t="s">
        <v>43</v>
      </c>
      <c r="E50" s="15">
        <f>SUM(E47:E49)</f>
        <v>0</v>
      </c>
      <c r="F50" s="15">
        <f>SUM(F47:F49)</f>
        <v>0</v>
      </c>
      <c r="G50" s="15">
        <f>SUM(G47:G49)</f>
        <v>0</v>
      </c>
      <c r="H50" s="15">
        <f t="shared" ref="H50:K50" si="9">SUM(H47:H49)</f>
        <v>0</v>
      </c>
      <c r="I50" s="15">
        <f t="shared" si="9"/>
        <v>0</v>
      </c>
      <c r="J50" s="15">
        <f t="shared" si="9"/>
        <v>0</v>
      </c>
      <c r="K50" s="15">
        <f t="shared" si="9"/>
        <v>0</v>
      </c>
      <c r="L50" s="15">
        <f t="shared" ref="L50:Q50" si="10">SUM(L47:L49)</f>
        <v>0</v>
      </c>
      <c r="M50" s="15">
        <f t="shared" si="10"/>
        <v>0</v>
      </c>
      <c r="N50" s="15">
        <f t="shared" si="10"/>
        <v>0</v>
      </c>
      <c r="O50" s="15">
        <f t="shared" si="10"/>
        <v>0</v>
      </c>
      <c r="P50" s="15">
        <f t="shared" si="10"/>
        <v>0</v>
      </c>
      <c r="Q50" s="108">
        <f t="shared" si="10"/>
        <v>0</v>
      </c>
      <c r="R50" s="189">
        <f t="shared" si="1"/>
        <v>0</v>
      </c>
      <c r="S50" s="233"/>
    </row>
    <row r="51" spans="1:19" x14ac:dyDescent="0.35">
      <c r="A51" s="66"/>
      <c r="Q51" s="101"/>
      <c r="R51" s="184"/>
      <c r="S51" s="233"/>
    </row>
    <row r="52" spans="1:19" x14ac:dyDescent="0.35">
      <c r="A52" s="66" t="s">
        <v>108</v>
      </c>
      <c r="C52" s="6" t="s">
        <v>44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01">
        <f>SUM(E52:P52)</f>
        <v>0</v>
      </c>
      <c r="R52" s="184">
        <f t="shared" si="1"/>
        <v>0</v>
      </c>
      <c r="S52" s="233"/>
    </row>
    <row r="53" spans="1:19" x14ac:dyDescent="0.35">
      <c r="A53" s="66"/>
      <c r="Q53" s="101"/>
      <c r="R53" s="184"/>
      <c r="S53" s="233"/>
    </row>
    <row r="54" spans="1:19" hidden="1" x14ac:dyDescent="0.35">
      <c r="A54" s="66" t="s">
        <v>109</v>
      </c>
      <c r="B54" s="6" t="s">
        <v>45</v>
      </c>
      <c r="C54" s="6" t="s">
        <v>46</v>
      </c>
      <c r="Q54" s="101">
        <f>SUM(E54:P54)</f>
        <v>0</v>
      </c>
      <c r="R54" s="184">
        <f t="shared" si="1"/>
        <v>0</v>
      </c>
      <c r="S54" s="233"/>
    </row>
    <row r="55" spans="1:19" hidden="1" x14ac:dyDescent="0.35">
      <c r="A55" s="66"/>
      <c r="Q55" s="101"/>
      <c r="R55" s="184"/>
      <c r="S55" s="233"/>
    </row>
    <row r="56" spans="1:19" x14ac:dyDescent="0.35">
      <c r="A56" s="66" t="s">
        <v>110</v>
      </c>
      <c r="C56" s="6" t="s">
        <v>47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01">
        <f>SUM(E56:P56)</f>
        <v>0</v>
      </c>
      <c r="R56" s="184">
        <f t="shared" si="1"/>
        <v>0</v>
      </c>
      <c r="S56" s="233"/>
    </row>
    <row r="57" spans="1:19" x14ac:dyDescent="0.35">
      <c r="A57" s="66"/>
      <c r="Q57" s="101"/>
      <c r="R57" s="184"/>
      <c r="S57" s="233"/>
    </row>
    <row r="58" spans="1:19" x14ac:dyDescent="0.35">
      <c r="A58" s="66" t="s">
        <v>111</v>
      </c>
      <c r="C58" s="6" t="s">
        <v>22</v>
      </c>
      <c r="E58" s="6">
        <f>+'INS RET DEBT'!E82</f>
        <v>721.61800000000005</v>
      </c>
      <c r="F58" s="6">
        <f>+'INS RET DEBT'!F82</f>
        <v>721.61800000000005</v>
      </c>
      <c r="G58" s="6">
        <f>+'INS RET DEBT'!G82</f>
        <v>721.61800000000005</v>
      </c>
      <c r="H58" s="6">
        <f>+'INS RET DEBT'!H82</f>
        <v>721.61800000000005</v>
      </c>
      <c r="I58" s="6">
        <f>+'INS RET DEBT'!I82</f>
        <v>721.61800000000005</v>
      </c>
      <c r="J58" s="6">
        <f>+'INS RET DEBT'!J82</f>
        <v>721.61800000000005</v>
      </c>
      <c r="K58" s="6">
        <f>+'INS RET DEBT'!K82</f>
        <v>721.61800000000005</v>
      </c>
      <c r="L58" s="6">
        <f>+'INS RET DEBT'!L82</f>
        <v>721.61800000000005</v>
      </c>
      <c r="M58" s="6">
        <f>+'INS RET DEBT'!M82</f>
        <v>721.61800000000005</v>
      </c>
      <c r="N58" s="6">
        <f>+'INS RET DEBT'!N82</f>
        <v>721.61800000000005</v>
      </c>
      <c r="O58" s="6">
        <f>+'INS RET DEBT'!O82</f>
        <v>721.61800000000005</v>
      </c>
      <c r="P58" s="6">
        <f>+'INS RET DEBT'!P82</f>
        <v>721.61800000000005</v>
      </c>
      <c r="Q58" s="101">
        <f>SUM(E58:P58)</f>
        <v>8659.4160000000029</v>
      </c>
      <c r="R58" s="184">
        <f t="shared" si="1"/>
        <v>3.7979894736842117</v>
      </c>
      <c r="S58" s="233"/>
    </row>
    <row r="59" spans="1:19" x14ac:dyDescent="0.35">
      <c r="A59" s="66"/>
      <c r="Q59" s="101"/>
      <c r="R59" s="184"/>
      <c r="S59" s="233"/>
    </row>
    <row r="60" spans="1:19" x14ac:dyDescent="0.35">
      <c r="A60" s="66"/>
      <c r="D60" s="50" t="s">
        <v>48</v>
      </c>
      <c r="E60" s="45">
        <f>+'INS RET DEBT'!E13+'INS RET DEBT'!E14</f>
        <v>52</v>
      </c>
      <c r="F60" s="45">
        <f>+'INS RET DEBT'!F13+'INS RET DEBT'!F14</f>
        <v>52</v>
      </c>
      <c r="G60" s="45">
        <f>+'INS RET DEBT'!G13+'INS RET DEBT'!G14</f>
        <v>52</v>
      </c>
      <c r="H60" s="45">
        <f>+'INS RET DEBT'!H13+'INS RET DEBT'!H14</f>
        <v>52</v>
      </c>
      <c r="I60" s="45">
        <f>+'INS RET DEBT'!I13+'INS RET DEBT'!I14</f>
        <v>52</v>
      </c>
      <c r="J60" s="45">
        <f>+'INS RET DEBT'!J13+'INS RET DEBT'!J14</f>
        <v>52</v>
      </c>
      <c r="K60" s="45">
        <f>+'INS RET DEBT'!K13+'INS RET DEBT'!K14</f>
        <v>52</v>
      </c>
      <c r="L60" s="45">
        <f>+'INS RET DEBT'!L13+'INS RET DEBT'!L14</f>
        <v>52</v>
      </c>
      <c r="M60" s="45">
        <f>+'INS RET DEBT'!M13+'INS RET DEBT'!M14</f>
        <v>52</v>
      </c>
      <c r="N60" s="45">
        <f>+'INS RET DEBT'!N13+'INS RET DEBT'!N14</f>
        <v>52</v>
      </c>
      <c r="O60" s="45">
        <f>+'INS RET DEBT'!O13+'INS RET DEBT'!O14</f>
        <v>53.04</v>
      </c>
      <c r="P60" s="45">
        <f>+'INS RET DEBT'!P13+'INS RET DEBT'!P14</f>
        <v>53.04</v>
      </c>
      <c r="Q60" s="195">
        <f>SUM(E60:P60)</f>
        <v>626.07999999999993</v>
      </c>
      <c r="R60" s="186">
        <f t="shared" si="1"/>
        <v>0.27459649122807012</v>
      </c>
      <c r="S60" s="233"/>
    </row>
    <row r="61" spans="1:19" x14ac:dyDescent="0.35">
      <c r="A61" s="66"/>
      <c r="D61" s="51" t="s">
        <v>89</v>
      </c>
      <c r="E61" s="6">
        <f>+'INS RET DEBT'!E16</f>
        <v>28</v>
      </c>
      <c r="F61" s="6">
        <f>+'INS RET DEBT'!F16</f>
        <v>28</v>
      </c>
      <c r="G61" s="6">
        <f>+'INS RET DEBT'!G16</f>
        <v>28</v>
      </c>
      <c r="H61" s="6">
        <f>+'INS RET DEBT'!H16</f>
        <v>28</v>
      </c>
      <c r="I61" s="6">
        <f>+'INS RET DEBT'!I16</f>
        <v>28</v>
      </c>
      <c r="J61" s="6">
        <f>+'INS RET DEBT'!J16</f>
        <v>28</v>
      </c>
      <c r="K61" s="6">
        <f>+'INS RET DEBT'!K16</f>
        <v>28</v>
      </c>
      <c r="L61" s="6">
        <f>+'INS RET DEBT'!L16</f>
        <v>28</v>
      </c>
      <c r="M61" s="6">
        <f>+'INS RET DEBT'!M16</f>
        <v>28</v>
      </c>
      <c r="N61" s="6">
        <f>+'INS RET DEBT'!N16</f>
        <v>28</v>
      </c>
      <c r="O61" s="6">
        <f>+'INS RET DEBT'!O16</f>
        <v>28.560000000000002</v>
      </c>
      <c r="P61" s="6">
        <f>+'INS RET DEBT'!P16</f>
        <v>28.560000000000002</v>
      </c>
      <c r="Q61" s="196">
        <f>SUM(E61:P61)</f>
        <v>337.12</v>
      </c>
      <c r="R61" s="187">
        <f t="shared" si="1"/>
        <v>0.14785964912280702</v>
      </c>
      <c r="S61" s="233"/>
    </row>
    <row r="62" spans="1:19" x14ac:dyDescent="0.35">
      <c r="A62" s="66"/>
      <c r="D62" s="52" t="s">
        <v>50</v>
      </c>
      <c r="E62" s="15">
        <f>+'INS RET DEBT'!E17</f>
        <v>0</v>
      </c>
      <c r="F62" s="15">
        <f>+'INS RET DEBT'!F17</f>
        <v>0</v>
      </c>
      <c r="G62" s="15">
        <f>+'INS RET DEBT'!G17</f>
        <v>0</v>
      </c>
      <c r="H62" s="15">
        <f>+'INS RET DEBT'!H17</f>
        <v>0</v>
      </c>
      <c r="I62" s="15">
        <f>+'INS RET DEBT'!I17</f>
        <v>0</v>
      </c>
      <c r="J62" s="15">
        <f>+'INS RET DEBT'!J17</f>
        <v>0</v>
      </c>
      <c r="K62" s="15">
        <f>+'INS RET DEBT'!K17</f>
        <v>0</v>
      </c>
      <c r="L62" s="15">
        <f>+'INS RET DEBT'!L17</f>
        <v>0</v>
      </c>
      <c r="M62" s="15">
        <f>+'INS RET DEBT'!M17</f>
        <v>0</v>
      </c>
      <c r="N62" s="15">
        <f>+'INS RET DEBT'!N17</f>
        <v>0</v>
      </c>
      <c r="O62" s="15">
        <f>+'INS RET DEBT'!O17</f>
        <v>0</v>
      </c>
      <c r="P62" s="15">
        <f>+'INS RET DEBT'!P17</f>
        <v>0</v>
      </c>
      <c r="Q62" s="197">
        <f>SUM(E62:P62)</f>
        <v>0</v>
      </c>
      <c r="R62" s="188">
        <f t="shared" si="1"/>
        <v>0</v>
      </c>
      <c r="S62" s="233"/>
    </row>
    <row r="63" spans="1:19" x14ac:dyDescent="0.35">
      <c r="A63" s="66" t="s">
        <v>112</v>
      </c>
      <c r="C63" s="6" t="s">
        <v>23</v>
      </c>
      <c r="E63" s="15">
        <f t="shared" ref="E63:Q63" si="11">SUM(E60:E62)</f>
        <v>80</v>
      </c>
      <c r="F63" s="15">
        <f t="shared" si="11"/>
        <v>80</v>
      </c>
      <c r="G63" s="15">
        <f t="shared" si="11"/>
        <v>80</v>
      </c>
      <c r="H63" s="15">
        <f t="shared" si="11"/>
        <v>80</v>
      </c>
      <c r="I63" s="15">
        <f t="shared" si="11"/>
        <v>80</v>
      </c>
      <c r="J63" s="15">
        <f t="shared" si="11"/>
        <v>80</v>
      </c>
      <c r="K63" s="15">
        <f t="shared" si="11"/>
        <v>80</v>
      </c>
      <c r="L63" s="15">
        <f t="shared" si="11"/>
        <v>80</v>
      </c>
      <c r="M63" s="15">
        <f t="shared" si="11"/>
        <v>80</v>
      </c>
      <c r="N63" s="15">
        <f t="shared" si="11"/>
        <v>80</v>
      </c>
      <c r="O63" s="15">
        <f t="shared" si="11"/>
        <v>81.599999999999994</v>
      </c>
      <c r="P63" s="15">
        <f t="shared" si="11"/>
        <v>81.599999999999994</v>
      </c>
      <c r="Q63" s="108">
        <f t="shared" si="11"/>
        <v>963.19999999999993</v>
      </c>
      <c r="R63" s="189">
        <f t="shared" si="1"/>
        <v>0.42245614035087714</v>
      </c>
      <c r="S63" s="233"/>
    </row>
    <row r="64" spans="1:19" x14ac:dyDescent="0.35">
      <c r="A64" s="66"/>
      <c r="Q64" s="101"/>
      <c r="R64" s="184"/>
      <c r="S64" s="233"/>
    </row>
    <row r="65" spans="1:19" x14ac:dyDescent="0.35">
      <c r="A65" s="66"/>
      <c r="D65" s="50" t="s">
        <v>51</v>
      </c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198">
        <f>SUM(E65:P65)</f>
        <v>0</v>
      </c>
      <c r="R65" s="186">
        <f t="shared" si="1"/>
        <v>0</v>
      </c>
      <c r="S65" s="233"/>
    </row>
    <row r="66" spans="1:19" x14ac:dyDescent="0.35">
      <c r="A66" s="66"/>
      <c r="D66" s="52" t="s">
        <v>52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08">
        <f>SUM(E66:P66)</f>
        <v>0</v>
      </c>
      <c r="R66" s="188">
        <f t="shared" si="1"/>
        <v>0</v>
      </c>
      <c r="S66" s="233"/>
    </row>
    <row r="67" spans="1:19" x14ac:dyDescent="0.35">
      <c r="A67" s="66" t="s">
        <v>113</v>
      </c>
      <c r="B67" s="6" t="s">
        <v>45</v>
      </c>
      <c r="C67" s="6" t="s">
        <v>51</v>
      </c>
      <c r="E67" s="15">
        <f t="shared" ref="E67:P67" si="12">SUM(E65:E66)</f>
        <v>0</v>
      </c>
      <c r="F67" s="15">
        <f t="shared" si="12"/>
        <v>0</v>
      </c>
      <c r="G67" s="15">
        <f t="shared" si="12"/>
        <v>0</v>
      </c>
      <c r="H67" s="15">
        <f t="shared" si="12"/>
        <v>0</v>
      </c>
      <c r="I67" s="15">
        <f t="shared" si="12"/>
        <v>0</v>
      </c>
      <c r="J67" s="15">
        <f t="shared" si="12"/>
        <v>0</v>
      </c>
      <c r="K67" s="15">
        <f t="shared" si="12"/>
        <v>0</v>
      </c>
      <c r="L67" s="15">
        <f t="shared" si="12"/>
        <v>0</v>
      </c>
      <c r="M67" s="15">
        <f t="shared" si="12"/>
        <v>0</v>
      </c>
      <c r="N67" s="15">
        <f t="shared" si="12"/>
        <v>0</v>
      </c>
      <c r="O67" s="15">
        <f t="shared" si="12"/>
        <v>0</v>
      </c>
      <c r="P67" s="15">
        <f t="shared" si="12"/>
        <v>0</v>
      </c>
      <c r="Q67" s="108">
        <f>SUM(Q65:Q66)</f>
        <v>0</v>
      </c>
      <c r="R67" s="189">
        <f t="shared" si="1"/>
        <v>0</v>
      </c>
      <c r="S67" s="233"/>
    </row>
    <row r="68" spans="1:19" x14ac:dyDescent="0.35">
      <c r="A68" s="66"/>
      <c r="Q68" s="101"/>
      <c r="R68" s="184"/>
      <c r="S68" s="233"/>
    </row>
    <row r="69" spans="1:19" x14ac:dyDescent="0.35">
      <c r="A69" s="66"/>
      <c r="B69" s="6" t="s">
        <v>33</v>
      </c>
      <c r="C69" s="6" t="s">
        <v>53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01">
        <f>SUM(E69:P69)</f>
        <v>0</v>
      </c>
      <c r="R69" s="184">
        <f t="shared" si="1"/>
        <v>0</v>
      </c>
      <c r="S69" s="233"/>
    </row>
    <row r="70" spans="1:19" x14ac:dyDescent="0.35">
      <c r="A70" s="66"/>
      <c r="Q70" s="101"/>
      <c r="R70" s="184"/>
      <c r="S70" s="233"/>
    </row>
    <row r="71" spans="1:19" ht="18" x14ac:dyDescent="0.35">
      <c r="A71" s="66"/>
      <c r="C71" s="53" t="s">
        <v>54</v>
      </c>
      <c r="D71" s="54"/>
      <c r="E71" s="54">
        <f t="shared" ref="E71:Q71" si="13">+E27+E29+E31+E36+E38+E43+E45+E50+E52+E54+E56+E58+E63+E67+E69</f>
        <v>871.82633122744596</v>
      </c>
      <c r="F71" s="54">
        <f t="shared" si="13"/>
        <v>871.82633122744596</v>
      </c>
      <c r="G71" s="54">
        <f t="shared" si="13"/>
        <v>871.82633122744596</v>
      </c>
      <c r="H71" s="54">
        <f t="shared" si="13"/>
        <v>871.82633122744596</v>
      </c>
      <c r="I71" s="54">
        <f t="shared" si="13"/>
        <v>871.82633122744596</v>
      </c>
      <c r="J71" s="54">
        <f t="shared" si="13"/>
        <v>871.82633122744596</v>
      </c>
      <c r="K71" s="54">
        <f t="shared" si="13"/>
        <v>871.82633122744596</v>
      </c>
      <c r="L71" s="54">
        <f t="shared" si="13"/>
        <v>871.82633122744596</v>
      </c>
      <c r="M71" s="54">
        <f t="shared" si="13"/>
        <v>871.82633122744596</v>
      </c>
      <c r="N71" s="54">
        <f t="shared" si="13"/>
        <v>871.82633122744596</v>
      </c>
      <c r="O71" s="54">
        <f t="shared" si="13"/>
        <v>873.42633122744598</v>
      </c>
      <c r="P71" s="54">
        <f t="shared" si="13"/>
        <v>873.42633122744598</v>
      </c>
      <c r="Q71" s="109">
        <f t="shared" si="13"/>
        <v>10465.115974729355</v>
      </c>
      <c r="R71" s="190">
        <f t="shared" si="1"/>
        <v>4.5899631468111206</v>
      </c>
      <c r="S71" s="236"/>
    </row>
    <row r="72" spans="1:19" ht="18" x14ac:dyDescent="0.35">
      <c r="A72" s="66"/>
      <c r="Q72" s="103"/>
      <c r="R72" s="185"/>
      <c r="S72" s="234"/>
    </row>
    <row r="73" spans="1:19" ht="18" x14ac:dyDescent="0.35">
      <c r="A73" s="66"/>
      <c r="B73" s="7" t="s">
        <v>55</v>
      </c>
      <c r="Q73" s="101"/>
      <c r="R73" s="184">
        <f t="shared" si="1"/>
        <v>0</v>
      </c>
      <c r="S73" s="233"/>
    </row>
    <row r="74" spans="1:19" x14ac:dyDescent="0.35">
      <c r="A74" s="66"/>
      <c r="Q74" s="101"/>
      <c r="R74" s="184"/>
      <c r="S74" s="233"/>
    </row>
    <row r="75" spans="1:19" x14ac:dyDescent="0.35">
      <c r="A75" s="66" t="s">
        <v>137</v>
      </c>
      <c r="C75" s="6" t="s">
        <v>56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01">
        <f>SUM(E75:P75)</f>
        <v>0</v>
      </c>
      <c r="R75" s="184">
        <f t="shared" ref="R75:R134" si="14">Q75/$B$4</f>
        <v>0</v>
      </c>
      <c r="S75" s="233"/>
    </row>
    <row r="76" spans="1:19" x14ac:dyDescent="0.35">
      <c r="A76" s="66"/>
      <c r="Q76" s="101"/>
      <c r="R76" s="184"/>
      <c r="S76" s="233"/>
    </row>
    <row r="77" spans="1:19" x14ac:dyDescent="0.35">
      <c r="A77" s="66" t="s">
        <v>114</v>
      </c>
      <c r="D77" s="6" t="s">
        <v>57</v>
      </c>
      <c r="E77" s="6">
        <f>VLOOKUP($B$1,'Allocated Expenses'!$B$20:$P$29,4,FALSE)</f>
        <v>169.55470296672013</v>
      </c>
      <c r="F77" s="6">
        <f>VLOOKUP($B$1,'Allocated Expenses'!$B$20:$P$29,5,FALSE)</f>
        <v>169.55470296672013</v>
      </c>
      <c r="G77" s="6">
        <f>VLOOKUP($B$1,'Allocated Expenses'!$B$20:$P$29,6,FALSE)</f>
        <v>169.55470296672013</v>
      </c>
      <c r="H77" s="6">
        <f>VLOOKUP($B$1,'Allocated Expenses'!$B$20:$P$29,7,FALSE)</f>
        <v>169.55470296672013</v>
      </c>
      <c r="I77" s="6">
        <f>VLOOKUP($B$1,'Allocated Expenses'!$B$20:$P$29,8,FALSE)</f>
        <v>169.55470296672013</v>
      </c>
      <c r="J77" s="6">
        <f>VLOOKUP($B$1,'Allocated Expenses'!$B$20:$P$29,9,FALSE)</f>
        <v>169.55470296672013</v>
      </c>
      <c r="K77" s="6">
        <f>VLOOKUP($B$1,'Allocated Expenses'!$B$20:$P$29,10,FALSE)</f>
        <v>169.55470296672013</v>
      </c>
      <c r="L77" s="6">
        <f>VLOOKUP($B$1,'Allocated Expenses'!$B$20:$P$29,11,FALSE)</f>
        <v>169.55470296672013</v>
      </c>
      <c r="M77" s="6">
        <f>VLOOKUP($B$1,'Allocated Expenses'!$B$20:$P$29,12,FALSE)</f>
        <v>169.55470296672013</v>
      </c>
      <c r="N77" s="6">
        <f>VLOOKUP($B$1,'Allocated Expenses'!$B$20:$P$29,13,FALSE)</f>
        <v>169.55470296672013</v>
      </c>
      <c r="O77" s="6">
        <f>VLOOKUP($B$1,'Allocated Expenses'!$B$20:$P$29,14,FALSE)</f>
        <v>169.55470296672013</v>
      </c>
      <c r="P77" s="6">
        <f>VLOOKUP($B$1,'Allocated Expenses'!$B$20:$P$29,15,FALSE)</f>
        <v>169.55470296672013</v>
      </c>
      <c r="Q77" s="101">
        <f>SUM(E77:P77)</f>
        <v>2034.6564356006411</v>
      </c>
      <c r="R77" s="184">
        <f t="shared" si="14"/>
        <v>0.89239317350905312</v>
      </c>
      <c r="S77" s="233"/>
    </row>
    <row r="78" spans="1:19" x14ac:dyDescent="0.35">
      <c r="A78" s="66" t="s">
        <v>115</v>
      </c>
      <c r="D78" s="6" t="s">
        <v>58</v>
      </c>
      <c r="E78" s="15">
        <f>VLOOKUP($B$1,'Allocated Expenses'!$B$132:$P$141,4,FALSE)</f>
        <v>0</v>
      </c>
      <c r="F78" s="15">
        <f>VLOOKUP($B$1,'Allocated Expenses'!$B$132:$P$141,5,FALSE)</f>
        <v>0</v>
      </c>
      <c r="G78" s="15">
        <f>VLOOKUP($B$1,'Allocated Expenses'!$B$132:$P$141,6,FALSE)</f>
        <v>0</v>
      </c>
      <c r="H78" s="15">
        <f>VLOOKUP($B$1,'Allocated Expenses'!$B$132:$P$141,7,FALSE)</f>
        <v>0</v>
      </c>
      <c r="I78" s="15">
        <f>VLOOKUP($B$1,'Allocated Expenses'!$B$132:$P$141,8,FALSE)</f>
        <v>0</v>
      </c>
      <c r="J78" s="15">
        <f>VLOOKUP($B$1,'Allocated Expenses'!$B$132:$P$141,9,FALSE)</f>
        <v>0</v>
      </c>
      <c r="K78" s="15">
        <f>VLOOKUP($B$1,'Allocated Expenses'!$B$132:$P$141,10,FALSE)</f>
        <v>0</v>
      </c>
      <c r="L78" s="15">
        <f>VLOOKUP($B$1,'Allocated Expenses'!$B$132:$P$141,11,FALSE)</f>
        <v>0</v>
      </c>
      <c r="M78" s="15">
        <f>VLOOKUP($B$1,'Allocated Expenses'!$B$132:$P$141,12,FALSE)</f>
        <v>0</v>
      </c>
      <c r="N78" s="15">
        <f>VLOOKUP($B$1,'Allocated Expenses'!$B$132:$P$141,13,FALSE)</f>
        <v>0</v>
      </c>
      <c r="O78" s="15">
        <f>VLOOKUP($B$1,'Allocated Expenses'!$B$132:$P$141,14,FALSE)</f>
        <v>0</v>
      </c>
      <c r="P78" s="15">
        <f>VLOOKUP($B$1,'Allocated Expenses'!$B$132:$P$141,15,FALSE)</f>
        <v>0</v>
      </c>
      <c r="Q78" s="108">
        <f>SUM(E78:P78)</f>
        <v>0</v>
      </c>
      <c r="R78" s="189">
        <f t="shared" si="14"/>
        <v>0</v>
      </c>
      <c r="S78" s="233"/>
    </row>
    <row r="79" spans="1:19" x14ac:dyDescent="0.35">
      <c r="A79" s="66"/>
      <c r="C79" s="6" t="s">
        <v>59</v>
      </c>
      <c r="E79" s="15">
        <f t="shared" ref="E79:Q79" si="15">SUM(E77:E78)</f>
        <v>169.55470296672013</v>
      </c>
      <c r="F79" s="15">
        <f t="shared" si="15"/>
        <v>169.55470296672013</v>
      </c>
      <c r="G79" s="15">
        <f t="shared" si="15"/>
        <v>169.55470296672013</v>
      </c>
      <c r="H79" s="15">
        <f t="shared" si="15"/>
        <v>169.55470296672013</v>
      </c>
      <c r="I79" s="15">
        <f t="shared" si="15"/>
        <v>169.55470296672013</v>
      </c>
      <c r="J79" s="15">
        <f t="shared" si="15"/>
        <v>169.55470296672013</v>
      </c>
      <c r="K79" s="15">
        <f t="shared" si="15"/>
        <v>169.55470296672013</v>
      </c>
      <c r="L79" s="15">
        <f t="shared" si="15"/>
        <v>169.55470296672013</v>
      </c>
      <c r="M79" s="15">
        <f t="shared" si="15"/>
        <v>169.55470296672013</v>
      </c>
      <c r="N79" s="15">
        <f t="shared" si="15"/>
        <v>169.55470296672013</v>
      </c>
      <c r="O79" s="15">
        <f t="shared" si="15"/>
        <v>169.55470296672013</v>
      </c>
      <c r="P79" s="15">
        <f t="shared" si="15"/>
        <v>169.55470296672013</v>
      </c>
      <c r="Q79" s="108">
        <f t="shared" si="15"/>
        <v>2034.6564356006411</v>
      </c>
      <c r="R79" s="189">
        <f t="shared" si="14"/>
        <v>0.89239317350905312</v>
      </c>
      <c r="S79" s="233"/>
    </row>
    <row r="80" spans="1:19" x14ac:dyDescent="0.35">
      <c r="A80" s="66"/>
      <c r="Q80" s="101"/>
      <c r="R80" s="184"/>
      <c r="S80" s="233"/>
    </row>
    <row r="81" spans="1:20" x14ac:dyDescent="0.35">
      <c r="A81" s="66" t="s">
        <v>138</v>
      </c>
      <c r="D81" s="6" t="s">
        <v>60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01">
        <f>SUM(E81:P81)</f>
        <v>0</v>
      </c>
      <c r="R81" s="184">
        <f t="shared" si="14"/>
        <v>0</v>
      </c>
      <c r="S81" s="233"/>
    </row>
    <row r="82" spans="1:20" x14ac:dyDescent="0.35">
      <c r="A82" s="66" t="s">
        <v>139</v>
      </c>
      <c r="D82" s="6" t="s">
        <v>20</v>
      </c>
      <c r="E82" s="12">
        <f>1.03*300</f>
        <v>309</v>
      </c>
      <c r="F82" s="12">
        <f>1.03*300</f>
        <v>309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01">
        <f>SUM(E82:P82)</f>
        <v>618</v>
      </c>
      <c r="R82" s="184">
        <f t="shared" si="14"/>
        <v>0.27105263157894738</v>
      </c>
      <c r="S82" s="233" t="s">
        <v>283</v>
      </c>
      <c r="T82" s="6" t="s">
        <v>348</v>
      </c>
    </row>
    <row r="83" spans="1:20" x14ac:dyDescent="0.35">
      <c r="A83" s="66" t="s">
        <v>140</v>
      </c>
      <c r="D83" s="6" t="s">
        <v>28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08">
        <f>SUM(E83:P83)</f>
        <v>0</v>
      </c>
      <c r="R83" s="189">
        <f t="shared" si="14"/>
        <v>0</v>
      </c>
      <c r="S83" s="233"/>
    </row>
    <row r="84" spans="1:20" x14ac:dyDescent="0.35">
      <c r="A84" s="66"/>
      <c r="C84" s="6" t="s">
        <v>61</v>
      </c>
      <c r="E84" s="15">
        <f>SUM(E81:E83)</f>
        <v>309</v>
      </c>
      <c r="F84" s="15">
        <f>SUM(F81:F83)</f>
        <v>309</v>
      </c>
      <c r="G84" s="15">
        <f t="shared" ref="G84:Q84" si="16">SUM(G81:G83)</f>
        <v>0</v>
      </c>
      <c r="H84" s="15">
        <f t="shared" si="16"/>
        <v>0</v>
      </c>
      <c r="I84" s="15">
        <f t="shared" si="16"/>
        <v>0</v>
      </c>
      <c r="J84" s="15">
        <f t="shared" si="16"/>
        <v>0</v>
      </c>
      <c r="K84" s="15">
        <f t="shared" si="16"/>
        <v>0</v>
      </c>
      <c r="L84" s="15">
        <f t="shared" si="16"/>
        <v>0</v>
      </c>
      <c r="M84" s="15">
        <f t="shared" si="16"/>
        <v>0</v>
      </c>
      <c r="N84" s="15">
        <f t="shared" si="16"/>
        <v>0</v>
      </c>
      <c r="O84" s="15">
        <f t="shared" si="16"/>
        <v>0</v>
      </c>
      <c r="P84" s="15">
        <f t="shared" si="16"/>
        <v>0</v>
      </c>
      <c r="Q84" s="108">
        <f t="shared" si="16"/>
        <v>618</v>
      </c>
      <c r="R84" s="189">
        <f t="shared" si="14"/>
        <v>0.27105263157894738</v>
      </c>
      <c r="S84" s="233"/>
    </row>
    <row r="85" spans="1:20" x14ac:dyDescent="0.35">
      <c r="A85" s="66"/>
      <c r="Q85" s="101"/>
      <c r="R85" s="184"/>
      <c r="S85" s="233"/>
    </row>
    <row r="86" spans="1:20" x14ac:dyDescent="0.35">
      <c r="A86" s="66"/>
      <c r="D86" s="50" t="s">
        <v>30</v>
      </c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198">
        <f>SUM(E86:P86)</f>
        <v>0</v>
      </c>
      <c r="R86" s="186">
        <f t="shared" si="14"/>
        <v>0</v>
      </c>
      <c r="S86" s="233"/>
    </row>
    <row r="87" spans="1:20" x14ac:dyDescent="0.35">
      <c r="A87" s="66"/>
      <c r="D87" s="52" t="s">
        <v>31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08">
        <f>SUM(E87:P87)</f>
        <v>0</v>
      </c>
      <c r="R87" s="188">
        <f t="shared" si="14"/>
        <v>0</v>
      </c>
      <c r="S87" s="233"/>
    </row>
    <row r="88" spans="1:20" x14ac:dyDescent="0.35">
      <c r="A88" s="66" t="s">
        <v>116</v>
      </c>
      <c r="C88" s="6" t="s">
        <v>32</v>
      </c>
      <c r="E88" s="15">
        <f t="shared" ref="E88:Q88" si="17">SUM(E86:E87)</f>
        <v>0</v>
      </c>
      <c r="F88" s="15">
        <f t="shared" si="17"/>
        <v>0</v>
      </c>
      <c r="G88" s="15">
        <f t="shared" si="17"/>
        <v>0</v>
      </c>
      <c r="H88" s="15">
        <f t="shared" si="17"/>
        <v>0</v>
      </c>
      <c r="I88" s="15">
        <f t="shared" si="17"/>
        <v>0</v>
      </c>
      <c r="J88" s="15">
        <f t="shared" si="17"/>
        <v>0</v>
      </c>
      <c r="K88" s="15">
        <f t="shared" si="17"/>
        <v>0</v>
      </c>
      <c r="L88" s="15">
        <f t="shared" si="17"/>
        <v>0</v>
      </c>
      <c r="M88" s="15">
        <f t="shared" si="17"/>
        <v>0</v>
      </c>
      <c r="N88" s="15">
        <f t="shared" si="17"/>
        <v>0</v>
      </c>
      <c r="O88" s="15">
        <f t="shared" si="17"/>
        <v>0</v>
      </c>
      <c r="P88" s="15">
        <f t="shared" si="17"/>
        <v>0</v>
      </c>
      <c r="Q88" s="108">
        <f t="shared" si="17"/>
        <v>0</v>
      </c>
      <c r="R88" s="189">
        <f t="shared" si="14"/>
        <v>0</v>
      </c>
      <c r="S88" s="233"/>
    </row>
    <row r="89" spans="1:20" x14ac:dyDescent="0.35">
      <c r="A89" s="66"/>
      <c r="Q89" s="101"/>
      <c r="R89" s="184"/>
      <c r="S89" s="233"/>
    </row>
    <row r="90" spans="1:20" x14ac:dyDescent="0.35">
      <c r="A90" s="66" t="s">
        <v>141</v>
      </c>
      <c r="B90" s="6" t="s">
        <v>33</v>
      </c>
      <c r="C90" s="6" t="s">
        <v>62</v>
      </c>
      <c r="E90" s="6">
        <f>ROUND(E$24*0.06,0)</f>
        <v>0</v>
      </c>
      <c r="F90" s="6">
        <f t="shared" ref="F90:P90" si="18">ROUND(F$24*0.06,0)</f>
        <v>0</v>
      </c>
      <c r="G90" s="6">
        <f t="shared" si="18"/>
        <v>0</v>
      </c>
      <c r="H90" s="6">
        <f t="shared" si="18"/>
        <v>0</v>
      </c>
      <c r="I90" s="6">
        <f t="shared" si="18"/>
        <v>0</v>
      </c>
      <c r="J90" s="6">
        <f t="shared" si="18"/>
        <v>0</v>
      </c>
      <c r="K90" s="6">
        <f t="shared" si="18"/>
        <v>0</v>
      </c>
      <c r="L90" s="6">
        <f t="shared" si="18"/>
        <v>0</v>
      </c>
      <c r="M90" s="6">
        <f t="shared" si="18"/>
        <v>0</v>
      </c>
      <c r="N90" s="6">
        <f t="shared" si="18"/>
        <v>0</v>
      </c>
      <c r="O90" s="6">
        <f t="shared" si="18"/>
        <v>0</v>
      </c>
      <c r="P90" s="6">
        <f t="shared" si="18"/>
        <v>0</v>
      </c>
      <c r="Q90" s="101">
        <f>SUM(E90:P90)</f>
        <v>0</v>
      </c>
      <c r="R90" s="184">
        <f t="shared" ref="R90" si="19">Q90/$B$4</f>
        <v>0</v>
      </c>
      <c r="S90" s="233"/>
    </row>
    <row r="91" spans="1:20" x14ac:dyDescent="0.35">
      <c r="A91" s="66"/>
      <c r="Q91" s="101"/>
      <c r="R91" s="184"/>
      <c r="S91" s="233"/>
    </row>
    <row r="92" spans="1:20" x14ac:dyDescent="0.35">
      <c r="A92" s="66" t="s">
        <v>117</v>
      </c>
      <c r="C92" s="6" t="s">
        <v>63</v>
      </c>
      <c r="E92" s="6">
        <f>VLOOKUP($B$1,'Allocated Expenses'!$B$34:$P$43,4,FALSE)+VLOOKUP($B$1,'Allocated Expenses'!$B$48:$P$57,4,FALSE)</f>
        <v>54.735457580092778</v>
      </c>
      <c r="F92" s="6">
        <f>VLOOKUP($B$1,'Allocated Expenses'!$B$34:$P$43,5,FALSE)+VLOOKUP($B$1,'Allocated Expenses'!$B$48:$P$57,5,FALSE)</f>
        <v>54.735457580092778</v>
      </c>
      <c r="G92" s="6">
        <f>VLOOKUP($B$1,'Allocated Expenses'!$B$34:$P$43,6,FALSE)+VLOOKUP($B$1,'Allocated Expenses'!$B$48:$P$57,6,FALSE)</f>
        <v>54.735457580092778</v>
      </c>
      <c r="H92" s="6">
        <f>VLOOKUP($B$1,'Allocated Expenses'!$B$34:$P$43,7,FALSE)+VLOOKUP($B$1,'Allocated Expenses'!$B$48:$P$57,7,FALSE)</f>
        <v>54.735457580092778</v>
      </c>
      <c r="I92" s="6">
        <f>VLOOKUP($B$1,'Allocated Expenses'!$B$34:$P$43,8,FALSE)+VLOOKUP($B$1,'Allocated Expenses'!$B$48:$P$57,8,FALSE)</f>
        <v>54.735457580092778</v>
      </c>
      <c r="J92" s="6">
        <f>VLOOKUP($B$1,'Allocated Expenses'!$B$34:$P$43,9,FALSE)+VLOOKUP($B$1,'Allocated Expenses'!$B$48:$P$57,9,FALSE)</f>
        <v>54.735457580092778</v>
      </c>
      <c r="K92" s="6">
        <f>VLOOKUP($B$1,'Allocated Expenses'!$B$34:$P$43,10,FALSE)+VLOOKUP($B$1,'Allocated Expenses'!$B$48:$P$57,10,FALSE)</f>
        <v>54.735457580092778</v>
      </c>
      <c r="L92" s="6">
        <f>VLOOKUP($B$1,'Allocated Expenses'!$B$34:$P$43,11,FALSE)+VLOOKUP($B$1,'Allocated Expenses'!$B$48:$P$57,11,FALSE)</f>
        <v>54.735457580092778</v>
      </c>
      <c r="M92" s="6">
        <f>VLOOKUP($B$1,'Allocated Expenses'!$B$34:$P$43,12,FALSE)+VLOOKUP($B$1,'Allocated Expenses'!$B$48:$P$57,12,FALSE)</f>
        <v>54.735457580092778</v>
      </c>
      <c r="N92" s="6">
        <f>VLOOKUP($B$1,'Allocated Expenses'!$B$34:$P$43,13,FALSE)+VLOOKUP($B$1,'Allocated Expenses'!$B$48:$P$57,13,FALSE)</f>
        <v>54.735457580092778</v>
      </c>
      <c r="O92" s="6">
        <f>VLOOKUP($B$1,'Allocated Expenses'!$B$34:$P$43,14,FALSE)+VLOOKUP($B$1,'Allocated Expenses'!$B$48:$P$57,14,FALSE)</f>
        <v>54.735457580092778</v>
      </c>
      <c r="P92" s="6">
        <f>VLOOKUP($B$1,'Allocated Expenses'!$B$34:$P$43,15,FALSE)+VLOOKUP($B$1,'Allocated Expenses'!$B$48:$P$57,15,FALSE)</f>
        <v>54.735457580092778</v>
      </c>
      <c r="Q92" s="101">
        <f>SUM(E92:P92)</f>
        <v>656.82549096111336</v>
      </c>
      <c r="R92" s="184">
        <f t="shared" si="14"/>
        <v>0.28808135568469884</v>
      </c>
      <c r="S92" s="233"/>
    </row>
    <row r="93" spans="1:20" x14ac:dyDescent="0.35">
      <c r="A93" s="66"/>
      <c r="Q93" s="101"/>
      <c r="R93" s="184"/>
      <c r="S93" s="233"/>
    </row>
    <row r="94" spans="1:20" x14ac:dyDescent="0.35">
      <c r="A94" s="66" t="s">
        <v>118</v>
      </c>
      <c r="C94" s="6" t="s">
        <v>64</v>
      </c>
      <c r="E94" s="12">
        <v>0</v>
      </c>
      <c r="F94" s="12">
        <v>0</v>
      </c>
      <c r="G94" s="12">
        <v>0</v>
      </c>
      <c r="H94" s="12">
        <f>1.03*1500</f>
        <v>1545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01">
        <f>SUM(E94:P94)</f>
        <v>1545</v>
      </c>
      <c r="R94" s="184">
        <f t="shared" ref="R94" si="20">Q94/$B$4</f>
        <v>0.67763157894736847</v>
      </c>
      <c r="S94" s="233" t="s">
        <v>283</v>
      </c>
      <c r="T94" s="6" t="s">
        <v>348</v>
      </c>
    </row>
    <row r="95" spans="1:20" x14ac:dyDescent="0.35">
      <c r="A95" s="66"/>
      <c r="Q95" s="101"/>
      <c r="R95" s="184"/>
      <c r="S95" s="233"/>
    </row>
    <row r="96" spans="1:20" x14ac:dyDescent="0.35">
      <c r="A96" s="66" t="s">
        <v>119</v>
      </c>
      <c r="C96" s="6" t="s">
        <v>65</v>
      </c>
      <c r="E96" s="6">
        <f>VLOOKUP($B$1,'Allocated Expenses'!$B$62:$P$71,4,FALSE)</f>
        <v>229.17499999999998</v>
      </c>
      <c r="F96" s="6">
        <f>VLOOKUP($B$1,'Allocated Expenses'!$B$62:$P$71,5,FALSE)</f>
        <v>229.17499999999998</v>
      </c>
      <c r="G96" s="6">
        <f>VLOOKUP($B$1,'Allocated Expenses'!$B$62:$P$71,6,FALSE)</f>
        <v>229.17499999999998</v>
      </c>
      <c r="H96" s="6">
        <f>VLOOKUP($B$1,'Allocated Expenses'!$B$62:$P$71,7,FALSE)</f>
        <v>229.17499999999998</v>
      </c>
      <c r="I96" s="6">
        <f>VLOOKUP($B$1,'Allocated Expenses'!$B$62:$P$71,8,FALSE)</f>
        <v>229.17499999999998</v>
      </c>
      <c r="J96" s="6">
        <f>VLOOKUP($B$1,'Allocated Expenses'!$B$62:$P$71,9,FALSE)</f>
        <v>229.17499999999998</v>
      </c>
      <c r="K96" s="6">
        <f>VLOOKUP($B$1,'Allocated Expenses'!$B$62:$P$71,10,FALSE)</f>
        <v>229.17499999999998</v>
      </c>
      <c r="L96" s="6">
        <f>VLOOKUP($B$1,'Allocated Expenses'!$B$62:$P$71,11,FALSE)</f>
        <v>229.17499999999998</v>
      </c>
      <c r="M96" s="6">
        <f>VLOOKUP($B$1,'Allocated Expenses'!$B$62:$P$71,12,FALSE)</f>
        <v>229.17499999999998</v>
      </c>
      <c r="N96" s="6">
        <f>VLOOKUP($B$1,'Allocated Expenses'!$B$62:$P$71,13,FALSE)</f>
        <v>229.17499999999998</v>
      </c>
      <c r="O96" s="6">
        <f>VLOOKUP($B$1,'Allocated Expenses'!$B$62:$P$71,14,FALSE)</f>
        <v>229.17499999999998</v>
      </c>
      <c r="P96" s="6">
        <f>VLOOKUP($B$1,'Allocated Expenses'!$B$62:$P$71,15,FALSE)</f>
        <v>229.17499999999998</v>
      </c>
      <c r="Q96" s="101">
        <f>SUM(E96:P96)</f>
        <v>2750.1000000000004</v>
      </c>
      <c r="R96" s="184">
        <f t="shared" si="14"/>
        <v>1.2061842105263159</v>
      </c>
      <c r="S96" s="233"/>
    </row>
    <row r="97" spans="1:19" x14ac:dyDescent="0.35">
      <c r="A97" s="66"/>
      <c r="Q97" s="101"/>
      <c r="R97" s="184"/>
      <c r="S97" s="233"/>
    </row>
    <row r="98" spans="1:19" x14ac:dyDescent="0.35">
      <c r="A98" s="66" t="s">
        <v>126</v>
      </c>
      <c r="D98" s="6" t="s">
        <v>66</v>
      </c>
      <c r="E98" s="6">
        <f>VLOOKUP($B$1,'Allocated Expenses'!$B$76:$P$85,4,FALSE)</f>
        <v>0</v>
      </c>
      <c r="F98" s="6">
        <f>VLOOKUP($B$1,'Allocated Expenses'!$B$76:$P$85,5,FALSE)</f>
        <v>0</v>
      </c>
      <c r="G98" s="6">
        <f>VLOOKUP($B$1,'Allocated Expenses'!$B$76:$P$85,6,FALSE)</f>
        <v>0</v>
      </c>
      <c r="H98" s="6">
        <f>VLOOKUP($B$1,'Allocated Expenses'!$B$76:$P$85,7,FALSE)</f>
        <v>0</v>
      </c>
      <c r="I98" s="6">
        <f>VLOOKUP($B$1,'Allocated Expenses'!$B$76:$P$85,8,FALSE)</f>
        <v>0</v>
      </c>
      <c r="J98" s="6">
        <f>VLOOKUP($B$1,'Allocated Expenses'!$B$76:$P$85,9,FALSE)</f>
        <v>0</v>
      </c>
      <c r="K98" s="6">
        <f>VLOOKUP($B$1,'Allocated Expenses'!$B$76:$P$85,10,FALSE)</f>
        <v>0</v>
      </c>
      <c r="L98" s="6">
        <f>VLOOKUP($B$1,'Allocated Expenses'!$B$76:$P$85,11,FALSE)</f>
        <v>0</v>
      </c>
      <c r="M98" s="6">
        <f>VLOOKUP($B$1,'Allocated Expenses'!$B$76:$P$85,12,FALSE)</f>
        <v>0</v>
      </c>
      <c r="N98" s="6">
        <f>VLOOKUP($B$1,'Allocated Expenses'!$B$76:$P$85,13,FALSE)</f>
        <v>0</v>
      </c>
      <c r="O98" s="6">
        <f>VLOOKUP($B$1,'Allocated Expenses'!$B$76:$P$85,14,FALSE)</f>
        <v>0</v>
      </c>
      <c r="P98" s="6">
        <f>VLOOKUP($B$1,'Allocated Expenses'!$B$76:$P$85,15,FALSE)</f>
        <v>0</v>
      </c>
      <c r="Q98" s="101">
        <f>SUM(E98:P98)</f>
        <v>0</v>
      </c>
      <c r="R98" s="184">
        <f t="shared" si="14"/>
        <v>0</v>
      </c>
      <c r="S98" s="233"/>
    </row>
    <row r="99" spans="1:19" x14ac:dyDescent="0.35">
      <c r="A99" s="66" t="s">
        <v>142</v>
      </c>
      <c r="D99" s="6" t="s">
        <v>67</v>
      </c>
      <c r="E99" s="6">
        <f>VLOOKUP($B$1,'Allocated Expenses'!$B$104:$P$113,4,FALSE)</f>
        <v>0</v>
      </c>
      <c r="F99" s="6">
        <f>VLOOKUP($B$1,'Allocated Expenses'!$B$104:$P$113,5,FALSE)</f>
        <v>0</v>
      </c>
      <c r="G99" s="6">
        <f>VLOOKUP($B$1,'Allocated Expenses'!$B$104:$P$113,6,FALSE)</f>
        <v>0</v>
      </c>
      <c r="H99" s="6">
        <f>VLOOKUP($B$1,'Allocated Expenses'!$B$104:$P$113,7,FALSE)</f>
        <v>0</v>
      </c>
      <c r="I99" s="6">
        <f>VLOOKUP($B$1,'Allocated Expenses'!$B$104:$P$113,8,FALSE)</f>
        <v>0</v>
      </c>
      <c r="J99" s="6">
        <f>VLOOKUP($B$1,'Allocated Expenses'!$B$104:$P$113,9,FALSE)</f>
        <v>0</v>
      </c>
      <c r="K99" s="6">
        <f>VLOOKUP($B$1,'Allocated Expenses'!$B$104:$P$113,10,FALSE)</f>
        <v>0</v>
      </c>
      <c r="L99" s="6">
        <f>VLOOKUP($B$1,'Allocated Expenses'!$B$104:$P$113,11,FALSE)</f>
        <v>0</v>
      </c>
      <c r="M99" s="6">
        <f>VLOOKUP($B$1,'Allocated Expenses'!$B$104:$P$113,12,FALSE)</f>
        <v>0</v>
      </c>
      <c r="N99" s="6">
        <f>VLOOKUP($B$1,'Allocated Expenses'!$B$104:$P$113,13,FALSE)</f>
        <v>0</v>
      </c>
      <c r="O99" s="6">
        <f>VLOOKUP($B$1,'Allocated Expenses'!$B$104:$P$113,14,FALSE)</f>
        <v>0</v>
      </c>
      <c r="P99" s="6">
        <f>VLOOKUP($B$1,'Allocated Expenses'!$B$104:$P$113,15,FALSE)</f>
        <v>0</v>
      </c>
      <c r="Q99" s="101">
        <f>SUM(E99:P99)</f>
        <v>0</v>
      </c>
      <c r="R99" s="184">
        <f t="shared" si="14"/>
        <v>0</v>
      </c>
      <c r="S99" s="233"/>
    </row>
    <row r="100" spans="1:19" x14ac:dyDescent="0.35">
      <c r="A100" s="66" t="s">
        <v>143</v>
      </c>
      <c r="D100" s="6" t="s">
        <v>68</v>
      </c>
      <c r="E100" s="6">
        <f>VLOOKUP($B$1,'Allocated Expenses'!$B$90:$P$99,4,FALSE)</f>
        <v>0</v>
      </c>
      <c r="F100" s="6">
        <f>VLOOKUP($B$1,'Allocated Expenses'!$B$90:$P$99,5,FALSE)</f>
        <v>0</v>
      </c>
      <c r="G100" s="6">
        <f>VLOOKUP($B$1,'Allocated Expenses'!$B$90:$P$99,6,FALSE)</f>
        <v>0</v>
      </c>
      <c r="H100" s="6">
        <f>VLOOKUP($B$1,'Allocated Expenses'!$B$90:$P$99,7,FALSE)</f>
        <v>0</v>
      </c>
      <c r="I100" s="6">
        <f>VLOOKUP($B$1,'Allocated Expenses'!$B$90:$P$99,8,FALSE)</f>
        <v>0</v>
      </c>
      <c r="J100" s="6">
        <f>VLOOKUP($B$1,'Allocated Expenses'!$B$90:$P$99,9,FALSE)</f>
        <v>0</v>
      </c>
      <c r="K100" s="6">
        <f>VLOOKUP($B$1,'Allocated Expenses'!$B$90:$P$99,10,FALSE)</f>
        <v>0</v>
      </c>
      <c r="L100" s="6">
        <f>VLOOKUP($B$1,'Allocated Expenses'!$B$90:$P$99,11,FALSE)</f>
        <v>0</v>
      </c>
      <c r="M100" s="6">
        <f>VLOOKUP($B$1,'Allocated Expenses'!$B$90:$P$99,12,FALSE)</f>
        <v>0</v>
      </c>
      <c r="N100" s="6">
        <f>VLOOKUP($B$1,'Allocated Expenses'!$B$90:$P$99,13,FALSE)</f>
        <v>0</v>
      </c>
      <c r="O100" s="6">
        <f>VLOOKUP($B$1,'Allocated Expenses'!$B$90:$P$99,14,FALSE)</f>
        <v>0</v>
      </c>
      <c r="P100" s="6">
        <f>VLOOKUP($B$1,'Allocated Expenses'!$B$90:$P$99,15,FALSE)</f>
        <v>0</v>
      </c>
      <c r="Q100" s="101">
        <f>SUM(E100:P100)</f>
        <v>0</v>
      </c>
      <c r="R100" s="184">
        <f t="shared" si="14"/>
        <v>0</v>
      </c>
      <c r="S100" s="233"/>
    </row>
    <row r="101" spans="1:19" x14ac:dyDescent="0.35">
      <c r="A101" s="66" t="s">
        <v>127</v>
      </c>
      <c r="D101" s="6" t="s">
        <v>69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01">
        <f>SUM(E101:P101)</f>
        <v>0</v>
      </c>
      <c r="R101" s="184">
        <f t="shared" si="14"/>
        <v>0</v>
      </c>
      <c r="S101" s="233"/>
    </row>
    <row r="102" spans="1:19" x14ac:dyDescent="0.35">
      <c r="A102" s="66" t="s">
        <v>120</v>
      </c>
      <c r="D102" s="6" t="s">
        <v>70</v>
      </c>
      <c r="E102" s="15">
        <f>VLOOKUP($B$1,'Allocated Expenses'!$B$118:$P$127,4,FALSE)</f>
        <v>6.8666666666666671</v>
      </c>
      <c r="F102" s="15">
        <f>VLOOKUP($B$1,'Allocated Expenses'!$B$118:$P$127,5,FALSE)</f>
        <v>6.8666666666666671</v>
      </c>
      <c r="G102" s="15">
        <f>VLOOKUP($B$1,'Allocated Expenses'!$B$118:$P$127,6,FALSE)</f>
        <v>6.8666666666666671</v>
      </c>
      <c r="H102" s="15">
        <f>VLOOKUP($B$1,'Allocated Expenses'!$B$118:$P$127,7,FALSE)</f>
        <v>6.8666666666666671</v>
      </c>
      <c r="I102" s="15">
        <f>VLOOKUP($B$1,'Allocated Expenses'!$B$118:$P$127,8,FALSE)</f>
        <v>6.8666666666666671</v>
      </c>
      <c r="J102" s="15">
        <f>VLOOKUP($B$1,'Allocated Expenses'!$B$118:$P$127,9,FALSE)</f>
        <v>6.8666666666666671</v>
      </c>
      <c r="K102" s="15">
        <f>VLOOKUP($B$1,'Allocated Expenses'!$B$118:$P$127,10,FALSE)</f>
        <v>6.8666666666666671</v>
      </c>
      <c r="L102" s="15">
        <f>VLOOKUP($B$1,'Allocated Expenses'!$B$118:$P$127,11,FALSE)</f>
        <v>6.8666666666666671</v>
      </c>
      <c r="M102" s="15">
        <f>VLOOKUP($B$1,'Allocated Expenses'!$B$118:$P$127,12,FALSE)</f>
        <v>6.8666666666666671</v>
      </c>
      <c r="N102" s="15">
        <f>VLOOKUP($B$1,'Allocated Expenses'!$B$118:$P$127,13,FALSE)</f>
        <v>6.8666666666666671</v>
      </c>
      <c r="O102" s="15">
        <f>VLOOKUP($B$1,'Allocated Expenses'!$B$118:$P$127,14,FALSE)</f>
        <v>6.8666666666666671</v>
      </c>
      <c r="P102" s="15">
        <f>VLOOKUP($B$1,'Allocated Expenses'!$B$118:$P$127,15,FALSE)</f>
        <v>6.8666666666666671</v>
      </c>
      <c r="Q102" s="108">
        <f>SUM(E102:P102)</f>
        <v>82.4</v>
      </c>
      <c r="R102" s="189">
        <f t="shared" si="14"/>
        <v>3.6140350877192987E-2</v>
      </c>
      <c r="S102" s="233"/>
    </row>
    <row r="103" spans="1:19" x14ac:dyDescent="0.35">
      <c r="A103" s="66"/>
      <c r="C103" s="6" t="s">
        <v>71</v>
      </c>
      <c r="E103" s="15">
        <f t="shared" ref="E103:Q103" si="21">SUM(E98:E102)</f>
        <v>6.8666666666666671</v>
      </c>
      <c r="F103" s="15">
        <f t="shared" si="21"/>
        <v>6.8666666666666671</v>
      </c>
      <c r="G103" s="15">
        <f t="shared" si="21"/>
        <v>6.8666666666666671</v>
      </c>
      <c r="H103" s="15">
        <f t="shared" si="21"/>
        <v>6.8666666666666671</v>
      </c>
      <c r="I103" s="15">
        <f t="shared" si="21"/>
        <v>6.8666666666666671</v>
      </c>
      <c r="J103" s="15">
        <f t="shared" si="21"/>
        <v>6.8666666666666671</v>
      </c>
      <c r="K103" s="15">
        <f t="shared" si="21"/>
        <v>6.8666666666666671</v>
      </c>
      <c r="L103" s="15">
        <f t="shared" si="21"/>
        <v>6.8666666666666671</v>
      </c>
      <c r="M103" s="15">
        <f t="shared" si="21"/>
        <v>6.8666666666666671</v>
      </c>
      <c r="N103" s="15">
        <f t="shared" si="21"/>
        <v>6.8666666666666671</v>
      </c>
      <c r="O103" s="15">
        <f t="shared" si="21"/>
        <v>6.8666666666666671</v>
      </c>
      <c r="P103" s="15">
        <f t="shared" si="21"/>
        <v>6.8666666666666671</v>
      </c>
      <c r="Q103" s="108">
        <f t="shared" si="21"/>
        <v>82.4</v>
      </c>
      <c r="R103" s="189">
        <f t="shared" si="14"/>
        <v>3.6140350877192987E-2</v>
      </c>
      <c r="S103" s="233"/>
    </row>
    <row r="104" spans="1:19" x14ac:dyDescent="0.35">
      <c r="A104" s="66"/>
      <c r="Q104" s="101"/>
      <c r="R104" s="184"/>
      <c r="S104" s="233"/>
    </row>
    <row r="105" spans="1:19" ht="18" x14ac:dyDescent="0.35">
      <c r="A105" s="66"/>
      <c r="C105" s="29" t="s">
        <v>72</v>
      </c>
      <c r="D105" s="54"/>
      <c r="E105" s="54">
        <f t="shared" ref="E105:P105" si="22">+E75+E79+E84+E88+E90+E92+E94+E96+E103</f>
        <v>769.33182721347953</v>
      </c>
      <c r="F105" s="54">
        <f t="shared" si="22"/>
        <v>769.33182721347953</v>
      </c>
      <c r="G105" s="54">
        <f t="shared" si="22"/>
        <v>460.33182721347953</v>
      </c>
      <c r="H105" s="54">
        <f t="shared" si="22"/>
        <v>2005.3318272134793</v>
      </c>
      <c r="I105" s="54">
        <f t="shared" si="22"/>
        <v>460.33182721347953</v>
      </c>
      <c r="J105" s="54">
        <f t="shared" si="22"/>
        <v>460.33182721347953</v>
      </c>
      <c r="K105" s="54">
        <f t="shared" si="22"/>
        <v>460.33182721347953</v>
      </c>
      <c r="L105" s="54">
        <f t="shared" si="22"/>
        <v>460.33182721347953</v>
      </c>
      <c r="M105" s="54">
        <f t="shared" si="22"/>
        <v>460.33182721347953</v>
      </c>
      <c r="N105" s="54">
        <f t="shared" si="22"/>
        <v>460.33182721347953</v>
      </c>
      <c r="O105" s="54">
        <f t="shared" si="22"/>
        <v>460.33182721347953</v>
      </c>
      <c r="P105" s="54">
        <f t="shared" si="22"/>
        <v>460.33182721347953</v>
      </c>
      <c r="Q105" s="109">
        <f>+Q75+Q79+Q84+Q88+Q90+Q92+Q94+Q96+Q103</f>
        <v>7686.9819265617543</v>
      </c>
      <c r="R105" s="190">
        <f t="shared" si="14"/>
        <v>3.3714833011235763</v>
      </c>
      <c r="S105" s="236"/>
    </row>
    <row r="106" spans="1:19" ht="18" x14ac:dyDescent="0.35">
      <c r="A106" s="66"/>
      <c r="Q106" s="103"/>
      <c r="R106" s="185"/>
      <c r="S106" s="234"/>
    </row>
    <row r="107" spans="1:19" ht="16.5" thickBot="1" x14ac:dyDescent="0.4">
      <c r="A107" s="66"/>
      <c r="Q107" s="101"/>
      <c r="R107" s="184"/>
      <c r="S107" s="233"/>
    </row>
    <row r="108" spans="1:19" s="8" customFormat="1" ht="18" thickBot="1" x14ac:dyDescent="0.4">
      <c r="A108" s="218"/>
      <c r="B108" s="219" t="s">
        <v>73</v>
      </c>
      <c r="C108" s="220"/>
      <c r="D108" s="220"/>
      <c r="E108" s="220">
        <f t="shared" ref="E108:Q108" si="23">+E71+E105</f>
        <v>1641.1581584409255</v>
      </c>
      <c r="F108" s="220">
        <f t="shared" si="23"/>
        <v>1641.1581584409255</v>
      </c>
      <c r="G108" s="220">
        <f t="shared" si="23"/>
        <v>1332.1581584409255</v>
      </c>
      <c r="H108" s="220">
        <f t="shared" si="23"/>
        <v>2877.158158440925</v>
      </c>
      <c r="I108" s="220">
        <f t="shared" si="23"/>
        <v>1332.1581584409255</v>
      </c>
      <c r="J108" s="220">
        <f t="shared" si="23"/>
        <v>1332.1581584409255</v>
      </c>
      <c r="K108" s="220">
        <f t="shared" si="23"/>
        <v>1332.1581584409255</v>
      </c>
      <c r="L108" s="220">
        <f t="shared" si="23"/>
        <v>1332.1581584409255</v>
      </c>
      <c r="M108" s="220">
        <f t="shared" si="23"/>
        <v>1332.1581584409255</v>
      </c>
      <c r="N108" s="220">
        <f t="shared" si="23"/>
        <v>1332.1581584409255</v>
      </c>
      <c r="O108" s="220">
        <f t="shared" si="23"/>
        <v>1333.7581584409254</v>
      </c>
      <c r="P108" s="220">
        <f t="shared" si="23"/>
        <v>1333.7581584409254</v>
      </c>
      <c r="Q108" s="221">
        <f t="shared" si="23"/>
        <v>18152.097901291108</v>
      </c>
      <c r="R108" s="222">
        <f t="shared" si="14"/>
        <v>7.9614464479346969</v>
      </c>
      <c r="S108" s="235"/>
    </row>
    <row r="109" spans="1:19" ht="18" x14ac:dyDescent="0.35">
      <c r="A109" s="66"/>
      <c r="Q109" s="103"/>
      <c r="R109" s="185"/>
      <c r="S109" s="234"/>
    </row>
    <row r="110" spans="1:19" ht="16.5" thickBot="1" x14ac:dyDescent="0.4">
      <c r="A110" s="66"/>
      <c r="Q110" s="101"/>
      <c r="R110" s="184"/>
      <c r="S110" s="233"/>
    </row>
    <row r="111" spans="1:19" s="8" customFormat="1" ht="18" thickBot="1" x14ac:dyDescent="0.4">
      <c r="A111" s="218"/>
      <c r="B111" s="219" t="s">
        <v>74</v>
      </c>
      <c r="C111" s="220"/>
      <c r="D111" s="220"/>
      <c r="E111" s="220">
        <f t="shared" ref="E111:Q111" si="24">+E24-E108</f>
        <v>-1641.1581584409255</v>
      </c>
      <c r="F111" s="220">
        <f t="shared" si="24"/>
        <v>-1641.1581584409255</v>
      </c>
      <c r="G111" s="220">
        <f t="shared" si="24"/>
        <v>-1332.1581584409255</v>
      </c>
      <c r="H111" s="220">
        <f t="shared" si="24"/>
        <v>-2877.158158440925</v>
      </c>
      <c r="I111" s="220">
        <f t="shared" si="24"/>
        <v>-1332.1581584409255</v>
      </c>
      <c r="J111" s="220">
        <f t="shared" si="24"/>
        <v>-1332.1581584409255</v>
      </c>
      <c r="K111" s="220">
        <f t="shared" si="24"/>
        <v>-1332.1581584409255</v>
      </c>
      <c r="L111" s="220">
        <f t="shared" si="24"/>
        <v>-1332.1581584409255</v>
      </c>
      <c r="M111" s="220">
        <f t="shared" si="24"/>
        <v>-1332.1581584409255</v>
      </c>
      <c r="N111" s="220">
        <f t="shared" si="24"/>
        <v>-1332.1581584409255</v>
      </c>
      <c r="O111" s="220">
        <f t="shared" si="24"/>
        <v>-1333.7581584409254</v>
      </c>
      <c r="P111" s="220">
        <f t="shared" si="24"/>
        <v>-1333.7581584409254</v>
      </c>
      <c r="Q111" s="221">
        <f t="shared" si="24"/>
        <v>-18152.097901291108</v>
      </c>
      <c r="R111" s="222">
        <f t="shared" si="14"/>
        <v>-7.9614464479346969</v>
      </c>
      <c r="S111" s="235"/>
    </row>
    <row r="112" spans="1:19" ht="18" x14ac:dyDescent="0.35">
      <c r="A112" s="66"/>
      <c r="Q112" s="103"/>
      <c r="R112" s="185"/>
      <c r="S112" s="234"/>
    </row>
    <row r="113" spans="1:19" x14ac:dyDescent="0.35">
      <c r="A113" s="66" t="s">
        <v>121</v>
      </c>
      <c r="D113" s="6" t="s">
        <v>75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01">
        <f>SUM(E113:P113)</f>
        <v>0</v>
      </c>
      <c r="R113" s="184">
        <f t="shared" si="14"/>
        <v>0</v>
      </c>
      <c r="S113" s="233"/>
    </row>
    <row r="114" spans="1:19" x14ac:dyDescent="0.35">
      <c r="A114" s="66" t="s">
        <v>122</v>
      </c>
      <c r="D114" s="6" t="s">
        <v>76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01">
        <f>SUM(E114:P114)</f>
        <v>0</v>
      </c>
      <c r="R114" s="184">
        <f t="shared" si="14"/>
        <v>0</v>
      </c>
      <c r="S114" s="233"/>
    </row>
    <row r="115" spans="1:19" x14ac:dyDescent="0.35">
      <c r="A115" s="66" t="s">
        <v>123</v>
      </c>
      <c r="D115" s="6" t="s">
        <v>77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01">
        <f>SUM(E115:P115)</f>
        <v>0</v>
      </c>
      <c r="R115" s="184">
        <f t="shared" si="14"/>
        <v>0</v>
      </c>
      <c r="S115" s="233"/>
    </row>
    <row r="116" spans="1:19" x14ac:dyDescent="0.35">
      <c r="A116" s="66" t="s">
        <v>129</v>
      </c>
      <c r="D116" s="6" t="s">
        <v>78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08">
        <f>SUM(E116:P116)</f>
        <v>0</v>
      </c>
      <c r="R116" s="189">
        <f t="shared" si="14"/>
        <v>0</v>
      </c>
      <c r="S116" s="233"/>
    </row>
    <row r="117" spans="1:19" x14ac:dyDescent="0.35">
      <c r="A117" s="66"/>
      <c r="C117" s="6" t="s">
        <v>78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08">
        <f>SUM(Q113:Q116)</f>
        <v>0</v>
      </c>
      <c r="R117" s="189">
        <f t="shared" si="14"/>
        <v>0</v>
      </c>
      <c r="S117" s="233"/>
    </row>
    <row r="118" spans="1:19" x14ac:dyDescent="0.35">
      <c r="A118" s="66"/>
      <c r="Q118" s="101"/>
      <c r="R118" s="184"/>
      <c r="S118" s="233"/>
    </row>
    <row r="119" spans="1:19" x14ac:dyDescent="0.35">
      <c r="A119" s="66" t="s">
        <v>124</v>
      </c>
      <c r="C119" s="6" t="s">
        <v>79</v>
      </c>
      <c r="E119" s="6">
        <f>'Renew &amp; Vac '!AJ33</f>
        <v>0</v>
      </c>
      <c r="F119" s="6">
        <f>'Renew &amp; Vac '!AK33</f>
        <v>0</v>
      </c>
      <c r="G119" s="6">
        <f>'Renew &amp; Vac '!AL33</f>
        <v>0</v>
      </c>
      <c r="H119" s="6">
        <f>'Renew &amp; Vac '!AM33</f>
        <v>0</v>
      </c>
      <c r="I119" s="6">
        <f>'Renew &amp; Vac '!AN33</f>
        <v>0</v>
      </c>
      <c r="J119" s="6">
        <f>'Renew &amp; Vac '!AO33</f>
        <v>0</v>
      </c>
      <c r="K119" s="6">
        <f>'Renew &amp; Vac '!AP33</f>
        <v>0</v>
      </c>
      <c r="L119" s="6">
        <f>'Renew &amp; Vac '!AQ33</f>
        <v>0</v>
      </c>
      <c r="M119" s="6">
        <f>'Renew &amp; Vac '!AR33</f>
        <v>0</v>
      </c>
      <c r="N119" s="6">
        <f>'Renew &amp; Vac '!AS33</f>
        <v>0</v>
      </c>
      <c r="O119" s="6">
        <f>'Renew &amp; Vac '!AT33</f>
        <v>0</v>
      </c>
      <c r="P119" s="6">
        <f>'Renew &amp; Vac '!AU33</f>
        <v>0</v>
      </c>
      <c r="Q119" s="101">
        <f>SUM(E119:P119)</f>
        <v>0</v>
      </c>
      <c r="R119" s="184">
        <f t="shared" si="14"/>
        <v>0</v>
      </c>
      <c r="S119" s="233"/>
    </row>
    <row r="120" spans="1:19" ht="18" x14ac:dyDescent="0.35">
      <c r="A120" s="6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11"/>
      <c r="R120" s="192"/>
      <c r="S120" s="236"/>
    </row>
    <row r="121" spans="1:19" ht="18" x14ac:dyDescent="0.35">
      <c r="A121" s="66" t="s">
        <v>125</v>
      </c>
      <c r="D121" s="6" t="s">
        <v>80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03">
        <f>SUM(E121:P121)</f>
        <v>0</v>
      </c>
      <c r="R121" s="185">
        <f t="shared" si="14"/>
        <v>0</v>
      </c>
      <c r="S121" s="234"/>
    </row>
    <row r="122" spans="1:19" x14ac:dyDescent="0.35">
      <c r="A122" s="66" t="s">
        <v>125</v>
      </c>
      <c r="B122" s="8"/>
      <c r="D122" s="6" t="s">
        <v>81</v>
      </c>
      <c r="E122" s="15">
        <f>'Renew &amp; Vac '!AJ34</f>
        <v>0</v>
      </c>
      <c r="F122" s="15">
        <f>'Renew &amp; Vac '!AK34</f>
        <v>0</v>
      </c>
      <c r="G122" s="15">
        <f>'Renew &amp; Vac '!AL34</f>
        <v>0</v>
      </c>
      <c r="H122" s="15">
        <f>'Renew &amp; Vac '!AM34</f>
        <v>0</v>
      </c>
      <c r="I122" s="15">
        <f>'Renew &amp; Vac '!AN34</f>
        <v>0</v>
      </c>
      <c r="J122" s="15">
        <f>'Renew &amp; Vac '!AO34</f>
        <v>0</v>
      </c>
      <c r="K122" s="15">
        <f>'Renew &amp; Vac '!AP34</f>
        <v>0</v>
      </c>
      <c r="L122" s="15">
        <f>'Renew &amp; Vac '!AQ34</f>
        <v>0</v>
      </c>
      <c r="M122" s="15">
        <f>'Renew &amp; Vac '!AR34</f>
        <v>0</v>
      </c>
      <c r="N122" s="15">
        <f>'Renew &amp; Vac '!AS34</f>
        <v>0</v>
      </c>
      <c r="O122" s="15">
        <f>'Renew &amp; Vac '!AT34</f>
        <v>0</v>
      </c>
      <c r="P122" s="15">
        <f>'Renew &amp; Vac '!AU34</f>
        <v>0</v>
      </c>
      <c r="Q122" s="108">
        <f>SUM(E122:P122)</f>
        <v>0</v>
      </c>
      <c r="R122" s="189">
        <f t="shared" si="14"/>
        <v>0</v>
      </c>
      <c r="S122" s="233"/>
    </row>
    <row r="123" spans="1:19" x14ac:dyDescent="0.35">
      <c r="A123" s="66"/>
      <c r="C123" s="6" t="s">
        <v>81</v>
      </c>
      <c r="D123" s="30"/>
      <c r="E123" s="6">
        <f t="shared" ref="E123:Q123" si="25">SUM(E121:E122)</f>
        <v>0</v>
      </c>
      <c r="F123" s="6">
        <f t="shared" si="25"/>
        <v>0</v>
      </c>
      <c r="G123" s="6">
        <f t="shared" si="25"/>
        <v>0</v>
      </c>
      <c r="H123" s="6">
        <f t="shared" si="25"/>
        <v>0</v>
      </c>
      <c r="I123" s="6">
        <f t="shared" si="25"/>
        <v>0</v>
      </c>
      <c r="J123" s="6">
        <f t="shared" si="25"/>
        <v>0</v>
      </c>
      <c r="K123" s="6">
        <f t="shared" si="25"/>
        <v>0</v>
      </c>
      <c r="L123" s="6">
        <f t="shared" si="25"/>
        <v>0</v>
      </c>
      <c r="M123" s="6">
        <f t="shared" si="25"/>
        <v>0</v>
      </c>
      <c r="N123" s="6">
        <f t="shared" si="25"/>
        <v>0</v>
      </c>
      <c r="O123" s="6">
        <f t="shared" si="25"/>
        <v>0</v>
      </c>
      <c r="P123" s="6">
        <f t="shared" si="25"/>
        <v>0</v>
      </c>
      <c r="Q123" s="101">
        <f t="shared" si="25"/>
        <v>0</v>
      </c>
      <c r="R123" s="184">
        <f t="shared" si="14"/>
        <v>0</v>
      </c>
      <c r="S123" s="233"/>
    </row>
    <row r="124" spans="1:19" s="8" customFormat="1" ht="18.5" thickBot="1" x14ac:dyDescent="0.4">
      <c r="A124" s="67"/>
      <c r="Q124" s="113"/>
      <c r="R124" s="194"/>
      <c r="S124" s="237"/>
    </row>
    <row r="125" spans="1:19" s="8" customFormat="1" ht="18" thickBot="1" x14ac:dyDescent="0.4">
      <c r="A125" s="218"/>
      <c r="B125" s="219" t="s">
        <v>82</v>
      </c>
      <c r="C125" s="220"/>
      <c r="D125" s="220"/>
      <c r="E125" s="220">
        <f t="shared" ref="E125:Q125" si="26">+E111-E117-E119-E123</f>
        <v>-1641.1581584409255</v>
      </c>
      <c r="F125" s="220">
        <f t="shared" si="26"/>
        <v>-1641.1581584409255</v>
      </c>
      <c r="G125" s="220">
        <f t="shared" si="26"/>
        <v>-1332.1581584409255</v>
      </c>
      <c r="H125" s="220">
        <f t="shared" si="26"/>
        <v>-2877.158158440925</v>
      </c>
      <c r="I125" s="220">
        <f t="shared" si="26"/>
        <v>-1332.1581584409255</v>
      </c>
      <c r="J125" s="220">
        <f t="shared" si="26"/>
        <v>-1332.1581584409255</v>
      </c>
      <c r="K125" s="220">
        <f t="shared" si="26"/>
        <v>-1332.1581584409255</v>
      </c>
      <c r="L125" s="220">
        <f t="shared" si="26"/>
        <v>-1332.1581584409255</v>
      </c>
      <c r="M125" s="220">
        <f t="shared" si="26"/>
        <v>-1332.1581584409255</v>
      </c>
      <c r="N125" s="220">
        <f t="shared" si="26"/>
        <v>-1332.1581584409255</v>
      </c>
      <c r="O125" s="220">
        <f t="shared" si="26"/>
        <v>-1333.7581584409254</v>
      </c>
      <c r="P125" s="220">
        <f t="shared" si="26"/>
        <v>-1333.7581584409254</v>
      </c>
      <c r="Q125" s="221">
        <f t="shared" si="26"/>
        <v>-18152.097901291108</v>
      </c>
      <c r="R125" s="225">
        <f t="shared" si="14"/>
        <v>-7.9614464479346969</v>
      </c>
      <c r="S125" s="235"/>
    </row>
    <row r="126" spans="1:19" x14ac:dyDescent="0.35">
      <c r="A126" s="66"/>
      <c r="Q126" s="101"/>
      <c r="R126" s="184"/>
      <c r="S126" s="233"/>
    </row>
    <row r="127" spans="1:19" x14ac:dyDescent="0.35">
      <c r="A127" s="66"/>
      <c r="B127" s="6" t="s">
        <v>83</v>
      </c>
      <c r="Q127" s="101"/>
      <c r="R127" s="184"/>
      <c r="S127" s="233"/>
    </row>
    <row r="128" spans="1:19" x14ac:dyDescent="0.35">
      <c r="A128" s="66" t="s">
        <v>128</v>
      </c>
      <c r="C128" s="6" t="s">
        <v>84</v>
      </c>
      <c r="E128" s="6">
        <f>VLOOKUP($B$1,'INS RET DEBT'!$C$98:$Q$107,3,FALSE)</f>
        <v>0</v>
      </c>
      <c r="F128" s="6">
        <f>VLOOKUP($B$1,'INS RET DEBT'!$C$98:$Q$107,4,FALSE)</f>
        <v>0</v>
      </c>
      <c r="G128" s="6">
        <f>VLOOKUP($B$1,'INS RET DEBT'!$C$98:$Q$107,5,FALSE)</f>
        <v>0</v>
      </c>
      <c r="H128" s="6">
        <f>VLOOKUP($B$1,'INS RET DEBT'!$C$98:$Q$107,6,FALSE)</f>
        <v>0</v>
      </c>
      <c r="I128" s="6">
        <f>VLOOKUP($B$1,'INS RET DEBT'!$C$98:$Q$107,7,FALSE)</f>
        <v>0</v>
      </c>
      <c r="J128" s="6">
        <f>VLOOKUP($B$1,'INS RET DEBT'!$C$98:$Q$107,8,FALSE)</f>
        <v>0</v>
      </c>
      <c r="K128" s="6">
        <f>VLOOKUP($B$1,'INS RET DEBT'!$C$98:$Q$107,9,FALSE)</f>
        <v>0</v>
      </c>
      <c r="L128" s="6">
        <f>VLOOKUP($B$1,'INS RET DEBT'!$C$98:$Q$107,10,FALSE)</f>
        <v>0</v>
      </c>
      <c r="M128" s="6">
        <f>VLOOKUP($B$1,'INS RET DEBT'!$C$98:$Q$107,11,FALSE)</f>
        <v>0</v>
      </c>
      <c r="N128" s="6">
        <f>VLOOKUP($B$1,'INS RET DEBT'!$C$98:$Q$107,12,FALSE)</f>
        <v>0</v>
      </c>
      <c r="O128" s="6">
        <f>VLOOKUP($B$1,'INS RET DEBT'!$C$98:$Q$107,13,FALSE)</f>
        <v>0</v>
      </c>
      <c r="P128" s="6">
        <f>VLOOKUP($B$1,'INS RET DEBT'!$C$98:$Q$107,14,FALSE)</f>
        <v>0</v>
      </c>
      <c r="Q128" s="101">
        <f>SUM(E128:P128)</f>
        <v>0</v>
      </c>
      <c r="R128" s="184">
        <f t="shared" si="14"/>
        <v>0</v>
      </c>
      <c r="S128" s="233"/>
    </row>
    <row r="129" spans="1:19" x14ac:dyDescent="0.35">
      <c r="A129" s="66" t="s">
        <v>145</v>
      </c>
      <c r="C129" s="6" t="s">
        <v>85</v>
      </c>
      <c r="E129" s="6">
        <f>VLOOKUP($B$1,'INS RET DEBT'!$C$113:$Q$122,3,FALSE)</f>
        <v>0</v>
      </c>
      <c r="F129" s="6">
        <f>VLOOKUP($B$1,'INS RET DEBT'!$C$113:$Q$122,4,FALSE)</f>
        <v>0</v>
      </c>
      <c r="G129" s="6">
        <f>VLOOKUP($B$1,'INS RET DEBT'!$C$113:$Q$122,5,FALSE)</f>
        <v>0</v>
      </c>
      <c r="H129" s="6">
        <f>VLOOKUP($B$1,'INS RET DEBT'!$C$113:$Q$122,6,FALSE)</f>
        <v>0</v>
      </c>
      <c r="I129" s="6">
        <f>VLOOKUP($B$1,'INS RET DEBT'!$C$113:$Q$122,7,FALSE)</f>
        <v>0</v>
      </c>
      <c r="J129" s="6">
        <f>VLOOKUP($B$1,'INS RET DEBT'!$C$113:$Q$122,8,FALSE)</f>
        <v>0</v>
      </c>
      <c r="K129" s="6">
        <f>VLOOKUP($B$1,'INS RET DEBT'!$C$113:$Q$122,9,FALSE)</f>
        <v>0</v>
      </c>
      <c r="L129" s="6">
        <f>VLOOKUP($B$1,'INS RET DEBT'!$C$113:$Q$122,10,FALSE)</f>
        <v>0</v>
      </c>
      <c r="M129" s="6">
        <f>VLOOKUP($B$1,'INS RET DEBT'!$C$113:$Q$122,11,FALSE)</f>
        <v>0</v>
      </c>
      <c r="N129" s="6">
        <f>VLOOKUP($B$1,'INS RET DEBT'!$C$113:$Q$122,12,FALSE)</f>
        <v>0</v>
      </c>
      <c r="O129" s="6">
        <f>VLOOKUP($B$1,'INS RET DEBT'!$C$113:$Q$122,13,FALSE)</f>
        <v>0</v>
      </c>
      <c r="P129" s="6">
        <f>VLOOKUP($B$1,'INS RET DEBT'!$C$113:$Q$122,14,FALSE)</f>
        <v>0</v>
      </c>
      <c r="Q129" s="101">
        <f>SUM(E129:P129)</f>
        <v>0</v>
      </c>
      <c r="R129" s="184">
        <f t="shared" si="14"/>
        <v>0</v>
      </c>
      <c r="S129" s="233"/>
    </row>
    <row r="130" spans="1:19" x14ac:dyDescent="0.35">
      <c r="A130" s="66" t="s">
        <v>146</v>
      </c>
      <c r="C130" s="6" t="s">
        <v>86</v>
      </c>
      <c r="Q130" s="101">
        <f>SUM(E130:P130)</f>
        <v>0</v>
      </c>
      <c r="R130" s="184">
        <f t="shared" si="14"/>
        <v>0</v>
      </c>
      <c r="S130" s="233"/>
    </row>
    <row r="131" spans="1:19" x14ac:dyDescent="0.35">
      <c r="A131" s="66"/>
      <c r="C131" s="6" t="s">
        <v>87</v>
      </c>
      <c r="E131" s="28">
        <f t="shared" ref="E131:Q131" si="27">SUM(E128:E130)</f>
        <v>0</v>
      </c>
      <c r="F131" s="28">
        <f t="shared" si="27"/>
        <v>0</v>
      </c>
      <c r="G131" s="28">
        <f t="shared" si="27"/>
        <v>0</v>
      </c>
      <c r="H131" s="28">
        <f t="shared" si="27"/>
        <v>0</v>
      </c>
      <c r="I131" s="28">
        <f t="shared" si="27"/>
        <v>0</v>
      </c>
      <c r="J131" s="28">
        <f t="shared" si="27"/>
        <v>0</v>
      </c>
      <c r="K131" s="28">
        <f t="shared" si="27"/>
        <v>0</v>
      </c>
      <c r="L131" s="28">
        <f t="shared" si="27"/>
        <v>0</v>
      </c>
      <c r="M131" s="28">
        <f t="shared" si="27"/>
        <v>0</v>
      </c>
      <c r="N131" s="28">
        <f t="shared" si="27"/>
        <v>0</v>
      </c>
      <c r="O131" s="28">
        <f t="shared" si="27"/>
        <v>0</v>
      </c>
      <c r="P131" s="28">
        <f t="shared" si="27"/>
        <v>0</v>
      </c>
      <c r="Q131" s="110">
        <f t="shared" si="27"/>
        <v>0</v>
      </c>
      <c r="R131" s="191">
        <f t="shared" si="14"/>
        <v>0</v>
      </c>
      <c r="S131" s="233"/>
    </row>
    <row r="132" spans="1:19" x14ac:dyDescent="0.35">
      <c r="A132" s="66"/>
      <c r="Q132" s="101"/>
      <c r="R132" s="184"/>
      <c r="S132" s="233"/>
    </row>
    <row r="133" spans="1:19" ht="18.5" thickBot="1" x14ac:dyDescent="0.4">
      <c r="A133" s="67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12"/>
      <c r="R133" s="193"/>
      <c r="S133" s="234"/>
    </row>
    <row r="134" spans="1:19" s="8" customFormat="1" ht="18" thickBot="1" x14ac:dyDescent="0.4">
      <c r="A134" s="218"/>
      <c r="B134" s="219" t="s">
        <v>88</v>
      </c>
      <c r="C134" s="220"/>
      <c r="D134" s="220"/>
      <c r="E134" s="220">
        <f t="shared" ref="E134:Q134" si="28">+E125-E131</f>
        <v>-1641.1581584409255</v>
      </c>
      <c r="F134" s="220">
        <f t="shared" si="28"/>
        <v>-1641.1581584409255</v>
      </c>
      <c r="G134" s="220">
        <f t="shared" si="28"/>
        <v>-1332.1581584409255</v>
      </c>
      <c r="H134" s="220">
        <f t="shared" si="28"/>
        <v>-2877.158158440925</v>
      </c>
      <c r="I134" s="220">
        <f t="shared" si="28"/>
        <v>-1332.1581584409255</v>
      </c>
      <c r="J134" s="220">
        <f t="shared" si="28"/>
        <v>-1332.1581584409255</v>
      </c>
      <c r="K134" s="220">
        <f t="shared" si="28"/>
        <v>-1332.1581584409255</v>
      </c>
      <c r="L134" s="220">
        <f t="shared" si="28"/>
        <v>-1332.1581584409255</v>
      </c>
      <c r="M134" s="220">
        <f t="shared" si="28"/>
        <v>-1332.1581584409255</v>
      </c>
      <c r="N134" s="220">
        <f t="shared" si="28"/>
        <v>-1332.1581584409255</v>
      </c>
      <c r="O134" s="220">
        <f t="shared" si="28"/>
        <v>-1333.7581584409254</v>
      </c>
      <c r="P134" s="220">
        <f t="shared" si="28"/>
        <v>-1333.7581584409254</v>
      </c>
      <c r="Q134" s="221">
        <f t="shared" si="28"/>
        <v>-18152.097901291108</v>
      </c>
      <c r="R134" s="225">
        <f t="shared" si="14"/>
        <v>-7.9614464479346969</v>
      </c>
      <c r="S134" s="235"/>
    </row>
    <row r="135" spans="1:19" x14ac:dyDescent="0.35">
      <c r="A135" s="68"/>
      <c r="B135" s="8"/>
      <c r="C135" s="32"/>
      <c r="D135" s="6" t="s">
        <v>262</v>
      </c>
    </row>
    <row r="136" spans="1:19" s="8" customFormat="1" ht="15" x14ac:dyDescent="0.3">
      <c r="A136" s="68"/>
      <c r="C136" s="32"/>
      <c r="D136" s="33" t="s">
        <v>263</v>
      </c>
      <c r="S136" s="238"/>
    </row>
    <row r="137" spans="1:19" x14ac:dyDescent="0.35">
      <c r="A137" s="66"/>
    </row>
    <row r="138" spans="1:19" x14ac:dyDescent="0.35">
      <c r="A138" s="69"/>
    </row>
    <row r="139" spans="1:19" x14ac:dyDescent="0.35">
      <c r="A139" s="47"/>
    </row>
    <row r="140" spans="1:19" x14ac:dyDescent="0.35">
      <c r="A140" s="47"/>
    </row>
    <row r="141" spans="1:19" x14ac:dyDescent="0.35">
      <c r="A141" s="47"/>
    </row>
    <row r="142" spans="1:19" x14ac:dyDescent="0.35">
      <c r="A142" s="47"/>
    </row>
    <row r="143" spans="1:19" x14ac:dyDescent="0.35">
      <c r="A143" s="47"/>
    </row>
    <row r="144" spans="1:19" x14ac:dyDescent="0.35">
      <c r="A144" s="47"/>
    </row>
    <row r="145" spans="1:18" ht="18" x14ac:dyDescent="0.35">
      <c r="A145" s="47"/>
      <c r="D145" s="7" t="str">
        <f>"Budget Import - "&amp;B1</f>
        <v>Budget Import - 1500</v>
      </c>
      <c r="E145" s="389">
        <v>5</v>
      </c>
      <c r="F145" s="390">
        <f>E145+1</f>
        <v>6</v>
      </c>
      <c r="G145" s="390">
        <f t="shared" ref="G145:P145" si="29">F145+1</f>
        <v>7</v>
      </c>
      <c r="H145" s="390">
        <f t="shared" si="29"/>
        <v>8</v>
      </c>
      <c r="I145" s="390">
        <f t="shared" si="29"/>
        <v>9</v>
      </c>
      <c r="J145" s="390">
        <f t="shared" si="29"/>
        <v>10</v>
      </c>
      <c r="K145" s="390">
        <f t="shared" si="29"/>
        <v>11</v>
      </c>
      <c r="L145" s="390">
        <f t="shared" si="29"/>
        <v>12</v>
      </c>
      <c r="M145" s="390">
        <f t="shared" si="29"/>
        <v>13</v>
      </c>
      <c r="N145" s="390">
        <f t="shared" si="29"/>
        <v>14</v>
      </c>
      <c r="O145" s="390">
        <f t="shared" si="29"/>
        <v>15</v>
      </c>
      <c r="P145" s="390">
        <f t="shared" si="29"/>
        <v>16</v>
      </c>
      <c r="Q145" s="390" t="s">
        <v>566</v>
      </c>
    </row>
    <row r="146" spans="1:18" ht="16.5" thickBot="1" x14ac:dyDescent="0.4">
      <c r="A146" s="47"/>
      <c r="D146" s="6" t="s">
        <v>96</v>
      </c>
      <c r="E146" s="6">
        <v>1</v>
      </c>
      <c r="F146" s="6">
        <v>2</v>
      </c>
      <c r="G146" s="6">
        <v>3</v>
      </c>
      <c r="H146" s="6">
        <v>4</v>
      </c>
      <c r="I146" s="6">
        <v>5</v>
      </c>
      <c r="J146" s="6">
        <v>6</v>
      </c>
      <c r="K146" s="6">
        <v>7</v>
      </c>
      <c r="L146" s="6">
        <v>8</v>
      </c>
      <c r="M146" s="6">
        <v>9</v>
      </c>
      <c r="N146" s="6">
        <v>10</v>
      </c>
      <c r="O146" s="6">
        <v>11</v>
      </c>
      <c r="P146" s="6">
        <v>12</v>
      </c>
      <c r="Q146" s="13" t="s">
        <v>12</v>
      </c>
    </row>
    <row r="147" spans="1:18" x14ac:dyDescent="0.35">
      <c r="A147" s="294" t="str">
        <f>VLOOKUP($D147,$A$10:$D$130,3,FALSE)</f>
        <v>Rental Income - In Place</v>
      </c>
      <c r="D147" s="57" t="s">
        <v>132</v>
      </c>
      <c r="E147" s="58">
        <f>-(VLOOKUP($D147,$A$10:$P$134,E$145,FALSE)+E11)</f>
        <v>0</v>
      </c>
      <c r="F147" s="58">
        <f t="shared" ref="F147:P147" si="30">-(VLOOKUP($D147,$A$10:$P$134,F$145,FALSE)+F11)</f>
        <v>0</v>
      </c>
      <c r="G147" s="58">
        <f t="shared" si="30"/>
        <v>0</v>
      </c>
      <c r="H147" s="58">
        <f t="shared" si="30"/>
        <v>0</v>
      </c>
      <c r="I147" s="58">
        <f t="shared" si="30"/>
        <v>0</v>
      </c>
      <c r="J147" s="58">
        <f t="shared" si="30"/>
        <v>0</v>
      </c>
      <c r="K147" s="58">
        <f t="shared" si="30"/>
        <v>0</v>
      </c>
      <c r="L147" s="58">
        <f t="shared" si="30"/>
        <v>0</v>
      </c>
      <c r="M147" s="58">
        <f t="shared" si="30"/>
        <v>0</v>
      </c>
      <c r="N147" s="58">
        <f t="shared" si="30"/>
        <v>0</v>
      </c>
      <c r="O147" s="58">
        <f t="shared" si="30"/>
        <v>0</v>
      </c>
      <c r="P147" s="59">
        <f t="shared" si="30"/>
        <v>0</v>
      </c>
      <c r="Q147" s="13">
        <f>SUM(E147:P147)</f>
        <v>0</v>
      </c>
      <c r="R147" s="13"/>
    </row>
    <row r="148" spans="1:18" x14ac:dyDescent="0.35">
      <c r="A148" s="294" t="str">
        <f t="shared" ref="A148:A181" si="31">VLOOKUP($D148,$A$10:$D$130,3,FALSE)</f>
        <v>Electric</v>
      </c>
      <c r="D148" s="60" t="s">
        <v>98</v>
      </c>
      <c r="E148" s="61">
        <f t="shared" ref="E148:P150" si="32">-VLOOKUP($D148,$A$10:$P$134,E$145,FALSE)</f>
        <v>0</v>
      </c>
      <c r="F148" s="61">
        <f t="shared" si="32"/>
        <v>0</v>
      </c>
      <c r="G148" s="61">
        <f t="shared" si="32"/>
        <v>0</v>
      </c>
      <c r="H148" s="61">
        <f t="shared" si="32"/>
        <v>0</v>
      </c>
      <c r="I148" s="61">
        <f t="shared" si="32"/>
        <v>0</v>
      </c>
      <c r="J148" s="61">
        <f t="shared" si="32"/>
        <v>0</v>
      </c>
      <c r="K148" s="61">
        <f t="shared" si="32"/>
        <v>0</v>
      </c>
      <c r="L148" s="61">
        <f t="shared" si="32"/>
        <v>0</v>
      </c>
      <c r="M148" s="61">
        <f t="shared" si="32"/>
        <v>0</v>
      </c>
      <c r="N148" s="61">
        <f t="shared" si="32"/>
        <v>0</v>
      </c>
      <c r="O148" s="61">
        <f t="shared" si="32"/>
        <v>0</v>
      </c>
      <c r="P148" s="62">
        <f t="shared" si="32"/>
        <v>0</v>
      </c>
      <c r="Q148" s="13">
        <f t="shared" ref="Q148:Q181" si="33">SUM(E148:P148)</f>
        <v>0</v>
      </c>
      <c r="R148" s="13"/>
    </row>
    <row r="149" spans="1:18" x14ac:dyDescent="0.35">
      <c r="A149" s="294" t="str">
        <f t="shared" si="31"/>
        <v>Common Area Maintenance</v>
      </c>
      <c r="D149" s="60" t="s">
        <v>99</v>
      </c>
      <c r="E149" s="61">
        <f t="shared" si="32"/>
        <v>0</v>
      </c>
      <c r="F149" s="61">
        <f t="shared" si="32"/>
        <v>0</v>
      </c>
      <c r="G149" s="61">
        <f t="shared" si="32"/>
        <v>0</v>
      </c>
      <c r="H149" s="61">
        <f t="shared" si="32"/>
        <v>0</v>
      </c>
      <c r="I149" s="61">
        <f t="shared" si="32"/>
        <v>0</v>
      </c>
      <c r="J149" s="61">
        <f t="shared" si="32"/>
        <v>0</v>
      </c>
      <c r="K149" s="61">
        <f t="shared" si="32"/>
        <v>0</v>
      </c>
      <c r="L149" s="61">
        <f t="shared" si="32"/>
        <v>0</v>
      </c>
      <c r="M149" s="61">
        <f t="shared" si="32"/>
        <v>0</v>
      </c>
      <c r="N149" s="61">
        <f t="shared" si="32"/>
        <v>0</v>
      </c>
      <c r="O149" s="61">
        <f t="shared" si="32"/>
        <v>0</v>
      </c>
      <c r="P149" s="62">
        <f t="shared" si="32"/>
        <v>0</v>
      </c>
      <c r="Q149" s="13">
        <f t="shared" si="33"/>
        <v>0</v>
      </c>
      <c r="R149" s="13"/>
    </row>
    <row r="150" spans="1:18" x14ac:dyDescent="0.35">
      <c r="A150" s="294" t="str">
        <f t="shared" si="31"/>
        <v>Real Estate Taxes</v>
      </c>
      <c r="D150" s="60" t="s">
        <v>100</v>
      </c>
      <c r="E150" s="61">
        <f t="shared" si="32"/>
        <v>0</v>
      </c>
      <c r="F150" s="61">
        <f t="shared" si="32"/>
        <v>0</v>
      </c>
      <c r="G150" s="61">
        <f t="shared" si="32"/>
        <v>0</v>
      </c>
      <c r="H150" s="61">
        <f t="shared" si="32"/>
        <v>0</v>
      </c>
      <c r="I150" s="61">
        <f t="shared" si="32"/>
        <v>0</v>
      </c>
      <c r="J150" s="61">
        <f t="shared" si="32"/>
        <v>0</v>
      </c>
      <c r="K150" s="61">
        <f t="shared" si="32"/>
        <v>0</v>
      </c>
      <c r="L150" s="61">
        <f t="shared" si="32"/>
        <v>0</v>
      </c>
      <c r="M150" s="61">
        <f t="shared" si="32"/>
        <v>0</v>
      </c>
      <c r="N150" s="61">
        <f t="shared" si="32"/>
        <v>0</v>
      </c>
      <c r="O150" s="61">
        <f t="shared" si="32"/>
        <v>0</v>
      </c>
      <c r="P150" s="62">
        <f t="shared" si="32"/>
        <v>0</v>
      </c>
      <c r="Q150" s="13">
        <f t="shared" si="33"/>
        <v>0</v>
      </c>
      <c r="R150" s="13"/>
    </row>
    <row r="151" spans="1:18" x14ac:dyDescent="0.35">
      <c r="A151" s="294" t="str">
        <f t="shared" si="31"/>
        <v>Insurance</v>
      </c>
      <c r="D151" s="60" t="s">
        <v>135</v>
      </c>
      <c r="E151" s="61">
        <f>-VLOOKUP($D151,$A$10:$P$134,E$145,FALSE)</f>
        <v>0</v>
      </c>
      <c r="F151" s="61">
        <f t="shared" ref="F151:P151" si="34">-VLOOKUP($D151,$A$10:$P$134,F$145,FALSE)</f>
        <v>0</v>
      </c>
      <c r="G151" s="61">
        <f t="shared" si="34"/>
        <v>0</v>
      </c>
      <c r="H151" s="61">
        <f t="shared" si="34"/>
        <v>0</v>
      </c>
      <c r="I151" s="61">
        <f t="shared" si="34"/>
        <v>0</v>
      </c>
      <c r="J151" s="61">
        <f t="shared" si="34"/>
        <v>0</v>
      </c>
      <c r="K151" s="61">
        <f t="shared" si="34"/>
        <v>0</v>
      </c>
      <c r="L151" s="61">
        <f t="shared" si="34"/>
        <v>0</v>
      </c>
      <c r="M151" s="61">
        <f t="shared" si="34"/>
        <v>0</v>
      </c>
      <c r="N151" s="61">
        <f t="shared" si="34"/>
        <v>0</v>
      </c>
      <c r="O151" s="61">
        <f t="shared" si="34"/>
        <v>0</v>
      </c>
      <c r="P151" s="62">
        <f t="shared" si="34"/>
        <v>0</v>
      </c>
      <c r="Q151" s="13">
        <f>SUM(E151:P151)</f>
        <v>0</v>
      </c>
      <c r="R151" s="13"/>
    </row>
    <row r="152" spans="1:18" x14ac:dyDescent="0.35">
      <c r="A152" s="294" t="str">
        <f t="shared" si="31"/>
        <v>Maintenance Salaries</v>
      </c>
      <c r="D152" s="60" t="s">
        <v>101</v>
      </c>
      <c r="E152" s="61">
        <f t="shared" ref="E152:P173" si="35">VLOOKUP($D152,$A$10:$P$134,E$145,FALSE)</f>
        <v>70.208331227445953</v>
      </c>
      <c r="F152" s="61">
        <f t="shared" si="35"/>
        <v>70.208331227445953</v>
      </c>
      <c r="G152" s="61">
        <f t="shared" si="35"/>
        <v>70.208331227445953</v>
      </c>
      <c r="H152" s="61">
        <f t="shared" si="35"/>
        <v>70.208331227445953</v>
      </c>
      <c r="I152" s="61">
        <f t="shared" si="35"/>
        <v>70.208331227445953</v>
      </c>
      <c r="J152" s="61">
        <f t="shared" si="35"/>
        <v>70.208331227445953</v>
      </c>
      <c r="K152" s="61">
        <f t="shared" si="35"/>
        <v>70.208331227445953</v>
      </c>
      <c r="L152" s="61">
        <f t="shared" si="35"/>
        <v>70.208331227445953</v>
      </c>
      <c r="M152" s="61">
        <f t="shared" si="35"/>
        <v>70.208331227445953</v>
      </c>
      <c r="N152" s="61">
        <f t="shared" si="35"/>
        <v>70.208331227445953</v>
      </c>
      <c r="O152" s="61">
        <f t="shared" si="35"/>
        <v>70.208331227445953</v>
      </c>
      <c r="P152" s="62">
        <f t="shared" si="35"/>
        <v>70.208331227445953</v>
      </c>
      <c r="Q152" s="13">
        <f t="shared" si="33"/>
        <v>842.49997472935127</v>
      </c>
      <c r="R152" s="13"/>
    </row>
    <row r="153" spans="1:18" x14ac:dyDescent="0.35">
      <c r="A153" s="294" t="str">
        <f t="shared" si="31"/>
        <v>Electric</v>
      </c>
      <c r="D153" s="60" t="s">
        <v>102</v>
      </c>
      <c r="E153" s="61">
        <f t="shared" si="35"/>
        <v>0</v>
      </c>
      <c r="F153" s="61">
        <f t="shared" si="35"/>
        <v>0</v>
      </c>
      <c r="G153" s="61">
        <f t="shared" si="35"/>
        <v>0</v>
      </c>
      <c r="H153" s="61">
        <f t="shared" si="35"/>
        <v>0</v>
      </c>
      <c r="I153" s="61">
        <f t="shared" si="35"/>
        <v>0</v>
      </c>
      <c r="J153" s="61">
        <f t="shared" si="35"/>
        <v>0</v>
      </c>
      <c r="K153" s="61">
        <f t="shared" si="35"/>
        <v>0</v>
      </c>
      <c r="L153" s="61">
        <f t="shared" si="35"/>
        <v>0</v>
      </c>
      <c r="M153" s="61">
        <f t="shared" si="35"/>
        <v>0</v>
      </c>
      <c r="N153" s="61">
        <f t="shared" si="35"/>
        <v>0</v>
      </c>
      <c r="O153" s="61">
        <f t="shared" si="35"/>
        <v>0</v>
      </c>
      <c r="P153" s="62">
        <f t="shared" si="35"/>
        <v>0</v>
      </c>
      <c r="Q153" s="13">
        <f t="shared" si="33"/>
        <v>0</v>
      </c>
      <c r="R153" s="13"/>
    </row>
    <row r="154" spans="1:18" x14ac:dyDescent="0.35">
      <c r="A154" s="294" t="str">
        <f t="shared" si="31"/>
        <v>Water &amp; Sewer</v>
      </c>
      <c r="D154" s="60" t="s">
        <v>103</v>
      </c>
      <c r="E154" s="61">
        <f t="shared" si="35"/>
        <v>0</v>
      </c>
      <c r="F154" s="61">
        <f t="shared" si="35"/>
        <v>0</v>
      </c>
      <c r="G154" s="61">
        <f t="shared" si="35"/>
        <v>0</v>
      </c>
      <c r="H154" s="61">
        <f t="shared" si="35"/>
        <v>0</v>
      </c>
      <c r="I154" s="61">
        <f t="shared" si="35"/>
        <v>0</v>
      </c>
      <c r="J154" s="61">
        <f t="shared" si="35"/>
        <v>0</v>
      </c>
      <c r="K154" s="61">
        <f t="shared" si="35"/>
        <v>0</v>
      </c>
      <c r="L154" s="61">
        <f t="shared" si="35"/>
        <v>0</v>
      </c>
      <c r="M154" s="61">
        <f t="shared" si="35"/>
        <v>0</v>
      </c>
      <c r="N154" s="61">
        <f t="shared" si="35"/>
        <v>0</v>
      </c>
      <c r="O154" s="61">
        <f t="shared" si="35"/>
        <v>0</v>
      </c>
      <c r="P154" s="62">
        <f t="shared" si="35"/>
        <v>0</v>
      </c>
      <c r="Q154" s="13">
        <f t="shared" si="33"/>
        <v>0</v>
      </c>
      <c r="R154" s="13"/>
    </row>
    <row r="155" spans="1:18" x14ac:dyDescent="0.35">
      <c r="A155" s="294" t="str">
        <f t="shared" si="31"/>
        <v>Building Maintenance</v>
      </c>
      <c r="D155" s="60" t="s">
        <v>104</v>
      </c>
      <c r="E155" s="61">
        <f t="shared" si="35"/>
        <v>0</v>
      </c>
      <c r="F155" s="61">
        <f t="shared" si="35"/>
        <v>0</v>
      </c>
      <c r="G155" s="61">
        <f t="shared" si="35"/>
        <v>0</v>
      </c>
      <c r="H155" s="61">
        <f t="shared" si="35"/>
        <v>0</v>
      </c>
      <c r="I155" s="61">
        <f t="shared" si="35"/>
        <v>0</v>
      </c>
      <c r="J155" s="61">
        <f t="shared" si="35"/>
        <v>0</v>
      </c>
      <c r="K155" s="61">
        <f t="shared" si="35"/>
        <v>0</v>
      </c>
      <c r="L155" s="61">
        <f t="shared" si="35"/>
        <v>0</v>
      </c>
      <c r="M155" s="61">
        <f t="shared" si="35"/>
        <v>0</v>
      </c>
      <c r="N155" s="61">
        <f t="shared" si="35"/>
        <v>0</v>
      </c>
      <c r="O155" s="61">
        <f t="shared" si="35"/>
        <v>0</v>
      </c>
      <c r="P155" s="62">
        <f t="shared" si="35"/>
        <v>0</v>
      </c>
      <c r="Q155" s="13">
        <f t="shared" si="33"/>
        <v>0</v>
      </c>
      <c r="R155" s="13"/>
    </row>
    <row r="156" spans="1:18" x14ac:dyDescent="0.35">
      <c r="A156" s="294" t="str">
        <f t="shared" si="31"/>
        <v>Parking Lot Maintenance</v>
      </c>
      <c r="D156" s="60" t="s">
        <v>105</v>
      </c>
      <c r="E156" s="61">
        <f t="shared" si="35"/>
        <v>0</v>
      </c>
      <c r="F156" s="61">
        <f t="shared" si="35"/>
        <v>0</v>
      </c>
      <c r="G156" s="61">
        <f t="shared" si="35"/>
        <v>0</v>
      </c>
      <c r="H156" s="61">
        <f t="shared" si="35"/>
        <v>0</v>
      </c>
      <c r="I156" s="61">
        <f t="shared" si="35"/>
        <v>0</v>
      </c>
      <c r="J156" s="61">
        <f t="shared" si="35"/>
        <v>0</v>
      </c>
      <c r="K156" s="61">
        <f t="shared" si="35"/>
        <v>0</v>
      </c>
      <c r="L156" s="61">
        <f t="shared" si="35"/>
        <v>0</v>
      </c>
      <c r="M156" s="61">
        <f t="shared" si="35"/>
        <v>0</v>
      </c>
      <c r="N156" s="61">
        <f t="shared" si="35"/>
        <v>0</v>
      </c>
      <c r="O156" s="61">
        <f t="shared" si="35"/>
        <v>0</v>
      </c>
      <c r="P156" s="62">
        <f t="shared" si="35"/>
        <v>0</v>
      </c>
      <c r="Q156" s="13">
        <f t="shared" si="33"/>
        <v>0</v>
      </c>
      <c r="R156" s="13"/>
    </row>
    <row r="157" spans="1:18" x14ac:dyDescent="0.35">
      <c r="A157" s="294" t="str">
        <f t="shared" si="31"/>
        <v>Snow Removal</v>
      </c>
      <c r="D157" s="60" t="s">
        <v>106</v>
      </c>
      <c r="E157" s="61">
        <f t="shared" si="35"/>
        <v>0</v>
      </c>
      <c r="F157" s="61">
        <f t="shared" si="35"/>
        <v>0</v>
      </c>
      <c r="G157" s="61">
        <f t="shared" si="35"/>
        <v>0</v>
      </c>
      <c r="H157" s="61">
        <f t="shared" si="35"/>
        <v>0</v>
      </c>
      <c r="I157" s="61">
        <f t="shared" si="35"/>
        <v>0</v>
      </c>
      <c r="J157" s="61">
        <f t="shared" si="35"/>
        <v>0</v>
      </c>
      <c r="K157" s="61">
        <f t="shared" si="35"/>
        <v>0</v>
      </c>
      <c r="L157" s="61">
        <f t="shared" si="35"/>
        <v>0</v>
      </c>
      <c r="M157" s="61">
        <f t="shared" si="35"/>
        <v>0</v>
      </c>
      <c r="N157" s="61">
        <f t="shared" si="35"/>
        <v>0</v>
      </c>
      <c r="O157" s="61">
        <f t="shared" si="35"/>
        <v>0</v>
      </c>
      <c r="P157" s="62">
        <f t="shared" si="35"/>
        <v>0</v>
      </c>
      <c r="Q157" s="13">
        <f t="shared" si="33"/>
        <v>0</v>
      </c>
      <c r="R157" s="13"/>
    </row>
    <row r="158" spans="1:18" x14ac:dyDescent="0.35">
      <c r="A158" s="294" t="str">
        <f t="shared" si="31"/>
        <v>Landscaping</v>
      </c>
      <c r="D158" s="60" t="s">
        <v>107</v>
      </c>
      <c r="E158" s="61">
        <f t="shared" si="35"/>
        <v>0</v>
      </c>
      <c r="F158" s="61">
        <f t="shared" si="35"/>
        <v>0</v>
      </c>
      <c r="G158" s="61">
        <f t="shared" si="35"/>
        <v>0</v>
      </c>
      <c r="H158" s="61">
        <f t="shared" si="35"/>
        <v>0</v>
      </c>
      <c r="I158" s="61">
        <f t="shared" si="35"/>
        <v>0</v>
      </c>
      <c r="J158" s="61">
        <f t="shared" si="35"/>
        <v>0</v>
      </c>
      <c r="K158" s="61">
        <f t="shared" si="35"/>
        <v>0</v>
      </c>
      <c r="L158" s="61">
        <f t="shared" si="35"/>
        <v>0</v>
      </c>
      <c r="M158" s="61">
        <f t="shared" si="35"/>
        <v>0</v>
      </c>
      <c r="N158" s="61">
        <f t="shared" si="35"/>
        <v>0</v>
      </c>
      <c r="O158" s="61">
        <f t="shared" si="35"/>
        <v>0</v>
      </c>
      <c r="P158" s="62">
        <f t="shared" si="35"/>
        <v>0</v>
      </c>
      <c r="Q158" s="13">
        <f t="shared" si="33"/>
        <v>0</v>
      </c>
      <c r="R158" s="13"/>
    </row>
    <row r="159" spans="1:18" x14ac:dyDescent="0.35">
      <c r="A159" s="294" t="str">
        <f t="shared" si="31"/>
        <v>Security</v>
      </c>
      <c r="D159" s="60" t="s">
        <v>108</v>
      </c>
      <c r="E159" s="61">
        <f t="shared" si="35"/>
        <v>0</v>
      </c>
      <c r="F159" s="61">
        <f t="shared" si="35"/>
        <v>0</v>
      </c>
      <c r="G159" s="61">
        <f t="shared" si="35"/>
        <v>0</v>
      </c>
      <c r="H159" s="61">
        <f t="shared" si="35"/>
        <v>0</v>
      </c>
      <c r="I159" s="61">
        <f t="shared" si="35"/>
        <v>0</v>
      </c>
      <c r="J159" s="61">
        <f t="shared" si="35"/>
        <v>0</v>
      </c>
      <c r="K159" s="61">
        <f t="shared" si="35"/>
        <v>0</v>
      </c>
      <c r="L159" s="61">
        <f t="shared" si="35"/>
        <v>0</v>
      </c>
      <c r="M159" s="61">
        <f t="shared" si="35"/>
        <v>0</v>
      </c>
      <c r="N159" s="61">
        <f t="shared" si="35"/>
        <v>0</v>
      </c>
      <c r="O159" s="61">
        <f t="shared" si="35"/>
        <v>0</v>
      </c>
      <c r="P159" s="62">
        <f t="shared" si="35"/>
        <v>0</v>
      </c>
      <c r="Q159" s="13">
        <f t="shared" si="33"/>
        <v>0</v>
      </c>
      <c r="R159" s="13"/>
    </row>
    <row r="160" spans="1:18" x14ac:dyDescent="0.35">
      <c r="A160" s="294" t="str">
        <f t="shared" si="31"/>
        <v>Management fee</v>
      </c>
      <c r="D160" s="60" t="s">
        <v>141</v>
      </c>
      <c r="E160" s="61">
        <f t="shared" si="35"/>
        <v>0</v>
      </c>
      <c r="F160" s="61">
        <f t="shared" si="35"/>
        <v>0</v>
      </c>
      <c r="G160" s="61">
        <f t="shared" si="35"/>
        <v>0</v>
      </c>
      <c r="H160" s="61">
        <f t="shared" si="35"/>
        <v>0</v>
      </c>
      <c r="I160" s="61">
        <f t="shared" si="35"/>
        <v>0</v>
      </c>
      <c r="J160" s="61">
        <f t="shared" si="35"/>
        <v>0</v>
      </c>
      <c r="K160" s="61">
        <f t="shared" si="35"/>
        <v>0</v>
      </c>
      <c r="L160" s="61">
        <f t="shared" si="35"/>
        <v>0</v>
      </c>
      <c r="M160" s="61">
        <f t="shared" si="35"/>
        <v>0</v>
      </c>
      <c r="N160" s="61">
        <f t="shared" si="35"/>
        <v>0</v>
      </c>
      <c r="O160" s="61">
        <f t="shared" si="35"/>
        <v>0</v>
      </c>
      <c r="P160" s="62">
        <f t="shared" si="35"/>
        <v>0</v>
      </c>
      <c r="Q160" s="13">
        <f t="shared" si="33"/>
        <v>0</v>
      </c>
      <c r="R160" s="13"/>
    </row>
    <row r="161" spans="1:18" x14ac:dyDescent="0.35">
      <c r="A161" s="294" t="str">
        <f t="shared" si="31"/>
        <v>Trash Removal</v>
      </c>
      <c r="D161" s="60" t="s">
        <v>110</v>
      </c>
      <c r="E161" s="61">
        <f t="shared" si="35"/>
        <v>0</v>
      </c>
      <c r="F161" s="61">
        <f t="shared" si="35"/>
        <v>0</v>
      </c>
      <c r="G161" s="61">
        <f t="shared" si="35"/>
        <v>0</v>
      </c>
      <c r="H161" s="61">
        <f t="shared" si="35"/>
        <v>0</v>
      </c>
      <c r="I161" s="61">
        <f t="shared" si="35"/>
        <v>0</v>
      </c>
      <c r="J161" s="61">
        <f t="shared" si="35"/>
        <v>0</v>
      </c>
      <c r="K161" s="61">
        <f t="shared" si="35"/>
        <v>0</v>
      </c>
      <c r="L161" s="61">
        <f t="shared" si="35"/>
        <v>0</v>
      </c>
      <c r="M161" s="61">
        <f t="shared" si="35"/>
        <v>0</v>
      </c>
      <c r="N161" s="61">
        <f t="shared" si="35"/>
        <v>0</v>
      </c>
      <c r="O161" s="61">
        <f t="shared" si="35"/>
        <v>0</v>
      </c>
      <c r="P161" s="62">
        <f t="shared" si="35"/>
        <v>0</v>
      </c>
      <c r="Q161" s="13">
        <f t="shared" si="33"/>
        <v>0</v>
      </c>
      <c r="R161" s="13"/>
    </row>
    <row r="162" spans="1:18" x14ac:dyDescent="0.35">
      <c r="A162" s="294" t="str">
        <f t="shared" si="31"/>
        <v>Real Estate Taxes</v>
      </c>
      <c r="D162" s="60" t="s">
        <v>111</v>
      </c>
      <c r="E162" s="61">
        <f t="shared" si="35"/>
        <v>721.61800000000005</v>
      </c>
      <c r="F162" s="61">
        <f t="shared" si="35"/>
        <v>721.61800000000005</v>
      </c>
      <c r="G162" s="61">
        <f t="shared" si="35"/>
        <v>721.61800000000005</v>
      </c>
      <c r="H162" s="61">
        <f t="shared" si="35"/>
        <v>721.61800000000005</v>
      </c>
      <c r="I162" s="61">
        <f t="shared" si="35"/>
        <v>721.61800000000005</v>
      </c>
      <c r="J162" s="61">
        <f t="shared" si="35"/>
        <v>721.61800000000005</v>
      </c>
      <c r="K162" s="61">
        <f t="shared" si="35"/>
        <v>721.61800000000005</v>
      </c>
      <c r="L162" s="61">
        <f t="shared" si="35"/>
        <v>721.61800000000005</v>
      </c>
      <c r="M162" s="61">
        <f t="shared" si="35"/>
        <v>721.61800000000005</v>
      </c>
      <c r="N162" s="61">
        <f t="shared" si="35"/>
        <v>721.61800000000005</v>
      </c>
      <c r="O162" s="61">
        <f t="shared" si="35"/>
        <v>721.61800000000005</v>
      </c>
      <c r="P162" s="62">
        <f t="shared" si="35"/>
        <v>721.61800000000005</v>
      </c>
      <c r="Q162" s="13">
        <f t="shared" si="33"/>
        <v>8659.4160000000029</v>
      </c>
      <c r="R162" s="13"/>
    </row>
    <row r="163" spans="1:18" x14ac:dyDescent="0.35">
      <c r="A163" s="294" t="str">
        <f t="shared" si="31"/>
        <v>Insurance</v>
      </c>
      <c r="D163" s="60" t="s">
        <v>112</v>
      </c>
      <c r="E163" s="61">
        <f t="shared" si="35"/>
        <v>80</v>
      </c>
      <c r="F163" s="61">
        <f t="shared" si="35"/>
        <v>80</v>
      </c>
      <c r="G163" s="61">
        <f t="shared" si="35"/>
        <v>80</v>
      </c>
      <c r="H163" s="61">
        <f t="shared" si="35"/>
        <v>80</v>
      </c>
      <c r="I163" s="61">
        <f t="shared" si="35"/>
        <v>80</v>
      </c>
      <c r="J163" s="61">
        <f t="shared" si="35"/>
        <v>80</v>
      </c>
      <c r="K163" s="61">
        <f t="shared" si="35"/>
        <v>80</v>
      </c>
      <c r="L163" s="61">
        <f t="shared" si="35"/>
        <v>80</v>
      </c>
      <c r="M163" s="61">
        <f t="shared" si="35"/>
        <v>80</v>
      </c>
      <c r="N163" s="61">
        <f t="shared" si="35"/>
        <v>80</v>
      </c>
      <c r="O163" s="61">
        <f t="shared" si="35"/>
        <v>81.599999999999994</v>
      </c>
      <c r="P163" s="62">
        <f t="shared" si="35"/>
        <v>81.599999999999994</v>
      </c>
      <c r="Q163" s="13">
        <f t="shared" si="33"/>
        <v>963.2</v>
      </c>
      <c r="R163" s="13"/>
    </row>
    <row r="164" spans="1:18" x14ac:dyDescent="0.35">
      <c r="A164" s="294" t="str">
        <f t="shared" si="31"/>
        <v>Cleaning &amp; Supplies</v>
      </c>
      <c r="D164" s="60" t="s">
        <v>113</v>
      </c>
      <c r="E164" s="61">
        <f t="shared" si="35"/>
        <v>0</v>
      </c>
      <c r="F164" s="61">
        <f t="shared" si="35"/>
        <v>0</v>
      </c>
      <c r="G164" s="61">
        <f t="shared" si="35"/>
        <v>0</v>
      </c>
      <c r="H164" s="61">
        <f t="shared" si="35"/>
        <v>0</v>
      </c>
      <c r="I164" s="61">
        <f t="shared" si="35"/>
        <v>0</v>
      </c>
      <c r="J164" s="61">
        <f t="shared" si="35"/>
        <v>0</v>
      </c>
      <c r="K164" s="61">
        <f t="shared" si="35"/>
        <v>0</v>
      </c>
      <c r="L164" s="61">
        <f t="shared" si="35"/>
        <v>0</v>
      </c>
      <c r="M164" s="61">
        <f t="shared" si="35"/>
        <v>0</v>
      </c>
      <c r="N164" s="61">
        <f t="shared" si="35"/>
        <v>0</v>
      </c>
      <c r="O164" s="61">
        <f t="shared" si="35"/>
        <v>0</v>
      </c>
      <c r="P164" s="62">
        <f t="shared" si="35"/>
        <v>0</v>
      </c>
      <c r="Q164" s="13">
        <f t="shared" si="33"/>
        <v>0</v>
      </c>
      <c r="R164" s="13"/>
    </row>
    <row r="165" spans="1:18" x14ac:dyDescent="0.35">
      <c r="A165" s="294" t="str">
        <f>VLOOKUP($D165,$A$10:$D$130,4,FALSE)</f>
        <v>Salaries &amp; Wages</v>
      </c>
      <c r="D165" s="60" t="s">
        <v>114</v>
      </c>
      <c r="E165" s="61">
        <f t="shared" si="35"/>
        <v>169.55470296672013</v>
      </c>
      <c r="F165" s="61">
        <f t="shared" si="35"/>
        <v>169.55470296672013</v>
      </c>
      <c r="G165" s="61">
        <f t="shared" si="35"/>
        <v>169.55470296672013</v>
      </c>
      <c r="H165" s="61">
        <f t="shared" si="35"/>
        <v>169.55470296672013</v>
      </c>
      <c r="I165" s="61">
        <f t="shared" si="35"/>
        <v>169.55470296672013</v>
      </c>
      <c r="J165" s="61">
        <f t="shared" si="35"/>
        <v>169.55470296672013</v>
      </c>
      <c r="K165" s="61">
        <f t="shared" si="35"/>
        <v>169.55470296672013</v>
      </c>
      <c r="L165" s="61">
        <f t="shared" si="35"/>
        <v>169.55470296672013</v>
      </c>
      <c r="M165" s="61">
        <f t="shared" si="35"/>
        <v>169.55470296672013</v>
      </c>
      <c r="N165" s="61">
        <f t="shared" si="35"/>
        <v>169.55470296672013</v>
      </c>
      <c r="O165" s="61">
        <f t="shared" si="35"/>
        <v>169.55470296672013</v>
      </c>
      <c r="P165" s="62">
        <f t="shared" si="35"/>
        <v>169.55470296672013</v>
      </c>
      <c r="Q165" s="13">
        <f t="shared" si="33"/>
        <v>2034.6564356006411</v>
      </c>
      <c r="R165" s="13"/>
    </row>
    <row r="166" spans="1:18" x14ac:dyDescent="0.35">
      <c r="A166" s="294" t="str">
        <f>VLOOKUP($D166,$A$10:$D$130,4,FALSE)</f>
        <v>Electric</v>
      </c>
      <c r="D166" s="60" t="s">
        <v>139</v>
      </c>
      <c r="E166" s="61">
        <f t="shared" si="35"/>
        <v>309</v>
      </c>
      <c r="F166" s="61">
        <f t="shared" si="35"/>
        <v>309</v>
      </c>
      <c r="G166" s="61">
        <f t="shared" si="35"/>
        <v>0</v>
      </c>
      <c r="H166" s="61">
        <f t="shared" si="35"/>
        <v>0</v>
      </c>
      <c r="I166" s="61">
        <f t="shared" si="35"/>
        <v>0</v>
      </c>
      <c r="J166" s="61">
        <f t="shared" si="35"/>
        <v>0</v>
      </c>
      <c r="K166" s="61">
        <f t="shared" si="35"/>
        <v>0</v>
      </c>
      <c r="L166" s="61">
        <f t="shared" si="35"/>
        <v>0</v>
      </c>
      <c r="M166" s="61">
        <f t="shared" si="35"/>
        <v>0</v>
      </c>
      <c r="N166" s="61">
        <f t="shared" si="35"/>
        <v>0</v>
      </c>
      <c r="O166" s="61">
        <f t="shared" si="35"/>
        <v>0</v>
      </c>
      <c r="P166" s="62">
        <f t="shared" si="35"/>
        <v>0</v>
      </c>
      <c r="Q166" s="13">
        <f t="shared" si="33"/>
        <v>618</v>
      </c>
      <c r="R166" s="13"/>
    </row>
    <row r="167" spans="1:18" x14ac:dyDescent="0.35">
      <c r="A167" s="294" t="str">
        <f>VLOOKUP($D167,$A$10:$D$130,4,FALSE)</f>
        <v>Commissions-Internal Broker</v>
      </c>
      <c r="D167" s="60" t="s">
        <v>115</v>
      </c>
      <c r="E167" s="61">
        <f t="shared" si="35"/>
        <v>0</v>
      </c>
      <c r="F167" s="61">
        <f t="shared" si="35"/>
        <v>0</v>
      </c>
      <c r="G167" s="61">
        <f t="shared" si="35"/>
        <v>0</v>
      </c>
      <c r="H167" s="61">
        <f t="shared" si="35"/>
        <v>0</v>
      </c>
      <c r="I167" s="61">
        <f t="shared" si="35"/>
        <v>0</v>
      </c>
      <c r="J167" s="61">
        <f t="shared" si="35"/>
        <v>0</v>
      </c>
      <c r="K167" s="61">
        <f t="shared" si="35"/>
        <v>0</v>
      </c>
      <c r="L167" s="61">
        <f t="shared" si="35"/>
        <v>0</v>
      </c>
      <c r="M167" s="61">
        <f t="shared" si="35"/>
        <v>0</v>
      </c>
      <c r="N167" s="61">
        <f t="shared" si="35"/>
        <v>0</v>
      </c>
      <c r="O167" s="61">
        <f t="shared" si="35"/>
        <v>0</v>
      </c>
      <c r="P167" s="62">
        <f t="shared" si="35"/>
        <v>0</v>
      </c>
      <c r="Q167" s="13">
        <f t="shared" si="33"/>
        <v>0</v>
      </c>
      <c r="R167" s="13"/>
    </row>
    <row r="168" spans="1:18" x14ac:dyDescent="0.35">
      <c r="A168" s="294" t="str">
        <f t="shared" si="31"/>
        <v>Building Maintenance</v>
      </c>
      <c r="D168" s="60" t="s">
        <v>116</v>
      </c>
      <c r="E168" s="61">
        <f t="shared" si="35"/>
        <v>0</v>
      </c>
      <c r="F168" s="61">
        <f t="shared" si="35"/>
        <v>0</v>
      </c>
      <c r="G168" s="61">
        <f t="shared" si="35"/>
        <v>0</v>
      </c>
      <c r="H168" s="61">
        <f t="shared" si="35"/>
        <v>0</v>
      </c>
      <c r="I168" s="61">
        <f t="shared" si="35"/>
        <v>0</v>
      </c>
      <c r="J168" s="61">
        <f t="shared" si="35"/>
        <v>0</v>
      </c>
      <c r="K168" s="61">
        <f t="shared" si="35"/>
        <v>0</v>
      </c>
      <c r="L168" s="61">
        <f t="shared" si="35"/>
        <v>0</v>
      </c>
      <c r="M168" s="61">
        <f t="shared" si="35"/>
        <v>0</v>
      </c>
      <c r="N168" s="61">
        <f t="shared" si="35"/>
        <v>0</v>
      </c>
      <c r="O168" s="61">
        <f t="shared" si="35"/>
        <v>0</v>
      </c>
      <c r="P168" s="62">
        <f t="shared" si="35"/>
        <v>0</v>
      </c>
      <c r="Q168" s="13">
        <f t="shared" si="33"/>
        <v>0</v>
      </c>
      <c r="R168" s="13"/>
    </row>
    <row r="169" spans="1:18" x14ac:dyDescent="0.35">
      <c r="A169" s="294" t="str">
        <f t="shared" si="31"/>
        <v>Marketing</v>
      </c>
      <c r="D169" s="60" t="s">
        <v>117</v>
      </c>
      <c r="E169" s="61">
        <f t="shared" si="35"/>
        <v>54.735457580092778</v>
      </c>
      <c r="F169" s="61">
        <f t="shared" si="35"/>
        <v>54.735457580092778</v>
      </c>
      <c r="G169" s="61">
        <f t="shared" si="35"/>
        <v>54.735457580092778</v>
      </c>
      <c r="H169" s="61">
        <f t="shared" si="35"/>
        <v>54.735457580092778</v>
      </c>
      <c r="I169" s="61">
        <f t="shared" si="35"/>
        <v>54.735457580092778</v>
      </c>
      <c r="J169" s="61">
        <f t="shared" si="35"/>
        <v>54.735457580092778</v>
      </c>
      <c r="K169" s="61">
        <f t="shared" si="35"/>
        <v>54.735457580092778</v>
      </c>
      <c r="L169" s="61">
        <f t="shared" si="35"/>
        <v>54.735457580092778</v>
      </c>
      <c r="M169" s="61">
        <f t="shared" si="35"/>
        <v>54.735457580092778</v>
      </c>
      <c r="N169" s="61">
        <f t="shared" si="35"/>
        <v>54.735457580092778</v>
      </c>
      <c r="O169" s="61">
        <f t="shared" si="35"/>
        <v>54.735457580092778</v>
      </c>
      <c r="P169" s="62">
        <f t="shared" si="35"/>
        <v>54.735457580092778</v>
      </c>
      <c r="Q169" s="13">
        <f t="shared" si="33"/>
        <v>656.82549096111336</v>
      </c>
      <c r="R169" s="13"/>
    </row>
    <row r="170" spans="1:18" x14ac:dyDescent="0.35">
      <c r="A170" s="294" t="str">
        <f t="shared" si="31"/>
        <v>Business Taxes</v>
      </c>
      <c r="D170" s="60" t="s">
        <v>118</v>
      </c>
      <c r="E170" s="61">
        <f t="shared" si="35"/>
        <v>0</v>
      </c>
      <c r="F170" s="61">
        <f t="shared" si="35"/>
        <v>0</v>
      </c>
      <c r="G170" s="61">
        <f t="shared" si="35"/>
        <v>0</v>
      </c>
      <c r="H170" s="61">
        <f t="shared" si="35"/>
        <v>1545</v>
      </c>
      <c r="I170" s="61">
        <f t="shared" si="35"/>
        <v>0</v>
      </c>
      <c r="J170" s="61">
        <f t="shared" si="35"/>
        <v>0</v>
      </c>
      <c r="K170" s="61">
        <f t="shared" si="35"/>
        <v>0</v>
      </c>
      <c r="L170" s="61">
        <f t="shared" si="35"/>
        <v>0</v>
      </c>
      <c r="M170" s="61">
        <f t="shared" si="35"/>
        <v>0</v>
      </c>
      <c r="N170" s="61">
        <f t="shared" si="35"/>
        <v>0</v>
      </c>
      <c r="O170" s="61">
        <f t="shared" si="35"/>
        <v>0</v>
      </c>
      <c r="P170" s="62">
        <f t="shared" si="35"/>
        <v>0</v>
      </c>
      <c r="Q170" s="13">
        <f t="shared" si="33"/>
        <v>1545</v>
      </c>
      <c r="R170" s="13"/>
    </row>
    <row r="171" spans="1:18" x14ac:dyDescent="0.35">
      <c r="A171" s="294" t="str">
        <f t="shared" si="31"/>
        <v>Legal &amp; Accounting</v>
      </c>
      <c r="D171" s="60" t="s">
        <v>119</v>
      </c>
      <c r="E171" s="61">
        <f t="shared" si="35"/>
        <v>229.17499999999998</v>
      </c>
      <c r="F171" s="61">
        <f t="shared" si="35"/>
        <v>229.17499999999998</v>
      </c>
      <c r="G171" s="61">
        <f t="shared" si="35"/>
        <v>229.17499999999998</v>
      </c>
      <c r="H171" s="61">
        <f t="shared" si="35"/>
        <v>229.17499999999998</v>
      </c>
      <c r="I171" s="61">
        <f t="shared" si="35"/>
        <v>229.17499999999998</v>
      </c>
      <c r="J171" s="61">
        <f t="shared" si="35"/>
        <v>229.17499999999998</v>
      </c>
      <c r="K171" s="61">
        <f t="shared" si="35"/>
        <v>229.17499999999998</v>
      </c>
      <c r="L171" s="61">
        <f t="shared" si="35"/>
        <v>229.17499999999998</v>
      </c>
      <c r="M171" s="61">
        <f t="shared" si="35"/>
        <v>229.17499999999998</v>
      </c>
      <c r="N171" s="61">
        <f t="shared" si="35"/>
        <v>229.17499999999998</v>
      </c>
      <c r="O171" s="61">
        <f t="shared" si="35"/>
        <v>229.17499999999998</v>
      </c>
      <c r="P171" s="62">
        <f t="shared" si="35"/>
        <v>229.17499999999998</v>
      </c>
      <c r="Q171" s="13">
        <f t="shared" si="33"/>
        <v>2750.1000000000004</v>
      </c>
      <c r="R171" s="13"/>
    </row>
    <row r="172" spans="1:18" x14ac:dyDescent="0.35">
      <c r="A172" s="294" t="str">
        <f t="shared" ref="A172:A177" si="36">VLOOKUP($D172,$A$10:$D$130,4,FALSE)</f>
        <v>Bank Fees</v>
      </c>
      <c r="D172" s="60" t="s">
        <v>126</v>
      </c>
      <c r="E172" s="61">
        <f t="shared" si="35"/>
        <v>0</v>
      </c>
      <c r="F172" s="61">
        <f t="shared" si="35"/>
        <v>0</v>
      </c>
      <c r="G172" s="61">
        <f t="shared" si="35"/>
        <v>0</v>
      </c>
      <c r="H172" s="61">
        <f t="shared" si="35"/>
        <v>0</v>
      </c>
      <c r="I172" s="61">
        <f t="shared" si="35"/>
        <v>0</v>
      </c>
      <c r="J172" s="61">
        <f t="shared" si="35"/>
        <v>0</v>
      </c>
      <c r="K172" s="61">
        <f t="shared" si="35"/>
        <v>0</v>
      </c>
      <c r="L172" s="61">
        <f t="shared" si="35"/>
        <v>0</v>
      </c>
      <c r="M172" s="61">
        <f t="shared" si="35"/>
        <v>0</v>
      </c>
      <c r="N172" s="61">
        <f t="shared" si="35"/>
        <v>0</v>
      </c>
      <c r="O172" s="61">
        <f t="shared" si="35"/>
        <v>0</v>
      </c>
      <c r="P172" s="62">
        <f t="shared" si="35"/>
        <v>0</v>
      </c>
      <c r="Q172" s="13">
        <f t="shared" si="33"/>
        <v>0</v>
      </c>
      <c r="R172" s="13"/>
    </row>
    <row r="173" spans="1:18" x14ac:dyDescent="0.35">
      <c r="A173" s="294" t="str">
        <f t="shared" si="36"/>
        <v>Other G&amp;A Expense</v>
      </c>
      <c r="D173" s="60" t="s">
        <v>127</v>
      </c>
      <c r="E173" s="61">
        <f t="shared" si="35"/>
        <v>0</v>
      </c>
      <c r="F173" s="61">
        <f t="shared" si="35"/>
        <v>0</v>
      </c>
      <c r="G173" s="61">
        <f t="shared" si="35"/>
        <v>0</v>
      </c>
      <c r="H173" s="61">
        <f t="shared" ref="F173:P180" si="37">VLOOKUP($D173,$A$10:$P$134,H$145,FALSE)</f>
        <v>0</v>
      </c>
      <c r="I173" s="61">
        <f t="shared" si="37"/>
        <v>0</v>
      </c>
      <c r="J173" s="61">
        <f t="shared" si="37"/>
        <v>0</v>
      </c>
      <c r="K173" s="61">
        <f t="shared" si="37"/>
        <v>0</v>
      </c>
      <c r="L173" s="61">
        <f t="shared" si="37"/>
        <v>0</v>
      </c>
      <c r="M173" s="61">
        <f t="shared" si="37"/>
        <v>0</v>
      </c>
      <c r="N173" s="61">
        <f t="shared" si="37"/>
        <v>0</v>
      </c>
      <c r="O173" s="61">
        <f t="shared" si="37"/>
        <v>0</v>
      </c>
      <c r="P173" s="62">
        <f t="shared" si="37"/>
        <v>0</v>
      </c>
      <c r="Q173" s="13">
        <f t="shared" si="33"/>
        <v>0</v>
      </c>
      <c r="R173" s="13"/>
    </row>
    <row r="174" spans="1:18" x14ac:dyDescent="0.35">
      <c r="A174" s="294" t="str">
        <f t="shared" si="36"/>
        <v>Other G&amp;A-allocated from LIK</v>
      </c>
      <c r="D174" s="60" t="s">
        <v>120</v>
      </c>
      <c r="E174" s="61">
        <f t="shared" ref="E174:E180" si="38">VLOOKUP($D174,$A$10:$P$134,E$145,FALSE)</f>
        <v>6.8666666666666671</v>
      </c>
      <c r="F174" s="61">
        <f t="shared" si="37"/>
        <v>6.8666666666666671</v>
      </c>
      <c r="G174" s="61">
        <f t="shared" si="37"/>
        <v>6.8666666666666671</v>
      </c>
      <c r="H174" s="61">
        <f t="shared" si="37"/>
        <v>6.8666666666666671</v>
      </c>
      <c r="I174" s="61">
        <f t="shared" si="37"/>
        <v>6.8666666666666671</v>
      </c>
      <c r="J174" s="61">
        <f t="shared" si="37"/>
        <v>6.8666666666666671</v>
      </c>
      <c r="K174" s="61">
        <f t="shared" si="37"/>
        <v>6.8666666666666671</v>
      </c>
      <c r="L174" s="61">
        <f t="shared" si="37"/>
        <v>6.8666666666666671</v>
      </c>
      <c r="M174" s="61">
        <f t="shared" si="37"/>
        <v>6.8666666666666671</v>
      </c>
      <c r="N174" s="61">
        <f t="shared" si="37"/>
        <v>6.8666666666666671</v>
      </c>
      <c r="O174" s="61">
        <f t="shared" si="37"/>
        <v>6.8666666666666671</v>
      </c>
      <c r="P174" s="62">
        <f t="shared" si="37"/>
        <v>6.8666666666666671</v>
      </c>
      <c r="Q174" s="13">
        <f t="shared" si="33"/>
        <v>82.4</v>
      </c>
      <c r="R174" s="13"/>
    </row>
    <row r="175" spans="1:18" x14ac:dyDescent="0.35">
      <c r="A175" s="294" t="str">
        <f t="shared" si="36"/>
        <v>Land Improvements</v>
      </c>
      <c r="D175" s="60" t="s">
        <v>121</v>
      </c>
      <c r="E175" s="61">
        <f t="shared" si="38"/>
        <v>0</v>
      </c>
      <c r="F175" s="61">
        <f t="shared" si="37"/>
        <v>0</v>
      </c>
      <c r="G175" s="61">
        <f t="shared" si="37"/>
        <v>0</v>
      </c>
      <c r="H175" s="61">
        <f t="shared" si="37"/>
        <v>0</v>
      </c>
      <c r="I175" s="61">
        <f t="shared" si="37"/>
        <v>0</v>
      </c>
      <c r="J175" s="61">
        <f t="shared" si="37"/>
        <v>0</v>
      </c>
      <c r="K175" s="61">
        <f t="shared" si="37"/>
        <v>0</v>
      </c>
      <c r="L175" s="61">
        <f t="shared" si="37"/>
        <v>0</v>
      </c>
      <c r="M175" s="61">
        <f t="shared" si="37"/>
        <v>0</v>
      </c>
      <c r="N175" s="61">
        <f t="shared" si="37"/>
        <v>0</v>
      </c>
      <c r="O175" s="61">
        <f t="shared" si="37"/>
        <v>0</v>
      </c>
      <c r="P175" s="62">
        <f t="shared" si="37"/>
        <v>0</v>
      </c>
      <c r="Q175" s="13">
        <f t="shared" si="33"/>
        <v>0</v>
      </c>
      <c r="R175" s="13"/>
    </row>
    <row r="176" spans="1:18" x14ac:dyDescent="0.35">
      <c r="A176" s="294" t="str">
        <f t="shared" si="36"/>
        <v>Buildings</v>
      </c>
      <c r="D176" s="60" t="s">
        <v>122</v>
      </c>
      <c r="E176" s="61">
        <f t="shared" si="38"/>
        <v>0</v>
      </c>
      <c r="F176" s="61">
        <f t="shared" si="37"/>
        <v>0</v>
      </c>
      <c r="G176" s="61">
        <f t="shared" si="37"/>
        <v>0</v>
      </c>
      <c r="H176" s="61">
        <f t="shared" si="37"/>
        <v>0</v>
      </c>
      <c r="I176" s="61">
        <f t="shared" si="37"/>
        <v>0</v>
      </c>
      <c r="J176" s="61">
        <f t="shared" si="37"/>
        <v>0</v>
      </c>
      <c r="K176" s="61">
        <f t="shared" si="37"/>
        <v>0</v>
      </c>
      <c r="L176" s="61">
        <f t="shared" si="37"/>
        <v>0</v>
      </c>
      <c r="M176" s="61">
        <f t="shared" si="37"/>
        <v>0</v>
      </c>
      <c r="N176" s="61">
        <f t="shared" si="37"/>
        <v>0</v>
      </c>
      <c r="O176" s="61">
        <f t="shared" si="37"/>
        <v>0</v>
      </c>
      <c r="P176" s="62">
        <f t="shared" si="37"/>
        <v>0</v>
      </c>
      <c r="Q176" s="13">
        <f t="shared" si="33"/>
        <v>0</v>
      </c>
      <c r="R176" s="13"/>
    </row>
    <row r="177" spans="1:19" x14ac:dyDescent="0.35">
      <c r="A177" s="294" t="str">
        <f t="shared" si="36"/>
        <v>Equipment</v>
      </c>
      <c r="D177" s="60" t="s">
        <v>123</v>
      </c>
      <c r="E177" s="61">
        <f t="shared" si="38"/>
        <v>0</v>
      </c>
      <c r="F177" s="61">
        <f t="shared" si="37"/>
        <v>0</v>
      </c>
      <c r="G177" s="61">
        <f t="shared" si="37"/>
        <v>0</v>
      </c>
      <c r="H177" s="61">
        <f t="shared" si="37"/>
        <v>0</v>
      </c>
      <c r="I177" s="61">
        <f t="shared" si="37"/>
        <v>0</v>
      </c>
      <c r="J177" s="61">
        <f t="shared" si="37"/>
        <v>0</v>
      </c>
      <c r="K177" s="61">
        <f t="shared" si="37"/>
        <v>0</v>
      </c>
      <c r="L177" s="61">
        <f t="shared" si="37"/>
        <v>0</v>
      </c>
      <c r="M177" s="61">
        <f t="shared" si="37"/>
        <v>0</v>
      </c>
      <c r="N177" s="61">
        <f t="shared" si="37"/>
        <v>0</v>
      </c>
      <c r="O177" s="61">
        <f t="shared" si="37"/>
        <v>0</v>
      </c>
      <c r="P177" s="62">
        <f t="shared" si="37"/>
        <v>0</v>
      </c>
      <c r="Q177" s="13">
        <f t="shared" si="33"/>
        <v>0</v>
      </c>
      <c r="R177" s="13"/>
    </row>
    <row r="178" spans="1:19" x14ac:dyDescent="0.35">
      <c r="A178" s="294" t="str">
        <f t="shared" si="31"/>
        <v>Tenant Improvements</v>
      </c>
      <c r="D178" s="60" t="s">
        <v>124</v>
      </c>
      <c r="E178" s="61">
        <f t="shared" si="38"/>
        <v>0</v>
      </c>
      <c r="F178" s="61">
        <f t="shared" si="37"/>
        <v>0</v>
      </c>
      <c r="G178" s="61">
        <f t="shared" si="37"/>
        <v>0</v>
      </c>
      <c r="H178" s="61">
        <f t="shared" si="37"/>
        <v>0</v>
      </c>
      <c r="I178" s="61">
        <f t="shared" si="37"/>
        <v>0</v>
      </c>
      <c r="J178" s="61">
        <f t="shared" si="37"/>
        <v>0</v>
      </c>
      <c r="K178" s="61">
        <f t="shared" si="37"/>
        <v>0</v>
      </c>
      <c r="L178" s="61">
        <f t="shared" si="37"/>
        <v>0</v>
      </c>
      <c r="M178" s="61">
        <f t="shared" si="37"/>
        <v>0</v>
      </c>
      <c r="N178" s="61">
        <f t="shared" si="37"/>
        <v>0</v>
      </c>
      <c r="O178" s="61">
        <f t="shared" si="37"/>
        <v>0</v>
      </c>
      <c r="P178" s="62">
        <f t="shared" si="37"/>
        <v>0</v>
      </c>
      <c r="Q178" s="13">
        <f t="shared" si="33"/>
        <v>0</v>
      </c>
      <c r="R178" s="13"/>
    </row>
    <row r="179" spans="1:19" x14ac:dyDescent="0.35">
      <c r="A179" s="294" t="str">
        <f>VLOOKUP($D179,$A$10:$D$130,4,FALSE)</f>
        <v>Deferred Marketing</v>
      </c>
      <c r="D179" s="60" t="s">
        <v>125</v>
      </c>
      <c r="E179" s="61">
        <f t="shared" si="38"/>
        <v>0</v>
      </c>
      <c r="F179" s="61">
        <f t="shared" si="37"/>
        <v>0</v>
      </c>
      <c r="G179" s="61">
        <f t="shared" si="37"/>
        <v>0</v>
      </c>
      <c r="H179" s="61">
        <f t="shared" si="37"/>
        <v>0</v>
      </c>
      <c r="I179" s="61">
        <f t="shared" si="37"/>
        <v>0</v>
      </c>
      <c r="J179" s="61">
        <f t="shared" si="37"/>
        <v>0</v>
      </c>
      <c r="K179" s="61">
        <f t="shared" si="37"/>
        <v>0</v>
      </c>
      <c r="L179" s="61">
        <f t="shared" si="37"/>
        <v>0</v>
      </c>
      <c r="M179" s="61">
        <f t="shared" si="37"/>
        <v>0</v>
      </c>
      <c r="N179" s="61">
        <f t="shared" si="37"/>
        <v>0</v>
      </c>
      <c r="O179" s="61">
        <f t="shared" si="37"/>
        <v>0</v>
      </c>
      <c r="P179" s="62">
        <f t="shared" si="37"/>
        <v>0</v>
      </c>
      <c r="Q179" s="13">
        <f t="shared" si="33"/>
        <v>0</v>
      </c>
      <c r="R179" s="13"/>
    </row>
    <row r="180" spans="1:19" x14ac:dyDescent="0.35">
      <c r="A180" s="294" t="str">
        <f t="shared" si="31"/>
        <v>Interest</v>
      </c>
      <c r="D180" s="60" t="s">
        <v>128</v>
      </c>
      <c r="E180" s="61">
        <f t="shared" si="38"/>
        <v>0</v>
      </c>
      <c r="F180" s="61">
        <f t="shared" si="37"/>
        <v>0</v>
      </c>
      <c r="G180" s="61">
        <f t="shared" si="37"/>
        <v>0</v>
      </c>
      <c r="H180" s="61">
        <f t="shared" si="37"/>
        <v>0</v>
      </c>
      <c r="I180" s="61">
        <f t="shared" si="37"/>
        <v>0</v>
      </c>
      <c r="J180" s="61">
        <f t="shared" si="37"/>
        <v>0</v>
      </c>
      <c r="K180" s="61">
        <f t="shared" si="37"/>
        <v>0</v>
      </c>
      <c r="L180" s="61">
        <f t="shared" si="37"/>
        <v>0</v>
      </c>
      <c r="M180" s="61">
        <f t="shared" si="37"/>
        <v>0</v>
      </c>
      <c r="N180" s="61">
        <f t="shared" si="37"/>
        <v>0</v>
      </c>
      <c r="O180" s="61">
        <f t="shared" si="37"/>
        <v>0</v>
      </c>
      <c r="P180" s="62">
        <f t="shared" si="37"/>
        <v>0</v>
      </c>
      <c r="Q180" s="13">
        <f t="shared" si="33"/>
        <v>0</v>
      </c>
      <c r="R180" s="13"/>
    </row>
    <row r="181" spans="1:19" ht="16.5" thickBot="1" x14ac:dyDescent="0.4">
      <c r="A181" s="294" t="str">
        <f t="shared" si="31"/>
        <v>Mortgage Amortization</v>
      </c>
      <c r="D181" s="63" t="s">
        <v>145</v>
      </c>
      <c r="E181" s="64">
        <f>VLOOKUP($D181,$A$10:$P$134,E$145,FALSE)</f>
        <v>0</v>
      </c>
      <c r="F181" s="64">
        <f t="shared" ref="F181:P181" si="39">VLOOKUP($D181,$A$10:$P$134,F$145,FALSE)</f>
        <v>0</v>
      </c>
      <c r="G181" s="64">
        <f t="shared" si="39"/>
        <v>0</v>
      </c>
      <c r="H181" s="64">
        <f t="shared" si="39"/>
        <v>0</v>
      </c>
      <c r="I181" s="64">
        <f t="shared" si="39"/>
        <v>0</v>
      </c>
      <c r="J181" s="64">
        <f t="shared" si="39"/>
        <v>0</v>
      </c>
      <c r="K181" s="64">
        <f t="shared" si="39"/>
        <v>0</v>
      </c>
      <c r="L181" s="64">
        <f t="shared" si="39"/>
        <v>0</v>
      </c>
      <c r="M181" s="64">
        <f t="shared" si="39"/>
        <v>0</v>
      </c>
      <c r="N181" s="64">
        <f t="shared" si="39"/>
        <v>0</v>
      </c>
      <c r="O181" s="64">
        <f t="shared" si="39"/>
        <v>0</v>
      </c>
      <c r="P181" s="65">
        <f t="shared" si="39"/>
        <v>0</v>
      </c>
      <c r="Q181" s="13">
        <f t="shared" si="33"/>
        <v>0</v>
      </c>
      <c r="R181" s="13"/>
    </row>
    <row r="182" spans="1:19" x14ac:dyDescent="0.35">
      <c r="D182" s="6" t="s">
        <v>12</v>
      </c>
      <c r="E182" s="6">
        <f t="shared" ref="E182:Q182" si="40">SUM(E147:E181)</f>
        <v>1641.1581584409255</v>
      </c>
      <c r="F182" s="6">
        <f t="shared" si="40"/>
        <v>1641.1581584409255</v>
      </c>
      <c r="G182" s="6">
        <f t="shared" si="40"/>
        <v>1332.1581584409255</v>
      </c>
      <c r="H182" s="6">
        <f t="shared" si="40"/>
        <v>2877.1581584409259</v>
      </c>
      <c r="I182" s="6">
        <f t="shared" si="40"/>
        <v>1332.1581584409255</v>
      </c>
      <c r="J182" s="6">
        <f t="shared" si="40"/>
        <v>1332.1581584409255</v>
      </c>
      <c r="K182" s="6">
        <f t="shared" si="40"/>
        <v>1332.1581584409255</v>
      </c>
      <c r="L182" s="6">
        <f t="shared" si="40"/>
        <v>1332.1581584409255</v>
      </c>
      <c r="M182" s="6">
        <f t="shared" si="40"/>
        <v>1332.1581584409255</v>
      </c>
      <c r="N182" s="6">
        <f t="shared" si="40"/>
        <v>1332.1581584409255</v>
      </c>
      <c r="O182" s="6">
        <f t="shared" si="40"/>
        <v>1333.7581584409254</v>
      </c>
      <c r="P182" s="6">
        <f t="shared" si="40"/>
        <v>1333.7581584409254</v>
      </c>
      <c r="Q182" s="6">
        <f t="shared" si="40"/>
        <v>18152.097901291112</v>
      </c>
    </row>
    <row r="183" spans="1:19" x14ac:dyDescent="0.35">
      <c r="E183" s="31">
        <f>E134+E182</f>
        <v>0</v>
      </c>
      <c r="F183" s="31">
        <f t="shared" ref="F183:P183" si="41">F134+F182</f>
        <v>0</v>
      </c>
      <c r="G183" s="31">
        <f t="shared" si="41"/>
        <v>0</v>
      </c>
      <c r="H183" s="31">
        <f t="shared" si="41"/>
        <v>0</v>
      </c>
      <c r="I183" s="31">
        <f t="shared" si="41"/>
        <v>0</v>
      </c>
      <c r="J183" s="31">
        <f t="shared" si="41"/>
        <v>0</v>
      </c>
      <c r="K183" s="31">
        <f t="shared" si="41"/>
        <v>0</v>
      </c>
      <c r="L183" s="31">
        <f t="shared" si="41"/>
        <v>0</v>
      </c>
      <c r="M183" s="31">
        <f t="shared" si="41"/>
        <v>0</v>
      </c>
      <c r="N183" s="31">
        <f t="shared" si="41"/>
        <v>0</v>
      </c>
      <c r="O183" s="31">
        <f t="shared" si="41"/>
        <v>0</v>
      </c>
      <c r="P183" s="31">
        <f t="shared" si="41"/>
        <v>0</v>
      </c>
      <c r="Q183" s="31">
        <f>Q134+Q182</f>
        <v>0</v>
      </c>
    </row>
    <row r="185" spans="1:19" ht="17.5" x14ac:dyDescent="0.5">
      <c r="D185" s="35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239"/>
    </row>
  </sheetData>
  <sheetProtection selectLockedCells="1"/>
  <phoneticPr fontId="0" type="noConversion"/>
  <conditionalFormatting sqref="E183:Q183">
    <cfRule type="cellIs" dxfId="113" priority="1" operator="between">
      <formula>-1</formula>
      <formula>1</formula>
    </cfRule>
  </conditionalFormatting>
  <dataValidations count="1">
    <dataValidation operator="notEqual" showInputMessage="1" showErrorMessage="1" sqref="E18:P18" xr:uid="{00000000-0002-0000-0300-000000000000}"/>
  </dataValidations>
  <pageMargins left="0" right="0" top="0" bottom="0" header="0.05" footer="0"/>
  <pageSetup scale="48" fitToHeight="2" orientation="landscape" cellComments="asDisplayed" r:id="rId1"/>
  <headerFooter alignWithMargins="0">
    <oddFooter>&amp;L&amp;Z&amp;F\&amp;A&amp;R&amp;D;&amp;T</oddFooter>
  </headerFooter>
  <rowBreaks count="1" manualBreakCount="1">
    <brk id="72" min="1" max="1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theme="0"/>
  </sheetPr>
  <dimension ref="A1:V362"/>
  <sheetViews>
    <sheetView topLeftCell="B14" zoomScale="115" zoomScaleNormal="115" workbookViewId="0">
      <selection activeCell="D29" sqref="D29"/>
    </sheetView>
  </sheetViews>
  <sheetFormatPr defaultColWidth="10.81640625" defaultRowHeight="16" outlineLevelRow="1" outlineLevelCol="1" x14ac:dyDescent="0.35"/>
  <cols>
    <col min="1" max="1" width="15.54296875" style="6" bestFit="1" customWidth="1"/>
    <col min="2" max="2" width="10.453125" style="6" customWidth="1"/>
    <col min="3" max="3" width="3.7265625" style="6" customWidth="1"/>
    <col min="4" max="4" width="37.81640625" style="6" customWidth="1"/>
    <col min="5" max="5" width="14" style="6" bestFit="1" customWidth="1"/>
    <col min="6" max="6" width="12.81640625" style="6" bestFit="1" customWidth="1"/>
    <col min="7" max="8" width="15.81640625" style="6" customWidth="1"/>
    <col min="9" max="9" width="13.81640625" style="6" customWidth="1"/>
    <col min="10" max="10" width="13.1796875" style="6" customWidth="1"/>
    <col min="11" max="16" width="12.81640625" style="6" bestFit="1" customWidth="1"/>
    <col min="17" max="18" width="15.1796875" style="6" bestFit="1" customWidth="1"/>
    <col min="19" max="19" width="17.26953125" style="6" customWidth="1" outlineLevel="1"/>
    <col min="20" max="20" width="14.26953125" style="273" customWidth="1" outlineLevel="1"/>
    <col min="21" max="21" width="9.1796875" style="23" bestFit="1" customWidth="1"/>
    <col min="22" max="22" width="33.1796875" style="6" bestFit="1" customWidth="1"/>
    <col min="23" max="16384" width="10.81640625" style="6"/>
  </cols>
  <sheetData>
    <row r="1" spans="1:22" s="20" customFormat="1" ht="29" x14ac:dyDescent="0.25">
      <c r="B1" s="214">
        <v>2300</v>
      </c>
      <c r="C1" s="388" t="s">
        <v>558</v>
      </c>
      <c r="J1" s="21" t="str">
        <f>+'1500'!J1</f>
        <v>Operating Budget</v>
      </c>
      <c r="Q1" s="22">
        <f>'All Shopping Centers'!Q1</f>
        <v>46023</v>
      </c>
      <c r="R1" s="22"/>
      <c r="S1" s="22"/>
      <c r="T1" s="299"/>
      <c r="U1" s="230"/>
    </row>
    <row r="2" spans="1:22" ht="18" x14ac:dyDescent="0.35">
      <c r="J2" s="73" t="str">
        <f>'All Shopping Centers'!J2&amp;" - "&amp;B1</f>
        <v>Shopping Centers - 2300</v>
      </c>
    </row>
    <row r="3" spans="1:22" ht="18" x14ac:dyDescent="0.35">
      <c r="S3" s="300" t="s">
        <v>496</v>
      </c>
      <c r="T3" s="301"/>
    </row>
    <row r="4" spans="1:22" s="11" customFormat="1" ht="18" x14ac:dyDescent="0.35">
      <c r="B4" s="215">
        <v>61572</v>
      </c>
      <c r="C4" s="215"/>
      <c r="D4" s="13"/>
      <c r="E4" s="24" t="s">
        <v>0</v>
      </c>
      <c r="F4" s="24" t="s">
        <v>1</v>
      </c>
      <c r="G4" s="24" t="s">
        <v>2</v>
      </c>
      <c r="H4" s="24" t="s">
        <v>3</v>
      </c>
      <c r="I4" s="24" t="s">
        <v>4</v>
      </c>
      <c r="J4" s="24" t="s">
        <v>5</v>
      </c>
      <c r="K4" s="24" t="s">
        <v>6</v>
      </c>
      <c r="L4" s="24" t="s">
        <v>7</v>
      </c>
      <c r="M4" s="24" t="s">
        <v>8</v>
      </c>
      <c r="N4" s="24" t="s">
        <v>9</v>
      </c>
      <c r="O4" s="24" t="s">
        <v>10</v>
      </c>
      <c r="P4" s="24" t="s">
        <v>11</v>
      </c>
      <c r="Q4" s="100" t="s">
        <v>12</v>
      </c>
      <c r="R4" s="100" t="s">
        <v>317</v>
      </c>
      <c r="S4" s="302" t="s">
        <v>12</v>
      </c>
      <c r="T4" s="303" t="s">
        <v>495</v>
      </c>
      <c r="U4" s="231" t="s">
        <v>349</v>
      </c>
      <c r="V4" s="227" t="s">
        <v>282</v>
      </c>
    </row>
    <row r="5" spans="1:22" x14ac:dyDescent="0.35">
      <c r="Q5" s="101"/>
      <c r="R5" s="101"/>
      <c r="S5" s="304"/>
      <c r="T5" s="305"/>
    </row>
    <row r="6" spans="1:22" s="25" customFormat="1" x14ac:dyDescent="0.35">
      <c r="B6" s="26"/>
      <c r="D6" s="211" t="s">
        <v>13</v>
      </c>
      <c r="E6" s="212">
        <f>'Renew &amp; Vac '!AJ53</f>
        <v>1</v>
      </c>
      <c r="F6" s="212">
        <f>'Renew &amp; Vac '!AK53</f>
        <v>1</v>
      </c>
      <c r="G6" s="212">
        <f>'Renew &amp; Vac '!AL53</f>
        <v>1</v>
      </c>
      <c r="H6" s="212">
        <f>'Renew &amp; Vac '!AM53</f>
        <v>1</v>
      </c>
      <c r="I6" s="212">
        <f>'Renew &amp; Vac '!AN53</f>
        <v>1</v>
      </c>
      <c r="J6" s="212">
        <f>'Renew &amp; Vac '!AO53</f>
        <v>1</v>
      </c>
      <c r="K6" s="212">
        <f>'Renew &amp; Vac '!AP53</f>
        <v>1</v>
      </c>
      <c r="L6" s="212">
        <f>'Renew &amp; Vac '!AQ53</f>
        <v>1</v>
      </c>
      <c r="M6" s="212">
        <f>'Renew &amp; Vac '!AR53</f>
        <v>1</v>
      </c>
      <c r="N6" s="212">
        <f>'Renew &amp; Vac '!AS53</f>
        <v>1</v>
      </c>
      <c r="O6" s="212">
        <f>'Renew &amp; Vac '!AT53</f>
        <v>1</v>
      </c>
      <c r="P6" s="212">
        <f>'Renew &amp; Vac '!AU53</f>
        <v>1</v>
      </c>
      <c r="Q6" s="102"/>
      <c r="R6" s="102"/>
      <c r="S6" s="306"/>
      <c r="T6" s="307"/>
      <c r="U6" s="232"/>
    </row>
    <row r="7" spans="1:22" s="25" customFormat="1" x14ac:dyDescent="0.35">
      <c r="B7" s="26"/>
      <c r="D7" s="211" t="s">
        <v>323</v>
      </c>
      <c r="E7" s="213">
        <f>$B$4*E6</f>
        <v>61572</v>
      </c>
      <c r="F7" s="213">
        <f t="shared" ref="F7:P7" si="0">$B$4*F6</f>
        <v>61572</v>
      </c>
      <c r="G7" s="213">
        <f t="shared" si="0"/>
        <v>61572</v>
      </c>
      <c r="H7" s="213">
        <f t="shared" si="0"/>
        <v>61572</v>
      </c>
      <c r="I7" s="213">
        <f t="shared" si="0"/>
        <v>61572</v>
      </c>
      <c r="J7" s="213">
        <f t="shared" si="0"/>
        <v>61572</v>
      </c>
      <c r="K7" s="213">
        <f t="shared" si="0"/>
        <v>61572</v>
      </c>
      <c r="L7" s="213">
        <f t="shared" si="0"/>
        <v>61572</v>
      </c>
      <c r="M7" s="213">
        <f t="shared" si="0"/>
        <v>61572</v>
      </c>
      <c r="N7" s="213">
        <f t="shared" si="0"/>
        <v>61572</v>
      </c>
      <c r="O7" s="213">
        <f t="shared" si="0"/>
        <v>61572</v>
      </c>
      <c r="P7" s="213">
        <f t="shared" si="0"/>
        <v>61572</v>
      </c>
      <c r="Q7" s="102"/>
      <c r="R7" s="102"/>
      <c r="S7" s="306"/>
      <c r="T7" s="307"/>
      <c r="U7" s="232"/>
    </row>
    <row r="8" spans="1:22" ht="18" x14ac:dyDescent="0.35">
      <c r="B8" s="7" t="s">
        <v>14</v>
      </c>
      <c r="Q8" s="101"/>
      <c r="R8" s="101"/>
      <c r="S8" s="304"/>
      <c r="T8" s="305"/>
    </row>
    <row r="9" spans="1:22" x14ac:dyDescent="0.35">
      <c r="A9" s="66"/>
      <c r="Q9" s="101"/>
      <c r="R9" s="101"/>
      <c r="S9" s="304"/>
      <c r="T9" s="305"/>
    </row>
    <row r="10" spans="1:22" x14ac:dyDescent="0.35">
      <c r="A10" s="66" t="s">
        <v>132</v>
      </c>
      <c r="C10" s="6" t="s">
        <v>159</v>
      </c>
      <c r="E10" s="6">
        <f>SUMIFS('In Place Revenue'!$G:$G,'In Place Revenue'!$A:$A,$B$1,'In Place Revenue'!$H:$H,1)</f>
        <v>96896.61</v>
      </c>
      <c r="F10" s="6">
        <f>SUMIFS('In Place Revenue'!$G:$G,'In Place Revenue'!$A:$A,$B$1,'In Place Revenue'!$H:$H,2)</f>
        <v>96896.61</v>
      </c>
      <c r="G10" s="6">
        <f>SUMIFS('In Place Revenue'!$G:$G,'In Place Revenue'!$A:$A,$B$1,'In Place Revenue'!$H:$H,3)</f>
        <v>97346.61</v>
      </c>
      <c r="H10" s="6">
        <f>SUMIFS('In Place Revenue'!$G:$G,'In Place Revenue'!$A:$A,$B$1,'In Place Revenue'!$H:$H,4)</f>
        <v>97346.61</v>
      </c>
      <c r="I10" s="6">
        <f>SUMIFS('In Place Revenue'!$G:$G,'In Place Revenue'!$A:$A,$B$1,'In Place Revenue'!$H:$H,5)</f>
        <v>97346.61</v>
      </c>
      <c r="J10" s="6">
        <f>SUMIFS('In Place Revenue'!$G:$G,'In Place Revenue'!$A:$A,$B$1,'In Place Revenue'!$H:$H,6)</f>
        <v>97479.94</v>
      </c>
      <c r="K10" s="6">
        <f>SUMIFS('In Place Revenue'!$G:$G,'In Place Revenue'!$A:$A,$B$1,'In Place Revenue'!$H:$H,7)</f>
        <v>94386.36</v>
      </c>
      <c r="L10" s="6">
        <f>SUMIFS('In Place Revenue'!$G:$G,'In Place Revenue'!$A:$A,$B$1,'In Place Revenue'!$H:$H,8)</f>
        <v>94386.36</v>
      </c>
      <c r="M10" s="6">
        <f>SUMIFS('In Place Revenue'!$G:$G,'In Place Revenue'!$A:$A,$B$1,'In Place Revenue'!$H:$H,9)</f>
        <v>94386.36</v>
      </c>
      <c r="N10" s="6">
        <f>SUMIFS('In Place Revenue'!$G:$G,'In Place Revenue'!$A:$A,$B$1,'In Place Revenue'!$H:$H,10)</f>
        <v>94386.36</v>
      </c>
      <c r="O10" s="6">
        <f>SUMIFS('In Place Revenue'!$G:$G,'In Place Revenue'!$A:$A,$B$1,'In Place Revenue'!$H:$H,11)</f>
        <v>94386.36</v>
      </c>
      <c r="P10" s="6">
        <f>SUMIFS('In Place Revenue'!$G:$G,'In Place Revenue'!$A:$A,$B$1,'In Place Revenue'!$H:$H,12)</f>
        <v>94386.36</v>
      </c>
      <c r="Q10" s="101">
        <f>SUM(E10:P10)</f>
        <v>1149631.1500000001</v>
      </c>
      <c r="R10" s="184">
        <f>Q10/$B$4</f>
        <v>18.6713303124797</v>
      </c>
      <c r="S10" s="304">
        <v>1157263</v>
      </c>
      <c r="T10" s="308">
        <f>(Q10+Q11)/S10-1</f>
        <v>9.9961287969978496E-3</v>
      </c>
      <c r="U10" s="233"/>
    </row>
    <row r="11" spans="1:22" x14ac:dyDescent="0.35">
      <c r="A11" s="66" t="s">
        <v>132</v>
      </c>
      <c r="C11" s="6" t="s">
        <v>160</v>
      </c>
      <c r="E11" s="6">
        <f>'Renew &amp; Vac '!AJ54</f>
        <v>0</v>
      </c>
      <c r="F11" s="6">
        <f>'Renew &amp; Vac '!AK54</f>
        <v>0</v>
      </c>
      <c r="G11" s="6">
        <f>'Renew &amp; Vac '!AL54</f>
        <v>0</v>
      </c>
      <c r="H11" s="6">
        <f>'Renew &amp; Vac '!AM54</f>
        <v>0</v>
      </c>
      <c r="I11" s="6">
        <f>'Renew &amp; Vac '!AN54</f>
        <v>0</v>
      </c>
      <c r="J11" s="6">
        <f>'Renew &amp; Vac '!AO54</f>
        <v>0</v>
      </c>
      <c r="K11" s="6">
        <f>'Renew &amp; Vac '!AP54</f>
        <v>3200</v>
      </c>
      <c r="L11" s="6">
        <f>'Renew &amp; Vac '!AQ54</f>
        <v>3200</v>
      </c>
      <c r="M11" s="6">
        <f>'Renew &amp; Vac '!AR54</f>
        <v>3200</v>
      </c>
      <c r="N11" s="6">
        <f>'Renew &amp; Vac '!AS54</f>
        <v>3200</v>
      </c>
      <c r="O11" s="6">
        <f>'Renew &amp; Vac '!AT54</f>
        <v>3200</v>
      </c>
      <c r="P11" s="6">
        <f>'Renew &amp; Vac '!AU54</f>
        <v>3200</v>
      </c>
      <c r="Q11" s="101">
        <f>SUM(E11:P11)</f>
        <v>19200</v>
      </c>
      <c r="R11" s="184">
        <f t="shared" ref="R11:R71" si="1">Q11/$B$4</f>
        <v>0.31183005262132141</v>
      </c>
      <c r="S11" s="304"/>
      <c r="T11" s="308"/>
      <c r="U11" s="233"/>
    </row>
    <row r="12" spans="1:22" x14ac:dyDescent="0.35">
      <c r="A12" s="66" t="s">
        <v>97</v>
      </c>
      <c r="C12" s="6" t="s">
        <v>15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01">
        <f>SUM(E12:P12)</f>
        <v>0</v>
      </c>
      <c r="R12" s="184">
        <f t="shared" si="1"/>
        <v>0</v>
      </c>
      <c r="S12" s="304">
        <v>0</v>
      </c>
      <c r="T12" s="308" t="str">
        <f>IFERROR(Q12/S12-1,"")</f>
        <v/>
      </c>
      <c r="U12" s="233"/>
    </row>
    <row r="13" spans="1:22" x14ac:dyDescent="0.35">
      <c r="A13" s="66" t="s">
        <v>133</v>
      </c>
      <c r="C13" s="6" t="s">
        <v>16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01">
        <f>SUM(E13:P13)</f>
        <v>0</v>
      </c>
      <c r="R13" s="184">
        <f t="shared" si="1"/>
        <v>0</v>
      </c>
      <c r="S13" s="304">
        <v>0</v>
      </c>
      <c r="T13" s="308" t="str">
        <f t="shared" ref="T13:T14" si="2">IFERROR(Q13/S13-1,"")</f>
        <v/>
      </c>
      <c r="U13" s="233"/>
    </row>
    <row r="14" spans="1:22" x14ac:dyDescent="0.35">
      <c r="A14" s="66" t="s">
        <v>134</v>
      </c>
      <c r="C14" s="6" t="s">
        <v>17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01">
        <f>SUM(E14:P14)</f>
        <v>0</v>
      </c>
      <c r="R14" s="184">
        <f t="shared" si="1"/>
        <v>0</v>
      </c>
      <c r="S14" s="304">
        <v>31900</v>
      </c>
      <c r="T14" s="320">
        <f t="shared" si="2"/>
        <v>-1</v>
      </c>
      <c r="U14" s="233"/>
    </row>
    <row r="15" spans="1:22" x14ac:dyDescent="0.35">
      <c r="A15" s="66"/>
      <c r="C15" s="6" t="s">
        <v>18</v>
      </c>
      <c r="D15" s="16"/>
      <c r="E15" s="28">
        <f t="shared" ref="E15:Q15" si="3">SUM(E10:E14)</f>
        <v>96896.61</v>
      </c>
      <c r="F15" s="28">
        <f t="shared" si="3"/>
        <v>96896.61</v>
      </c>
      <c r="G15" s="28">
        <f t="shared" si="3"/>
        <v>97346.61</v>
      </c>
      <c r="H15" s="28">
        <f t="shared" si="3"/>
        <v>97346.61</v>
      </c>
      <c r="I15" s="28">
        <f t="shared" si="3"/>
        <v>97346.61</v>
      </c>
      <c r="J15" s="28">
        <f t="shared" si="3"/>
        <v>97479.94</v>
      </c>
      <c r="K15" s="28">
        <f t="shared" si="3"/>
        <v>97586.36</v>
      </c>
      <c r="L15" s="28">
        <f t="shared" si="3"/>
        <v>97586.36</v>
      </c>
      <c r="M15" s="28">
        <f t="shared" si="3"/>
        <v>97586.36</v>
      </c>
      <c r="N15" s="28">
        <f t="shared" si="3"/>
        <v>97586.36</v>
      </c>
      <c r="O15" s="28">
        <f t="shared" si="3"/>
        <v>97586.36</v>
      </c>
      <c r="P15" s="28">
        <f t="shared" si="3"/>
        <v>97586.36</v>
      </c>
      <c r="Q15" s="110">
        <f t="shared" si="3"/>
        <v>1168831.1500000001</v>
      </c>
      <c r="R15" s="191">
        <f t="shared" si="1"/>
        <v>18.983160365101021</v>
      </c>
      <c r="S15" s="309">
        <f t="shared" ref="S15" si="4">SUM(S10:S14)</f>
        <v>1189163</v>
      </c>
      <c r="T15" s="310">
        <f>Q15/S15-1</f>
        <v>-1.709761403609078E-2</v>
      </c>
      <c r="U15" s="233"/>
    </row>
    <row r="16" spans="1:22" ht="18" x14ac:dyDescent="0.35">
      <c r="A16" s="66"/>
      <c r="Q16" s="103"/>
      <c r="R16" s="185"/>
      <c r="S16" s="311"/>
      <c r="T16" s="312"/>
      <c r="U16" s="234"/>
    </row>
    <row r="17" spans="1:22" ht="18" x14ac:dyDescent="0.35">
      <c r="A17" s="66"/>
      <c r="B17" s="7" t="s">
        <v>19</v>
      </c>
      <c r="Q17" s="101"/>
      <c r="R17" s="184"/>
      <c r="S17" s="304"/>
      <c r="T17" s="308"/>
      <c r="U17" s="233"/>
    </row>
    <row r="18" spans="1:22" x14ac:dyDescent="0.35">
      <c r="A18" s="66" t="s">
        <v>98</v>
      </c>
      <c r="C18" s="6" t="s">
        <v>20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01">
        <f>SUM(E18:P18)</f>
        <v>0</v>
      </c>
      <c r="R18" s="184">
        <f t="shared" ref="R18" si="5">Q18/$B$4</f>
        <v>0</v>
      </c>
      <c r="S18" s="304">
        <v>0</v>
      </c>
      <c r="T18" s="308" t="str">
        <f t="shared" ref="T18:T20" si="6">IFERROR(Q18/S18-1,"")</f>
        <v/>
      </c>
      <c r="U18" s="233"/>
    </row>
    <row r="19" spans="1:22" x14ac:dyDescent="0.35">
      <c r="A19" s="66" t="s">
        <v>99</v>
      </c>
      <c r="C19" s="6" t="s">
        <v>21</v>
      </c>
      <c r="E19" s="6">
        <f>+'Tenant Recoveries'!G26</f>
        <v>21100</v>
      </c>
      <c r="F19" s="6">
        <f>+E19</f>
        <v>21100</v>
      </c>
      <c r="G19" s="6">
        <f t="shared" ref="G19:P20" si="7">+F19</f>
        <v>21100</v>
      </c>
      <c r="H19" s="6">
        <f t="shared" si="7"/>
        <v>21100</v>
      </c>
      <c r="I19" s="6">
        <f t="shared" si="7"/>
        <v>21100</v>
      </c>
      <c r="J19" s="6">
        <f t="shared" si="7"/>
        <v>21100</v>
      </c>
      <c r="K19" s="6">
        <f t="shared" si="7"/>
        <v>21100</v>
      </c>
      <c r="L19" s="6">
        <f t="shared" si="7"/>
        <v>21100</v>
      </c>
      <c r="M19" s="6">
        <f t="shared" si="7"/>
        <v>21100</v>
      </c>
      <c r="N19" s="6">
        <f t="shared" si="7"/>
        <v>21100</v>
      </c>
      <c r="O19" s="6">
        <f t="shared" si="7"/>
        <v>21100</v>
      </c>
      <c r="P19" s="6">
        <f t="shared" si="7"/>
        <v>21100</v>
      </c>
      <c r="Q19" s="101">
        <f>SUM(E19:P19)</f>
        <v>253200</v>
      </c>
      <c r="R19" s="184">
        <f t="shared" si="1"/>
        <v>4.1122588189436753</v>
      </c>
      <c r="S19" s="304">
        <v>267960</v>
      </c>
      <c r="T19" s="308">
        <f t="shared" si="6"/>
        <v>-5.5082848186296496E-2</v>
      </c>
      <c r="U19" s="233"/>
    </row>
    <row r="20" spans="1:22" x14ac:dyDescent="0.35">
      <c r="A20" s="66" t="s">
        <v>100</v>
      </c>
      <c r="C20" s="6" t="s">
        <v>22</v>
      </c>
      <c r="E20" s="6">
        <f>+'Tenant Recoveries'!G27</f>
        <v>11200</v>
      </c>
      <c r="F20" s="6">
        <f>+E20</f>
        <v>11200</v>
      </c>
      <c r="G20" s="6">
        <f t="shared" si="7"/>
        <v>11200</v>
      </c>
      <c r="H20" s="6">
        <f t="shared" si="7"/>
        <v>11200</v>
      </c>
      <c r="I20" s="6">
        <f t="shared" si="7"/>
        <v>11200</v>
      </c>
      <c r="J20" s="6">
        <f t="shared" si="7"/>
        <v>11200</v>
      </c>
      <c r="K20" s="6">
        <f t="shared" si="7"/>
        <v>11200</v>
      </c>
      <c r="L20" s="6">
        <f t="shared" si="7"/>
        <v>11200</v>
      </c>
      <c r="M20" s="6">
        <f t="shared" si="7"/>
        <v>11200</v>
      </c>
      <c r="N20" s="6">
        <f t="shared" si="7"/>
        <v>11200</v>
      </c>
      <c r="O20" s="6">
        <f t="shared" si="7"/>
        <v>11200</v>
      </c>
      <c r="P20" s="6">
        <f t="shared" si="7"/>
        <v>11200</v>
      </c>
      <c r="Q20" s="101">
        <f>SUM(E20:P20)</f>
        <v>134400</v>
      </c>
      <c r="R20" s="184">
        <f t="shared" si="1"/>
        <v>2.1828103683492497</v>
      </c>
      <c r="S20" s="304">
        <v>140724</v>
      </c>
      <c r="T20" s="308">
        <f t="shared" si="6"/>
        <v>-4.4939029589835422E-2</v>
      </c>
      <c r="U20" s="233"/>
    </row>
    <row r="21" spans="1:22" x14ac:dyDescent="0.35">
      <c r="A21" s="66" t="s">
        <v>135</v>
      </c>
      <c r="C21" s="6" t="s">
        <v>23</v>
      </c>
      <c r="Q21" s="101">
        <f>SUM(E21:P21)</f>
        <v>0</v>
      </c>
      <c r="R21" s="184">
        <f t="shared" si="1"/>
        <v>0</v>
      </c>
      <c r="S21" s="304">
        <v>13468</v>
      </c>
      <c r="T21" s="308">
        <f>IFERROR(Q21/S21-1,"")</f>
        <v>-1</v>
      </c>
      <c r="U21" s="233"/>
    </row>
    <row r="22" spans="1:22" x14ac:dyDescent="0.35">
      <c r="A22" s="66"/>
      <c r="C22" s="6" t="s">
        <v>24</v>
      </c>
      <c r="D22" s="16"/>
      <c r="E22" s="28">
        <f t="shared" ref="E22:Q22" si="8">SUM(E18:E21)</f>
        <v>32300</v>
      </c>
      <c r="F22" s="28">
        <f t="shared" si="8"/>
        <v>32300</v>
      </c>
      <c r="G22" s="28">
        <f t="shared" si="8"/>
        <v>32300</v>
      </c>
      <c r="H22" s="28">
        <f t="shared" si="8"/>
        <v>32300</v>
      </c>
      <c r="I22" s="28">
        <f t="shared" si="8"/>
        <v>32300</v>
      </c>
      <c r="J22" s="28">
        <f t="shared" si="8"/>
        <v>32300</v>
      </c>
      <c r="K22" s="28">
        <f t="shared" si="8"/>
        <v>32300</v>
      </c>
      <c r="L22" s="28">
        <f t="shared" si="8"/>
        <v>32300</v>
      </c>
      <c r="M22" s="28">
        <f t="shared" si="8"/>
        <v>32300</v>
      </c>
      <c r="N22" s="28">
        <f t="shared" si="8"/>
        <v>32300</v>
      </c>
      <c r="O22" s="28">
        <f t="shared" si="8"/>
        <v>32300</v>
      </c>
      <c r="P22" s="28">
        <f t="shared" si="8"/>
        <v>32300</v>
      </c>
      <c r="Q22" s="110">
        <f t="shared" si="8"/>
        <v>387600</v>
      </c>
      <c r="R22" s="191">
        <f t="shared" si="1"/>
        <v>6.295069187292925</v>
      </c>
      <c r="S22" s="309">
        <f t="shared" ref="S22" si="9">SUM(S18:S21)</f>
        <v>422152</v>
      </c>
      <c r="T22" s="310">
        <f>Q22/S22-1</f>
        <v>-8.1847296708294603E-2</v>
      </c>
      <c r="U22" s="233"/>
    </row>
    <row r="23" spans="1:22" ht="16.5" thickBot="1" x14ac:dyDescent="0.4">
      <c r="A23" s="66"/>
      <c r="Q23" s="101"/>
      <c r="R23" s="184">
        <f t="shared" si="1"/>
        <v>0</v>
      </c>
      <c r="S23" s="304"/>
      <c r="T23" s="308"/>
      <c r="U23" s="233"/>
    </row>
    <row r="24" spans="1:22" s="9" customFormat="1" ht="18" thickBot="1" x14ac:dyDescent="0.4">
      <c r="A24" s="218"/>
      <c r="B24" s="219" t="s">
        <v>25</v>
      </c>
      <c r="C24" s="220"/>
      <c r="D24" s="220"/>
      <c r="E24" s="220">
        <f t="shared" ref="E24:Q24" si="10">+E15+E22</f>
        <v>129196.61</v>
      </c>
      <c r="F24" s="220">
        <f t="shared" si="10"/>
        <v>129196.61</v>
      </c>
      <c r="G24" s="220">
        <f t="shared" si="10"/>
        <v>129646.61</v>
      </c>
      <c r="H24" s="220">
        <f t="shared" si="10"/>
        <v>129646.61</v>
      </c>
      <c r="I24" s="220">
        <f t="shared" si="10"/>
        <v>129646.61</v>
      </c>
      <c r="J24" s="220">
        <f t="shared" si="10"/>
        <v>129779.94</v>
      </c>
      <c r="K24" s="220">
        <f t="shared" si="10"/>
        <v>129886.36</v>
      </c>
      <c r="L24" s="220">
        <f t="shared" si="10"/>
        <v>129886.36</v>
      </c>
      <c r="M24" s="220">
        <f t="shared" si="10"/>
        <v>129886.36</v>
      </c>
      <c r="N24" s="220">
        <f t="shared" si="10"/>
        <v>129886.36</v>
      </c>
      <c r="O24" s="220">
        <f t="shared" si="10"/>
        <v>129886.36</v>
      </c>
      <c r="P24" s="220">
        <f t="shared" si="10"/>
        <v>129886.36</v>
      </c>
      <c r="Q24" s="221">
        <f t="shared" si="10"/>
        <v>1556431.1500000001</v>
      </c>
      <c r="R24" s="222">
        <f t="shared" si="1"/>
        <v>25.278229552393949</v>
      </c>
      <c r="S24" s="313">
        <f t="shared" ref="S24" si="11">+S15+S22</f>
        <v>1611315</v>
      </c>
      <c r="T24" s="314">
        <f>Q24/S24-1</f>
        <v>-3.4061527386016976E-2</v>
      </c>
      <c r="U24" s="235"/>
    </row>
    <row r="25" spans="1:22" ht="18" x14ac:dyDescent="0.35">
      <c r="A25" s="66"/>
      <c r="Q25" s="103"/>
      <c r="R25" s="185"/>
      <c r="S25" s="311"/>
      <c r="T25" s="312"/>
      <c r="U25" s="234"/>
    </row>
    <row r="26" spans="1:22" ht="18" x14ac:dyDescent="0.35">
      <c r="A26" s="66"/>
      <c r="B26" s="7" t="s">
        <v>26</v>
      </c>
      <c r="Q26" s="101"/>
      <c r="R26" s="184"/>
      <c r="S26" s="304"/>
      <c r="T26" s="308"/>
      <c r="U26" s="233"/>
    </row>
    <row r="27" spans="1:22" x14ac:dyDescent="0.35">
      <c r="A27" s="66" t="s">
        <v>101</v>
      </c>
      <c r="C27" s="6" t="s">
        <v>27</v>
      </c>
      <c r="E27" s="6">
        <f>VLOOKUP($B$1,'Allocated Expenses'!$B$6:$P$15,4,FALSE)</f>
        <v>1895.9944606738165</v>
      </c>
      <c r="F27" s="6">
        <f>VLOOKUP($B$1,'Allocated Expenses'!$B$6:$P$15,5,FALSE)</f>
        <v>1895.9944606738165</v>
      </c>
      <c r="G27" s="6">
        <f>VLOOKUP($B$1,'Allocated Expenses'!$B$6:$P$15,6,FALSE)</f>
        <v>1895.9944606738165</v>
      </c>
      <c r="H27" s="6">
        <f>VLOOKUP($B$1,'Allocated Expenses'!$B$6:$P$15,7,FALSE)</f>
        <v>1895.9944606738165</v>
      </c>
      <c r="I27" s="6">
        <f>VLOOKUP($B$1,'Allocated Expenses'!$B$6:$P$15,8,FALSE)</f>
        <v>1895.9944606738165</v>
      </c>
      <c r="J27" s="6">
        <f>VLOOKUP($B$1,'Allocated Expenses'!$B$6:$P$15,9,FALSE)</f>
        <v>1895.9944606738165</v>
      </c>
      <c r="K27" s="6">
        <f>VLOOKUP($B$1,'Allocated Expenses'!$B$6:$P$15,10,FALSE)</f>
        <v>1895.9944606738165</v>
      </c>
      <c r="L27" s="6">
        <f>VLOOKUP($B$1,'Allocated Expenses'!$B$6:$P$15,11,FALSE)</f>
        <v>1895.9944606738165</v>
      </c>
      <c r="M27" s="6">
        <f>VLOOKUP($B$1,'Allocated Expenses'!$B$6:$P$15,12,FALSE)</f>
        <v>1895.9944606738165</v>
      </c>
      <c r="N27" s="6">
        <f>VLOOKUP($B$1,'Allocated Expenses'!$B$6:$P$15,13,FALSE)</f>
        <v>1895.9944606738165</v>
      </c>
      <c r="O27" s="6">
        <f>VLOOKUP($B$1,'Allocated Expenses'!$B$6:$P$15,14,FALSE)</f>
        <v>1895.9944606738165</v>
      </c>
      <c r="P27" s="6">
        <f>VLOOKUP($B$1,'Allocated Expenses'!$B$6:$P$15,15,FALSE)</f>
        <v>1895.9944606738165</v>
      </c>
      <c r="Q27" s="101">
        <f>SUM(E27:P27)</f>
        <v>22751.933528085803</v>
      </c>
      <c r="R27" s="184">
        <f t="shared" si="1"/>
        <v>0.36951753277603139</v>
      </c>
      <c r="S27" s="304">
        <v>23520</v>
      </c>
      <c r="T27" s="308">
        <f t="shared" ref="T27" si="12">IFERROR(Q27/S27-1,"")</f>
        <v>-3.2655887411317863E-2</v>
      </c>
      <c r="U27" s="233"/>
    </row>
    <row r="28" spans="1:22" x14ac:dyDescent="0.35">
      <c r="A28" s="66"/>
      <c r="Q28" s="101"/>
      <c r="R28" s="184"/>
      <c r="S28" s="304"/>
      <c r="T28" s="308"/>
      <c r="U28" s="233"/>
    </row>
    <row r="29" spans="1:22" x14ac:dyDescent="0.35">
      <c r="A29" s="66" t="s">
        <v>102</v>
      </c>
      <c r="C29" s="6" t="s">
        <v>20</v>
      </c>
      <c r="E29" s="12">
        <f>1.03*752</f>
        <v>774.56000000000006</v>
      </c>
      <c r="F29" s="12">
        <f>1.03*606</f>
        <v>624.18000000000006</v>
      </c>
      <c r="G29" s="12">
        <f>1.03*770</f>
        <v>793.1</v>
      </c>
      <c r="H29" s="12">
        <f>1.03*568</f>
        <v>585.04</v>
      </c>
      <c r="I29" s="12">
        <f>1.03*536</f>
        <v>552.08000000000004</v>
      </c>
      <c r="J29" s="12">
        <f>1.03*495</f>
        <v>509.85</v>
      </c>
      <c r="K29" s="12">
        <f>1.03*493</f>
        <v>507.79</v>
      </c>
      <c r="L29" s="12">
        <f>1.03*609</f>
        <v>627.27</v>
      </c>
      <c r="M29" s="12">
        <f>1.03*682</f>
        <v>702.46</v>
      </c>
      <c r="N29" s="12">
        <f>1.03*830</f>
        <v>854.9</v>
      </c>
      <c r="O29" s="12">
        <f>1.03*727</f>
        <v>748.81000000000006</v>
      </c>
      <c r="P29" s="12">
        <f>1.03*775</f>
        <v>798.25</v>
      </c>
      <c r="Q29" s="101">
        <f>SUM(E29:P29)</f>
        <v>8078.2900000000009</v>
      </c>
      <c r="R29" s="184">
        <f t="shared" si="1"/>
        <v>0.13120070811407783</v>
      </c>
      <c r="S29" s="304">
        <v>7474</v>
      </c>
      <c r="T29" s="308">
        <f t="shared" ref="T29" si="13">IFERROR(Q29/S29-1,"")</f>
        <v>8.0852287931495903E-2</v>
      </c>
      <c r="U29" s="233" t="s">
        <v>283</v>
      </c>
      <c r="V29" s="6" t="s">
        <v>348</v>
      </c>
    </row>
    <row r="30" spans="1:22" x14ac:dyDescent="0.35">
      <c r="A30" s="66"/>
      <c r="Q30" s="101"/>
      <c r="R30" s="184"/>
      <c r="S30" s="304"/>
      <c r="T30" s="308"/>
      <c r="U30" s="233"/>
    </row>
    <row r="31" spans="1:22" x14ac:dyDescent="0.35">
      <c r="A31" s="66" t="s">
        <v>103</v>
      </c>
      <c r="C31" s="6" t="s">
        <v>28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01">
        <f>SUM(E31:P31)</f>
        <v>0</v>
      </c>
      <c r="R31" s="184">
        <f t="shared" si="1"/>
        <v>0</v>
      </c>
      <c r="S31" s="304">
        <v>0</v>
      </c>
      <c r="T31" s="308" t="str">
        <f t="shared" ref="T31" si="14">IFERROR(Q31/S31-1,"")</f>
        <v/>
      </c>
      <c r="U31" s="233"/>
    </row>
    <row r="32" spans="1:22" x14ac:dyDescent="0.35">
      <c r="A32" s="66"/>
      <c r="Q32" s="101"/>
      <c r="R32" s="184"/>
      <c r="S32" s="304"/>
      <c r="T32" s="308"/>
      <c r="U32" s="233"/>
    </row>
    <row r="33" spans="1:22" x14ac:dyDescent="0.35">
      <c r="A33" s="66"/>
      <c r="D33" s="50" t="s">
        <v>29</v>
      </c>
      <c r="E33" s="45">
        <f>'Building Maint'!C22</f>
        <v>750</v>
      </c>
      <c r="F33" s="45">
        <f>'Building Maint'!D22</f>
        <v>0</v>
      </c>
      <c r="G33" s="45">
        <f>'Building Maint'!E22</f>
        <v>0</v>
      </c>
      <c r="H33" s="45">
        <f>'Building Maint'!F22</f>
        <v>750</v>
      </c>
      <c r="I33" s="45">
        <f>'Building Maint'!G22</f>
        <v>1275</v>
      </c>
      <c r="J33" s="45">
        <f>'Building Maint'!H22</f>
        <v>0</v>
      </c>
      <c r="K33" s="45">
        <f>'Building Maint'!I22</f>
        <v>750</v>
      </c>
      <c r="L33" s="45">
        <f>'Building Maint'!J22</f>
        <v>0</v>
      </c>
      <c r="M33" s="45">
        <f>'Building Maint'!K22</f>
        <v>2000</v>
      </c>
      <c r="N33" s="45">
        <f>'Building Maint'!L22</f>
        <v>750</v>
      </c>
      <c r="O33" s="45">
        <f>'Building Maint'!M22</f>
        <v>1275</v>
      </c>
      <c r="P33" s="45">
        <f>'Building Maint'!N22</f>
        <v>0</v>
      </c>
      <c r="Q33" s="195">
        <f>SUM(E33:P33)</f>
        <v>7550</v>
      </c>
      <c r="R33" s="186">
        <f t="shared" si="1"/>
        <v>0.12262067173390502</v>
      </c>
      <c r="S33" s="304"/>
      <c r="T33" s="308"/>
      <c r="U33" s="233" t="s">
        <v>283</v>
      </c>
      <c r="V33" s="6" t="s">
        <v>348</v>
      </c>
    </row>
    <row r="34" spans="1:22" x14ac:dyDescent="0.35">
      <c r="A34" s="66"/>
      <c r="D34" s="51" t="s">
        <v>30</v>
      </c>
      <c r="E34" s="6">
        <f>'Building Maint'!C8</f>
        <v>200</v>
      </c>
      <c r="F34" s="6">
        <f>'Building Maint'!D8</f>
        <v>200</v>
      </c>
      <c r="G34" s="6">
        <f>'Building Maint'!E8</f>
        <v>200</v>
      </c>
      <c r="H34" s="6">
        <f>'Building Maint'!F8</f>
        <v>200</v>
      </c>
      <c r="I34" s="6">
        <f>'Building Maint'!G8</f>
        <v>200</v>
      </c>
      <c r="J34" s="6">
        <f>'Building Maint'!H8</f>
        <v>200</v>
      </c>
      <c r="K34" s="6">
        <f>'Building Maint'!I8</f>
        <v>200</v>
      </c>
      <c r="L34" s="6">
        <f>'Building Maint'!J8</f>
        <v>200</v>
      </c>
      <c r="M34" s="6">
        <f>'Building Maint'!K8</f>
        <v>600</v>
      </c>
      <c r="N34" s="6">
        <f>'Building Maint'!L8</f>
        <v>200</v>
      </c>
      <c r="O34" s="6">
        <f>'Building Maint'!M8</f>
        <v>200</v>
      </c>
      <c r="P34" s="6">
        <f>'Building Maint'!N8</f>
        <v>200</v>
      </c>
      <c r="Q34" s="196">
        <f>SUM(E34:P34)</f>
        <v>2800</v>
      </c>
      <c r="R34" s="187">
        <f t="shared" si="1"/>
        <v>4.5475216007276033E-2</v>
      </c>
      <c r="S34" s="304"/>
      <c r="T34" s="308"/>
      <c r="U34" s="233" t="s">
        <v>283</v>
      </c>
      <c r="V34" s="6" t="s">
        <v>348</v>
      </c>
    </row>
    <row r="35" spans="1:22" x14ac:dyDescent="0.35">
      <c r="A35" s="66"/>
      <c r="D35" s="52" t="s">
        <v>31</v>
      </c>
      <c r="E35" s="14"/>
      <c r="F35" s="14"/>
      <c r="G35" s="14"/>
      <c r="H35" s="14">
        <v>12500</v>
      </c>
      <c r="I35" s="14"/>
      <c r="J35" s="14"/>
      <c r="K35" s="14"/>
      <c r="L35" s="14">
        <v>12500</v>
      </c>
      <c r="M35" s="14"/>
      <c r="N35" s="14"/>
      <c r="O35" s="14"/>
      <c r="P35" s="14"/>
      <c r="Q35" s="197">
        <f>SUM(E35:P35)</f>
        <v>25000</v>
      </c>
      <c r="R35" s="188">
        <f t="shared" si="1"/>
        <v>0.40602871435067889</v>
      </c>
      <c r="S35" s="304"/>
      <c r="T35" s="308"/>
      <c r="U35" s="233" t="s">
        <v>465</v>
      </c>
      <c r="V35" s="6" t="s">
        <v>467</v>
      </c>
    </row>
    <row r="36" spans="1:22" x14ac:dyDescent="0.35">
      <c r="A36" s="66" t="s">
        <v>104</v>
      </c>
      <c r="C36" s="6" t="s">
        <v>32</v>
      </c>
      <c r="E36" s="15">
        <f t="shared" ref="E36:Q36" si="15">SUM(E33:E35)</f>
        <v>950</v>
      </c>
      <c r="F36" s="15">
        <f t="shared" si="15"/>
        <v>200</v>
      </c>
      <c r="G36" s="15">
        <f t="shared" si="15"/>
        <v>200</v>
      </c>
      <c r="H36" s="15">
        <f t="shared" si="15"/>
        <v>13450</v>
      </c>
      <c r="I36" s="15">
        <f t="shared" si="15"/>
        <v>1475</v>
      </c>
      <c r="J36" s="15">
        <f t="shared" si="15"/>
        <v>200</v>
      </c>
      <c r="K36" s="15">
        <f t="shared" si="15"/>
        <v>950</v>
      </c>
      <c r="L36" s="15">
        <f t="shared" si="15"/>
        <v>12700</v>
      </c>
      <c r="M36" s="15">
        <f t="shared" si="15"/>
        <v>2600</v>
      </c>
      <c r="N36" s="15">
        <f t="shared" si="15"/>
        <v>950</v>
      </c>
      <c r="O36" s="15">
        <f t="shared" si="15"/>
        <v>1475</v>
      </c>
      <c r="P36" s="15">
        <f t="shared" si="15"/>
        <v>200</v>
      </c>
      <c r="Q36" s="108">
        <f t="shared" si="15"/>
        <v>35350</v>
      </c>
      <c r="R36" s="189">
        <f t="shared" si="1"/>
        <v>0.57412460209185989</v>
      </c>
      <c r="S36" s="309">
        <v>32516</v>
      </c>
      <c r="T36" s="310">
        <f>IFERROR(Q36/S36-1,"")</f>
        <v>8.715709189322185E-2</v>
      </c>
      <c r="U36" s="233"/>
    </row>
    <row r="37" spans="1:22" x14ac:dyDescent="0.35">
      <c r="A37" s="66"/>
      <c r="Q37" s="101"/>
      <c r="R37" s="184"/>
      <c r="S37" s="304"/>
      <c r="T37" s="308"/>
      <c r="U37" s="233"/>
    </row>
    <row r="38" spans="1:22" x14ac:dyDescent="0.35">
      <c r="A38" s="66" t="s">
        <v>136</v>
      </c>
      <c r="B38" s="6" t="s">
        <v>33</v>
      </c>
      <c r="C38" s="6" t="s">
        <v>34</v>
      </c>
      <c r="E38" s="12">
        <f>1.03*2750</f>
        <v>2832.5</v>
      </c>
      <c r="F38" s="12">
        <f>1.03*2750</f>
        <v>2832.5</v>
      </c>
      <c r="G38" s="12">
        <f>1.03*3050</f>
        <v>3141.5</v>
      </c>
      <c r="H38" s="12">
        <f>1.03*2750</f>
        <v>2832.5</v>
      </c>
      <c r="I38" s="12">
        <f>1.03*2750</f>
        <v>2832.5</v>
      </c>
      <c r="J38" s="12">
        <f>1.03*2750</f>
        <v>2832.5</v>
      </c>
      <c r="K38" s="12">
        <f>1.03*2750</f>
        <v>2832.5</v>
      </c>
      <c r="L38" s="12">
        <f>1.03*2750</f>
        <v>2832.5</v>
      </c>
      <c r="M38" s="12">
        <f>1.03*3050</f>
        <v>3141.5</v>
      </c>
      <c r="N38" s="12">
        <f>1.03*2750</f>
        <v>2832.5</v>
      </c>
      <c r="O38" s="12">
        <f>1.03*2750</f>
        <v>2832.5</v>
      </c>
      <c r="P38" s="12">
        <f>1.03*2750</f>
        <v>2832.5</v>
      </c>
      <c r="Q38" s="101">
        <f>SUM(E38:P38)</f>
        <v>34608</v>
      </c>
      <c r="R38" s="184">
        <f t="shared" si="1"/>
        <v>0.56207366984993179</v>
      </c>
      <c r="S38" s="304">
        <v>20417</v>
      </c>
      <c r="T38" s="308">
        <f t="shared" ref="T38" si="16">IFERROR(Q38/S38-1,"")</f>
        <v>0.69505803986873693</v>
      </c>
      <c r="U38" s="233" t="s">
        <v>283</v>
      </c>
      <c r="V38" s="6" t="s">
        <v>348</v>
      </c>
    </row>
    <row r="39" spans="1:22" x14ac:dyDescent="0.35">
      <c r="A39" s="66"/>
      <c r="Q39" s="101"/>
      <c r="R39" s="184"/>
      <c r="S39" s="304"/>
      <c r="T39" s="308"/>
      <c r="U39" s="233"/>
    </row>
    <row r="40" spans="1:22" x14ac:dyDescent="0.35">
      <c r="A40" s="66"/>
      <c r="D40" s="50" t="s">
        <v>35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195">
        <f>SUM(E40:P40)</f>
        <v>0</v>
      </c>
      <c r="R40" s="186">
        <f t="shared" si="1"/>
        <v>0</v>
      </c>
      <c r="S40" s="304"/>
      <c r="T40" s="308"/>
      <c r="U40" s="233"/>
    </row>
    <row r="41" spans="1:22" x14ac:dyDescent="0.35">
      <c r="A41" s="66"/>
      <c r="D41" s="51" t="s">
        <v>36</v>
      </c>
      <c r="E41" s="12">
        <f>1.03*250</f>
        <v>257.5</v>
      </c>
      <c r="F41" s="12">
        <f>1.03*250</f>
        <v>257.5</v>
      </c>
      <c r="G41" s="12">
        <f>1.03*1395</f>
        <v>1436.8500000000001</v>
      </c>
      <c r="H41" s="12">
        <f>1.03*1750</f>
        <v>1802.5</v>
      </c>
      <c r="I41" s="12">
        <f>1.03*250</f>
        <v>257.5</v>
      </c>
      <c r="J41" s="12">
        <f>1.03*1395</f>
        <v>1436.8500000000001</v>
      </c>
      <c r="K41" s="12">
        <f>1.03*250</f>
        <v>257.5</v>
      </c>
      <c r="L41" s="12">
        <f>1.03*250</f>
        <v>257.5</v>
      </c>
      <c r="M41" s="12">
        <f>1.03*1395</f>
        <v>1436.8500000000001</v>
      </c>
      <c r="N41" s="12">
        <f>1.03*1750</f>
        <v>1802.5</v>
      </c>
      <c r="O41" s="12">
        <f>1.03*250</f>
        <v>257.5</v>
      </c>
      <c r="P41" s="12">
        <f>1.03*1495</f>
        <v>1539.8500000000001</v>
      </c>
      <c r="Q41" s="196">
        <f>SUM(E41:P41)</f>
        <v>11000.400000000001</v>
      </c>
      <c r="R41" s="187">
        <f t="shared" si="1"/>
        <v>0.17865913077372833</v>
      </c>
      <c r="S41" s="304"/>
      <c r="T41" s="308"/>
      <c r="U41" s="233" t="s">
        <v>283</v>
      </c>
      <c r="V41" s="6" t="s">
        <v>348</v>
      </c>
    </row>
    <row r="42" spans="1:22" x14ac:dyDescent="0.35">
      <c r="A42" s="66"/>
      <c r="D42" s="52" t="s">
        <v>37</v>
      </c>
      <c r="E42" s="14"/>
      <c r="F42" s="14"/>
      <c r="G42" s="14">
        <f>1.03*10000</f>
        <v>10300</v>
      </c>
      <c r="H42" s="14"/>
      <c r="I42" s="14"/>
      <c r="J42" s="14"/>
      <c r="K42" s="14"/>
      <c r="L42" s="14"/>
      <c r="M42" s="14">
        <f>1.03*10000</f>
        <v>10300</v>
      </c>
      <c r="N42" s="14"/>
      <c r="O42" s="14"/>
      <c r="P42" s="14"/>
      <c r="Q42" s="197">
        <f>SUM(E42:P42)</f>
        <v>20600</v>
      </c>
      <c r="R42" s="188">
        <f t="shared" si="1"/>
        <v>0.33456766062495941</v>
      </c>
      <c r="S42" s="304"/>
      <c r="T42" s="308"/>
      <c r="U42" s="233" t="s">
        <v>283</v>
      </c>
      <c r="V42" s="6" t="s">
        <v>468</v>
      </c>
    </row>
    <row r="43" spans="1:22" x14ac:dyDescent="0.35">
      <c r="A43" s="66" t="s">
        <v>105</v>
      </c>
      <c r="C43" s="6" t="s">
        <v>38</v>
      </c>
      <c r="E43" s="15">
        <f t="shared" ref="E43:P43" si="17">SUM(E40:E42)</f>
        <v>257.5</v>
      </c>
      <c r="F43" s="15">
        <f t="shared" si="17"/>
        <v>257.5</v>
      </c>
      <c r="G43" s="15">
        <f>SUM(G40:G42)</f>
        <v>11736.85</v>
      </c>
      <c r="H43" s="15">
        <f t="shared" si="17"/>
        <v>1802.5</v>
      </c>
      <c r="I43" s="15">
        <f t="shared" si="17"/>
        <v>257.5</v>
      </c>
      <c r="J43" s="15">
        <f t="shared" si="17"/>
        <v>1436.8500000000001</v>
      </c>
      <c r="K43" s="15">
        <f t="shared" si="17"/>
        <v>257.5</v>
      </c>
      <c r="L43" s="15">
        <f t="shared" si="17"/>
        <v>257.5</v>
      </c>
      <c r="M43" s="15">
        <f t="shared" si="17"/>
        <v>11736.85</v>
      </c>
      <c r="N43" s="15">
        <f t="shared" si="17"/>
        <v>1802.5</v>
      </c>
      <c r="O43" s="15">
        <f t="shared" si="17"/>
        <v>257.5</v>
      </c>
      <c r="P43" s="15">
        <f t="shared" si="17"/>
        <v>1539.8500000000001</v>
      </c>
      <c r="Q43" s="108">
        <f>SUM(Q40:Q42)</f>
        <v>31600.400000000001</v>
      </c>
      <c r="R43" s="189">
        <f t="shared" si="1"/>
        <v>0.51322679139868776</v>
      </c>
      <c r="S43" s="309">
        <v>18739</v>
      </c>
      <c r="T43" s="310">
        <f t="shared" ref="T43" si="18">IFERROR(Q43/S43-1,"")</f>
        <v>0.68634398847323763</v>
      </c>
      <c r="U43" s="233"/>
    </row>
    <row r="44" spans="1:22" x14ac:dyDescent="0.35">
      <c r="A44" s="66"/>
      <c r="Q44" s="101"/>
      <c r="R44" s="184"/>
      <c r="S44" s="304"/>
      <c r="T44" s="308"/>
      <c r="U44" s="233"/>
    </row>
    <row r="45" spans="1:22" x14ac:dyDescent="0.35">
      <c r="A45" s="66" t="s">
        <v>106</v>
      </c>
      <c r="C45" s="6" t="s">
        <v>39</v>
      </c>
      <c r="E45" s="12">
        <f>1.03*13000</f>
        <v>13390</v>
      </c>
      <c r="F45" s="12">
        <f>1.03*13000</f>
        <v>13390</v>
      </c>
      <c r="G45" s="12">
        <f>1.03*2000</f>
        <v>2060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f>1.03*2000</f>
        <v>2060</v>
      </c>
      <c r="P45" s="12">
        <f>1.03*13000</f>
        <v>13390</v>
      </c>
      <c r="Q45" s="101">
        <f>SUM(E45:P45)</f>
        <v>44290</v>
      </c>
      <c r="R45" s="184">
        <f t="shared" si="1"/>
        <v>0.71932047034366275</v>
      </c>
      <c r="S45" s="304">
        <v>62294</v>
      </c>
      <c r="T45" s="308">
        <f t="shared" ref="T45" si="19">IFERROR(Q45/S45-1,"")</f>
        <v>-0.28901659870934604</v>
      </c>
      <c r="U45" s="233" t="s">
        <v>283</v>
      </c>
      <c r="V45" s="6" t="s">
        <v>348</v>
      </c>
    </row>
    <row r="46" spans="1:22" x14ac:dyDescent="0.35">
      <c r="A46" s="66"/>
      <c r="Q46" s="101"/>
      <c r="R46" s="184"/>
      <c r="S46" s="304"/>
      <c r="T46" s="308"/>
      <c r="U46" s="233"/>
    </row>
    <row r="47" spans="1:22" x14ac:dyDescent="0.35">
      <c r="A47" s="66"/>
      <c r="D47" s="50" t="s">
        <v>40</v>
      </c>
      <c r="E47" s="70">
        <v>0</v>
      </c>
      <c r="F47" s="70">
        <v>0</v>
      </c>
      <c r="G47" s="70">
        <v>0</v>
      </c>
      <c r="H47" s="70">
        <f>1.03*1750</f>
        <v>1802.5</v>
      </c>
      <c r="I47" s="70">
        <f t="shared" ref="I47:N47" si="20">1.03*1750</f>
        <v>1802.5</v>
      </c>
      <c r="J47" s="70">
        <f t="shared" si="20"/>
        <v>1802.5</v>
      </c>
      <c r="K47" s="70">
        <f t="shared" si="20"/>
        <v>1802.5</v>
      </c>
      <c r="L47" s="70">
        <f t="shared" si="20"/>
        <v>1802.5</v>
      </c>
      <c r="M47" s="70">
        <f t="shared" si="20"/>
        <v>1802.5</v>
      </c>
      <c r="N47" s="70">
        <f t="shared" si="20"/>
        <v>1802.5</v>
      </c>
      <c r="O47" s="70">
        <v>0</v>
      </c>
      <c r="P47" s="70">
        <v>0</v>
      </c>
      <c r="Q47" s="195">
        <f>SUM(E47:P47)</f>
        <v>12617.5</v>
      </c>
      <c r="R47" s="186">
        <f t="shared" si="1"/>
        <v>0.20492269213278763</v>
      </c>
      <c r="S47" s="304"/>
      <c r="T47" s="308"/>
      <c r="U47" s="233" t="s">
        <v>283</v>
      </c>
      <c r="V47" s="6" t="s">
        <v>348</v>
      </c>
    </row>
    <row r="48" spans="1:22" x14ac:dyDescent="0.35">
      <c r="A48" s="66"/>
      <c r="D48" s="51" t="s">
        <v>41</v>
      </c>
      <c r="E48" s="12">
        <v>0</v>
      </c>
      <c r="F48" s="12">
        <v>0</v>
      </c>
      <c r="G48" s="12">
        <v>0</v>
      </c>
      <c r="H48" s="12">
        <f>1.03*100</f>
        <v>103</v>
      </c>
      <c r="I48" s="12">
        <f t="shared" ref="I48:N48" si="21">1.03*100</f>
        <v>103</v>
      </c>
      <c r="J48" s="12">
        <f t="shared" si="21"/>
        <v>103</v>
      </c>
      <c r="K48" s="12">
        <f t="shared" si="21"/>
        <v>103</v>
      </c>
      <c r="L48" s="12">
        <f t="shared" si="21"/>
        <v>103</v>
      </c>
      <c r="M48" s="12">
        <f t="shared" si="21"/>
        <v>103</v>
      </c>
      <c r="N48" s="12">
        <f t="shared" si="21"/>
        <v>103</v>
      </c>
      <c r="O48" s="12">
        <v>0</v>
      </c>
      <c r="P48" s="12">
        <v>0</v>
      </c>
      <c r="Q48" s="196">
        <f>SUM(E48:P48)</f>
        <v>721</v>
      </c>
      <c r="R48" s="187">
        <f t="shared" si="1"/>
        <v>1.1709868121873579E-2</v>
      </c>
      <c r="S48" s="304"/>
      <c r="T48" s="308"/>
      <c r="U48" s="233" t="s">
        <v>283</v>
      </c>
      <c r="V48" s="6" t="s">
        <v>348</v>
      </c>
    </row>
    <row r="49" spans="1:22" x14ac:dyDescent="0.35">
      <c r="A49" s="66"/>
      <c r="D49" s="52" t="s">
        <v>42</v>
      </c>
      <c r="E49" s="14">
        <v>0</v>
      </c>
      <c r="F49" s="14"/>
      <c r="G49" s="14">
        <v>0</v>
      </c>
      <c r="H49" s="14">
        <v>0</v>
      </c>
      <c r="I49" s="14">
        <v>10000</v>
      </c>
      <c r="J49" s="14">
        <v>0</v>
      </c>
      <c r="K49" s="14">
        <v>0</v>
      </c>
      <c r="L49" s="14">
        <v>10000</v>
      </c>
      <c r="M49" s="14">
        <v>0</v>
      </c>
      <c r="N49" s="14">
        <v>0</v>
      </c>
      <c r="O49" s="14">
        <v>0</v>
      </c>
      <c r="P49" s="14">
        <v>0</v>
      </c>
      <c r="Q49" s="197">
        <f>SUM(E49:P49)</f>
        <v>20000</v>
      </c>
      <c r="R49" s="188">
        <f t="shared" si="1"/>
        <v>0.32482297148054312</v>
      </c>
      <c r="S49" s="304"/>
      <c r="T49" s="308"/>
      <c r="U49" s="233" t="s">
        <v>462</v>
      </c>
    </row>
    <row r="50" spans="1:22" x14ac:dyDescent="0.35">
      <c r="A50" s="66" t="s">
        <v>107</v>
      </c>
      <c r="C50" s="6" t="s">
        <v>43</v>
      </c>
      <c r="E50" s="15">
        <f t="shared" ref="E50:Q50" si="22">SUM(E47:E49)</f>
        <v>0</v>
      </c>
      <c r="F50" s="15">
        <f t="shared" si="22"/>
        <v>0</v>
      </c>
      <c r="G50" s="15">
        <f t="shared" si="22"/>
        <v>0</v>
      </c>
      <c r="H50" s="15">
        <f t="shared" si="22"/>
        <v>1905.5</v>
      </c>
      <c r="I50" s="15">
        <f t="shared" si="22"/>
        <v>11905.5</v>
      </c>
      <c r="J50" s="15">
        <f t="shared" si="22"/>
        <v>1905.5</v>
      </c>
      <c r="K50" s="15">
        <f t="shared" si="22"/>
        <v>1905.5</v>
      </c>
      <c r="L50" s="15">
        <f t="shared" si="22"/>
        <v>11905.5</v>
      </c>
      <c r="M50" s="15">
        <f t="shared" si="22"/>
        <v>1905.5</v>
      </c>
      <c r="N50" s="15">
        <f t="shared" si="22"/>
        <v>1905.5</v>
      </c>
      <c r="O50" s="15">
        <f t="shared" si="22"/>
        <v>0</v>
      </c>
      <c r="P50" s="15">
        <f t="shared" si="22"/>
        <v>0</v>
      </c>
      <c r="Q50" s="108">
        <f t="shared" si="22"/>
        <v>33338.5</v>
      </c>
      <c r="R50" s="189">
        <f t="shared" si="1"/>
        <v>0.54145553173520433</v>
      </c>
      <c r="S50" s="309">
        <v>13849</v>
      </c>
      <c r="T50" s="310">
        <f t="shared" ref="T50" si="23">IFERROR(Q50/S50-1,"")</f>
        <v>1.4072857246010542</v>
      </c>
      <c r="U50" s="233"/>
    </row>
    <row r="51" spans="1:22" x14ac:dyDescent="0.35">
      <c r="A51" s="66"/>
      <c r="Q51" s="101"/>
      <c r="R51" s="184"/>
      <c r="S51" s="304"/>
      <c r="T51" s="308"/>
      <c r="U51" s="233"/>
    </row>
    <row r="52" spans="1:22" x14ac:dyDescent="0.35">
      <c r="A52" s="66" t="s">
        <v>108</v>
      </c>
      <c r="C52" s="6" t="s">
        <v>44</v>
      </c>
      <c r="E52" s="12">
        <f>1200</f>
        <v>1200</v>
      </c>
      <c r="F52" s="12">
        <f>1200</f>
        <v>1200</v>
      </c>
      <c r="G52" s="12">
        <f>1200</f>
        <v>1200</v>
      </c>
      <c r="H52" s="12">
        <f>1200</f>
        <v>1200</v>
      </c>
      <c r="I52" s="12">
        <f>1200</f>
        <v>1200</v>
      </c>
      <c r="J52" s="12">
        <f>1200</f>
        <v>1200</v>
      </c>
      <c r="K52" s="12">
        <f>1200</f>
        <v>1200</v>
      </c>
      <c r="L52" s="12">
        <f>1200</f>
        <v>1200</v>
      </c>
      <c r="M52" s="12">
        <f>1200</f>
        <v>1200</v>
      </c>
      <c r="N52" s="12">
        <f>1200</f>
        <v>1200</v>
      </c>
      <c r="O52" s="12">
        <f>1200</f>
        <v>1200</v>
      </c>
      <c r="P52" s="12">
        <f>1200</f>
        <v>1200</v>
      </c>
      <c r="Q52" s="101">
        <f>SUM(E52:P52)</f>
        <v>14400</v>
      </c>
      <c r="R52" s="184">
        <f t="shared" si="1"/>
        <v>0.23387253946599104</v>
      </c>
      <c r="S52" s="304">
        <v>22847</v>
      </c>
      <c r="T52" s="308">
        <f t="shared" ref="T52" si="24">IFERROR(Q52/S52-1,"")</f>
        <v>-0.36972031338906641</v>
      </c>
      <c r="U52" s="233" t="s">
        <v>465</v>
      </c>
      <c r="V52" s="6" t="s">
        <v>469</v>
      </c>
    </row>
    <row r="53" spans="1:22" x14ac:dyDescent="0.35">
      <c r="A53" s="66"/>
      <c r="Q53" s="101"/>
      <c r="R53" s="184"/>
      <c r="S53" s="304"/>
      <c r="T53" s="308"/>
      <c r="U53" s="233"/>
    </row>
    <row r="54" spans="1:22" hidden="1" x14ac:dyDescent="0.35">
      <c r="A54" s="66" t="s">
        <v>109</v>
      </c>
      <c r="B54" s="6" t="s">
        <v>45</v>
      </c>
      <c r="C54" s="6" t="s">
        <v>46</v>
      </c>
      <c r="Q54" s="101">
        <f>SUM(E54:P54)</f>
        <v>0</v>
      </c>
      <c r="R54" s="184">
        <f t="shared" si="1"/>
        <v>0</v>
      </c>
      <c r="S54" s="304"/>
      <c r="T54" s="308" t="e">
        <f t="shared" ref="T54" si="25">R54/S54-1</f>
        <v>#DIV/0!</v>
      </c>
      <c r="U54" s="233"/>
    </row>
    <row r="55" spans="1:22" hidden="1" x14ac:dyDescent="0.35">
      <c r="A55" s="66"/>
      <c r="Q55" s="101"/>
      <c r="R55" s="184"/>
      <c r="S55" s="304"/>
      <c r="T55" s="308"/>
      <c r="U55" s="233"/>
    </row>
    <row r="56" spans="1:22" x14ac:dyDescent="0.35">
      <c r="A56" s="66" t="s">
        <v>110</v>
      </c>
      <c r="C56" s="6" t="s">
        <v>47</v>
      </c>
      <c r="E56" s="12">
        <f>1.03*100</f>
        <v>103</v>
      </c>
      <c r="F56" s="12">
        <f t="shared" ref="F56:P56" si="26">1.03*100</f>
        <v>103</v>
      </c>
      <c r="G56" s="12">
        <f t="shared" si="26"/>
        <v>103</v>
      </c>
      <c r="H56" s="12">
        <f t="shared" si="26"/>
        <v>103</v>
      </c>
      <c r="I56" s="12">
        <f t="shared" si="26"/>
        <v>103</v>
      </c>
      <c r="J56" s="12">
        <f t="shared" si="26"/>
        <v>103</v>
      </c>
      <c r="K56" s="12">
        <f t="shared" si="26"/>
        <v>103</v>
      </c>
      <c r="L56" s="12">
        <f t="shared" si="26"/>
        <v>103</v>
      </c>
      <c r="M56" s="12">
        <f t="shared" si="26"/>
        <v>103</v>
      </c>
      <c r="N56" s="12">
        <f t="shared" si="26"/>
        <v>103</v>
      </c>
      <c r="O56" s="12">
        <f t="shared" si="26"/>
        <v>103</v>
      </c>
      <c r="P56" s="12">
        <f t="shared" si="26"/>
        <v>103</v>
      </c>
      <c r="Q56" s="101">
        <f>SUM(E56:P56)</f>
        <v>1236</v>
      </c>
      <c r="R56" s="184">
        <f t="shared" si="1"/>
        <v>2.0074059637497563E-2</v>
      </c>
      <c r="S56" s="304">
        <v>12576</v>
      </c>
      <c r="T56" s="308">
        <f t="shared" ref="T56" si="27">IFERROR(Q56/S56-1,"")</f>
        <v>-0.90171755725190839</v>
      </c>
      <c r="U56" s="233" t="s">
        <v>283</v>
      </c>
      <c r="V56" s="6" t="s">
        <v>348</v>
      </c>
    </row>
    <row r="57" spans="1:22" x14ac:dyDescent="0.35">
      <c r="A57" s="66"/>
      <c r="Q57" s="101"/>
      <c r="R57" s="184"/>
      <c r="S57" s="304"/>
      <c r="T57" s="308"/>
      <c r="U57" s="233"/>
    </row>
    <row r="58" spans="1:22" x14ac:dyDescent="0.35">
      <c r="A58" s="66" t="s">
        <v>111</v>
      </c>
      <c r="C58" s="6" t="s">
        <v>22</v>
      </c>
      <c r="E58" s="6">
        <f>+'INS RET DEBT'!E83</f>
        <v>13547.230000000001</v>
      </c>
      <c r="F58" s="6">
        <f>+'INS RET DEBT'!F83</f>
        <v>13547.230000000001</v>
      </c>
      <c r="G58" s="6">
        <f>+'INS RET DEBT'!G83</f>
        <v>13547.230000000001</v>
      </c>
      <c r="H58" s="6">
        <f>+'INS RET DEBT'!H83</f>
        <v>13547.230000000001</v>
      </c>
      <c r="I58" s="6">
        <f>+'INS RET DEBT'!I83</f>
        <v>13547.230000000001</v>
      </c>
      <c r="J58" s="6">
        <f>+'INS RET DEBT'!J83</f>
        <v>13547.230000000001</v>
      </c>
      <c r="K58" s="6">
        <f>+'INS RET DEBT'!K83</f>
        <v>13547.230000000001</v>
      </c>
      <c r="L58" s="6">
        <f>+'INS RET DEBT'!L83</f>
        <v>13547.230000000001</v>
      </c>
      <c r="M58" s="6">
        <f>+'INS RET DEBT'!M83</f>
        <v>13547.230000000001</v>
      </c>
      <c r="N58" s="6">
        <f>+'INS RET DEBT'!N83</f>
        <v>13547.230000000001</v>
      </c>
      <c r="O58" s="6">
        <f>+'INS RET DEBT'!O83</f>
        <v>13547.230000000001</v>
      </c>
      <c r="P58" s="6">
        <f>+'INS RET DEBT'!P83</f>
        <v>13547.230000000001</v>
      </c>
      <c r="Q58" s="101">
        <f>SUM(E58:P58)</f>
        <v>162566.76</v>
      </c>
      <c r="R58" s="184">
        <f t="shared" si="1"/>
        <v>2.6402709023582149</v>
      </c>
      <c r="S58" s="304">
        <v>160970</v>
      </c>
      <c r="T58" s="308">
        <f t="shared" ref="T58" si="28">IFERROR(Q58/S58-1,"")</f>
        <v>9.9196123501275046E-3</v>
      </c>
      <c r="U58" s="233" t="s">
        <v>283</v>
      </c>
      <c r="V58" s="6" t="s">
        <v>531</v>
      </c>
    </row>
    <row r="59" spans="1:22" x14ac:dyDescent="0.35">
      <c r="A59" s="66"/>
      <c r="Q59" s="101"/>
      <c r="R59" s="184"/>
      <c r="S59" s="304"/>
      <c r="T59" s="308"/>
      <c r="U59" s="233"/>
    </row>
    <row r="60" spans="1:22" x14ac:dyDescent="0.35">
      <c r="A60" s="66"/>
      <c r="D60" s="50" t="s">
        <v>48</v>
      </c>
      <c r="E60" s="45">
        <f>+'INS RET DEBT'!E20+'INS RET DEBT'!E21</f>
        <v>3279</v>
      </c>
      <c r="F60" s="45">
        <f>+'INS RET DEBT'!F20+'INS RET DEBT'!F21</f>
        <v>3279</v>
      </c>
      <c r="G60" s="45">
        <f>+'INS RET DEBT'!G20+'INS RET DEBT'!G21</f>
        <v>3279</v>
      </c>
      <c r="H60" s="45">
        <f>+'INS RET DEBT'!H20+'INS RET DEBT'!H21</f>
        <v>3279</v>
      </c>
      <c r="I60" s="45">
        <f>+'INS RET DEBT'!I20+'INS RET DEBT'!I21</f>
        <v>3279</v>
      </c>
      <c r="J60" s="45">
        <f>+'INS RET DEBT'!J20+'INS RET DEBT'!J21</f>
        <v>3279</v>
      </c>
      <c r="K60" s="45">
        <f>+'INS RET DEBT'!K20+'INS RET DEBT'!K21</f>
        <v>3279</v>
      </c>
      <c r="L60" s="45">
        <f>+'INS RET DEBT'!L20+'INS RET DEBT'!L21</f>
        <v>3279</v>
      </c>
      <c r="M60" s="45">
        <f>+'INS RET DEBT'!M20+'INS RET DEBT'!M21</f>
        <v>3279</v>
      </c>
      <c r="N60" s="45">
        <f>+'INS RET DEBT'!N20+'INS RET DEBT'!N21</f>
        <v>3279</v>
      </c>
      <c r="O60" s="45">
        <f>+'INS RET DEBT'!O20+'INS RET DEBT'!O21</f>
        <v>3344.58</v>
      </c>
      <c r="P60" s="45">
        <f>+'INS RET DEBT'!P20+'INS RET DEBT'!P21</f>
        <v>3344.58</v>
      </c>
      <c r="Q60" s="195">
        <f>SUM(E60:P60)</f>
        <v>39479.160000000003</v>
      </c>
      <c r="R60" s="186">
        <f t="shared" si="1"/>
        <v>0.64118690313778992</v>
      </c>
      <c r="S60" s="304"/>
      <c r="T60" s="308"/>
      <c r="U60" s="233"/>
    </row>
    <row r="61" spans="1:22" x14ac:dyDescent="0.35">
      <c r="A61" s="66"/>
      <c r="D61" s="51" t="s">
        <v>89</v>
      </c>
      <c r="E61" s="6">
        <f>+'INS RET DEBT'!E23</f>
        <v>788</v>
      </c>
      <c r="F61" s="6">
        <f>+'INS RET DEBT'!F23</f>
        <v>788</v>
      </c>
      <c r="G61" s="6">
        <f>+'INS RET DEBT'!G23</f>
        <v>788</v>
      </c>
      <c r="H61" s="6">
        <f>+'INS RET DEBT'!H23</f>
        <v>788</v>
      </c>
      <c r="I61" s="6">
        <f>+'INS RET DEBT'!I23</f>
        <v>788</v>
      </c>
      <c r="J61" s="6">
        <f>+'INS RET DEBT'!J23</f>
        <v>788</v>
      </c>
      <c r="K61" s="6">
        <f>+'INS RET DEBT'!K23</f>
        <v>788</v>
      </c>
      <c r="L61" s="6">
        <f>+'INS RET DEBT'!L23</f>
        <v>788</v>
      </c>
      <c r="M61" s="6">
        <f>+'INS RET DEBT'!M23</f>
        <v>788</v>
      </c>
      <c r="N61" s="6">
        <f>+'INS RET DEBT'!N23</f>
        <v>788</v>
      </c>
      <c r="O61" s="6">
        <f>+'INS RET DEBT'!O23</f>
        <v>803.76</v>
      </c>
      <c r="P61" s="6">
        <f>+'INS RET DEBT'!P23</f>
        <v>803.76</v>
      </c>
      <c r="Q61" s="196">
        <f>SUM(E61:P61)</f>
        <v>9487.52</v>
      </c>
      <c r="R61" s="187">
        <f t="shared" si="1"/>
        <v>0.15408822191905414</v>
      </c>
      <c r="S61" s="304"/>
      <c r="T61" s="308"/>
      <c r="U61" s="233"/>
    </row>
    <row r="62" spans="1:22" x14ac:dyDescent="0.35">
      <c r="A62" s="66"/>
      <c r="D62" s="52" t="s">
        <v>50</v>
      </c>
      <c r="E62" s="15">
        <f>+'INS RET DEBT'!E24</f>
        <v>0</v>
      </c>
      <c r="F62" s="15">
        <f>+'INS RET DEBT'!F24</f>
        <v>0</v>
      </c>
      <c r="G62" s="15">
        <f>+'INS RET DEBT'!G24</f>
        <v>0</v>
      </c>
      <c r="H62" s="15">
        <f>+'INS RET DEBT'!H24</f>
        <v>0</v>
      </c>
      <c r="I62" s="15">
        <f>+'INS RET DEBT'!I24</f>
        <v>0</v>
      </c>
      <c r="J62" s="15">
        <f>+'INS RET DEBT'!J24</f>
        <v>0</v>
      </c>
      <c r="K62" s="15">
        <f>+'INS RET DEBT'!K24</f>
        <v>0</v>
      </c>
      <c r="L62" s="15">
        <f>+'INS RET DEBT'!L24</f>
        <v>0</v>
      </c>
      <c r="M62" s="15">
        <f>+'INS RET DEBT'!M24</f>
        <v>0</v>
      </c>
      <c r="N62" s="15">
        <f>+'INS RET DEBT'!N24</f>
        <v>0</v>
      </c>
      <c r="O62" s="15">
        <f>+'INS RET DEBT'!O24</f>
        <v>0</v>
      </c>
      <c r="P62" s="15">
        <f>+'INS RET DEBT'!P24</f>
        <v>0</v>
      </c>
      <c r="Q62" s="197">
        <f>SUM(E62:P62)</f>
        <v>0</v>
      </c>
      <c r="R62" s="188">
        <f t="shared" si="1"/>
        <v>0</v>
      </c>
      <c r="S62" s="304"/>
      <c r="T62" s="308"/>
      <c r="U62" s="233"/>
    </row>
    <row r="63" spans="1:22" x14ac:dyDescent="0.35">
      <c r="A63" s="66" t="s">
        <v>112</v>
      </c>
      <c r="C63" s="6" t="s">
        <v>23</v>
      </c>
      <c r="E63" s="15">
        <f t="shared" ref="E63:Q63" si="29">SUM(E60:E62)</f>
        <v>4067</v>
      </c>
      <c r="F63" s="15">
        <f t="shared" si="29"/>
        <v>4067</v>
      </c>
      <c r="G63" s="15">
        <f t="shared" si="29"/>
        <v>4067</v>
      </c>
      <c r="H63" s="15">
        <f t="shared" si="29"/>
        <v>4067</v>
      </c>
      <c r="I63" s="15">
        <f t="shared" si="29"/>
        <v>4067</v>
      </c>
      <c r="J63" s="15">
        <f t="shared" si="29"/>
        <v>4067</v>
      </c>
      <c r="K63" s="15">
        <f t="shared" si="29"/>
        <v>4067</v>
      </c>
      <c r="L63" s="15">
        <f t="shared" si="29"/>
        <v>4067</v>
      </c>
      <c r="M63" s="15">
        <f t="shared" si="29"/>
        <v>4067</v>
      </c>
      <c r="N63" s="15">
        <f t="shared" si="29"/>
        <v>4067</v>
      </c>
      <c r="O63" s="15">
        <f t="shared" si="29"/>
        <v>4148.34</v>
      </c>
      <c r="P63" s="15">
        <f>SUM(P60:P62)</f>
        <v>4148.34</v>
      </c>
      <c r="Q63" s="108">
        <f t="shared" si="29"/>
        <v>48966.680000000008</v>
      </c>
      <c r="R63" s="189">
        <f t="shared" si="1"/>
        <v>0.79527512505684417</v>
      </c>
      <c r="S63" s="309">
        <v>49234</v>
      </c>
      <c r="T63" s="310">
        <f t="shared" ref="T63" si="30">IFERROR(Q63/S63-1,"")</f>
        <v>-5.4295811837347108E-3</v>
      </c>
      <c r="U63" s="233"/>
    </row>
    <row r="64" spans="1:22" x14ac:dyDescent="0.35">
      <c r="A64" s="66"/>
      <c r="Q64" s="101"/>
      <c r="R64" s="184"/>
      <c r="S64" s="304"/>
      <c r="T64" s="308"/>
      <c r="U64" s="233"/>
    </row>
    <row r="65" spans="1:21" x14ac:dyDescent="0.35">
      <c r="A65" s="66"/>
      <c r="D65" s="50" t="s">
        <v>51</v>
      </c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198">
        <f>SUM(E65:P65)</f>
        <v>0</v>
      </c>
      <c r="R65" s="186">
        <f t="shared" si="1"/>
        <v>0</v>
      </c>
      <c r="S65" s="304"/>
      <c r="T65" s="308"/>
      <c r="U65" s="233"/>
    </row>
    <row r="66" spans="1:21" x14ac:dyDescent="0.35">
      <c r="A66" s="66"/>
      <c r="D66" s="52" t="s">
        <v>52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08">
        <f>SUM(E66:P66)</f>
        <v>0</v>
      </c>
      <c r="R66" s="188">
        <f t="shared" si="1"/>
        <v>0</v>
      </c>
      <c r="S66" s="304"/>
      <c r="T66" s="308"/>
      <c r="U66" s="233"/>
    </row>
    <row r="67" spans="1:21" x14ac:dyDescent="0.35">
      <c r="A67" s="66" t="s">
        <v>113</v>
      </c>
      <c r="B67" s="6" t="s">
        <v>45</v>
      </c>
      <c r="C67" s="6" t="s">
        <v>51</v>
      </c>
      <c r="E67" s="15">
        <f t="shared" ref="E67:P67" si="31">SUM(E65:E66)</f>
        <v>0</v>
      </c>
      <c r="F67" s="15">
        <f t="shared" si="31"/>
        <v>0</v>
      </c>
      <c r="G67" s="15">
        <f t="shared" si="31"/>
        <v>0</v>
      </c>
      <c r="H67" s="15">
        <f t="shared" si="31"/>
        <v>0</v>
      </c>
      <c r="I67" s="15">
        <f t="shared" si="31"/>
        <v>0</v>
      </c>
      <c r="J67" s="15">
        <f t="shared" si="31"/>
        <v>0</v>
      </c>
      <c r="K67" s="15">
        <f t="shared" si="31"/>
        <v>0</v>
      </c>
      <c r="L67" s="15">
        <f t="shared" si="31"/>
        <v>0</v>
      </c>
      <c r="M67" s="15">
        <f t="shared" si="31"/>
        <v>0</v>
      </c>
      <c r="N67" s="15">
        <f t="shared" si="31"/>
        <v>0</v>
      </c>
      <c r="O67" s="15">
        <f t="shared" si="31"/>
        <v>0</v>
      </c>
      <c r="P67" s="15">
        <f t="shared" si="31"/>
        <v>0</v>
      </c>
      <c r="Q67" s="108">
        <f>SUM(E67:P67)</f>
        <v>0</v>
      </c>
      <c r="R67" s="189">
        <f t="shared" si="1"/>
        <v>0</v>
      </c>
      <c r="S67" s="309">
        <v>0</v>
      </c>
      <c r="T67" s="310" t="str">
        <f t="shared" ref="T67" si="32">IFERROR(Q67/S67-1,"")</f>
        <v/>
      </c>
      <c r="U67" s="233"/>
    </row>
    <row r="68" spans="1:21" x14ac:dyDescent="0.35">
      <c r="A68" s="66"/>
      <c r="Q68" s="101"/>
      <c r="R68" s="184"/>
      <c r="S68" s="304"/>
      <c r="T68" s="308"/>
      <c r="U68" s="233"/>
    </row>
    <row r="69" spans="1:21" x14ac:dyDescent="0.35">
      <c r="A69" s="66"/>
      <c r="B69" s="6" t="s">
        <v>33</v>
      </c>
      <c r="C69" s="6" t="s">
        <v>53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01">
        <f>SUM(E69:P69)</f>
        <v>0</v>
      </c>
      <c r="R69" s="184">
        <f t="shared" si="1"/>
        <v>0</v>
      </c>
      <c r="S69" s="304"/>
      <c r="T69" s="308" t="str">
        <f t="shared" ref="T69" si="33">IFERROR(Q69/S69-1,"")</f>
        <v/>
      </c>
      <c r="U69" s="233"/>
    </row>
    <row r="70" spans="1:21" x14ac:dyDescent="0.35">
      <c r="A70" s="66"/>
      <c r="Q70" s="101"/>
      <c r="R70" s="184"/>
      <c r="S70" s="304"/>
      <c r="T70" s="308"/>
      <c r="U70" s="233"/>
    </row>
    <row r="71" spans="1:21" ht="18" x14ac:dyDescent="0.35">
      <c r="A71" s="66"/>
      <c r="C71" s="53" t="s">
        <v>54</v>
      </c>
      <c r="D71" s="54"/>
      <c r="E71" s="54">
        <f t="shared" ref="E71:P71" si="34">+E27+E29+E31+E36+E38+E43+E45+E50+E52+E54+E56+E58+E63+E67+E69</f>
        <v>39017.784460673822</v>
      </c>
      <c r="F71" s="54">
        <f t="shared" si="34"/>
        <v>38117.404460673817</v>
      </c>
      <c r="G71" s="54">
        <f t="shared" si="34"/>
        <v>38744.674460673821</v>
      </c>
      <c r="H71" s="54">
        <f t="shared" si="34"/>
        <v>41388.764460673818</v>
      </c>
      <c r="I71" s="54">
        <f t="shared" si="34"/>
        <v>37835.804460673819</v>
      </c>
      <c r="J71" s="54">
        <f t="shared" si="34"/>
        <v>27697.924460673821</v>
      </c>
      <c r="K71" s="54">
        <f t="shared" si="34"/>
        <v>27266.514460673818</v>
      </c>
      <c r="L71" s="54">
        <f t="shared" si="34"/>
        <v>49135.994460673821</v>
      </c>
      <c r="M71" s="54">
        <f t="shared" si="34"/>
        <v>40899.534460673822</v>
      </c>
      <c r="N71" s="54">
        <f t="shared" si="34"/>
        <v>29158.624460673818</v>
      </c>
      <c r="O71" s="54">
        <f t="shared" si="34"/>
        <v>28268.374460673818</v>
      </c>
      <c r="P71" s="54">
        <f t="shared" si="34"/>
        <v>39655.164460673812</v>
      </c>
      <c r="Q71" s="109">
        <f>+Q27+Q29+Q31+Q36+Q38+Q43+Q45+Q50+Q52+Q54+Q56+Q58+Q63+Q67+Q69</f>
        <v>437186.56352808577</v>
      </c>
      <c r="R71" s="190">
        <f t="shared" si="1"/>
        <v>7.1004119328280026</v>
      </c>
      <c r="S71" s="315">
        <f>+S27+S29+S31+S36+S38+S43+S45+S50+S52+S54+S56+S58+S63+S67+S69</f>
        <v>424436</v>
      </c>
      <c r="T71" s="316">
        <f>Q71/S71-1</f>
        <v>3.0041192377851411E-2</v>
      </c>
      <c r="U71" s="236"/>
    </row>
    <row r="72" spans="1:21" ht="18" x14ac:dyDescent="0.35">
      <c r="A72" s="66"/>
      <c r="Q72" s="103"/>
      <c r="R72" s="185"/>
      <c r="S72" s="311"/>
      <c r="T72" s="312"/>
      <c r="U72" s="234"/>
    </row>
    <row r="73" spans="1:21" ht="18" x14ac:dyDescent="0.35">
      <c r="A73" s="66"/>
      <c r="B73" s="7" t="s">
        <v>55</v>
      </c>
      <c r="Q73" s="101"/>
      <c r="R73" s="184"/>
      <c r="S73" s="304"/>
      <c r="T73" s="308"/>
      <c r="U73" s="233"/>
    </row>
    <row r="74" spans="1:21" x14ac:dyDescent="0.35">
      <c r="A74" s="66"/>
      <c r="Q74" s="101"/>
      <c r="R74" s="184"/>
      <c r="S74" s="304"/>
      <c r="T74" s="308"/>
      <c r="U74" s="233"/>
    </row>
    <row r="75" spans="1:21" x14ac:dyDescent="0.35">
      <c r="A75" s="66" t="s">
        <v>137</v>
      </c>
      <c r="C75" s="6" t="s">
        <v>56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01">
        <f>SUM(E75:P75)</f>
        <v>0</v>
      </c>
      <c r="R75" s="184">
        <f t="shared" ref="R75:R134" si="35">Q75/$B$4</f>
        <v>0</v>
      </c>
      <c r="S75" s="304">
        <v>0</v>
      </c>
      <c r="T75" s="308" t="str">
        <f t="shared" ref="T75" si="36">IFERROR(Q75/S75-1,"")</f>
        <v/>
      </c>
      <c r="U75" s="233"/>
    </row>
    <row r="76" spans="1:21" x14ac:dyDescent="0.35">
      <c r="A76" s="66"/>
      <c r="Q76" s="101"/>
      <c r="R76" s="184"/>
      <c r="S76" s="304"/>
      <c r="T76" s="308"/>
      <c r="U76" s="233"/>
    </row>
    <row r="77" spans="1:21" x14ac:dyDescent="0.35">
      <c r="A77" s="66" t="s">
        <v>114</v>
      </c>
      <c r="D77" s="6" t="s">
        <v>57</v>
      </c>
      <c r="E77" s="6">
        <f>VLOOKUP($B$1,'Allocated Expenses'!$B$20:$P$29,4,FALSE)</f>
        <v>4578.8693732749525</v>
      </c>
      <c r="F77" s="6">
        <f>VLOOKUP($B$1,'Allocated Expenses'!$B$20:$P$29,5,FALSE)</f>
        <v>4578.8693732749525</v>
      </c>
      <c r="G77" s="6">
        <f>VLOOKUP($B$1,'Allocated Expenses'!$B$20:$P$29,6,FALSE)</f>
        <v>4578.8693732749525</v>
      </c>
      <c r="H77" s="6">
        <f>VLOOKUP($B$1,'Allocated Expenses'!$B$20:$P$29,7,FALSE)</f>
        <v>4578.8693732749525</v>
      </c>
      <c r="I77" s="6">
        <f>VLOOKUP($B$1,'Allocated Expenses'!$B$20:$P$29,8,FALSE)</f>
        <v>4578.8693732749525</v>
      </c>
      <c r="J77" s="6">
        <f>VLOOKUP($B$1,'Allocated Expenses'!$B$20:$P$29,9,FALSE)</f>
        <v>4578.8693732749525</v>
      </c>
      <c r="K77" s="6">
        <f>VLOOKUP($B$1,'Allocated Expenses'!$B$20:$P$29,10,FALSE)</f>
        <v>4578.8693732749525</v>
      </c>
      <c r="L77" s="6">
        <f>VLOOKUP($B$1,'Allocated Expenses'!$B$20:$P$29,11,FALSE)</f>
        <v>4578.8693732749525</v>
      </c>
      <c r="M77" s="6">
        <f>VLOOKUP($B$1,'Allocated Expenses'!$B$20:$P$29,12,FALSE)</f>
        <v>4578.8693732749525</v>
      </c>
      <c r="N77" s="6">
        <f>VLOOKUP($B$1,'Allocated Expenses'!$B$20:$P$29,13,FALSE)</f>
        <v>4578.8693732749525</v>
      </c>
      <c r="O77" s="6">
        <f>VLOOKUP($B$1,'Allocated Expenses'!$B$20:$P$29,14,FALSE)</f>
        <v>4578.8693732749525</v>
      </c>
      <c r="P77" s="6">
        <f>VLOOKUP($B$1,'Allocated Expenses'!$B$20:$P$29,15,FALSE)</f>
        <v>4578.8693732749525</v>
      </c>
      <c r="Q77" s="101">
        <f>SUM(E77:P77)</f>
        <v>54946.43247929943</v>
      </c>
      <c r="R77" s="184">
        <f t="shared" si="35"/>
        <v>0.89239317350905334</v>
      </c>
      <c r="S77" s="304"/>
      <c r="T77" s="308"/>
      <c r="U77" s="233"/>
    </row>
    <row r="78" spans="1:21" x14ac:dyDescent="0.35">
      <c r="A78" s="66" t="s">
        <v>115</v>
      </c>
      <c r="D78" s="6" t="s">
        <v>58</v>
      </c>
      <c r="E78" s="15">
        <f>VLOOKUP($B$1,'Allocated Expenses'!$B$132:$P$141,4,FALSE)</f>
        <v>0</v>
      </c>
      <c r="F78" s="15">
        <f>VLOOKUP($B$1,'Allocated Expenses'!$B$132:$P$141,5,FALSE)</f>
        <v>0</v>
      </c>
      <c r="G78" s="15">
        <f>VLOOKUP($B$1,'Allocated Expenses'!$B$132:$P$141,6,FALSE)</f>
        <v>0</v>
      </c>
      <c r="H78" s="15">
        <f>VLOOKUP($B$1,'Allocated Expenses'!$B$132:$P$141,7,FALSE)</f>
        <v>0</v>
      </c>
      <c r="I78" s="15">
        <f>VLOOKUP($B$1,'Allocated Expenses'!$B$132:$P$141,8,FALSE)</f>
        <v>0</v>
      </c>
      <c r="J78" s="15">
        <f>VLOOKUP($B$1,'Allocated Expenses'!$B$132:$P$141,9,FALSE)</f>
        <v>0</v>
      </c>
      <c r="K78" s="15">
        <f>VLOOKUP($B$1,'Allocated Expenses'!$B$132:$P$141,10,FALSE)</f>
        <v>0</v>
      </c>
      <c r="L78" s="15">
        <f>VLOOKUP($B$1,'Allocated Expenses'!$B$132:$P$141,11,FALSE)</f>
        <v>0</v>
      </c>
      <c r="M78" s="15">
        <f>VLOOKUP($B$1,'Allocated Expenses'!$B$132:$P$141,12,FALSE)</f>
        <v>0</v>
      </c>
      <c r="N78" s="15">
        <f>VLOOKUP($B$1,'Allocated Expenses'!$B$132:$P$141,13,FALSE)</f>
        <v>0</v>
      </c>
      <c r="O78" s="15">
        <f>VLOOKUP($B$1,'Allocated Expenses'!$B$132:$P$141,14,FALSE)</f>
        <v>0</v>
      </c>
      <c r="P78" s="15">
        <f>VLOOKUP($B$1,'Allocated Expenses'!$B$132:$P$141,15,FALSE)</f>
        <v>0</v>
      </c>
      <c r="Q78" s="108">
        <f>SUM(E78:P78)</f>
        <v>0</v>
      </c>
      <c r="R78" s="189">
        <f t="shared" si="35"/>
        <v>0</v>
      </c>
      <c r="S78" s="304"/>
      <c r="T78" s="308"/>
      <c r="U78" s="233"/>
    </row>
    <row r="79" spans="1:21" x14ac:dyDescent="0.35">
      <c r="A79" s="66"/>
      <c r="C79" s="6" t="s">
        <v>59</v>
      </c>
      <c r="E79" s="15">
        <f t="shared" ref="E79:Q79" si="37">SUM(E77:E78)</f>
        <v>4578.8693732749525</v>
      </c>
      <c r="F79" s="15">
        <f t="shared" si="37"/>
        <v>4578.8693732749525</v>
      </c>
      <c r="G79" s="15">
        <f t="shared" si="37"/>
        <v>4578.8693732749525</v>
      </c>
      <c r="H79" s="15">
        <f t="shared" si="37"/>
        <v>4578.8693732749525</v>
      </c>
      <c r="I79" s="15">
        <f t="shared" si="37"/>
        <v>4578.8693732749525</v>
      </c>
      <c r="J79" s="15">
        <f t="shared" si="37"/>
        <v>4578.8693732749525</v>
      </c>
      <c r="K79" s="15">
        <f t="shared" si="37"/>
        <v>4578.8693732749525</v>
      </c>
      <c r="L79" s="15">
        <f t="shared" si="37"/>
        <v>4578.8693732749525</v>
      </c>
      <c r="M79" s="15">
        <f t="shared" si="37"/>
        <v>4578.8693732749525</v>
      </c>
      <c r="N79" s="15">
        <f t="shared" si="37"/>
        <v>4578.8693732749525</v>
      </c>
      <c r="O79" s="15">
        <f t="shared" si="37"/>
        <v>4578.8693732749525</v>
      </c>
      <c r="P79" s="15">
        <f t="shared" si="37"/>
        <v>4578.8693732749525</v>
      </c>
      <c r="Q79" s="108">
        <f t="shared" si="37"/>
        <v>54946.43247929943</v>
      </c>
      <c r="R79" s="189">
        <f t="shared" si="35"/>
        <v>0.89239317350905334</v>
      </c>
      <c r="S79" s="309">
        <v>64560</v>
      </c>
      <c r="T79" s="310">
        <f t="shared" ref="T79" si="38">IFERROR(Q79/S79-1,"")</f>
        <v>-0.14890903842473002</v>
      </c>
      <c r="U79" s="233"/>
    </row>
    <row r="80" spans="1:21" x14ac:dyDescent="0.35">
      <c r="A80" s="66"/>
      <c r="Q80" s="101"/>
      <c r="R80" s="184"/>
      <c r="S80" s="304"/>
      <c r="T80" s="308"/>
      <c r="U80" s="233"/>
    </row>
    <row r="81" spans="1:22" x14ac:dyDescent="0.35">
      <c r="A81" s="66" t="s">
        <v>138</v>
      </c>
      <c r="D81" s="6" t="s">
        <v>60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01">
        <f>SUM(E81:P81)</f>
        <v>0</v>
      </c>
      <c r="R81" s="184">
        <f t="shared" si="35"/>
        <v>0</v>
      </c>
      <c r="S81" s="304"/>
      <c r="T81" s="308"/>
      <c r="U81" s="233"/>
    </row>
    <row r="82" spans="1:22" x14ac:dyDescent="0.35">
      <c r="A82" s="66" t="s">
        <v>139</v>
      </c>
      <c r="D82" s="6" t="s">
        <v>20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01">
        <f>SUM(E82:P82)</f>
        <v>0</v>
      </c>
      <c r="R82" s="184">
        <f t="shared" si="35"/>
        <v>0</v>
      </c>
      <c r="S82" s="304"/>
      <c r="T82" s="308"/>
      <c r="U82" s="233"/>
    </row>
    <row r="83" spans="1:22" x14ac:dyDescent="0.35">
      <c r="A83" s="66" t="s">
        <v>140</v>
      </c>
      <c r="D83" s="6" t="s">
        <v>28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08">
        <f>SUM(E83:P83)</f>
        <v>0</v>
      </c>
      <c r="R83" s="189">
        <f t="shared" si="35"/>
        <v>0</v>
      </c>
      <c r="S83" s="304"/>
      <c r="T83" s="308"/>
      <c r="U83" s="233"/>
    </row>
    <row r="84" spans="1:22" x14ac:dyDescent="0.35">
      <c r="A84" s="66"/>
      <c r="C84" s="6" t="s">
        <v>61</v>
      </c>
      <c r="E84" s="15">
        <f t="shared" ref="E84:Q84" si="39">SUM(E81:E83)</f>
        <v>0</v>
      </c>
      <c r="F84" s="15">
        <f t="shared" si="39"/>
        <v>0</v>
      </c>
      <c r="G84" s="15">
        <f t="shared" si="39"/>
        <v>0</v>
      </c>
      <c r="H84" s="15">
        <f t="shared" si="39"/>
        <v>0</v>
      </c>
      <c r="I84" s="15">
        <f t="shared" si="39"/>
        <v>0</v>
      </c>
      <c r="J84" s="15">
        <f t="shared" si="39"/>
        <v>0</v>
      </c>
      <c r="K84" s="15">
        <f t="shared" si="39"/>
        <v>0</v>
      </c>
      <c r="L84" s="15">
        <f t="shared" si="39"/>
        <v>0</v>
      </c>
      <c r="M84" s="15">
        <f t="shared" si="39"/>
        <v>0</v>
      </c>
      <c r="N84" s="15">
        <f t="shared" si="39"/>
        <v>0</v>
      </c>
      <c r="O84" s="15">
        <f t="shared" si="39"/>
        <v>0</v>
      </c>
      <c r="P84" s="15">
        <f t="shared" si="39"/>
        <v>0</v>
      </c>
      <c r="Q84" s="108">
        <f t="shared" si="39"/>
        <v>0</v>
      </c>
      <c r="R84" s="189">
        <f t="shared" si="35"/>
        <v>0</v>
      </c>
      <c r="S84" s="309">
        <v>18</v>
      </c>
      <c r="T84" s="310">
        <f>IFERROR(Q84/S84-1,"")</f>
        <v>-1</v>
      </c>
      <c r="U84" s="233"/>
    </row>
    <row r="85" spans="1:22" x14ac:dyDescent="0.35">
      <c r="A85" s="66"/>
      <c r="Q85" s="101"/>
      <c r="R85" s="184"/>
      <c r="S85" s="304"/>
      <c r="T85" s="308"/>
      <c r="U85" s="233"/>
    </row>
    <row r="86" spans="1:22" x14ac:dyDescent="0.35">
      <c r="A86" s="66"/>
      <c r="D86" s="50" t="s">
        <v>30</v>
      </c>
      <c r="E86" s="70">
        <f>1.03*150</f>
        <v>154.5</v>
      </c>
      <c r="F86" s="70">
        <f t="shared" ref="F86:P86" si="40">1.03*150</f>
        <v>154.5</v>
      </c>
      <c r="G86" s="70">
        <f t="shared" si="40"/>
        <v>154.5</v>
      </c>
      <c r="H86" s="70">
        <f t="shared" si="40"/>
        <v>154.5</v>
      </c>
      <c r="I86" s="70">
        <f t="shared" si="40"/>
        <v>154.5</v>
      </c>
      <c r="J86" s="70">
        <f t="shared" si="40"/>
        <v>154.5</v>
      </c>
      <c r="K86" s="70">
        <f t="shared" si="40"/>
        <v>154.5</v>
      </c>
      <c r="L86" s="70">
        <f t="shared" si="40"/>
        <v>154.5</v>
      </c>
      <c r="M86" s="70">
        <f t="shared" si="40"/>
        <v>154.5</v>
      </c>
      <c r="N86" s="70">
        <f t="shared" si="40"/>
        <v>154.5</v>
      </c>
      <c r="O86" s="70">
        <f t="shared" si="40"/>
        <v>154.5</v>
      </c>
      <c r="P86" s="70">
        <f t="shared" si="40"/>
        <v>154.5</v>
      </c>
      <c r="Q86" s="198">
        <f>SUM(E86:P86)</f>
        <v>1854</v>
      </c>
      <c r="R86" s="186">
        <f t="shared" si="35"/>
        <v>3.0111089456246347E-2</v>
      </c>
      <c r="S86" s="304"/>
      <c r="T86" s="308"/>
      <c r="U86" s="233" t="s">
        <v>283</v>
      </c>
      <c r="V86" s="6" t="s">
        <v>348</v>
      </c>
    </row>
    <row r="87" spans="1:22" x14ac:dyDescent="0.35">
      <c r="A87" s="66"/>
      <c r="D87" s="52" t="s">
        <v>31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08">
        <f>SUM(E87:P87)</f>
        <v>0</v>
      </c>
      <c r="R87" s="188">
        <f t="shared" si="35"/>
        <v>0</v>
      </c>
      <c r="S87" s="304"/>
      <c r="T87" s="308"/>
      <c r="U87" s="233"/>
    </row>
    <row r="88" spans="1:22" x14ac:dyDescent="0.35">
      <c r="A88" s="66" t="s">
        <v>116</v>
      </c>
      <c r="C88" s="6" t="s">
        <v>32</v>
      </c>
      <c r="E88" s="15">
        <f t="shared" ref="E88:P88" si="41">SUM(E86:E87)</f>
        <v>154.5</v>
      </c>
      <c r="F88" s="15">
        <f t="shared" si="41"/>
        <v>154.5</v>
      </c>
      <c r="G88" s="15">
        <f t="shared" si="41"/>
        <v>154.5</v>
      </c>
      <c r="H88" s="15">
        <f t="shared" si="41"/>
        <v>154.5</v>
      </c>
      <c r="I88" s="15">
        <f t="shared" si="41"/>
        <v>154.5</v>
      </c>
      <c r="J88" s="15">
        <f t="shared" si="41"/>
        <v>154.5</v>
      </c>
      <c r="K88" s="15">
        <f t="shared" si="41"/>
        <v>154.5</v>
      </c>
      <c r="L88" s="15">
        <f t="shared" si="41"/>
        <v>154.5</v>
      </c>
      <c r="M88" s="15">
        <f t="shared" si="41"/>
        <v>154.5</v>
      </c>
      <c r="N88" s="15">
        <f t="shared" si="41"/>
        <v>154.5</v>
      </c>
      <c r="O88" s="15">
        <f t="shared" si="41"/>
        <v>154.5</v>
      </c>
      <c r="P88" s="15">
        <f t="shared" si="41"/>
        <v>154.5</v>
      </c>
      <c r="Q88" s="108">
        <f t="shared" ref="Q88" si="42">SUM(Q86:Q87)</f>
        <v>1854</v>
      </c>
      <c r="R88" s="189">
        <f t="shared" si="35"/>
        <v>3.0111089456246347E-2</v>
      </c>
      <c r="S88" s="309">
        <v>1837</v>
      </c>
      <c r="T88" s="310">
        <f t="shared" ref="T88" si="43">IFERROR(Q88/S88-1,"")</f>
        <v>9.2542188350570598E-3</v>
      </c>
      <c r="U88" s="233"/>
    </row>
    <row r="89" spans="1:22" x14ac:dyDescent="0.35">
      <c r="A89" s="66"/>
      <c r="Q89" s="101"/>
      <c r="R89" s="184"/>
      <c r="S89" s="304"/>
      <c r="T89" s="308"/>
      <c r="U89" s="233"/>
    </row>
    <row r="90" spans="1:22" x14ac:dyDescent="0.35">
      <c r="A90" s="66" t="s">
        <v>141</v>
      </c>
      <c r="B90" s="6" t="s">
        <v>33</v>
      </c>
      <c r="C90" s="6" t="s">
        <v>62</v>
      </c>
      <c r="E90" s="6">
        <f>ROUND(E$24*0.06,0)</f>
        <v>7752</v>
      </c>
      <c r="F90" s="6">
        <f t="shared" ref="F90:P90" si="44">ROUND(F$24*0.06,0)</f>
        <v>7752</v>
      </c>
      <c r="G90" s="6">
        <f t="shared" si="44"/>
        <v>7779</v>
      </c>
      <c r="H90" s="6">
        <f t="shared" si="44"/>
        <v>7779</v>
      </c>
      <c r="I90" s="6">
        <f t="shared" si="44"/>
        <v>7779</v>
      </c>
      <c r="J90" s="6">
        <f t="shared" si="44"/>
        <v>7787</v>
      </c>
      <c r="K90" s="6">
        <f t="shared" si="44"/>
        <v>7793</v>
      </c>
      <c r="L90" s="6">
        <f t="shared" si="44"/>
        <v>7793</v>
      </c>
      <c r="M90" s="6">
        <f t="shared" si="44"/>
        <v>7793</v>
      </c>
      <c r="N90" s="6">
        <f t="shared" si="44"/>
        <v>7793</v>
      </c>
      <c r="O90" s="6">
        <f t="shared" si="44"/>
        <v>7793</v>
      </c>
      <c r="P90" s="6">
        <f t="shared" si="44"/>
        <v>7793</v>
      </c>
      <c r="Q90" s="101">
        <f>SUM(E90:P90)</f>
        <v>93386</v>
      </c>
      <c r="R90" s="184">
        <f t="shared" ref="R90" si="45">Q90/$B$4</f>
        <v>1.5166959007340999</v>
      </c>
      <c r="S90" s="304">
        <v>88291</v>
      </c>
      <c r="T90" s="308">
        <f t="shared" ref="T90:T92" si="46">IFERROR(Q90/S90-1,"")</f>
        <v>5.7706901043141468E-2</v>
      </c>
      <c r="U90" s="233"/>
    </row>
    <row r="91" spans="1:22" x14ac:dyDescent="0.35">
      <c r="A91" s="66"/>
      <c r="Q91" s="101"/>
      <c r="R91" s="184"/>
      <c r="S91" s="304"/>
      <c r="T91" s="308" t="str">
        <f t="shared" si="46"/>
        <v/>
      </c>
      <c r="U91" s="233"/>
    </row>
    <row r="92" spans="1:22" x14ac:dyDescent="0.35">
      <c r="A92" s="66" t="s">
        <v>117</v>
      </c>
      <c r="C92" s="6" t="s">
        <v>63</v>
      </c>
      <c r="E92" s="6">
        <f>VLOOKUP($B$1,'Allocated Expenses'!$B$34:$P$43,4,FALSE)+VLOOKUP($B$1,'Allocated Expenses'!$B$48:$P$57,4,FALSE)</f>
        <v>1364.6828044392423</v>
      </c>
      <c r="F92" s="6">
        <f>VLOOKUP($B$1,'Allocated Expenses'!$B$34:$P$43,5,FALSE)+VLOOKUP($B$1,'Allocated Expenses'!$B$48:$P$57,5,FALSE)</f>
        <v>1364.6828044392423</v>
      </c>
      <c r="G92" s="6">
        <f>VLOOKUP($B$1,'Allocated Expenses'!$B$34:$P$43,6,FALSE)+VLOOKUP($B$1,'Allocated Expenses'!$B$48:$P$57,6,FALSE)</f>
        <v>1364.6828044392423</v>
      </c>
      <c r="H92" s="6">
        <f>VLOOKUP($B$1,'Allocated Expenses'!$B$34:$P$43,7,FALSE)+VLOOKUP($B$1,'Allocated Expenses'!$B$48:$P$57,7,FALSE)</f>
        <v>1364.6828044392423</v>
      </c>
      <c r="I92" s="6">
        <f>VLOOKUP($B$1,'Allocated Expenses'!$B$34:$P$43,8,FALSE)+VLOOKUP($B$1,'Allocated Expenses'!$B$48:$P$57,8,FALSE)</f>
        <v>1364.6828044392423</v>
      </c>
      <c r="J92" s="6">
        <f>VLOOKUP($B$1,'Allocated Expenses'!$B$34:$P$43,9,FALSE)+VLOOKUP($B$1,'Allocated Expenses'!$B$48:$P$57,9,FALSE)</f>
        <v>1364.6828044392423</v>
      </c>
      <c r="K92" s="6">
        <f>VLOOKUP($B$1,'Allocated Expenses'!$B$34:$P$43,10,FALSE)+VLOOKUP($B$1,'Allocated Expenses'!$B$48:$P$57,10,FALSE)</f>
        <v>1364.6828044392423</v>
      </c>
      <c r="L92" s="6">
        <f>VLOOKUP($B$1,'Allocated Expenses'!$B$34:$P$43,11,FALSE)+VLOOKUP($B$1,'Allocated Expenses'!$B$48:$P$57,11,FALSE)</f>
        <v>1364.6828044392423</v>
      </c>
      <c r="M92" s="6">
        <f>VLOOKUP($B$1,'Allocated Expenses'!$B$34:$P$43,12,FALSE)+VLOOKUP($B$1,'Allocated Expenses'!$B$48:$P$57,12,FALSE)</f>
        <v>1364.6828044392423</v>
      </c>
      <c r="N92" s="6">
        <f>VLOOKUP($B$1,'Allocated Expenses'!$B$34:$P$43,13,FALSE)+VLOOKUP($B$1,'Allocated Expenses'!$B$48:$P$57,13,FALSE)</f>
        <v>1364.6828044392423</v>
      </c>
      <c r="O92" s="6">
        <f>VLOOKUP($B$1,'Allocated Expenses'!$B$34:$P$43,14,FALSE)+VLOOKUP($B$1,'Allocated Expenses'!$B$48:$P$57,14,FALSE)</f>
        <v>1364.6828044392423</v>
      </c>
      <c r="P92" s="6">
        <f>VLOOKUP($B$1,'Allocated Expenses'!$B$34:$P$43,15,FALSE)+VLOOKUP($B$1,'Allocated Expenses'!$B$48:$P$57,15,FALSE)</f>
        <v>1364.6828044392423</v>
      </c>
      <c r="Q92" s="101">
        <f>SUM(E92:P92)</f>
        <v>16376.193653270908</v>
      </c>
      <c r="R92" s="184">
        <f t="shared" si="35"/>
        <v>0.26596819419981338</v>
      </c>
      <c r="S92" s="304">
        <v>7200</v>
      </c>
      <c r="T92" s="308">
        <f t="shared" si="46"/>
        <v>1.2744713407320707</v>
      </c>
      <c r="U92" s="233"/>
    </row>
    <row r="93" spans="1:22" x14ac:dyDescent="0.35">
      <c r="A93" s="66"/>
      <c r="Q93" s="101"/>
      <c r="R93" s="184"/>
      <c r="S93" s="304"/>
      <c r="T93" s="308"/>
      <c r="U93" s="233"/>
    </row>
    <row r="94" spans="1:22" x14ac:dyDescent="0.35">
      <c r="A94" s="66" t="s">
        <v>118</v>
      </c>
      <c r="C94" s="6" t="s">
        <v>64</v>
      </c>
      <c r="E94" s="12">
        <v>0</v>
      </c>
      <c r="F94" s="12">
        <v>0</v>
      </c>
      <c r="G94" s="12">
        <v>0</v>
      </c>
      <c r="H94" s="12">
        <f>1.03*3600</f>
        <v>3708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01">
        <f>SUM(E94:P94)</f>
        <v>3708</v>
      </c>
      <c r="R94" s="184">
        <f t="shared" ref="R94" si="47">Q94/$B$4</f>
        <v>6.0222178912492694E-2</v>
      </c>
      <c r="S94" s="304">
        <v>3656</v>
      </c>
      <c r="T94" s="308">
        <f t="shared" ref="T94" si="48">IFERROR(Q94/S94-1,"")</f>
        <v>1.4223194748358869E-2</v>
      </c>
      <c r="U94" s="233" t="s">
        <v>283</v>
      </c>
      <c r="V94" s="6" t="s">
        <v>348</v>
      </c>
    </row>
    <row r="95" spans="1:22" x14ac:dyDescent="0.35">
      <c r="A95" s="66"/>
      <c r="Q95" s="101"/>
      <c r="R95" s="184"/>
      <c r="S95" s="304"/>
      <c r="T95" s="308"/>
      <c r="U95" s="233"/>
    </row>
    <row r="96" spans="1:22" x14ac:dyDescent="0.35">
      <c r="A96" s="66" t="s">
        <v>119</v>
      </c>
      <c r="C96" s="6" t="s">
        <v>65</v>
      </c>
      <c r="E96" s="6">
        <f>VLOOKUP($B$1,'Allocated Expenses'!$B$62:$P$71,4,FALSE)</f>
        <v>386.25</v>
      </c>
      <c r="F96" s="6">
        <f>VLOOKUP($B$1,'Allocated Expenses'!$B$62:$P$71,5,FALSE)</f>
        <v>386.25</v>
      </c>
      <c r="G96" s="6">
        <f>VLOOKUP($B$1,'Allocated Expenses'!$B$62:$P$71,6,FALSE)</f>
        <v>386.25</v>
      </c>
      <c r="H96" s="6">
        <f>VLOOKUP($B$1,'Allocated Expenses'!$B$62:$P$71,7,FALSE)</f>
        <v>386.25</v>
      </c>
      <c r="I96" s="6">
        <f>VLOOKUP($B$1,'Allocated Expenses'!$B$62:$P$71,8,FALSE)</f>
        <v>386.25</v>
      </c>
      <c r="J96" s="6">
        <f>VLOOKUP($B$1,'Allocated Expenses'!$B$62:$P$71,9,FALSE)</f>
        <v>386.25</v>
      </c>
      <c r="K96" s="6">
        <f>VLOOKUP($B$1,'Allocated Expenses'!$B$62:$P$71,10,FALSE)</f>
        <v>386.25</v>
      </c>
      <c r="L96" s="6">
        <f>VLOOKUP($B$1,'Allocated Expenses'!$B$62:$P$71,11,FALSE)</f>
        <v>386.25</v>
      </c>
      <c r="M96" s="6">
        <f>VLOOKUP($B$1,'Allocated Expenses'!$B$62:$P$71,12,FALSE)</f>
        <v>386.25</v>
      </c>
      <c r="N96" s="6">
        <f>VLOOKUP($B$1,'Allocated Expenses'!$B$62:$P$71,13,FALSE)</f>
        <v>386.25</v>
      </c>
      <c r="O96" s="6">
        <f>VLOOKUP($B$1,'Allocated Expenses'!$B$62:$P$71,14,FALSE)</f>
        <v>386.25</v>
      </c>
      <c r="P96" s="6">
        <f>VLOOKUP($B$1,'Allocated Expenses'!$B$62:$P$71,15,FALSE)</f>
        <v>386.25</v>
      </c>
      <c r="Q96" s="101">
        <f>SUM(E96:P96)</f>
        <v>4635</v>
      </c>
      <c r="R96" s="184">
        <f t="shared" si="35"/>
        <v>7.5277723640615871E-2</v>
      </c>
      <c r="S96" s="304">
        <v>5289</v>
      </c>
      <c r="T96" s="308">
        <f t="shared" ref="T96" si="49">IFERROR(Q96/S96-1,"")</f>
        <v>-0.12365286443562107</v>
      </c>
      <c r="U96" s="233"/>
    </row>
    <row r="97" spans="1:21" x14ac:dyDescent="0.35">
      <c r="A97" s="66"/>
      <c r="Q97" s="101"/>
      <c r="R97" s="184"/>
      <c r="S97" s="304"/>
      <c r="T97" s="308"/>
      <c r="U97" s="233"/>
    </row>
    <row r="98" spans="1:21" x14ac:dyDescent="0.35">
      <c r="A98" s="66" t="s">
        <v>126</v>
      </c>
      <c r="D98" s="6" t="s">
        <v>66</v>
      </c>
      <c r="E98" s="6">
        <f>VLOOKUP($B$1,'Allocated Expenses'!$B$76:$P$85,4,FALSE)</f>
        <v>159.65</v>
      </c>
      <c r="F98" s="6">
        <f>VLOOKUP($B$1,'Allocated Expenses'!$B$76:$P$85,5,FALSE)</f>
        <v>159.65</v>
      </c>
      <c r="G98" s="6">
        <f>VLOOKUP($B$1,'Allocated Expenses'!$B$76:$P$85,6,FALSE)</f>
        <v>159.65</v>
      </c>
      <c r="H98" s="6">
        <f>VLOOKUP($B$1,'Allocated Expenses'!$B$76:$P$85,7,FALSE)</f>
        <v>159.65</v>
      </c>
      <c r="I98" s="6">
        <f>VLOOKUP($B$1,'Allocated Expenses'!$B$76:$P$85,8,FALSE)</f>
        <v>159.65</v>
      </c>
      <c r="J98" s="6">
        <f>VLOOKUP($B$1,'Allocated Expenses'!$B$76:$P$85,9,FALSE)</f>
        <v>159.65</v>
      </c>
      <c r="K98" s="6">
        <f>VLOOKUP($B$1,'Allocated Expenses'!$B$76:$P$85,10,FALSE)</f>
        <v>159.65</v>
      </c>
      <c r="L98" s="6">
        <f>VLOOKUP($B$1,'Allocated Expenses'!$B$76:$P$85,11,FALSE)</f>
        <v>159.65</v>
      </c>
      <c r="M98" s="6">
        <f>VLOOKUP($B$1,'Allocated Expenses'!$B$76:$P$85,12,FALSE)</f>
        <v>159.65</v>
      </c>
      <c r="N98" s="6">
        <f>VLOOKUP($B$1,'Allocated Expenses'!$B$76:$P$85,13,FALSE)</f>
        <v>159.65</v>
      </c>
      <c r="O98" s="6">
        <f>VLOOKUP($B$1,'Allocated Expenses'!$B$76:$P$85,14,FALSE)</f>
        <v>159.65</v>
      </c>
      <c r="P98" s="6">
        <f>VLOOKUP($B$1,'Allocated Expenses'!$B$76:$P$85,15,FALSE)</f>
        <v>159.65</v>
      </c>
      <c r="Q98" s="101">
        <f>SUM(E98:P98)</f>
        <v>1915.8000000000004</v>
      </c>
      <c r="R98" s="184">
        <f t="shared" si="35"/>
        <v>3.1114792438121229E-2</v>
      </c>
      <c r="S98" s="304"/>
      <c r="T98" s="308"/>
      <c r="U98" s="233"/>
    </row>
    <row r="99" spans="1:21" x14ac:dyDescent="0.35">
      <c r="A99" s="66" t="s">
        <v>142</v>
      </c>
      <c r="D99" s="6" t="s">
        <v>67</v>
      </c>
      <c r="E99" s="6">
        <f>VLOOKUP($B$1,'Allocated Expenses'!$B$104:$P$113,4,FALSE)</f>
        <v>0</v>
      </c>
      <c r="F99" s="6">
        <f>VLOOKUP($B$1,'Allocated Expenses'!$B$104:$P$113,5,FALSE)</f>
        <v>0</v>
      </c>
      <c r="G99" s="6">
        <f>VLOOKUP($B$1,'Allocated Expenses'!$B$104:$P$113,6,FALSE)</f>
        <v>0</v>
      </c>
      <c r="H99" s="6">
        <f>VLOOKUP($B$1,'Allocated Expenses'!$B$104:$P$113,7,FALSE)</f>
        <v>0</v>
      </c>
      <c r="I99" s="6">
        <f>VLOOKUP($B$1,'Allocated Expenses'!$B$104:$P$113,8,FALSE)</f>
        <v>0</v>
      </c>
      <c r="J99" s="6">
        <f>VLOOKUP($B$1,'Allocated Expenses'!$B$104:$P$113,9,FALSE)</f>
        <v>0</v>
      </c>
      <c r="K99" s="6">
        <f>VLOOKUP($B$1,'Allocated Expenses'!$B$104:$P$113,10,FALSE)</f>
        <v>0</v>
      </c>
      <c r="L99" s="6">
        <f>VLOOKUP($B$1,'Allocated Expenses'!$B$104:$P$113,11,FALSE)</f>
        <v>0</v>
      </c>
      <c r="M99" s="6">
        <f>VLOOKUP($B$1,'Allocated Expenses'!$B$104:$P$113,12,FALSE)</f>
        <v>0</v>
      </c>
      <c r="N99" s="6">
        <f>VLOOKUP($B$1,'Allocated Expenses'!$B$104:$P$113,13,FALSE)</f>
        <v>0</v>
      </c>
      <c r="O99" s="6">
        <f>VLOOKUP($B$1,'Allocated Expenses'!$B$104:$P$113,14,FALSE)</f>
        <v>0</v>
      </c>
      <c r="P99" s="6">
        <f>VLOOKUP($B$1,'Allocated Expenses'!$B$104:$P$113,15,FALSE)</f>
        <v>0</v>
      </c>
      <c r="Q99" s="101">
        <f>SUM(E99:P99)</f>
        <v>0</v>
      </c>
      <c r="R99" s="184">
        <f t="shared" si="35"/>
        <v>0</v>
      </c>
      <c r="S99" s="304"/>
      <c r="T99" s="308"/>
      <c r="U99" s="233"/>
    </row>
    <row r="100" spans="1:21" x14ac:dyDescent="0.35">
      <c r="A100" s="66" t="s">
        <v>143</v>
      </c>
      <c r="D100" s="6" t="s">
        <v>68</v>
      </c>
      <c r="E100" s="6">
        <f>VLOOKUP($B$1,'Allocated Expenses'!$B$90:$P$99,4,FALSE)</f>
        <v>0</v>
      </c>
      <c r="F100" s="6">
        <f>VLOOKUP($B$1,'Allocated Expenses'!$B$90:$P$99,5,FALSE)</f>
        <v>0</v>
      </c>
      <c r="G100" s="6">
        <f>VLOOKUP($B$1,'Allocated Expenses'!$B$90:$P$99,6,FALSE)</f>
        <v>0</v>
      </c>
      <c r="H100" s="6">
        <f>VLOOKUP($B$1,'Allocated Expenses'!$B$90:$P$99,7,FALSE)</f>
        <v>0</v>
      </c>
      <c r="I100" s="6">
        <f>VLOOKUP($B$1,'Allocated Expenses'!$B$90:$P$99,8,FALSE)</f>
        <v>0</v>
      </c>
      <c r="J100" s="6">
        <f>VLOOKUP($B$1,'Allocated Expenses'!$B$90:$P$99,9,FALSE)</f>
        <v>0</v>
      </c>
      <c r="K100" s="6">
        <f>VLOOKUP($B$1,'Allocated Expenses'!$B$90:$P$99,10,FALSE)</f>
        <v>0</v>
      </c>
      <c r="L100" s="6">
        <f>VLOOKUP($B$1,'Allocated Expenses'!$B$90:$P$99,11,FALSE)</f>
        <v>0</v>
      </c>
      <c r="M100" s="6">
        <f>VLOOKUP($B$1,'Allocated Expenses'!$B$90:$P$99,12,FALSE)</f>
        <v>0</v>
      </c>
      <c r="N100" s="6">
        <f>VLOOKUP($B$1,'Allocated Expenses'!$B$90:$P$99,13,FALSE)</f>
        <v>0</v>
      </c>
      <c r="O100" s="6">
        <f>VLOOKUP($B$1,'Allocated Expenses'!$B$90:$P$99,14,FALSE)</f>
        <v>0</v>
      </c>
      <c r="P100" s="6">
        <f>VLOOKUP($B$1,'Allocated Expenses'!$B$90:$P$99,15,FALSE)</f>
        <v>0</v>
      </c>
      <c r="Q100" s="101">
        <f>SUM(E100:P100)</f>
        <v>0</v>
      </c>
      <c r="R100" s="184">
        <f t="shared" si="35"/>
        <v>0</v>
      </c>
      <c r="S100" s="304"/>
      <c r="T100" s="308"/>
      <c r="U100" s="233"/>
    </row>
    <row r="101" spans="1:21" x14ac:dyDescent="0.35">
      <c r="A101" s="66" t="s">
        <v>127</v>
      </c>
      <c r="D101" s="6" t="s">
        <v>69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01">
        <f>SUM(E101:P101)</f>
        <v>0</v>
      </c>
      <c r="R101" s="184">
        <f t="shared" si="35"/>
        <v>0</v>
      </c>
      <c r="S101" s="304"/>
      <c r="T101" s="308"/>
      <c r="U101" s="233"/>
    </row>
    <row r="102" spans="1:21" x14ac:dyDescent="0.35">
      <c r="A102" s="66" t="s">
        <v>120</v>
      </c>
      <c r="D102" s="6" t="s">
        <v>70</v>
      </c>
      <c r="E102" s="15">
        <f>VLOOKUP($B$1,'Allocated Expenses'!$B$118:$P$127,4,FALSE)</f>
        <v>175.95833333333334</v>
      </c>
      <c r="F102" s="15">
        <f>VLOOKUP($B$1,'Allocated Expenses'!$B$118:$P$127,5,FALSE)</f>
        <v>175.95833333333334</v>
      </c>
      <c r="G102" s="15">
        <f>VLOOKUP($B$1,'Allocated Expenses'!$B$118:$P$127,6,FALSE)</f>
        <v>175.95833333333334</v>
      </c>
      <c r="H102" s="15">
        <f>VLOOKUP($B$1,'Allocated Expenses'!$B$118:$P$127,7,FALSE)</f>
        <v>175.95833333333334</v>
      </c>
      <c r="I102" s="15">
        <f>VLOOKUP($B$1,'Allocated Expenses'!$B$118:$P$127,8,FALSE)</f>
        <v>175.95833333333334</v>
      </c>
      <c r="J102" s="15">
        <f>VLOOKUP($B$1,'Allocated Expenses'!$B$118:$P$127,9,FALSE)</f>
        <v>175.95833333333334</v>
      </c>
      <c r="K102" s="15">
        <f>VLOOKUP($B$1,'Allocated Expenses'!$B$118:$P$127,10,FALSE)</f>
        <v>175.95833333333334</v>
      </c>
      <c r="L102" s="15">
        <f>VLOOKUP($B$1,'Allocated Expenses'!$B$118:$P$127,11,FALSE)</f>
        <v>175.95833333333334</v>
      </c>
      <c r="M102" s="15">
        <f>VLOOKUP($B$1,'Allocated Expenses'!$B$118:$P$127,12,FALSE)</f>
        <v>175.95833333333334</v>
      </c>
      <c r="N102" s="15">
        <f>VLOOKUP($B$1,'Allocated Expenses'!$B$118:$P$127,13,FALSE)</f>
        <v>175.95833333333334</v>
      </c>
      <c r="O102" s="15">
        <f>VLOOKUP($B$1,'Allocated Expenses'!$B$118:$P$127,14,FALSE)</f>
        <v>175.95833333333334</v>
      </c>
      <c r="P102" s="15">
        <f>VLOOKUP($B$1,'Allocated Expenses'!$B$118:$P$127,15,FALSE)</f>
        <v>175.95833333333334</v>
      </c>
      <c r="Q102" s="108">
        <f>SUM(E102:P102)</f>
        <v>2111.4999999999995</v>
      </c>
      <c r="R102" s="189">
        <f t="shared" si="35"/>
        <v>3.429318521405833E-2</v>
      </c>
      <c r="S102" s="304"/>
      <c r="T102" s="308"/>
      <c r="U102" s="233"/>
    </row>
    <row r="103" spans="1:21" x14ac:dyDescent="0.35">
      <c r="A103" s="66"/>
      <c r="C103" s="6" t="s">
        <v>71</v>
      </c>
      <c r="E103" s="15">
        <f t="shared" ref="E103:Q103" si="50">SUM(E98:E102)</f>
        <v>335.60833333333335</v>
      </c>
      <c r="F103" s="15">
        <f t="shared" si="50"/>
        <v>335.60833333333335</v>
      </c>
      <c r="G103" s="15">
        <f t="shared" si="50"/>
        <v>335.60833333333335</v>
      </c>
      <c r="H103" s="15">
        <f t="shared" si="50"/>
        <v>335.60833333333335</v>
      </c>
      <c r="I103" s="15">
        <f t="shared" si="50"/>
        <v>335.60833333333335</v>
      </c>
      <c r="J103" s="15">
        <f t="shared" si="50"/>
        <v>335.60833333333335</v>
      </c>
      <c r="K103" s="15">
        <f t="shared" si="50"/>
        <v>335.60833333333335</v>
      </c>
      <c r="L103" s="15">
        <f t="shared" si="50"/>
        <v>335.60833333333335</v>
      </c>
      <c r="M103" s="15">
        <f t="shared" si="50"/>
        <v>335.60833333333335</v>
      </c>
      <c r="N103" s="15">
        <f t="shared" si="50"/>
        <v>335.60833333333335</v>
      </c>
      <c r="O103" s="15">
        <f t="shared" si="50"/>
        <v>335.60833333333335</v>
      </c>
      <c r="P103" s="15">
        <f t="shared" si="50"/>
        <v>335.60833333333335</v>
      </c>
      <c r="Q103" s="108">
        <f t="shared" si="50"/>
        <v>4027.3</v>
      </c>
      <c r="R103" s="189">
        <f t="shared" si="35"/>
        <v>6.5407977652179566E-2</v>
      </c>
      <c r="S103" s="309">
        <v>26305</v>
      </c>
      <c r="T103" s="310">
        <f t="shared" ref="T103" si="51">IFERROR(Q103/S103-1,"")</f>
        <v>-0.84689982892986126</v>
      </c>
      <c r="U103" s="233"/>
    </row>
    <row r="104" spans="1:21" x14ac:dyDescent="0.35">
      <c r="A104" s="66"/>
      <c r="Q104" s="101"/>
      <c r="R104" s="184"/>
      <c r="S104" s="304"/>
      <c r="T104" s="308"/>
      <c r="U104" s="233"/>
    </row>
    <row r="105" spans="1:21" ht="18" x14ac:dyDescent="0.35">
      <c r="A105" s="66"/>
      <c r="C105" s="29" t="s">
        <v>72</v>
      </c>
      <c r="D105" s="54"/>
      <c r="E105" s="54">
        <f t="shared" ref="E105:P105" si="52">+E75+E79+E84+E88+E90+E92+E94+E96+E103</f>
        <v>14571.910511047528</v>
      </c>
      <c r="F105" s="54">
        <f t="shared" si="52"/>
        <v>14571.910511047528</v>
      </c>
      <c r="G105" s="54">
        <f t="shared" si="52"/>
        <v>14598.910511047528</v>
      </c>
      <c r="H105" s="54">
        <f t="shared" si="52"/>
        <v>18306.910511047528</v>
      </c>
      <c r="I105" s="54">
        <f t="shared" si="52"/>
        <v>14598.910511047528</v>
      </c>
      <c r="J105" s="54">
        <f t="shared" si="52"/>
        <v>14606.910511047528</v>
      </c>
      <c r="K105" s="54">
        <f t="shared" si="52"/>
        <v>14612.910511047528</v>
      </c>
      <c r="L105" s="54">
        <f t="shared" si="52"/>
        <v>14612.910511047528</v>
      </c>
      <c r="M105" s="54">
        <f t="shared" si="52"/>
        <v>14612.910511047528</v>
      </c>
      <c r="N105" s="54">
        <f t="shared" si="52"/>
        <v>14612.910511047528</v>
      </c>
      <c r="O105" s="54">
        <f t="shared" si="52"/>
        <v>14612.910511047528</v>
      </c>
      <c r="P105" s="54">
        <f t="shared" si="52"/>
        <v>14612.910511047528</v>
      </c>
      <c r="Q105" s="109">
        <f>+Q75+Q79+Q84+Q88+Q90+Q92+Q94+Q96+Q103</f>
        <v>178932.92613257031</v>
      </c>
      <c r="R105" s="190">
        <f t="shared" si="35"/>
        <v>2.9060762381045007</v>
      </c>
      <c r="S105" s="315">
        <f t="shared" ref="S105" si="53">+S75+S79+S84+S88+S90+S92+S94+S96+S103</f>
        <v>197156</v>
      </c>
      <c r="T105" s="310">
        <f t="shared" ref="T105" si="54">IFERROR(Q105/S105-1,"")</f>
        <v>-9.242971995490723E-2</v>
      </c>
      <c r="U105" s="236"/>
    </row>
    <row r="106" spans="1:21" ht="18" x14ac:dyDescent="0.35">
      <c r="A106" s="66"/>
      <c r="Q106" s="103"/>
      <c r="R106" s="185"/>
      <c r="S106" s="311"/>
      <c r="T106" s="312"/>
      <c r="U106" s="234"/>
    </row>
    <row r="107" spans="1:21" ht="16.5" thickBot="1" x14ac:dyDescent="0.4">
      <c r="A107" s="66"/>
      <c r="Q107" s="101"/>
      <c r="R107" s="184"/>
      <c r="S107" s="304"/>
      <c r="T107" s="308"/>
      <c r="U107" s="233"/>
    </row>
    <row r="108" spans="1:21" s="8" customFormat="1" ht="18" thickBot="1" x14ac:dyDescent="0.4">
      <c r="A108" s="218"/>
      <c r="B108" s="219" t="s">
        <v>73</v>
      </c>
      <c r="C108" s="220"/>
      <c r="D108" s="220"/>
      <c r="E108" s="220">
        <f t="shared" ref="E108:Q108" si="55">+E71+E105</f>
        <v>53589.69497172135</v>
      </c>
      <c r="F108" s="220">
        <f t="shared" si="55"/>
        <v>52689.314971721346</v>
      </c>
      <c r="G108" s="220">
        <f t="shared" si="55"/>
        <v>53343.58497172135</v>
      </c>
      <c r="H108" s="220">
        <f t="shared" si="55"/>
        <v>59695.674971721346</v>
      </c>
      <c r="I108" s="220">
        <f t="shared" si="55"/>
        <v>52434.714971721347</v>
      </c>
      <c r="J108" s="220">
        <f t="shared" si="55"/>
        <v>42304.83497172135</v>
      </c>
      <c r="K108" s="220">
        <f t="shared" si="55"/>
        <v>41879.424971721346</v>
      </c>
      <c r="L108" s="220">
        <f t="shared" si="55"/>
        <v>63748.904971721349</v>
      </c>
      <c r="M108" s="220">
        <f t="shared" si="55"/>
        <v>55512.44497172135</v>
      </c>
      <c r="N108" s="220">
        <f t="shared" si="55"/>
        <v>43771.534971721347</v>
      </c>
      <c r="O108" s="220">
        <f t="shared" si="55"/>
        <v>42881.284971721347</v>
      </c>
      <c r="P108" s="220">
        <f t="shared" si="55"/>
        <v>54268.07497172134</v>
      </c>
      <c r="Q108" s="221">
        <f t="shared" si="55"/>
        <v>616119.48966065608</v>
      </c>
      <c r="R108" s="222">
        <f t="shared" si="35"/>
        <v>10.006488170932503</v>
      </c>
      <c r="S108" s="313">
        <f t="shared" ref="S108" si="56">+S71+S105</f>
        <v>621592</v>
      </c>
      <c r="T108" s="314">
        <f>Q108/S108-1</f>
        <v>-8.8040231202202168E-3</v>
      </c>
      <c r="U108" s="235"/>
    </row>
    <row r="109" spans="1:21" ht="18" x14ac:dyDescent="0.35">
      <c r="A109" s="66"/>
      <c r="Q109" s="103"/>
      <c r="R109" s="185"/>
      <c r="S109" s="311"/>
      <c r="T109" s="312"/>
      <c r="U109" s="234"/>
    </row>
    <row r="110" spans="1:21" ht="16.5" thickBot="1" x14ac:dyDescent="0.4">
      <c r="A110" s="66"/>
      <c r="Q110" s="101"/>
      <c r="R110" s="184"/>
      <c r="S110" s="304"/>
      <c r="T110" s="308"/>
      <c r="U110" s="233"/>
    </row>
    <row r="111" spans="1:21" s="8" customFormat="1" ht="18" thickBot="1" x14ac:dyDescent="0.4">
      <c r="A111" s="218"/>
      <c r="B111" s="219" t="s">
        <v>74</v>
      </c>
      <c r="C111" s="220"/>
      <c r="D111" s="220"/>
      <c r="E111" s="220">
        <f t="shared" ref="E111:Q111" si="57">+E24-E108</f>
        <v>75606.915028278658</v>
      </c>
      <c r="F111" s="220">
        <f t="shared" si="57"/>
        <v>76507.295028278662</v>
      </c>
      <c r="G111" s="220">
        <f t="shared" si="57"/>
        <v>76303.025028278644</v>
      </c>
      <c r="H111" s="220">
        <f t="shared" si="57"/>
        <v>69950.935028278647</v>
      </c>
      <c r="I111" s="220">
        <f t="shared" si="57"/>
        <v>77211.895028278654</v>
      </c>
      <c r="J111" s="220">
        <f t="shared" si="57"/>
        <v>87475.10502827866</v>
      </c>
      <c r="K111" s="220">
        <f t="shared" si="57"/>
        <v>88006.935028278647</v>
      </c>
      <c r="L111" s="220">
        <f t="shared" si="57"/>
        <v>66137.455028278651</v>
      </c>
      <c r="M111" s="220">
        <f t="shared" si="57"/>
        <v>74373.915028278658</v>
      </c>
      <c r="N111" s="220">
        <f t="shared" si="57"/>
        <v>86114.825028278661</v>
      </c>
      <c r="O111" s="220">
        <f t="shared" si="57"/>
        <v>87005.075028278661</v>
      </c>
      <c r="P111" s="220">
        <f t="shared" si="57"/>
        <v>75618.285028278653</v>
      </c>
      <c r="Q111" s="221">
        <f t="shared" si="57"/>
        <v>940311.66033934406</v>
      </c>
      <c r="R111" s="222">
        <f t="shared" si="35"/>
        <v>15.271741381461444</v>
      </c>
      <c r="S111" s="313">
        <f t="shared" ref="S111" si="58">+S24-S108</f>
        <v>989723</v>
      </c>
      <c r="T111" s="314">
        <f>Q111/S111-1</f>
        <v>-4.9924412851531152E-2</v>
      </c>
      <c r="U111" s="235"/>
    </row>
    <row r="112" spans="1:21" ht="18" x14ac:dyDescent="0.35">
      <c r="A112" s="66"/>
      <c r="Q112" s="103"/>
      <c r="R112" s="185"/>
      <c r="S112" s="311"/>
      <c r="T112" s="312"/>
      <c r="U112" s="234"/>
    </row>
    <row r="113" spans="1:21" x14ac:dyDescent="0.35">
      <c r="A113" s="66" t="s">
        <v>121</v>
      </c>
      <c r="D113" s="6" t="s">
        <v>75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01">
        <f>SUM(E113:P113)</f>
        <v>0</v>
      </c>
      <c r="R113" s="184">
        <f t="shared" si="35"/>
        <v>0</v>
      </c>
      <c r="S113" s="304"/>
      <c r="T113" s="308"/>
      <c r="U113" s="233"/>
    </row>
    <row r="114" spans="1:21" x14ac:dyDescent="0.35">
      <c r="A114" s="66" t="s">
        <v>122</v>
      </c>
      <c r="D114" s="6" t="s">
        <v>76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01">
        <f>SUM(E114:P114)</f>
        <v>0</v>
      </c>
      <c r="R114" s="184">
        <f t="shared" si="35"/>
        <v>0</v>
      </c>
      <c r="S114" s="304"/>
      <c r="T114" s="308"/>
      <c r="U114" s="233"/>
    </row>
    <row r="115" spans="1:21" x14ac:dyDescent="0.35">
      <c r="A115" s="66" t="s">
        <v>123</v>
      </c>
      <c r="D115" s="6" t="s">
        <v>77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01">
        <f>SUM(E115:P115)</f>
        <v>0</v>
      </c>
      <c r="R115" s="184">
        <f t="shared" si="35"/>
        <v>0</v>
      </c>
      <c r="S115" s="304"/>
      <c r="T115" s="308"/>
      <c r="U115" s="233"/>
    </row>
    <row r="116" spans="1:21" x14ac:dyDescent="0.35">
      <c r="A116" s="66" t="s">
        <v>129</v>
      </c>
      <c r="D116" s="6" t="s">
        <v>78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08">
        <f>SUM(E116:P116)</f>
        <v>0</v>
      </c>
      <c r="R116" s="189">
        <f t="shared" si="35"/>
        <v>0</v>
      </c>
      <c r="S116" s="304"/>
      <c r="T116" s="308"/>
      <c r="U116" s="233"/>
    </row>
    <row r="117" spans="1:21" x14ac:dyDescent="0.35">
      <c r="A117" s="66"/>
      <c r="C117" s="6" t="s">
        <v>78</v>
      </c>
      <c r="E117" s="15">
        <f t="shared" ref="E117:Q117" si="59">SUM(E113:E116)</f>
        <v>0</v>
      </c>
      <c r="F117" s="15">
        <f t="shared" si="59"/>
        <v>0</v>
      </c>
      <c r="G117" s="15">
        <f t="shared" si="59"/>
        <v>0</v>
      </c>
      <c r="H117" s="15">
        <f t="shared" si="59"/>
        <v>0</v>
      </c>
      <c r="I117" s="15">
        <f t="shared" si="59"/>
        <v>0</v>
      </c>
      <c r="J117" s="15">
        <f t="shared" si="59"/>
        <v>0</v>
      </c>
      <c r="K117" s="15">
        <f t="shared" si="59"/>
        <v>0</v>
      </c>
      <c r="L117" s="15">
        <f t="shared" si="59"/>
        <v>0</v>
      </c>
      <c r="M117" s="15">
        <f t="shared" si="59"/>
        <v>0</v>
      </c>
      <c r="N117" s="15">
        <f t="shared" si="59"/>
        <v>0</v>
      </c>
      <c r="O117" s="15">
        <f t="shared" si="59"/>
        <v>0</v>
      </c>
      <c r="P117" s="15">
        <f t="shared" si="59"/>
        <v>0</v>
      </c>
      <c r="Q117" s="108">
        <f t="shared" si="59"/>
        <v>0</v>
      </c>
      <c r="R117" s="189">
        <f t="shared" si="35"/>
        <v>0</v>
      </c>
      <c r="S117" s="309">
        <v>25376</v>
      </c>
      <c r="T117" s="310">
        <f>IFERROR(Q117/S117-1,"")</f>
        <v>-1</v>
      </c>
      <c r="U117" s="233"/>
    </row>
    <row r="118" spans="1:21" x14ac:dyDescent="0.35">
      <c r="A118" s="66"/>
      <c r="Q118" s="101"/>
      <c r="R118" s="184"/>
      <c r="S118" s="304"/>
      <c r="T118" s="308"/>
      <c r="U118" s="233"/>
    </row>
    <row r="119" spans="1:21" x14ac:dyDescent="0.35">
      <c r="A119" s="66" t="s">
        <v>124</v>
      </c>
      <c r="C119" s="6" t="s">
        <v>79</v>
      </c>
      <c r="E119" s="6">
        <f>'Renew &amp; Vac '!AJ55</f>
        <v>0</v>
      </c>
      <c r="F119" s="6">
        <f>'Renew &amp; Vac '!AK55</f>
        <v>0</v>
      </c>
      <c r="G119" s="6">
        <f>'Renew &amp; Vac '!AL55</f>
        <v>0</v>
      </c>
      <c r="H119" s="6">
        <f>'Renew &amp; Vac '!AM55</f>
        <v>0</v>
      </c>
      <c r="I119" s="6">
        <f>'Renew &amp; Vac '!AN55</f>
        <v>0</v>
      </c>
      <c r="J119" s="6">
        <f>'Renew &amp; Vac '!AO55</f>
        <v>0</v>
      </c>
      <c r="K119" s="6">
        <f>'Renew &amp; Vac '!AP55</f>
        <v>0</v>
      </c>
      <c r="L119" s="6">
        <f>'Renew &amp; Vac '!AQ55</f>
        <v>0</v>
      </c>
      <c r="M119" s="6">
        <f>'Renew &amp; Vac '!AR55</f>
        <v>0</v>
      </c>
      <c r="N119" s="6">
        <f>'Renew &amp; Vac '!AS55</f>
        <v>0</v>
      </c>
      <c r="O119" s="6">
        <f>'Renew &amp; Vac '!AT55</f>
        <v>0</v>
      </c>
      <c r="P119" s="6">
        <f>'Renew &amp; Vac '!AU55</f>
        <v>0</v>
      </c>
      <c r="Q119" s="101">
        <f>SUM(E119:P119)</f>
        <v>0</v>
      </c>
      <c r="R119" s="184">
        <f t="shared" si="35"/>
        <v>0</v>
      </c>
      <c r="S119" s="304"/>
      <c r="T119" s="308" t="str">
        <f t="shared" ref="T119" si="60">IFERROR(Q119/S119-1,"")</f>
        <v/>
      </c>
      <c r="U119" s="233"/>
    </row>
    <row r="120" spans="1:21" ht="18" x14ac:dyDescent="0.35">
      <c r="A120" s="6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11"/>
      <c r="R120" s="192"/>
      <c r="S120" s="317"/>
      <c r="T120" s="318"/>
      <c r="U120" s="236"/>
    </row>
    <row r="121" spans="1:21" ht="18" x14ac:dyDescent="0.35">
      <c r="A121" s="66" t="s">
        <v>125</v>
      </c>
      <c r="D121" s="6" t="s">
        <v>80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03">
        <f>SUM(E121:P121)</f>
        <v>0</v>
      </c>
      <c r="R121" s="185">
        <f t="shared" si="35"/>
        <v>0</v>
      </c>
      <c r="S121" s="311"/>
      <c r="T121" s="312"/>
      <c r="U121" s="234"/>
    </row>
    <row r="122" spans="1:21" x14ac:dyDescent="0.35">
      <c r="A122" s="66" t="s">
        <v>125</v>
      </c>
      <c r="B122" s="8"/>
      <c r="D122" s="6" t="s">
        <v>81</v>
      </c>
      <c r="E122" s="15">
        <f>'Renew &amp; Vac '!AJ56</f>
        <v>0</v>
      </c>
      <c r="F122" s="15">
        <f>'Renew &amp; Vac '!AK56</f>
        <v>0</v>
      </c>
      <c r="G122" s="15">
        <f>'Renew &amp; Vac '!AL56</f>
        <v>0</v>
      </c>
      <c r="H122" s="15">
        <f>'Renew &amp; Vac '!AM56</f>
        <v>0</v>
      </c>
      <c r="I122" s="15">
        <f>'Renew &amp; Vac '!AN56</f>
        <v>0</v>
      </c>
      <c r="J122" s="15">
        <f>'Renew &amp; Vac '!AO56</f>
        <v>0</v>
      </c>
      <c r="K122" s="15">
        <f>'Renew &amp; Vac '!AP56</f>
        <v>0</v>
      </c>
      <c r="L122" s="15">
        <f>'Renew &amp; Vac '!AQ56</f>
        <v>0</v>
      </c>
      <c r="M122" s="15">
        <f>'Renew &amp; Vac '!AR56</f>
        <v>0</v>
      </c>
      <c r="N122" s="15">
        <f>'Renew &amp; Vac '!AS56</f>
        <v>0</v>
      </c>
      <c r="O122" s="15">
        <f>'Renew &amp; Vac '!AT56</f>
        <v>0</v>
      </c>
      <c r="P122" s="15">
        <f>'Renew &amp; Vac '!AU56</f>
        <v>0</v>
      </c>
      <c r="Q122" s="108">
        <f>SUM(E122:P122)</f>
        <v>0</v>
      </c>
      <c r="R122" s="189">
        <f t="shared" si="35"/>
        <v>0</v>
      </c>
      <c r="S122" s="319"/>
      <c r="T122" s="320"/>
      <c r="U122" s="233"/>
    </row>
    <row r="123" spans="1:21" x14ac:dyDescent="0.35">
      <c r="A123" s="66"/>
      <c r="C123" s="6" t="s">
        <v>81</v>
      </c>
      <c r="D123" s="30"/>
      <c r="E123" s="6">
        <f>SUM(E121:E122)</f>
        <v>0</v>
      </c>
      <c r="F123" s="6">
        <f t="shared" ref="F123:Q123" si="61">SUM(F121:F122)</f>
        <v>0</v>
      </c>
      <c r="G123" s="6">
        <f t="shared" si="61"/>
        <v>0</v>
      </c>
      <c r="H123" s="6">
        <f t="shared" si="61"/>
        <v>0</v>
      </c>
      <c r="I123" s="6">
        <f t="shared" si="61"/>
        <v>0</v>
      </c>
      <c r="J123" s="6">
        <f t="shared" si="61"/>
        <v>0</v>
      </c>
      <c r="K123" s="6">
        <f t="shared" si="61"/>
        <v>0</v>
      </c>
      <c r="L123" s="6">
        <f t="shared" si="61"/>
        <v>0</v>
      </c>
      <c r="M123" s="6">
        <f t="shared" si="61"/>
        <v>0</v>
      </c>
      <c r="N123" s="6">
        <f t="shared" si="61"/>
        <v>0</v>
      </c>
      <c r="O123" s="6">
        <f t="shared" si="61"/>
        <v>0</v>
      </c>
      <c r="P123" s="6">
        <f t="shared" si="61"/>
        <v>0</v>
      </c>
      <c r="Q123" s="101">
        <f t="shared" si="61"/>
        <v>0</v>
      </c>
      <c r="R123" s="184">
        <f t="shared" si="35"/>
        <v>0</v>
      </c>
      <c r="S123" s="309"/>
      <c r="T123" s="310" t="str">
        <f t="shared" ref="T123" si="62">IFERROR(Q123/S123-1,"")</f>
        <v/>
      </c>
      <c r="U123" s="233"/>
    </row>
    <row r="124" spans="1:21" s="8" customFormat="1" ht="18.5" thickBot="1" x14ac:dyDescent="0.4">
      <c r="A124" s="67"/>
      <c r="Q124" s="113"/>
      <c r="R124" s="194"/>
      <c r="S124" s="321"/>
      <c r="T124" s="322"/>
      <c r="U124" s="237"/>
    </row>
    <row r="125" spans="1:21" s="8" customFormat="1" ht="18" thickBot="1" x14ac:dyDescent="0.4">
      <c r="A125" s="218"/>
      <c r="B125" s="219" t="s">
        <v>82</v>
      </c>
      <c r="C125" s="220"/>
      <c r="D125" s="220"/>
      <c r="E125" s="220">
        <f t="shared" ref="E125:Q125" si="63">+E111-E117-E119-E123</f>
        <v>75606.915028278658</v>
      </c>
      <c r="F125" s="220">
        <f t="shared" si="63"/>
        <v>76507.295028278662</v>
      </c>
      <c r="G125" s="220">
        <f t="shared" si="63"/>
        <v>76303.025028278644</v>
      </c>
      <c r="H125" s="220">
        <f t="shared" si="63"/>
        <v>69950.935028278647</v>
      </c>
      <c r="I125" s="220">
        <f t="shared" si="63"/>
        <v>77211.895028278654</v>
      </c>
      <c r="J125" s="220">
        <f t="shared" si="63"/>
        <v>87475.10502827866</v>
      </c>
      <c r="K125" s="220">
        <f t="shared" si="63"/>
        <v>88006.935028278647</v>
      </c>
      <c r="L125" s="220">
        <f t="shared" si="63"/>
        <v>66137.455028278651</v>
      </c>
      <c r="M125" s="220">
        <f t="shared" si="63"/>
        <v>74373.915028278658</v>
      </c>
      <c r="N125" s="220">
        <f t="shared" si="63"/>
        <v>86114.825028278661</v>
      </c>
      <c r="O125" s="220">
        <f t="shared" si="63"/>
        <v>87005.075028278661</v>
      </c>
      <c r="P125" s="220">
        <f t="shared" si="63"/>
        <v>75618.285028278653</v>
      </c>
      <c r="Q125" s="221">
        <f t="shared" si="63"/>
        <v>940311.66033934406</v>
      </c>
      <c r="R125" s="225">
        <f t="shared" si="35"/>
        <v>15.271741381461444</v>
      </c>
      <c r="S125" s="313">
        <f>+S111-S117-S119-S123</f>
        <v>964347</v>
      </c>
      <c r="T125" s="314">
        <f>Q125/S125-1</f>
        <v>-2.4923953370162288E-2</v>
      </c>
      <c r="U125" s="235"/>
    </row>
    <row r="126" spans="1:21" ht="18" x14ac:dyDescent="0.35">
      <c r="A126" s="66"/>
      <c r="Q126" s="101"/>
      <c r="R126" s="184"/>
      <c r="S126" s="311"/>
      <c r="T126" s="312"/>
      <c r="U126" s="233"/>
    </row>
    <row r="127" spans="1:21" x14ac:dyDescent="0.35">
      <c r="A127" s="66"/>
      <c r="B127" s="6" t="s">
        <v>83</v>
      </c>
      <c r="Q127" s="101"/>
      <c r="R127" s="184"/>
      <c r="S127" s="304"/>
      <c r="T127" s="308"/>
      <c r="U127" s="233"/>
    </row>
    <row r="128" spans="1:21" x14ac:dyDescent="0.35">
      <c r="A128" s="66" t="s">
        <v>128</v>
      </c>
      <c r="C128" s="6" t="s">
        <v>84</v>
      </c>
      <c r="E128" s="6">
        <f>VLOOKUP($B$1,'INS RET DEBT'!$C$98:$Q$107,3,FALSE)</f>
        <v>12479.199977184926</v>
      </c>
      <c r="F128" s="6">
        <f>VLOOKUP($B$1,'INS RET DEBT'!$C$98:$Q$107,4,FALSE)</f>
        <v>12442.590039788874</v>
      </c>
      <c r="G128" s="6">
        <f>VLOOKUP($B$1,'INS RET DEBT'!$C$98:$Q$107,5,FALSE)</f>
        <v>12405.873323408749</v>
      </c>
      <c r="H128" s="6">
        <f>VLOOKUP($B$1,'INS RET DEBT'!$C$98:$Q$107,6,FALSE)</f>
        <v>12369.049516605848</v>
      </c>
      <c r="I128" s="6">
        <f>VLOOKUP($B$1,'INS RET DEBT'!$C$98:$Q$107,7,FALSE)</f>
        <v>12332.118307033104</v>
      </c>
      <c r="J128" s="6">
        <f>VLOOKUP($B$1,'INS RET DEBT'!$C$98:$Q$107,8,FALSE)</f>
        <v>12295.079381432446</v>
      </c>
      <c r="K128" s="6">
        <f>VLOOKUP($B$1,'INS RET DEBT'!$C$98:$Q$107,9,FALSE)</f>
        <v>12257.932425632114</v>
      </c>
      <c r="L128" s="6">
        <f>VLOOKUP($B$1,'INS RET DEBT'!$C$98:$Q$107,10,FALSE)</f>
        <v>12220.677124544032</v>
      </c>
      <c r="M128" s="6">
        <f>VLOOKUP($B$1,'INS RET DEBT'!$C$98:$Q$107,11,FALSE)</f>
        <v>12183.313162161108</v>
      </c>
      <c r="N128" s="6">
        <f>VLOOKUP($B$1,'INS RET DEBT'!$C$98:$Q$107,12,FALSE)</f>
        <v>12145.84022155457</v>
      </c>
      <c r="O128" s="6">
        <f>VLOOKUP($B$1,'INS RET DEBT'!$C$98:$Q$107,13,FALSE)</f>
        <v>12108.257984871259</v>
      </c>
      <c r="P128" s="6">
        <f>VLOOKUP($B$1,'INS RET DEBT'!$C$98:$Q$107,14,FALSE)</f>
        <v>12070.566133330958</v>
      </c>
      <c r="Q128" s="101">
        <f>SUM(E128:P128)</f>
        <v>147310.49759754798</v>
      </c>
      <c r="R128" s="184">
        <f t="shared" si="35"/>
        <v>2.3924916779956469</v>
      </c>
      <c r="S128" s="304">
        <v>139511</v>
      </c>
      <c r="T128" s="308">
        <f t="shared" ref="T128:T129" si="64">IFERROR(Q128/S128-1,"")</f>
        <v>5.5905968687400831E-2</v>
      </c>
      <c r="U128" s="233"/>
    </row>
    <row r="129" spans="1:21" x14ac:dyDescent="0.35">
      <c r="A129" s="66" t="s">
        <v>145</v>
      </c>
      <c r="C129" s="6" t="s">
        <v>85</v>
      </c>
      <c r="E129" s="6">
        <f>VLOOKUP($B$1,'INS RET DEBT'!$C$113:$Q$122,3,FALSE)</f>
        <v>12551.978535789716</v>
      </c>
      <c r="F129" s="6">
        <f>VLOOKUP($B$1,'INS RET DEBT'!$C$113:$Q$122,4,FALSE)</f>
        <v>12588.588473185771</v>
      </c>
      <c r="G129" s="6">
        <f>VLOOKUP($B$1,'INS RET DEBT'!$C$113:$Q$122,5,FALSE)</f>
        <v>12625.305189565895</v>
      </c>
      <c r="H129" s="6">
        <f>VLOOKUP($B$1,'INS RET DEBT'!$C$113:$Q$122,6,FALSE)</f>
        <v>12662.128996368796</v>
      </c>
      <c r="I129" s="6">
        <f>VLOOKUP($B$1,'INS RET DEBT'!$C$113:$Q$122,7,FALSE)</f>
        <v>12699.060205941538</v>
      </c>
      <c r="J129" s="6">
        <f>VLOOKUP($B$1,'INS RET DEBT'!$C$113:$Q$122,8,FALSE)</f>
        <v>12736.099131542202</v>
      </c>
      <c r="K129" s="6">
        <f>VLOOKUP($B$1,'INS RET DEBT'!$C$113:$Q$122,9,FALSE)</f>
        <v>12773.246087342532</v>
      </c>
      <c r="L129" s="6">
        <f>VLOOKUP($B$1,'INS RET DEBT'!$C$113:$Q$122,10,FALSE)</f>
        <v>12810.501388430615</v>
      </c>
      <c r="M129" s="6">
        <f>VLOOKUP($B$1,'INS RET DEBT'!$C$113:$Q$122,11,FALSE)</f>
        <v>12847.865350813538</v>
      </c>
      <c r="N129" s="6">
        <f>VLOOKUP($B$1,'INS RET DEBT'!$C$113:$Q$122,12,FALSE)</f>
        <v>12885.338291420077</v>
      </c>
      <c r="O129" s="6">
        <f>VLOOKUP($B$1,'INS RET DEBT'!$C$113:$Q$122,13,FALSE)</f>
        <v>12922.920528103385</v>
      </c>
      <c r="P129" s="6">
        <f>VLOOKUP($B$1,'INS RET DEBT'!$C$113:$Q$122,14,FALSE)</f>
        <v>12960.612379643688</v>
      </c>
      <c r="Q129" s="101">
        <f>SUM(E129:P129)</f>
        <v>153063.64455814773</v>
      </c>
      <c r="R129" s="184">
        <f t="shared" si="35"/>
        <v>2.4859293925509602</v>
      </c>
      <c r="S129" s="304">
        <v>135831</v>
      </c>
      <c r="T129" s="308">
        <f t="shared" si="64"/>
        <v>0.12686827423892733</v>
      </c>
      <c r="U129" s="233"/>
    </row>
    <row r="130" spans="1:21" x14ac:dyDescent="0.35">
      <c r="A130" s="66" t="s">
        <v>146</v>
      </c>
      <c r="C130" s="6" t="s">
        <v>86</v>
      </c>
      <c r="Q130" s="101">
        <f>SUM(E130:P130)</f>
        <v>0</v>
      </c>
      <c r="R130" s="184">
        <f t="shared" si="35"/>
        <v>0</v>
      </c>
      <c r="S130" s="304"/>
      <c r="T130" s="308"/>
      <c r="U130" s="233"/>
    </row>
    <row r="131" spans="1:21" x14ac:dyDescent="0.35">
      <c r="A131" s="66"/>
      <c r="C131" s="6" t="s">
        <v>87</v>
      </c>
      <c r="E131" s="28">
        <f t="shared" ref="E131:Q131" si="65">SUM(E128:E130)</f>
        <v>25031.178512974642</v>
      </c>
      <c r="F131" s="28">
        <f t="shared" si="65"/>
        <v>25031.178512974646</v>
      </c>
      <c r="G131" s="28">
        <f t="shared" si="65"/>
        <v>25031.178512974642</v>
      </c>
      <c r="H131" s="28">
        <f t="shared" si="65"/>
        <v>25031.178512974642</v>
      </c>
      <c r="I131" s="28">
        <f t="shared" si="65"/>
        <v>25031.178512974642</v>
      </c>
      <c r="J131" s="28">
        <f t="shared" si="65"/>
        <v>25031.178512974649</v>
      </c>
      <c r="K131" s="28">
        <f t="shared" si="65"/>
        <v>25031.178512974646</v>
      </c>
      <c r="L131" s="28">
        <f t="shared" si="65"/>
        <v>25031.178512974649</v>
      </c>
      <c r="M131" s="28">
        <f t="shared" si="65"/>
        <v>25031.178512974646</v>
      </c>
      <c r="N131" s="28">
        <f t="shared" si="65"/>
        <v>25031.178512974649</v>
      </c>
      <c r="O131" s="28">
        <f t="shared" si="65"/>
        <v>25031.178512974642</v>
      </c>
      <c r="P131" s="28">
        <f t="shared" si="65"/>
        <v>25031.178512974646</v>
      </c>
      <c r="Q131" s="110">
        <f t="shared" si="65"/>
        <v>300374.14215569571</v>
      </c>
      <c r="R131" s="191">
        <f t="shared" si="35"/>
        <v>4.8784210705466071</v>
      </c>
      <c r="S131" s="309">
        <f>SUM(S128:S129)</f>
        <v>275342</v>
      </c>
      <c r="T131" s="310">
        <f>IFERROR(Q131/S131-1,"")</f>
        <v>9.0912908875855125E-2</v>
      </c>
      <c r="U131" s="233"/>
    </row>
    <row r="132" spans="1:21" ht="18" x14ac:dyDescent="0.35">
      <c r="A132" s="66"/>
      <c r="Q132" s="101"/>
      <c r="R132" s="184"/>
      <c r="S132" s="311"/>
      <c r="T132" s="312"/>
      <c r="U132" s="233"/>
    </row>
    <row r="133" spans="1:21" ht="18.5" thickBot="1" x14ac:dyDescent="0.4">
      <c r="A133" s="67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12"/>
      <c r="R133" s="193"/>
      <c r="S133" s="311"/>
      <c r="T133" s="312"/>
      <c r="U133" s="234"/>
    </row>
    <row r="134" spans="1:21" s="8" customFormat="1" ht="18" thickBot="1" x14ac:dyDescent="0.4">
      <c r="A134" s="218"/>
      <c r="B134" s="219" t="s">
        <v>88</v>
      </c>
      <c r="C134" s="220"/>
      <c r="D134" s="220"/>
      <c r="E134" s="220">
        <f t="shared" ref="E134:Q134" si="66">+E125-E131</f>
        <v>50575.736515304015</v>
      </c>
      <c r="F134" s="220">
        <f t="shared" si="66"/>
        <v>51476.11651530402</v>
      </c>
      <c r="G134" s="220">
        <f t="shared" si="66"/>
        <v>51271.846515304002</v>
      </c>
      <c r="H134" s="220">
        <f t="shared" si="66"/>
        <v>44919.756515304005</v>
      </c>
      <c r="I134" s="220">
        <f t="shared" si="66"/>
        <v>52180.716515304011</v>
      </c>
      <c r="J134" s="220">
        <f t="shared" si="66"/>
        <v>62443.926515304011</v>
      </c>
      <c r="K134" s="220">
        <f t="shared" si="66"/>
        <v>62975.756515304005</v>
      </c>
      <c r="L134" s="220">
        <f t="shared" si="66"/>
        <v>41106.276515304002</v>
      </c>
      <c r="M134" s="220">
        <f t="shared" si="66"/>
        <v>49342.736515304015</v>
      </c>
      <c r="N134" s="220">
        <f t="shared" si="66"/>
        <v>61083.646515304012</v>
      </c>
      <c r="O134" s="220">
        <f t="shared" si="66"/>
        <v>61973.896515304019</v>
      </c>
      <c r="P134" s="220">
        <f t="shared" si="66"/>
        <v>50587.106515304011</v>
      </c>
      <c r="Q134" s="221">
        <f t="shared" si="66"/>
        <v>639937.51818364835</v>
      </c>
      <c r="R134" s="225">
        <f t="shared" si="35"/>
        <v>10.393320310914838</v>
      </c>
      <c r="S134" s="313">
        <f>+S125-S131</f>
        <v>689005</v>
      </c>
      <c r="T134" s="314">
        <f>Q134/S134-1</f>
        <v>-7.1214986562291527E-2</v>
      </c>
      <c r="U134" s="235"/>
    </row>
    <row r="140" spans="1:21" ht="17.5" x14ac:dyDescent="0.35">
      <c r="B140" s="9" t="s">
        <v>530</v>
      </c>
      <c r="E140" s="349"/>
      <c r="F140" s="350"/>
      <c r="G140" s="350"/>
      <c r="H140" s="350"/>
      <c r="I140" s="350"/>
      <c r="J140" s="350"/>
      <c r="K140" s="350"/>
      <c r="L140" s="350"/>
      <c r="M140" s="350"/>
      <c r="N140" s="350"/>
      <c r="O140" s="350"/>
      <c r="P140" s="350"/>
      <c r="T140" s="6"/>
      <c r="U140" s="6"/>
    </row>
    <row r="141" spans="1:21" x14ac:dyDescent="0.35">
      <c r="B141" s="15" t="s">
        <v>503</v>
      </c>
      <c r="C141" s="15"/>
      <c r="D141" s="15" t="s">
        <v>302</v>
      </c>
      <c r="E141" s="338">
        <f t="shared" ref="E141:P141" si="67">E177</f>
        <v>46023</v>
      </c>
      <c r="F141" s="338">
        <f t="shared" si="67"/>
        <v>46054</v>
      </c>
      <c r="G141" s="338">
        <f t="shared" si="67"/>
        <v>46082</v>
      </c>
      <c r="H141" s="338">
        <f t="shared" si="67"/>
        <v>46113</v>
      </c>
      <c r="I141" s="338">
        <f t="shared" si="67"/>
        <v>46143</v>
      </c>
      <c r="J141" s="338">
        <f t="shared" si="67"/>
        <v>46174</v>
      </c>
      <c r="K141" s="338">
        <f t="shared" si="67"/>
        <v>46204</v>
      </c>
      <c r="L141" s="338">
        <f t="shared" si="67"/>
        <v>46235</v>
      </c>
      <c r="M141" s="338">
        <f t="shared" si="67"/>
        <v>46266</v>
      </c>
      <c r="N141" s="338">
        <f t="shared" si="67"/>
        <v>46296</v>
      </c>
      <c r="O141" s="338">
        <f t="shared" si="67"/>
        <v>46327</v>
      </c>
      <c r="P141" s="338">
        <f t="shared" si="67"/>
        <v>46357</v>
      </c>
      <c r="Q141" s="285" t="s">
        <v>12</v>
      </c>
      <c r="T141" s="6"/>
      <c r="U141" s="6"/>
    </row>
    <row r="142" spans="1:21" x14ac:dyDescent="0.35">
      <c r="B142" s="351" t="str">
        <f t="shared" ref="B142:B154" si="68">B160</f>
        <v>2300-1817</v>
      </c>
      <c r="D142" s="45" t="str">
        <f t="shared" ref="D142:D154" si="69">IF(D160="None",D178,D160)</f>
        <v>M &amp; T Bank</v>
      </c>
      <c r="E142" s="45">
        <f t="shared" ref="E142:P154" si="70">SUMIF($B$160:$B$172,$B142,E$160:E$172)+SUMIF($B$178:$B$190,$B142,E$178:E$190)</f>
        <v>11458.33</v>
      </c>
      <c r="F142" s="45">
        <f t="shared" si="70"/>
        <v>11458.33</v>
      </c>
      <c r="G142" s="45">
        <f t="shared" si="70"/>
        <v>11458.33</v>
      </c>
      <c r="H142" s="45">
        <f t="shared" si="70"/>
        <v>11458.33</v>
      </c>
      <c r="I142" s="45">
        <f t="shared" si="70"/>
        <v>11458.33</v>
      </c>
      <c r="J142" s="45">
        <f t="shared" si="70"/>
        <v>11458.33</v>
      </c>
      <c r="K142" s="45">
        <f t="shared" si="70"/>
        <v>11458.08</v>
      </c>
      <c r="L142" s="45">
        <f t="shared" si="70"/>
        <v>11458.08</v>
      </c>
      <c r="M142" s="45">
        <f t="shared" si="70"/>
        <v>11458.08</v>
      </c>
      <c r="N142" s="45">
        <f t="shared" si="70"/>
        <v>11458.08</v>
      </c>
      <c r="O142" s="45">
        <f t="shared" si="70"/>
        <v>11458.08</v>
      </c>
      <c r="P142" s="45">
        <f t="shared" si="70"/>
        <v>11458.08</v>
      </c>
      <c r="Q142" s="87">
        <f>SUM(E142:P142)</f>
        <v>137498.46</v>
      </c>
      <c r="T142" s="6"/>
      <c r="U142" s="6"/>
    </row>
    <row r="143" spans="1:21" x14ac:dyDescent="0.35">
      <c r="B143" s="245" t="str">
        <f t="shared" si="68"/>
        <v>2300-1847</v>
      </c>
      <c r="D143" s="6" t="str">
        <f t="shared" si="69"/>
        <v>Crafty Crab</v>
      </c>
      <c r="E143" s="6">
        <f t="shared" si="70"/>
        <v>12759</v>
      </c>
      <c r="F143" s="6">
        <f t="shared" si="70"/>
        <v>12759</v>
      </c>
      <c r="G143" s="6">
        <f t="shared" si="70"/>
        <v>12759</v>
      </c>
      <c r="H143" s="6">
        <f t="shared" si="70"/>
        <v>12759</v>
      </c>
      <c r="I143" s="6">
        <f t="shared" si="70"/>
        <v>12759</v>
      </c>
      <c r="J143" s="6">
        <f t="shared" si="70"/>
        <v>12759</v>
      </c>
      <c r="K143" s="6">
        <f t="shared" si="70"/>
        <v>12759</v>
      </c>
      <c r="L143" s="6">
        <f t="shared" si="70"/>
        <v>12759</v>
      </c>
      <c r="M143" s="6">
        <f t="shared" si="70"/>
        <v>12759</v>
      </c>
      <c r="N143" s="6">
        <f t="shared" si="70"/>
        <v>12759</v>
      </c>
      <c r="O143" s="6">
        <f t="shared" si="70"/>
        <v>12759</v>
      </c>
      <c r="P143" s="6">
        <f t="shared" si="70"/>
        <v>12759</v>
      </c>
      <c r="Q143" s="8">
        <f t="shared" ref="Q143:Q154" si="71">SUM(E143:P143)</f>
        <v>153108</v>
      </c>
    </row>
    <row r="144" spans="1:21" x14ac:dyDescent="0.35">
      <c r="B144" s="245" t="str">
        <f t="shared" si="68"/>
        <v>2300-1851</v>
      </c>
      <c r="D144" s="6" t="str">
        <f t="shared" si="69"/>
        <v>National Fitness Partners</v>
      </c>
      <c r="E144" s="6">
        <f t="shared" si="70"/>
        <v>20603.28</v>
      </c>
      <c r="F144" s="6">
        <f t="shared" si="70"/>
        <v>20603.28</v>
      </c>
      <c r="G144" s="6">
        <f t="shared" si="70"/>
        <v>20603.28</v>
      </c>
      <c r="H144" s="6">
        <f t="shared" si="70"/>
        <v>20603.28</v>
      </c>
      <c r="I144" s="6">
        <f t="shared" si="70"/>
        <v>20603.28</v>
      </c>
      <c r="J144" s="6">
        <f t="shared" si="70"/>
        <v>20603.28</v>
      </c>
      <c r="K144" s="6">
        <f t="shared" si="70"/>
        <v>20603.28</v>
      </c>
      <c r="L144" s="6">
        <f t="shared" si="70"/>
        <v>20603.28</v>
      </c>
      <c r="M144" s="6">
        <f t="shared" si="70"/>
        <v>20603.28</v>
      </c>
      <c r="N144" s="6">
        <f t="shared" si="70"/>
        <v>20603.28</v>
      </c>
      <c r="O144" s="6">
        <f t="shared" si="70"/>
        <v>20603.28</v>
      </c>
      <c r="P144" s="6">
        <f t="shared" si="70"/>
        <v>20603.28</v>
      </c>
      <c r="Q144" s="8">
        <f t="shared" si="71"/>
        <v>247239.36</v>
      </c>
    </row>
    <row r="145" spans="2:21" x14ac:dyDescent="0.35">
      <c r="B145" s="245" t="str">
        <f t="shared" si="68"/>
        <v>2300-1861</v>
      </c>
      <c r="D145" s="6" t="str">
        <f t="shared" si="69"/>
        <v>Edible Arrangements</v>
      </c>
      <c r="E145" s="6">
        <f t="shared" si="70"/>
        <v>4583</v>
      </c>
      <c r="F145" s="6">
        <f t="shared" si="70"/>
        <v>4583</v>
      </c>
      <c r="G145" s="6">
        <f t="shared" si="70"/>
        <v>4833</v>
      </c>
      <c r="H145" s="6">
        <f t="shared" si="70"/>
        <v>4833</v>
      </c>
      <c r="I145" s="6">
        <f t="shared" si="70"/>
        <v>4833</v>
      </c>
      <c r="J145" s="6">
        <f t="shared" si="70"/>
        <v>4833</v>
      </c>
      <c r="K145" s="6">
        <f t="shared" si="70"/>
        <v>4833</v>
      </c>
      <c r="L145" s="6">
        <f t="shared" si="70"/>
        <v>4833</v>
      </c>
      <c r="M145" s="6">
        <f t="shared" si="70"/>
        <v>4833</v>
      </c>
      <c r="N145" s="6">
        <f t="shared" si="70"/>
        <v>4833</v>
      </c>
      <c r="O145" s="6">
        <f t="shared" si="70"/>
        <v>4833</v>
      </c>
      <c r="P145" s="6">
        <f t="shared" si="70"/>
        <v>4833</v>
      </c>
      <c r="Q145" s="8">
        <f t="shared" si="71"/>
        <v>57496</v>
      </c>
    </row>
    <row r="146" spans="2:21" x14ac:dyDescent="0.35">
      <c r="B146" s="245" t="str">
        <f t="shared" si="68"/>
        <v>2300-1863</v>
      </c>
      <c r="D146" s="6" t="str">
        <f t="shared" si="69"/>
        <v>Cohen Fashion Optical Store</v>
      </c>
      <c r="E146" s="6">
        <f t="shared" si="70"/>
        <v>3350</v>
      </c>
      <c r="F146" s="6">
        <f t="shared" si="70"/>
        <v>3350</v>
      </c>
      <c r="G146" s="6">
        <f t="shared" si="70"/>
        <v>3350</v>
      </c>
      <c r="H146" s="6">
        <f t="shared" si="70"/>
        <v>3350</v>
      </c>
      <c r="I146" s="6">
        <f t="shared" si="70"/>
        <v>3350</v>
      </c>
      <c r="J146" s="6">
        <f t="shared" si="70"/>
        <v>3350</v>
      </c>
      <c r="K146" s="6">
        <f t="shared" si="70"/>
        <v>3350</v>
      </c>
      <c r="L146" s="6">
        <f t="shared" si="70"/>
        <v>3350</v>
      </c>
      <c r="M146" s="6">
        <f t="shared" si="70"/>
        <v>3350</v>
      </c>
      <c r="N146" s="6">
        <f t="shared" si="70"/>
        <v>3350</v>
      </c>
      <c r="O146" s="6">
        <f t="shared" si="70"/>
        <v>3350</v>
      </c>
      <c r="P146" s="6">
        <f t="shared" si="70"/>
        <v>3350</v>
      </c>
      <c r="Q146" s="8">
        <f t="shared" si="71"/>
        <v>40200</v>
      </c>
    </row>
    <row r="147" spans="2:21" x14ac:dyDescent="0.35">
      <c r="B147" s="245" t="str">
        <f t="shared" si="68"/>
        <v>2300-1867</v>
      </c>
      <c r="D147" s="6" t="str">
        <f t="shared" si="69"/>
        <v>T-Mobile #PABE002574</v>
      </c>
      <c r="E147" s="6">
        <f t="shared" si="70"/>
        <v>8000</v>
      </c>
      <c r="F147" s="6">
        <f t="shared" si="70"/>
        <v>8000</v>
      </c>
      <c r="G147" s="6">
        <f t="shared" si="70"/>
        <v>8000</v>
      </c>
      <c r="H147" s="6">
        <f t="shared" si="70"/>
        <v>8000</v>
      </c>
      <c r="I147" s="6">
        <f t="shared" si="70"/>
        <v>8000</v>
      </c>
      <c r="J147" s="6">
        <f t="shared" si="70"/>
        <v>8000</v>
      </c>
      <c r="K147" s="6">
        <f t="shared" si="70"/>
        <v>8000</v>
      </c>
      <c r="L147" s="6">
        <f t="shared" si="70"/>
        <v>8000</v>
      </c>
      <c r="M147" s="6">
        <f t="shared" si="70"/>
        <v>8000</v>
      </c>
      <c r="N147" s="6">
        <f t="shared" si="70"/>
        <v>8000</v>
      </c>
      <c r="O147" s="6">
        <f t="shared" si="70"/>
        <v>8000</v>
      </c>
      <c r="P147" s="6">
        <f t="shared" si="70"/>
        <v>8000</v>
      </c>
      <c r="Q147" s="8">
        <f t="shared" si="71"/>
        <v>96000</v>
      </c>
    </row>
    <row r="148" spans="2:21" x14ac:dyDescent="0.35">
      <c r="B148" s="245" t="str">
        <f t="shared" si="68"/>
        <v>2300-1869</v>
      </c>
      <c r="D148" s="6" t="str">
        <f t="shared" si="69"/>
        <v>China Sun</v>
      </c>
      <c r="E148" s="6">
        <f t="shared" si="70"/>
        <v>3666.67</v>
      </c>
      <c r="F148" s="6">
        <f t="shared" si="70"/>
        <v>3666.67</v>
      </c>
      <c r="G148" s="6">
        <f t="shared" si="70"/>
        <v>3666.67</v>
      </c>
      <c r="H148" s="6">
        <f t="shared" si="70"/>
        <v>3666.67</v>
      </c>
      <c r="I148" s="6">
        <f t="shared" si="70"/>
        <v>3666.67</v>
      </c>
      <c r="J148" s="6">
        <f t="shared" si="70"/>
        <v>3666.67</v>
      </c>
      <c r="K148" s="6">
        <f t="shared" si="70"/>
        <v>3666.67</v>
      </c>
      <c r="L148" s="6">
        <f t="shared" si="70"/>
        <v>3666.67</v>
      </c>
      <c r="M148" s="6">
        <f t="shared" si="70"/>
        <v>3666.67</v>
      </c>
      <c r="N148" s="6">
        <f t="shared" si="70"/>
        <v>3666.67</v>
      </c>
      <c r="O148" s="6">
        <f t="shared" si="70"/>
        <v>3666.67</v>
      </c>
      <c r="P148" s="6">
        <f t="shared" si="70"/>
        <v>3666.67</v>
      </c>
      <c r="Q148" s="8">
        <f t="shared" si="71"/>
        <v>44000.039999999986</v>
      </c>
    </row>
    <row r="149" spans="2:21" x14ac:dyDescent="0.35">
      <c r="B149" s="245" t="str">
        <f t="shared" si="68"/>
        <v>2300-1871</v>
      </c>
      <c r="D149" s="6" t="str">
        <f t="shared" si="69"/>
        <v>Lee's Hoagie House</v>
      </c>
      <c r="E149" s="6">
        <f t="shared" si="70"/>
        <v>4000</v>
      </c>
      <c r="F149" s="6">
        <f t="shared" si="70"/>
        <v>4000</v>
      </c>
      <c r="G149" s="6">
        <f t="shared" si="70"/>
        <v>4200</v>
      </c>
      <c r="H149" s="6">
        <f t="shared" si="70"/>
        <v>4200</v>
      </c>
      <c r="I149" s="6">
        <f t="shared" si="70"/>
        <v>4200</v>
      </c>
      <c r="J149" s="6">
        <f t="shared" si="70"/>
        <v>4200</v>
      </c>
      <c r="K149" s="6">
        <f t="shared" si="70"/>
        <v>4200</v>
      </c>
      <c r="L149" s="6">
        <f t="shared" si="70"/>
        <v>4200</v>
      </c>
      <c r="M149" s="6">
        <f t="shared" si="70"/>
        <v>4200</v>
      </c>
      <c r="N149" s="6">
        <f t="shared" si="70"/>
        <v>4200</v>
      </c>
      <c r="O149" s="6">
        <f t="shared" si="70"/>
        <v>4200</v>
      </c>
      <c r="P149" s="6">
        <f t="shared" si="70"/>
        <v>4200</v>
      </c>
      <c r="Q149" s="8">
        <f t="shared" si="71"/>
        <v>50000</v>
      </c>
    </row>
    <row r="150" spans="2:21" x14ac:dyDescent="0.35">
      <c r="B150" s="245" t="str">
        <f t="shared" si="68"/>
        <v>2300-1877</v>
      </c>
      <c r="D150" s="6" t="str">
        <f t="shared" si="69"/>
        <v>Evolve Nails and Spa</v>
      </c>
      <c r="E150" s="6">
        <f t="shared" si="70"/>
        <v>3200</v>
      </c>
      <c r="F150" s="6">
        <f t="shared" si="70"/>
        <v>3200</v>
      </c>
      <c r="G150" s="6">
        <f t="shared" si="70"/>
        <v>3200</v>
      </c>
      <c r="H150" s="6">
        <f t="shared" si="70"/>
        <v>3200</v>
      </c>
      <c r="I150" s="6">
        <f t="shared" si="70"/>
        <v>3200</v>
      </c>
      <c r="J150" s="6">
        <f t="shared" si="70"/>
        <v>3333.33</v>
      </c>
      <c r="K150" s="6">
        <f t="shared" si="70"/>
        <v>3333.33</v>
      </c>
      <c r="L150" s="6">
        <f t="shared" si="70"/>
        <v>3333.33</v>
      </c>
      <c r="M150" s="6">
        <f t="shared" si="70"/>
        <v>3333.33</v>
      </c>
      <c r="N150" s="6">
        <f t="shared" si="70"/>
        <v>3333.33</v>
      </c>
      <c r="O150" s="6">
        <f t="shared" si="70"/>
        <v>3333.33</v>
      </c>
      <c r="P150" s="6">
        <f t="shared" si="70"/>
        <v>3333.33</v>
      </c>
      <c r="Q150" s="8">
        <f t="shared" si="71"/>
        <v>39333.310000000012</v>
      </c>
    </row>
    <row r="151" spans="2:21" x14ac:dyDescent="0.35">
      <c r="B151" s="245" t="str">
        <f t="shared" si="68"/>
        <v>2300-1879</v>
      </c>
      <c r="D151" s="6" t="str">
        <f t="shared" si="69"/>
        <v>Anand Patel dba GNC</v>
      </c>
      <c r="E151" s="6">
        <f t="shared" si="70"/>
        <v>3093.33</v>
      </c>
      <c r="F151" s="6">
        <f t="shared" si="70"/>
        <v>3093.33</v>
      </c>
      <c r="G151" s="6">
        <f t="shared" si="70"/>
        <v>3093.33</v>
      </c>
      <c r="H151" s="6">
        <f t="shared" si="70"/>
        <v>3093.33</v>
      </c>
      <c r="I151" s="6">
        <f t="shared" si="70"/>
        <v>3093.33</v>
      </c>
      <c r="J151" s="6">
        <f t="shared" si="70"/>
        <v>3093.33</v>
      </c>
      <c r="K151" s="6">
        <f t="shared" si="70"/>
        <v>3200</v>
      </c>
      <c r="L151" s="6">
        <f t="shared" si="70"/>
        <v>3200</v>
      </c>
      <c r="M151" s="6">
        <f t="shared" si="70"/>
        <v>3200</v>
      </c>
      <c r="N151" s="6">
        <f t="shared" si="70"/>
        <v>3200</v>
      </c>
      <c r="O151" s="6">
        <f t="shared" si="70"/>
        <v>3200</v>
      </c>
      <c r="P151" s="6">
        <f t="shared" si="70"/>
        <v>3200</v>
      </c>
      <c r="Q151" s="8">
        <f t="shared" si="71"/>
        <v>37759.979999999996</v>
      </c>
    </row>
    <row r="152" spans="2:21" x14ac:dyDescent="0.35">
      <c r="B152" s="245" t="str">
        <f t="shared" si="68"/>
        <v>2300-1881</v>
      </c>
      <c r="D152" s="6" t="str">
        <f t="shared" si="69"/>
        <v>Citizens Bank of PA</v>
      </c>
      <c r="E152" s="6">
        <f t="shared" si="70"/>
        <v>9166.67</v>
      </c>
      <c r="F152" s="6">
        <f t="shared" si="70"/>
        <v>9166.67</v>
      </c>
      <c r="G152" s="6">
        <f t="shared" si="70"/>
        <v>9166.67</v>
      </c>
      <c r="H152" s="6">
        <f t="shared" si="70"/>
        <v>9166.67</v>
      </c>
      <c r="I152" s="6">
        <f t="shared" si="70"/>
        <v>9166.67</v>
      </c>
      <c r="J152" s="6">
        <f t="shared" si="70"/>
        <v>9166.67</v>
      </c>
      <c r="K152" s="6">
        <f t="shared" si="70"/>
        <v>9166.67</v>
      </c>
      <c r="L152" s="6">
        <f t="shared" si="70"/>
        <v>9166.67</v>
      </c>
      <c r="M152" s="6">
        <f t="shared" si="70"/>
        <v>9166.67</v>
      </c>
      <c r="N152" s="6">
        <f t="shared" si="70"/>
        <v>9166.67</v>
      </c>
      <c r="O152" s="6">
        <f t="shared" si="70"/>
        <v>9166.67</v>
      </c>
      <c r="P152" s="6">
        <f t="shared" si="70"/>
        <v>9166.67</v>
      </c>
      <c r="Q152" s="8">
        <f t="shared" si="71"/>
        <v>110000.04</v>
      </c>
    </row>
    <row r="153" spans="2:21" x14ac:dyDescent="0.35">
      <c r="B153" s="245" t="str">
        <f t="shared" si="68"/>
        <v>2300-1883</v>
      </c>
      <c r="D153" s="6" t="str">
        <f t="shared" si="69"/>
        <v>Wawa Inc. #267</v>
      </c>
      <c r="E153" s="6">
        <f t="shared" si="70"/>
        <v>8016.33</v>
      </c>
      <c r="F153" s="6">
        <f t="shared" si="70"/>
        <v>8016.33</v>
      </c>
      <c r="G153" s="6">
        <f t="shared" si="70"/>
        <v>8016.33</v>
      </c>
      <c r="H153" s="6">
        <f t="shared" si="70"/>
        <v>8016.33</v>
      </c>
      <c r="I153" s="6">
        <f t="shared" si="70"/>
        <v>8016.33</v>
      </c>
      <c r="J153" s="6">
        <f t="shared" si="70"/>
        <v>8016.33</v>
      </c>
      <c r="K153" s="6">
        <f t="shared" si="70"/>
        <v>8016.33</v>
      </c>
      <c r="L153" s="6">
        <f t="shared" si="70"/>
        <v>8016.33</v>
      </c>
      <c r="M153" s="6">
        <f t="shared" si="70"/>
        <v>8016.33</v>
      </c>
      <c r="N153" s="6">
        <f t="shared" si="70"/>
        <v>8016.33</v>
      </c>
      <c r="O153" s="6">
        <f t="shared" si="70"/>
        <v>8016.33</v>
      </c>
      <c r="P153" s="6">
        <f t="shared" si="70"/>
        <v>8016.33</v>
      </c>
      <c r="Q153" s="8">
        <f t="shared" si="71"/>
        <v>96195.96</v>
      </c>
    </row>
    <row r="154" spans="2:21" x14ac:dyDescent="0.35">
      <c r="B154" s="337" t="str">
        <f t="shared" si="68"/>
        <v>2300-1885</v>
      </c>
      <c r="C154" s="15"/>
      <c r="D154" s="15" t="str">
        <f t="shared" si="69"/>
        <v>Dunkin Donuts #336368</v>
      </c>
      <c r="E154" s="15">
        <f t="shared" si="70"/>
        <v>5000</v>
      </c>
      <c r="F154" s="15">
        <f t="shared" si="70"/>
        <v>5000</v>
      </c>
      <c r="G154" s="15">
        <f t="shared" si="70"/>
        <v>5000</v>
      </c>
      <c r="H154" s="15">
        <f t="shared" si="70"/>
        <v>5000</v>
      </c>
      <c r="I154" s="15">
        <f t="shared" si="70"/>
        <v>5000</v>
      </c>
      <c r="J154" s="15">
        <f t="shared" si="70"/>
        <v>5000</v>
      </c>
      <c r="K154" s="15">
        <f t="shared" si="70"/>
        <v>5000</v>
      </c>
      <c r="L154" s="15">
        <f t="shared" si="70"/>
        <v>5000</v>
      </c>
      <c r="M154" s="15">
        <f t="shared" si="70"/>
        <v>5000</v>
      </c>
      <c r="N154" s="15">
        <f t="shared" si="70"/>
        <v>5000</v>
      </c>
      <c r="O154" s="15">
        <f t="shared" si="70"/>
        <v>5000</v>
      </c>
      <c r="P154" s="15">
        <f t="shared" si="70"/>
        <v>5000</v>
      </c>
      <c r="Q154" s="49">
        <f t="shared" si="71"/>
        <v>60000</v>
      </c>
    </row>
    <row r="155" spans="2:21" x14ac:dyDescent="0.35">
      <c r="B155" s="3"/>
      <c r="D155" s="16"/>
      <c r="E155" s="8">
        <f t="shared" ref="E155:Q155" si="72">SUM(E142:E154)</f>
        <v>96896.61</v>
      </c>
      <c r="F155" s="8">
        <f t="shared" si="72"/>
        <v>96896.61</v>
      </c>
      <c r="G155" s="8">
        <f t="shared" si="72"/>
        <v>97346.61</v>
      </c>
      <c r="H155" s="8">
        <f t="shared" si="72"/>
        <v>97346.61</v>
      </c>
      <c r="I155" s="8">
        <f t="shared" si="72"/>
        <v>97346.61</v>
      </c>
      <c r="J155" s="8">
        <f t="shared" si="72"/>
        <v>97479.94</v>
      </c>
      <c r="K155" s="8">
        <f t="shared" si="72"/>
        <v>97586.36</v>
      </c>
      <c r="L155" s="8">
        <f t="shared" si="72"/>
        <v>97586.36</v>
      </c>
      <c r="M155" s="8">
        <f t="shared" si="72"/>
        <v>97586.36</v>
      </c>
      <c r="N155" s="8">
        <f t="shared" si="72"/>
        <v>97586.36</v>
      </c>
      <c r="O155" s="8">
        <f t="shared" si="72"/>
        <v>97586.36</v>
      </c>
      <c r="P155" s="8">
        <f t="shared" si="72"/>
        <v>97586.36</v>
      </c>
      <c r="Q155" s="8">
        <f t="shared" si="72"/>
        <v>1168831.1500000001</v>
      </c>
    </row>
    <row r="156" spans="2:21" x14ac:dyDescent="0.35">
      <c r="B156" s="3"/>
      <c r="E156" s="55">
        <f t="shared" ref="E156:Q156" si="73">E15-E155</f>
        <v>0</v>
      </c>
      <c r="F156" s="55">
        <f t="shared" si="73"/>
        <v>0</v>
      </c>
      <c r="G156" s="55">
        <f t="shared" si="73"/>
        <v>0</v>
      </c>
      <c r="H156" s="55">
        <f t="shared" si="73"/>
        <v>0</v>
      </c>
      <c r="I156" s="55">
        <f t="shared" si="73"/>
        <v>0</v>
      </c>
      <c r="J156" s="55">
        <f t="shared" si="73"/>
        <v>0</v>
      </c>
      <c r="K156" s="55">
        <f t="shared" si="73"/>
        <v>0</v>
      </c>
      <c r="L156" s="55">
        <f t="shared" si="73"/>
        <v>0</v>
      </c>
      <c r="M156" s="55">
        <f t="shared" si="73"/>
        <v>0</v>
      </c>
      <c r="N156" s="55">
        <f t="shared" si="73"/>
        <v>0</v>
      </c>
      <c r="O156" s="55">
        <f t="shared" si="73"/>
        <v>0</v>
      </c>
      <c r="P156" s="55">
        <f t="shared" si="73"/>
        <v>0</v>
      </c>
      <c r="Q156" s="55">
        <f t="shared" si="73"/>
        <v>0</v>
      </c>
    </row>
    <row r="157" spans="2:21" x14ac:dyDescent="0.35">
      <c r="J157" s="273"/>
      <c r="K157" s="23"/>
      <c r="T157" s="6"/>
      <c r="U157" s="6"/>
    </row>
    <row r="158" spans="2:21" ht="17.5" x14ac:dyDescent="0.35">
      <c r="B158" s="352" t="s">
        <v>159</v>
      </c>
      <c r="E158" s="336"/>
      <c r="F158" s="336"/>
      <c r="G158" s="336"/>
      <c r="H158" s="336"/>
      <c r="I158" s="336"/>
      <c r="J158" s="336"/>
      <c r="K158" s="336"/>
      <c r="L158" s="336"/>
      <c r="M158" s="336"/>
      <c r="N158" s="336"/>
      <c r="O158" s="336"/>
      <c r="P158" s="336"/>
      <c r="S158" s="23"/>
      <c r="T158" s="6"/>
      <c r="U158" s="6"/>
    </row>
    <row r="159" spans="2:21" hidden="1" outlineLevel="1" x14ac:dyDescent="0.35">
      <c r="B159" s="15" t="s">
        <v>503</v>
      </c>
      <c r="C159" s="15"/>
      <c r="D159" s="15" t="s">
        <v>302</v>
      </c>
      <c r="E159" s="338">
        <v>46023</v>
      </c>
      <c r="F159" s="338">
        <v>46054</v>
      </c>
      <c r="G159" s="338">
        <v>46082</v>
      </c>
      <c r="H159" s="338">
        <v>46113</v>
      </c>
      <c r="I159" s="338">
        <v>46143</v>
      </c>
      <c r="J159" s="338">
        <v>46174</v>
      </c>
      <c r="K159" s="338">
        <v>46204</v>
      </c>
      <c r="L159" s="338">
        <v>46235</v>
      </c>
      <c r="M159" s="338">
        <v>46266</v>
      </c>
      <c r="N159" s="338">
        <v>46296</v>
      </c>
      <c r="O159" s="338">
        <v>46327</v>
      </c>
      <c r="P159" s="338">
        <v>46357</v>
      </c>
      <c r="Q159" s="285" t="s">
        <v>12</v>
      </c>
      <c r="R159" s="23"/>
      <c r="S159" s="23"/>
      <c r="T159" s="6"/>
      <c r="U159" s="6"/>
    </row>
    <row r="160" spans="2:21" hidden="1" outlineLevel="1" x14ac:dyDescent="0.35">
      <c r="B160" s="339" t="s">
        <v>352</v>
      </c>
      <c r="C160" s="341"/>
      <c r="D160" s="45" t="str">
        <f>IFERROR(VLOOKUP(B160,'In Place Revenue'!$B$2:$H$630,2,FALSE),"Vacant")</f>
        <v>M &amp; T Bank</v>
      </c>
      <c r="E160" s="6">
        <f>SUMIFS('In Place Revenue'!$G$2:$G$764,'In Place Revenue'!$B$2:$B$764,$B160,'In Place Revenue'!$D$2:$D$764,E$159)</f>
        <v>11458.33</v>
      </c>
      <c r="F160" s="6">
        <f>SUMIFS('In Place Revenue'!$G$2:$G$764,'In Place Revenue'!$B$2:$B$764,$B160,'In Place Revenue'!$D$2:$D$764,F$159)</f>
        <v>11458.33</v>
      </c>
      <c r="G160" s="6">
        <f>SUMIFS('In Place Revenue'!$G$2:$G$764,'In Place Revenue'!$B$2:$B$764,$B160,'In Place Revenue'!$D$2:$D$764,G$159)</f>
        <v>11458.33</v>
      </c>
      <c r="H160" s="6">
        <f>SUMIFS('In Place Revenue'!$G$2:$G$764,'In Place Revenue'!$B$2:$B$764,$B160,'In Place Revenue'!$D$2:$D$764,H$159)</f>
        <v>11458.33</v>
      </c>
      <c r="I160" s="6">
        <f>SUMIFS('In Place Revenue'!$G$2:$G$764,'In Place Revenue'!$B$2:$B$764,$B160,'In Place Revenue'!$D$2:$D$764,I$159)</f>
        <v>11458.33</v>
      </c>
      <c r="J160" s="6">
        <f>SUMIFS('In Place Revenue'!$G$2:$G$764,'In Place Revenue'!$B$2:$B$764,$B160,'In Place Revenue'!$D$2:$D$764,J$159)</f>
        <v>11458.33</v>
      </c>
      <c r="K160" s="6">
        <f>SUMIFS('In Place Revenue'!$G$2:$G$764,'In Place Revenue'!$B$2:$B$764,$B160,'In Place Revenue'!$D$2:$D$764,K$159)</f>
        <v>11458.08</v>
      </c>
      <c r="L160" s="6">
        <f>SUMIFS('In Place Revenue'!$G$2:$G$764,'In Place Revenue'!$B$2:$B$764,$B160,'In Place Revenue'!$D$2:$D$764,L$159)</f>
        <v>11458.08</v>
      </c>
      <c r="M160" s="6">
        <f>SUMIFS('In Place Revenue'!$G$2:$G$764,'In Place Revenue'!$B$2:$B$764,$B160,'In Place Revenue'!$D$2:$D$764,M$159)</f>
        <v>11458.08</v>
      </c>
      <c r="N160" s="6">
        <f>SUMIFS('In Place Revenue'!$G$2:$G$764,'In Place Revenue'!$B$2:$B$764,$B160,'In Place Revenue'!$D$2:$D$764,N$159)</f>
        <v>11458.08</v>
      </c>
      <c r="O160" s="6">
        <f>SUMIFS('In Place Revenue'!$G$2:$G$764,'In Place Revenue'!$B$2:$B$764,$B160,'In Place Revenue'!$D$2:$D$764,O$159)</f>
        <v>11458.08</v>
      </c>
      <c r="P160" s="6">
        <f>SUMIFS('In Place Revenue'!$G$2:$G$764,'In Place Revenue'!$B$2:$B$764,$B160,'In Place Revenue'!$D$2:$D$764,P$159)</f>
        <v>11458.08</v>
      </c>
      <c r="Q160" s="8">
        <f>SUM(E160:P160)</f>
        <v>137498.46</v>
      </c>
    </row>
    <row r="161" spans="2:21" hidden="1" outlineLevel="1" x14ac:dyDescent="0.35">
      <c r="B161" s="339" t="s">
        <v>354</v>
      </c>
      <c r="C161" s="341"/>
      <c r="D161" s="6" t="str">
        <f>IFERROR(VLOOKUP(B161,'In Place Revenue'!$B$2:$H$630,2,FALSE),"Vacant")</f>
        <v>Crafty Crab</v>
      </c>
      <c r="E161" s="6">
        <f>SUMIFS('In Place Revenue'!$G$2:$G$764,'In Place Revenue'!$B$2:$B$764,$B161,'In Place Revenue'!$D$2:$D$764,E$159)</f>
        <v>12759</v>
      </c>
      <c r="F161" s="6">
        <f>SUMIFS('In Place Revenue'!$G$2:$G$764,'In Place Revenue'!$B$2:$B$764,$B161,'In Place Revenue'!$D$2:$D$764,F$159)</f>
        <v>12759</v>
      </c>
      <c r="G161" s="6">
        <f>SUMIFS('In Place Revenue'!$G$2:$G$764,'In Place Revenue'!$B$2:$B$764,$B161,'In Place Revenue'!$D$2:$D$764,G$159)</f>
        <v>12759</v>
      </c>
      <c r="H161" s="6">
        <f>SUMIFS('In Place Revenue'!$G$2:$G$764,'In Place Revenue'!$B$2:$B$764,$B161,'In Place Revenue'!$D$2:$D$764,H$159)</f>
        <v>12759</v>
      </c>
      <c r="I161" s="6">
        <f>SUMIFS('In Place Revenue'!$G$2:$G$764,'In Place Revenue'!$B$2:$B$764,$B161,'In Place Revenue'!$D$2:$D$764,I$159)</f>
        <v>12759</v>
      </c>
      <c r="J161" s="6">
        <f>SUMIFS('In Place Revenue'!$G$2:$G$764,'In Place Revenue'!$B$2:$B$764,$B161,'In Place Revenue'!$D$2:$D$764,J$159)</f>
        <v>12759</v>
      </c>
      <c r="K161" s="6">
        <f>SUMIFS('In Place Revenue'!$G$2:$G$764,'In Place Revenue'!$B$2:$B$764,$B161,'In Place Revenue'!$D$2:$D$764,K$159)</f>
        <v>12759</v>
      </c>
      <c r="L161" s="6">
        <f>SUMIFS('In Place Revenue'!$G$2:$G$764,'In Place Revenue'!$B$2:$B$764,$B161,'In Place Revenue'!$D$2:$D$764,L$159)</f>
        <v>12759</v>
      </c>
      <c r="M161" s="6">
        <f>SUMIFS('In Place Revenue'!$G$2:$G$764,'In Place Revenue'!$B$2:$B$764,$B161,'In Place Revenue'!$D$2:$D$764,M$159)</f>
        <v>12759</v>
      </c>
      <c r="N161" s="6">
        <f>SUMIFS('In Place Revenue'!$G$2:$G$764,'In Place Revenue'!$B$2:$B$764,$B161,'In Place Revenue'!$D$2:$D$764,N$159)</f>
        <v>12759</v>
      </c>
      <c r="O161" s="6">
        <f>SUMIFS('In Place Revenue'!$G$2:$G$764,'In Place Revenue'!$B$2:$B$764,$B161,'In Place Revenue'!$D$2:$D$764,O$159)</f>
        <v>12759</v>
      </c>
      <c r="P161" s="6">
        <f>SUMIFS('In Place Revenue'!$G$2:$G$764,'In Place Revenue'!$B$2:$B$764,$B161,'In Place Revenue'!$D$2:$D$764,P$159)</f>
        <v>12759</v>
      </c>
      <c r="Q161" s="8">
        <f t="shared" ref="Q161:Q172" si="74">SUM(E161:P161)</f>
        <v>153108</v>
      </c>
    </row>
    <row r="162" spans="2:21" hidden="1" outlineLevel="1" x14ac:dyDescent="0.35">
      <c r="B162" s="339" t="s">
        <v>356</v>
      </c>
      <c r="C162" s="341"/>
      <c r="D162" s="6" t="str">
        <f>IFERROR(VLOOKUP(B162,'In Place Revenue'!$B$2:$H$630,2,FALSE),"Vacant")</f>
        <v>National Fitness Partners</v>
      </c>
      <c r="E162" s="6">
        <f>SUMIFS('In Place Revenue'!$G$2:$G$764,'In Place Revenue'!$B$2:$B$764,$B162,'In Place Revenue'!$D$2:$D$764,E$159)</f>
        <v>20603.28</v>
      </c>
      <c r="F162" s="6">
        <f>SUMIFS('In Place Revenue'!$G$2:$G$764,'In Place Revenue'!$B$2:$B$764,$B162,'In Place Revenue'!$D$2:$D$764,F$159)</f>
        <v>20603.28</v>
      </c>
      <c r="G162" s="6">
        <f>SUMIFS('In Place Revenue'!$G$2:$G$764,'In Place Revenue'!$B$2:$B$764,$B162,'In Place Revenue'!$D$2:$D$764,G$159)</f>
        <v>20603.28</v>
      </c>
      <c r="H162" s="6">
        <f>SUMIFS('In Place Revenue'!$G$2:$G$764,'In Place Revenue'!$B$2:$B$764,$B162,'In Place Revenue'!$D$2:$D$764,H$159)</f>
        <v>20603.28</v>
      </c>
      <c r="I162" s="6">
        <f>SUMIFS('In Place Revenue'!$G$2:$G$764,'In Place Revenue'!$B$2:$B$764,$B162,'In Place Revenue'!$D$2:$D$764,I$159)</f>
        <v>20603.28</v>
      </c>
      <c r="J162" s="6">
        <f>SUMIFS('In Place Revenue'!$G$2:$G$764,'In Place Revenue'!$B$2:$B$764,$B162,'In Place Revenue'!$D$2:$D$764,J$159)</f>
        <v>20603.28</v>
      </c>
      <c r="K162" s="6">
        <f>SUMIFS('In Place Revenue'!$G$2:$G$764,'In Place Revenue'!$B$2:$B$764,$B162,'In Place Revenue'!$D$2:$D$764,K$159)</f>
        <v>20603.28</v>
      </c>
      <c r="L162" s="6">
        <f>SUMIFS('In Place Revenue'!$G$2:$G$764,'In Place Revenue'!$B$2:$B$764,$B162,'In Place Revenue'!$D$2:$D$764,L$159)</f>
        <v>20603.28</v>
      </c>
      <c r="M162" s="6">
        <f>SUMIFS('In Place Revenue'!$G$2:$G$764,'In Place Revenue'!$B$2:$B$764,$B162,'In Place Revenue'!$D$2:$D$764,M$159)</f>
        <v>20603.28</v>
      </c>
      <c r="N162" s="6">
        <f>SUMIFS('In Place Revenue'!$G$2:$G$764,'In Place Revenue'!$B$2:$B$764,$B162,'In Place Revenue'!$D$2:$D$764,N$159)</f>
        <v>20603.28</v>
      </c>
      <c r="O162" s="6">
        <f>SUMIFS('In Place Revenue'!$G$2:$G$764,'In Place Revenue'!$B$2:$B$764,$B162,'In Place Revenue'!$D$2:$D$764,O$159)</f>
        <v>20603.28</v>
      </c>
      <c r="P162" s="6">
        <f>SUMIFS('In Place Revenue'!$G$2:$G$764,'In Place Revenue'!$B$2:$B$764,$B162,'In Place Revenue'!$D$2:$D$764,P$159)</f>
        <v>20603.28</v>
      </c>
      <c r="Q162" s="8">
        <f t="shared" si="74"/>
        <v>247239.36</v>
      </c>
    </row>
    <row r="163" spans="2:21" hidden="1" outlineLevel="1" x14ac:dyDescent="0.35">
      <c r="B163" s="339" t="s">
        <v>358</v>
      </c>
      <c r="C163" s="341"/>
      <c r="D163" s="6" t="str">
        <f>IFERROR(VLOOKUP(B163,'In Place Revenue'!$B$2:$H$630,2,FALSE),"Vacant")</f>
        <v>Edible Arrangements</v>
      </c>
      <c r="E163" s="6">
        <f>SUMIFS('In Place Revenue'!$G$2:$G$764,'In Place Revenue'!$B$2:$B$764,$B163,'In Place Revenue'!$D$2:$D$764,E$159)</f>
        <v>4583</v>
      </c>
      <c r="F163" s="6">
        <f>SUMIFS('In Place Revenue'!$G$2:$G$764,'In Place Revenue'!$B$2:$B$764,$B163,'In Place Revenue'!$D$2:$D$764,F$159)</f>
        <v>4583</v>
      </c>
      <c r="G163" s="6">
        <f>SUMIFS('In Place Revenue'!$G$2:$G$764,'In Place Revenue'!$B$2:$B$764,$B163,'In Place Revenue'!$D$2:$D$764,G$159)</f>
        <v>4833</v>
      </c>
      <c r="H163" s="6">
        <f>SUMIFS('In Place Revenue'!$G$2:$G$764,'In Place Revenue'!$B$2:$B$764,$B163,'In Place Revenue'!$D$2:$D$764,H$159)</f>
        <v>4833</v>
      </c>
      <c r="I163" s="6">
        <f>SUMIFS('In Place Revenue'!$G$2:$G$764,'In Place Revenue'!$B$2:$B$764,$B163,'In Place Revenue'!$D$2:$D$764,I$159)</f>
        <v>4833</v>
      </c>
      <c r="J163" s="6">
        <f>SUMIFS('In Place Revenue'!$G$2:$G$764,'In Place Revenue'!$B$2:$B$764,$B163,'In Place Revenue'!$D$2:$D$764,J$159)</f>
        <v>4833</v>
      </c>
      <c r="K163" s="6">
        <f>SUMIFS('In Place Revenue'!$G$2:$G$764,'In Place Revenue'!$B$2:$B$764,$B163,'In Place Revenue'!$D$2:$D$764,K$159)</f>
        <v>4833</v>
      </c>
      <c r="L163" s="6">
        <f>SUMIFS('In Place Revenue'!$G$2:$G$764,'In Place Revenue'!$B$2:$B$764,$B163,'In Place Revenue'!$D$2:$D$764,L$159)</f>
        <v>4833</v>
      </c>
      <c r="M163" s="6">
        <f>SUMIFS('In Place Revenue'!$G$2:$G$764,'In Place Revenue'!$B$2:$B$764,$B163,'In Place Revenue'!$D$2:$D$764,M$159)</f>
        <v>4833</v>
      </c>
      <c r="N163" s="6">
        <f>SUMIFS('In Place Revenue'!$G$2:$G$764,'In Place Revenue'!$B$2:$B$764,$B163,'In Place Revenue'!$D$2:$D$764,N$159)</f>
        <v>4833</v>
      </c>
      <c r="O163" s="6">
        <f>SUMIFS('In Place Revenue'!$G$2:$G$764,'In Place Revenue'!$B$2:$B$764,$B163,'In Place Revenue'!$D$2:$D$764,O$159)</f>
        <v>4833</v>
      </c>
      <c r="P163" s="6">
        <f>SUMIFS('In Place Revenue'!$G$2:$G$764,'In Place Revenue'!$B$2:$B$764,$B163,'In Place Revenue'!$D$2:$D$764,P$159)</f>
        <v>4833</v>
      </c>
      <c r="Q163" s="8">
        <f t="shared" si="74"/>
        <v>57496</v>
      </c>
    </row>
    <row r="164" spans="2:21" hidden="1" outlineLevel="1" x14ac:dyDescent="0.35">
      <c r="B164" s="339" t="s">
        <v>360</v>
      </c>
      <c r="C164" s="341"/>
      <c r="D164" s="6" t="str">
        <f>IFERROR(VLOOKUP(B164,'In Place Revenue'!$B$2:$H$630,2,FALSE),"Vacant")</f>
        <v>Cohen Fashion Optical Store</v>
      </c>
      <c r="E164" s="6">
        <f>SUMIFS('In Place Revenue'!$G$2:$G$764,'In Place Revenue'!$B$2:$B$764,$B164,'In Place Revenue'!$D$2:$D$764,E$159)</f>
        <v>3350</v>
      </c>
      <c r="F164" s="6">
        <f>SUMIFS('In Place Revenue'!$G$2:$G$764,'In Place Revenue'!$B$2:$B$764,$B164,'In Place Revenue'!$D$2:$D$764,F$159)</f>
        <v>3350</v>
      </c>
      <c r="G164" s="6">
        <f>SUMIFS('In Place Revenue'!$G$2:$G$764,'In Place Revenue'!$B$2:$B$764,$B164,'In Place Revenue'!$D$2:$D$764,G$159)</f>
        <v>3350</v>
      </c>
      <c r="H164" s="6">
        <f>SUMIFS('In Place Revenue'!$G$2:$G$764,'In Place Revenue'!$B$2:$B$764,$B164,'In Place Revenue'!$D$2:$D$764,H$159)</f>
        <v>3350</v>
      </c>
      <c r="I164" s="6">
        <f>SUMIFS('In Place Revenue'!$G$2:$G$764,'In Place Revenue'!$B$2:$B$764,$B164,'In Place Revenue'!$D$2:$D$764,I$159)</f>
        <v>3350</v>
      </c>
      <c r="J164" s="6">
        <f>SUMIFS('In Place Revenue'!$G$2:$G$764,'In Place Revenue'!$B$2:$B$764,$B164,'In Place Revenue'!$D$2:$D$764,J$159)</f>
        <v>3350</v>
      </c>
      <c r="K164" s="6">
        <f>SUMIFS('In Place Revenue'!$G$2:$G$764,'In Place Revenue'!$B$2:$B$764,$B164,'In Place Revenue'!$D$2:$D$764,K$159)</f>
        <v>3350</v>
      </c>
      <c r="L164" s="6">
        <f>SUMIFS('In Place Revenue'!$G$2:$G$764,'In Place Revenue'!$B$2:$B$764,$B164,'In Place Revenue'!$D$2:$D$764,L$159)</f>
        <v>3350</v>
      </c>
      <c r="M164" s="6">
        <f>SUMIFS('In Place Revenue'!$G$2:$G$764,'In Place Revenue'!$B$2:$B$764,$B164,'In Place Revenue'!$D$2:$D$764,M$159)</f>
        <v>3350</v>
      </c>
      <c r="N164" s="6">
        <f>SUMIFS('In Place Revenue'!$G$2:$G$764,'In Place Revenue'!$B$2:$B$764,$B164,'In Place Revenue'!$D$2:$D$764,N$159)</f>
        <v>3350</v>
      </c>
      <c r="O164" s="6">
        <f>SUMIFS('In Place Revenue'!$G$2:$G$764,'In Place Revenue'!$B$2:$B$764,$B164,'In Place Revenue'!$D$2:$D$764,O$159)</f>
        <v>3350</v>
      </c>
      <c r="P164" s="6">
        <f>SUMIFS('In Place Revenue'!$G$2:$G$764,'In Place Revenue'!$B$2:$B$764,$B164,'In Place Revenue'!$D$2:$D$764,P$159)</f>
        <v>3350</v>
      </c>
      <c r="Q164" s="8">
        <f t="shared" si="74"/>
        <v>40200</v>
      </c>
    </row>
    <row r="165" spans="2:21" hidden="1" outlineLevel="1" x14ac:dyDescent="0.35">
      <c r="B165" s="339" t="s">
        <v>362</v>
      </c>
      <c r="C165" s="341"/>
      <c r="D165" s="6" t="str">
        <f>IFERROR(VLOOKUP(B165,'In Place Revenue'!$B$2:$H$630,2,FALSE),"Vacant")</f>
        <v>T-Mobile #PABE002574</v>
      </c>
      <c r="E165" s="6">
        <f>SUMIFS('In Place Revenue'!$G$2:$G$764,'In Place Revenue'!$B$2:$B$764,$B165,'In Place Revenue'!$D$2:$D$764,E$159)</f>
        <v>8000</v>
      </c>
      <c r="F165" s="6">
        <f>SUMIFS('In Place Revenue'!$G$2:$G$764,'In Place Revenue'!$B$2:$B$764,$B165,'In Place Revenue'!$D$2:$D$764,F$159)</f>
        <v>8000</v>
      </c>
      <c r="G165" s="6">
        <f>SUMIFS('In Place Revenue'!$G$2:$G$764,'In Place Revenue'!$B$2:$B$764,$B165,'In Place Revenue'!$D$2:$D$764,G$159)</f>
        <v>8000</v>
      </c>
      <c r="H165" s="6">
        <f>SUMIFS('In Place Revenue'!$G$2:$G$764,'In Place Revenue'!$B$2:$B$764,$B165,'In Place Revenue'!$D$2:$D$764,H$159)</f>
        <v>8000</v>
      </c>
      <c r="I165" s="6">
        <f>SUMIFS('In Place Revenue'!$G$2:$G$764,'In Place Revenue'!$B$2:$B$764,$B165,'In Place Revenue'!$D$2:$D$764,I$159)</f>
        <v>8000</v>
      </c>
      <c r="J165" s="6">
        <f>SUMIFS('In Place Revenue'!$G$2:$G$764,'In Place Revenue'!$B$2:$B$764,$B165,'In Place Revenue'!$D$2:$D$764,J$159)</f>
        <v>8000</v>
      </c>
      <c r="K165" s="6">
        <f>SUMIFS('In Place Revenue'!$G$2:$G$764,'In Place Revenue'!$B$2:$B$764,$B165,'In Place Revenue'!$D$2:$D$764,K$159)</f>
        <v>8000</v>
      </c>
      <c r="L165" s="6">
        <f>SUMIFS('In Place Revenue'!$G$2:$G$764,'In Place Revenue'!$B$2:$B$764,$B165,'In Place Revenue'!$D$2:$D$764,L$159)</f>
        <v>8000</v>
      </c>
      <c r="M165" s="6">
        <f>SUMIFS('In Place Revenue'!$G$2:$G$764,'In Place Revenue'!$B$2:$B$764,$B165,'In Place Revenue'!$D$2:$D$764,M$159)</f>
        <v>8000</v>
      </c>
      <c r="N165" s="6">
        <f>SUMIFS('In Place Revenue'!$G$2:$G$764,'In Place Revenue'!$B$2:$B$764,$B165,'In Place Revenue'!$D$2:$D$764,N$159)</f>
        <v>8000</v>
      </c>
      <c r="O165" s="6">
        <f>SUMIFS('In Place Revenue'!$G$2:$G$764,'In Place Revenue'!$B$2:$B$764,$B165,'In Place Revenue'!$D$2:$D$764,O$159)</f>
        <v>8000</v>
      </c>
      <c r="P165" s="6">
        <f>SUMIFS('In Place Revenue'!$G$2:$G$764,'In Place Revenue'!$B$2:$B$764,$B165,'In Place Revenue'!$D$2:$D$764,P$159)</f>
        <v>8000</v>
      </c>
      <c r="Q165" s="8">
        <f t="shared" si="74"/>
        <v>96000</v>
      </c>
    </row>
    <row r="166" spans="2:21" hidden="1" outlineLevel="1" x14ac:dyDescent="0.35">
      <c r="B166" s="339" t="s">
        <v>364</v>
      </c>
      <c r="C166" s="341"/>
      <c r="D166" s="6" t="str">
        <f>IFERROR(VLOOKUP(B166,'In Place Revenue'!$B$2:$H$630,2,FALSE),"Vacant")</f>
        <v>China Sun</v>
      </c>
      <c r="E166" s="6">
        <f>SUMIFS('In Place Revenue'!$G$2:$G$764,'In Place Revenue'!$B$2:$B$764,$B166,'In Place Revenue'!$D$2:$D$764,E$159)</f>
        <v>3666.67</v>
      </c>
      <c r="F166" s="6">
        <f>SUMIFS('In Place Revenue'!$G$2:$G$764,'In Place Revenue'!$B$2:$B$764,$B166,'In Place Revenue'!$D$2:$D$764,F$159)</f>
        <v>3666.67</v>
      </c>
      <c r="G166" s="6">
        <f>SUMIFS('In Place Revenue'!$G$2:$G$764,'In Place Revenue'!$B$2:$B$764,$B166,'In Place Revenue'!$D$2:$D$764,G$159)</f>
        <v>3666.67</v>
      </c>
      <c r="H166" s="6">
        <f>SUMIFS('In Place Revenue'!$G$2:$G$764,'In Place Revenue'!$B$2:$B$764,$B166,'In Place Revenue'!$D$2:$D$764,H$159)</f>
        <v>3666.67</v>
      </c>
      <c r="I166" s="6">
        <f>SUMIFS('In Place Revenue'!$G$2:$G$764,'In Place Revenue'!$B$2:$B$764,$B166,'In Place Revenue'!$D$2:$D$764,I$159)</f>
        <v>3666.67</v>
      </c>
      <c r="J166" s="6">
        <f>SUMIFS('In Place Revenue'!$G$2:$G$764,'In Place Revenue'!$B$2:$B$764,$B166,'In Place Revenue'!$D$2:$D$764,J$159)</f>
        <v>3666.67</v>
      </c>
      <c r="K166" s="6">
        <f>SUMIFS('In Place Revenue'!$G$2:$G$764,'In Place Revenue'!$B$2:$B$764,$B166,'In Place Revenue'!$D$2:$D$764,K$159)</f>
        <v>3666.67</v>
      </c>
      <c r="L166" s="6">
        <f>SUMIFS('In Place Revenue'!$G$2:$G$764,'In Place Revenue'!$B$2:$B$764,$B166,'In Place Revenue'!$D$2:$D$764,L$159)</f>
        <v>3666.67</v>
      </c>
      <c r="M166" s="6">
        <f>SUMIFS('In Place Revenue'!$G$2:$G$764,'In Place Revenue'!$B$2:$B$764,$B166,'In Place Revenue'!$D$2:$D$764,M$159)</f>
        <v>3666.67</v>
      </c>
      <c r="N166" s="6">
        <f>SUMIFS('In Place Revenue'!$G$2:$G$764,'In Place Revenue'!$B$2:$B$764,$B166,'In Place Revenue'!$D$2:$D$764,N$159)</f>
        <v>3666.67</v>
      </c>
      <c r="O166" s="6">
        <f>SUMIFS('In Place Revenue'!$G$2:$G$764,'In Place Revenue'!$B$2:$B$764,$B166,'In Place Revenue'!$D$2:$D$764,O$159)</f>
        <v>3666.67</v>
      </c>
      <c r="P166" s="6">
        <f>SUMIFS('In Place Revenue'!$G$2:$G$764,'In Place Revenue'!$B$2:$B$764,$B166,'In Place Revenue'!$D$2:$D$764,P$159)</f>
        <v>3666.67</v>
      </c>
      <c r="Q166" s="8">
        <f t="shared" si="74"/>
        <v>44000.039999999986</v>
      </c>
    </row>
    <row r="167" spans="2:21" hidden="1" outlineLevel="1" x14ac:dyDescent="0.35">
      <c r="B167" s="339" t="s">
        <v>366</v>
      </c>
      <c r="C167" s="341"/>
      <c r="D167" s="6" t="str">
        <f>IFERROR(VLOOKUP(B167,'In Place Revenue'!$B$2:$H$630,2,FALSE),"Vacant")</f>
        <v>Lee's Hoagie House</v>
      </c>
      <c r="E167" s="6">
        <f>SUMIFS('In Place Revenue'!$G$2:$G$764,'In Place Revenue'!$B$2:$B$764,$B167,'In Place Revenue'!$D$2:$D$764,E$159)</f>
        <v>4000</v>
      </c>
      <c r="F167" s="6">
        <f>SUMIFS('In Place Revenue'!$G$2:$G$764,'In Place Revenue'!$B$2:$B$764,$B167,'In Place Revenue'!$D$2:$D$764,F$159)</f>
        <v>4000</v>
      </c>
      <c r="G167" s="6">
        <f>SUMIFS('In Place Revenue'!$G$2:$G$764,'In Place Revenue'!$B$2:$B$764,$B167,'In Place Revenue'!$D$2:$D$764,G$159)</f>
        <v>4200</v>
      </c>
      <c r="H167" s="6">
        <f>SUMIFS('In Place Revenue'!$G$2:$G$764,'In Place Revenue'!$B$2:$B$764,$B167,'In Place Revenue'!$D$2:$D$764,H$159)</f>
        <v>4200</v>
      </c>
      <c r="I167" s="6">
        <f>SUMIFS('In Place Revenue'!$G$2:$G$764,'In Place Revenue'!$B$2:$B$764,$B167,'In Place Revenue'!$D$2:$D$764,I$159)</f>
        <v>4200</v>
      </c>
      <c r="J167" s="6">
        <f>SUMIFS('In Place Revenue'!$G$2:$G$764,'In Place Revenue'!$B$2:$B$764,$B167,'In Place Revenue'!$D$2:$D$764,J$159)</f>
        <v>4200</v>
      </c>
      <c r="K167" s="6">
        <f>SUMIFS('In Place Revenue'!$G$2:$G$764,'In Place Revenue'!$B$2:$B$764,$B167,'In Place Revenue'!$D$2:$D$764,K$159)</f>
        <v>4200</v>
      </c>
      <c r="L167" s="6">
        <f>SUMIFS('In Place Revenue'!$G$2:$G$764,'In Place Revenue'!$B$2:$B$764,$B167,'In Place Revenue'!$D$2:$D$764,L$159)</f>
        <v>4200</v>
      </c>
      <c r="M167" s="6">
        <f>SUMIFS('In Place Revenue'!$G$2:$G$764,'In Place Revenue'!$B$2:$B$764,$B167,'In Place Revenue'!$D$2:$D$764,M$159)</f>
        <v>4200</v>
      </c>
      <c r="N167" s="6">
        <f>SUMIFS('In Place Revenue'!$G$2:$G$764,'In Place Revenue'!$B$2:$B$764,$B167,'In Place Revenue'!$D$2:$D$764,N$159)</f>
        <v>4200</v>
      </c>
      <c r="O167" s="6">
        <f>SUMIFS('In Place Revenue'!$G$2:$G$764,'In Place Revenue'!$B$2:$B$764,$B167,'In Place Revenue'!$D$2:$D$764,O$159)</f>
        <v>4200</v>
      </c>
      <c r="P167" s="6">
        <f>SUMIFS('In Place Revenue'!$G$2:$G$764,'In Place Revenue'!$B$2:$B$764,$B167,'In Place Revenue'!$D$2:$D$764,P$159)</f>
        <v>4200</v>
      </c>
      <c r="Q167" s="8">
        <f t="shared" si="74"/>
        <v>50000</v>
      </c>
    </row>
    <row r="168" spans="2:21" hidden="1" outlineLevel="1" x14ac:dyDescent="0.35">
      <c r="B168" s="339" t="s">
        <v>368</v>
      </c>
      <c r="C168" s="341"/>
      <c r="D168" s="6" t="str">
        <f>IFERROR(VLOOKUP(B168,'In Place Revenue'!$B$2:$H$630,2,FALSE),"Vacant")</f>
        <v>Evolve Nails and Spa</v>
      </c>
      <c r="E168" s="6">
        <f>SUMIFS('In Place Revenue'!$G$2:$G$764,'In Place Revenue'!$B$2:$B$764,$B168,'In Place Revenue'!$D$2:$D$764,E$159)</f>
        <v>3200</v>
      </c>
      <c r="F168" s="6">
        <f>SUMIFS('In Place Revenue'!$G$2:$G$764,'In Place Revenue'!$B$2:$B$764,$B168,'In Place Revenue'!$D$2:$D$764,F$159)</f>
        <v>3200</v>
      </c>
      <c r="G168" s="6">
        <f>SUMIFS('In Place Revenue'!$G$2:$G$764,'In Place Revenue'!$B$2:$B$764,$B168,'In Place Revenue'!$D$2:$D$764,G$159)</f>
        <v>3200</v>
      </c>
      <c r="H168" s="6">
        <f>SUMIFS('In Place Revenue'!$G$2:$G$764,'In Place Revenue'!$B$2:$B$764,$B168,'In Place Revenue'!$D$2:$D$764,H$159)</f>
        <v>3200</v>
      </c>
      <c r="I168" s="6">
        <f>SUMIFS('In Place Revenue'!$G$2:$G$764,'In Place Revenue'!$B$2:$B$764,$B168,'In Place Revenue'!$D$2:$D$764,I$159)</f>
        <v>3200</v>
      </c>
      <c r="J168" s="6">
        <f>SUMIFS('In Place Revenue'!$G$2:$G$764,'In Place Revenue'!$B$2:$B$764,$B168,'In Place Revenue'!$D$2:$D$764,J$159)</f>
        <v>3333.33</v>
      </c>
      <c r="K168" s="6">
        <f>SUMIFS('In Place Revenue'!$G$2:$G$764,'In Place Revenue'!$B$2:$B$764,$B168,'In Place Revenue'!$D$2:$D$764,K$159)</f>
        <v>3333.33</v>
      </c>
      <c r="L168" s="6">
        <f>SUMIFS('In Place Revenue'!$G$2:$G$764,'In Place Revenue'!$B$2:$B$764,$B168,'In Place Revenue'!$D$2:$D$764,L$159)</f>
        <v>3333.33</v>
      </c>
      <c r="M168" s="6">
        <f>SUMIFS('In Place Revenue'!$G$2:$G$764,'In Place Revenue'!$B$2:$B$764,$B168,'In Place Revenue'!$D$2:$D$764,M$159)</f>
        <v>3333.33</v>
      </c>
      <c r="N168" s="6">
        <f>SUMIFS('In Place Revenue'!$G$2:$G$764,'In Place Revenue'!$B$2:$B$764,$B168,'In Place Revenue'!$D$2:$D$764,N$159)</f>
        <v>3333.33</v>
      </c>
      <c r="O168" s="6">
        <f>SUMIFS('In Place Revenue'!$G$2:$G$764,'In Place Revenue'!$B$2:$B$764,$B168,'In Place Revenue'!$D$2:$D$764,O$159)</f>
        <v>3333.33</v>
      </c>
      <c r="P168" s="6">
        <f>SUMIFS('In Place Revenue'!$G$2:$G$764,'In Place Revenue'!$B$2:$B$764,$B168,'In Place Revenue'!$D$2:$D$764,P$159)</f>
        <v>3333.33</v>
      </c>
      <c r="Q168" s="8">
        <f t="shared" si="74"/>
        <v>39333.310000000012</v>
      </c>
    </row>
    <row r="169" spans="2:21" hidden="1" outlineLevel="1" x14ac:dyDescent="0.35">
      <c r="B169" s="339" t="s">
        <v>370</v>
      </c>
      <c r="C169" s="341"/>
      <c r="D169" s="6" t="str">
        <f>IFERROR(VLOOKUP(B169,'In Place Revenue'!$B$2:$H$630,2,FALSE),"Vacant")</f>
        <v>Anand Patel dba GNC</v>
      </c>
      <c r="E169" s="6">
        <f>SUMIFS('In Place Revenue'!$G$2:$G$764,'In Place Revenue'!$B$2:$B$764,$B169,'In Place Revenue'!$D$2:$D$764,E$159)</f>
        <v>3093.33</v>
      </c>
      <c r="F169" s="6">
        <f>SUMIFS('In Place Revenue'!$G$2:$G$764,'In Place Revenue'!$B$2:$B$764,$B169,'In Place Revenue'!$D$2:$D$764,F$159)</f>
        <v>3093.33</v>
      </c>
      <c r="G169" s="6">
        <f>SUMIFS('In Place Revenue'!$G$2:$G$764,'In Place Revenue'!$B$2:$B$764,$B169,'In Place Revenue'!$D$2:$D$764,G$159)</f>
        <v>3093.33</v>
      </c>
      <c r="H169" s="6">
        <f>SUMIFS('In Place Revenue'!$G$2:$G$764,'In Place Revenue'!$B$2:$B$764,$B169,'In Place Revenue'!$D$2:$D$764,H$159)</f>
        <v>3093.33</v>
      </c>
      <c r="I169" s="6">
        <f>SUMIFS('In Place Revenue'!$G$2:$G$764,'In Place Revenue'!$B$2:$B$764,$B169,'In Place Revenue'!$D$2:$D$764,I$159)</f>
        <v>3093.33</v>
      </c>
      <c r="J169" s="6">
        <f>SUMIFS('In Place Revenue'!$G$2:$G$764,'In Place Revenue'!$B$2:$B$764,$B169,'In Place Revenue'!$D$2:$D$764,J$159)</f>
        <v>3093.33</v>
      </c>
      <c r="K169" s="6">
        <f>SUMIFS('In Place Revenue'!$G$2:$G$764,'In Place Revenue'!$B$2:$B$764,$B169,'In Place Revenue'!$D$2:$D$764,K$159)</f>
        <v>0</v>
      </c>
      <c r="L169" s="6">
        <f>SUMIFS('In Place Revenue'!$G$2:$G$764,'In Place Revenue'!$B$2:$B$764,$B169,'In Place Revenue'!$D$2:$D$764,L$159)</f>
        <v>0</v>
      </c>
      <c r="M169" s="6">
        <f>SUMIFS('In Place Revenue'!$G$2:$G$764,'In Place Revenue'!$B$2:$B$764,$B169,'In Place Revenue'!$D$2:$D$764,M$159)</f>
        <v>0</v>
      </c>
      <c r="N169" s="6">
        <f>SUMIFS('In Place Revenue'!$G$2:$G$764,'In Place Revenue'!$B$2:$B$764,$B169,'In Place Revenue'!$D$2:$D$764,N$159)</f>
        <v>0</v>
      </c>
      <c r="O169" s="6">
        <f>SUMIFS('In Place Revenue'!$G$2:$G$764,'In Place Revenue'!$B$2:$B$764,$B169,'In Place Revenue'!$D$2:$D$764,O$159)</f>
        <v>0</v>
      </c>
      <c r="P169" s="6">
        <f>SUMIFS('In Place Revenue'!$G$2:$G$764,'In Place Revenue'!$B$2:$B$764,$B169,'In Place Revenue'!$D$2:$D$764,P$159)</f>
        <v>0</v>
      </c>
      <c r="Q169" s="8">
        <f t="shared" si="74"/>
        <v>18559.98</v>
      </c>
    </row>
    <row r="170" spans="2:21" hidden="1" outlineLevel="1" x14ac:dyDescent="0.35">
      <c r="B170" s="339" t="s">
        <v>372</v>
      </c>
      <c r="C170" s="341"/>
      <c r="D170" s="6" t="str">
        <f>IFERROR(VLOOKUP(B170,'In Place Revenue'!$B$2:$H$630,2,FALSE),"Vacant")</f>
        <v>Citizens Bank of PA</v>
      </c>
      <c r="E170" s="6">
        <f>SUMIFS('In Place Revenue'!$G$2:$G$764,'In Place Revenue'!$B$2:$B$764,$B170,'In Place Revenue'!$D$2:$D$764,E$159)</f>
        <v>9166.67</v>
      </c>
      <c r="F170" s="6">
        <f>SUMIFS('In Place Revenue'!$G$2:$G$764,'In Place Revenue'!$B$2:$B$764,$B170,'In Place Revenue'!$D$2:$D$764,F$159)</f>
        <v>9166.67</v>
      </c>
      <c r="G170" s="6">
        <f>SUMIFS('In Place Revenue'!$G$2:$G$764,'In Place Revenue'!$B$2:$B$764,$B170,'In Place Revenue'!$D$2:$D$764,G$159)</f>
        <v>9166.67</v>
      </c>
      <c r="H170" s="6">
        <f>SUMIFS('In Place Revenue'!$G$2:$G$764,'In Place Revenue'!$B$2:$B$764,$B170,'In Place Revenue'!$D$2:$D$764,H$159)</f>
        <v>9166.67</v>
      </c>
      <c r="I170" s="6">
        <f>SUMIFS('In Place Revenue'!$G$2:$G$764,'In Place Revenue'!$B$2:$B$764,$B170,'In Place Revenue'!$D$2:$D$764,I$159)</f>
        <v>9166.67</v>
      </c>
      <c r="J170" s="6">
        <f>SUMIFS('In Place Revenue'!$G$2:$G$764,'In Place Revenue'!$B$2:$B$764,$B170,'In Place Revenue'!$D$2:$D$764,J$159)</f>
        <v>9166.67</v>
      </c>
      <c r="K170" s="6">
        <f>SUMIFS('In Place Revenue'!$G$2:$G$764,'In Place Revenue'!$B$2:$B$764,$B170,'In Place Revenue'!$D$2:$D$764,K$159)</f>
        <v>9166.67</v>
      </c>
      <c r="L170" s="6">
        <f>SUMIFS('In Place Revenue'!$G$2:$G$764,'In Place Revenue'!$B$2:$B$764,$B170,'In Place Revenue'!$D$2:$D$764,L$159)</f>
        <v>9166.67</v>
      </c>
      <c r="M170" s="6">
        <f>SUMIFS('In Place Revenue'!$G$2:$G$764,'In Place Revenue'!$B$2:$B$764,$B170,'In Place Revenue'!$D$2:$D$764,M$159)</f>
        <v>9166.67</v>
      </c>
      <c r="N170" s="6">
        <f>SUMIFS('In Place Revenue'!$G$2:$G$764,'In Place Revenue'!$B$2:$B$764,$B170,'In Place Revenue'!$D$2:$D$764,N$159)</f>
        <v>9166.67</v>
      </c>
      <c r="O170" s="6">
        <f>SUMIFS('In Place Revenue'!$G$2:$G$764,'In Place Revenue'!$B$2:$B$764,$B170,'In Place Revenue'!$D$2:$D$764,O$159)</f>
        <v>9166.67</v>
      </c>
      <c r="P170" s="6">
        <f>SUMIFS('In Place Revenue'!$G$2:$G$764,'In Place Revenue'!$B$2:$B$764,$B170,'In Place Revenue'!$D$2:$D$764,P$159)</f>
        <v>9166.67</v>
      </c>
      <c r="Q170" s="8">
        <f t="shared" si="74"/>
        <v>110000.04</v>
      </c>
    </row>
    <row r="171" spans="2:21" hidden="1" outlineLevel="1" x14ac:dyDescent="0.35">
      <c r="B171" s="339" t="s">
        <v>374</v>
      </c>
      <c r="C171" s="341"/>
      <c r="D171" s="6" t="str">
        <f>IFERROR(VLOOKUP(B171,'In Place Revenue'!$B$2:$H$630,2,FALSE),"Vacant")</f>
        <v>Wawa Inc. #267</v>
      </c>
      <c r="E171" s="6">
        <f>SUMIFS('In Place Revenue'!$G$2:$G$764,'In Place Revenue'!$B$2:$B$764,$B171,'In Place Revenue'!$D$2:$D$764,E$159)</f>
        <v>8016.33</v>
      </c>
      <c r="F171" s="6">
        <f>SUMIFS('In Place Revenue'!$G$2:$G$764,'In Place Revenue'!$B$2:$B$764,$B171,'In Place Revenue'!$D$2:$D$764,F$159)</f>
        <v>8016.33</v>
      </c>
      <c r="G171" s="6">
        <f>SUMIFS('In Place Revenue'!$G$2:$G$764,'In Place Revenue'!$B$2:$B$764,$B171,'In Place Revenue'!$D$2:$D$764,G$159)</f>
        <v>8016.33</v>
      </c>
      <c r="H171" s="6">
        <f>SUMIFS('In Place Revenue'!$G$2:$G$764,'In Place Revenue'!$B$2:$B$764,$B171,'In Place Revenue'!$D$2:$D$764,H$159)</f>
        <v>8016.33</v>
      </c>
      <c r="I171" s="6">
        <f>SUMIFS('In Place Revenue'!$G$2:$G$764,'In Place Revenue'!$B$2:$B$764,$B171,'In Place Revenue'!$D$2:$D$764,I$159)</f>
        <v>8016.33</v>
      </c>
      <c r="J171" s="6">
        <f>SUMIFS('In Place Revenue'!$G$2:$G$764,'In Place Revenue'!$B$2:$B$764,$B171,'In Place Revenue'!$D$2:$D$764,J$159)</f>
        <v>8016.33</v>
      </c>
      <c r="K171" s="6">
        <f>SUMIFS('In Place Revenue'!$G$2:$G$764,'In Place Revenue'!$B$2:$B$764,$B171,'In Place Revenue'!$D$2:$D$764,K$159)</f>
        <v>8016.33</v>
      </c>
      <c r="L171" s="6">
        <f>SUMIFS('In Place Revenue'!$G$2:$G$764,'In Place Revenue'!$B$2:$B$764,$B171,'In Place Revenue'!$D$2:$D$764,L$159)</f>
        <v>8016.33</v>
      </c>
      <c r="M171" s="6">
        <f>SUMIFS('In Place Revenue'!$G$2:$G$764,'In Place Revenue'!$B$2:$B$764,$B171,'In Place Revenue'!$D$2:$D$764,M$159)</f>
        <v>8016.33</v>
      </c>
      <c r="N171" s="6">
        <f>SUMIFS('In Place Revenue'!$G$2:$G$764,'In Place Revenue'!$B$2:$B$764,$B171,'In Place Revenue'!$D$2:$D$764,N$159)</f>
        <v>8016.33</v>
      </c>
      <c r="O171" s="6">
        <f>SUMIFS('In Place Revenue'!$G$2:$G$764,'In Place Revenue'!$B$2:$B$764,$B171,'In Place Revenue'!$D$2:$D$764,O$159)</f>
        <v>8016.33</v>
      </c>
      <c r="P171" s="6">
        <f>SUMIFS('In Place Revenue'!$G$2:$G$764,'In Place Revenue'!$B$2:$B$764,$B171,'In Place Revenue'!$D$2:$D$764,P$159)</f>
        <v>8016.33</v>
      </c>
      <c r="Q171" s="8">
        <f t="shared" si="74"/>
        <v>96195.96</v>
      </c>
    </row>
    <row r="172" spans="2:21" hidden="1" outlineLevel="1" x14ac:dyDescent="0.35">
      <c r="B172" s="340" t="s">
        <v>376</v>
      </c>
      <c r="C172" s="342"/>
      <c r="D172" s="15" t="str">
        <f>IFERROR(VLOOKUP(B172,'In Place Revenue'!$B$2:$H$630,2,FALSE),"Vacant")</f>
        <v>Dunkin Donuts #336368</v>
      </c>
      <c r="E172" s="15">
        <f>SUMIFS('In Place Revenue'!$G$2:$G$764,'In Place Revenue'!$B$2:$B$764,$B172,'In Place Revenue'!$D$2:$D$764,E$159)</f>
        <v>5000</v>
      </c>
      <c r="F172" s="15">
        <f>SUMIFS('In Place Revenue'!$G$2:$G$764,'In Place Revenue'!$B$2:$B$764,$B172,'In Place Revenue'!$D$2:$D$764,F$159)</f>
        <v>5000</v>
      </c>
      <c r="G172" s="15">
        <f>SUMIFS('In Place Revenue'!$G$2:$G$764,'In Place Revenue'!$B$2:$B$764,$B172,'In Place Revenue'!$D$2:$D$764,G$159)</f>
        <v>5000</v>
      </c>
      <c r="H172" s="15">
        <f>SUMIFS('In Place Revenue'!$G$2:$G$764,'In Place Revenue'!$B$2:$B$764,$B172,'In Place Revenue'!$D$2:$D$764,H$159)</f>
        <v>5000</v>
      </c>
      <c r="I172" s="15">
        <f>SUMIFS('In Place Revenue'!$G$2:$G$764,'In Place Revenue'!$B$2:$B$764,$B172,'In Place Revenue'!$D$2:$D$764,I$159)</f>
        <v>5000</v>
      </c>
      <c r="J172" s="15">
        <f>SUMIFS('In Place Revenue'!$G$2:$G$764,'In Place Revenue'!$B$2:$B$764,$B172,'In Place Revenue'!$D$2:$D$764,J$159)</f>
        <v>5000</v>
      </c>
      <c r="K172" s="15">
        <f>SUMIFS('In Place Revenue'!$G$2:$G$764,'In Place Revenue'!$B$2:$B$764,$B172,'In Place Revenue'!$D$2:$D$764,K$159)</f>
        <v>5000</v>
      </c>
      <c r="L172" s="15">
        <f>SUMIFS('In Place Revenue'!$G$2:$G$764,'In Place Revenue'!$B$2:$B$764,$B172,'In Place Revenue'!$D$2:$D$764,L$159)</f>
        <v>5000</v>
      </c>
      <c r="M172" s="15">
        <f>SUMIFS('In Place Revenue'!$G$2:$G$764,'In Place Revenue'!$B$2:$B$764,$B172,'In Place Revenue'!$D$2:$D$764,M$159)</f>
        <v>5000</v>
      </c>
      <c r="N172" s="15">
        <f>SUMIFS('In Place Revenue'!$G$2:$G$764,'In Place Revenue'!$B$2:$B$764,$B172,'In Place Revenue'!$D$2:$D$764,N$159)</f>
        <v>5000</v>
      </c>
      <c r="O172" s="15">
        <f>SUMIFS('In Place Revenue'!$G$2:$G$764,'In Place Revenue'!$B$2:$B$764,$B172,'In Place Revenue'!$D$2:$D$764,O$159)</f>
        <v>5000</v>
      </c>
      <c r="P172" s="15">
        <f>SUMIFS('In Place Revenue'!$G$2:$G$764,'In Place Revenue'!$B$2:$B$764,$B172,'In Place Revenue'!$D$2:$D$764,P$159)</f>
        <v>5000</v>
      </c>
      <c r="Q172" s="49">
        <f t="shared" si="74"/>
        <v>60000</v>
      </c>
    </row>
    <row r="173" spans="2:21" hidden="1" outlineLevel="1" x14ac:dyDescent="0.35">
      <c r="B173" s="3"/>
      <c r="D173" s="16" t="s">
        <v>12</v>
      </c>
      <c r="E173" s="8">
        <f>SUM(E160:E172)</f>
        <v>96896.61</v>
      </c>
      <c r="F173" s="8">
        <f t="shared" ref="F173:P173" si="75">SUM(F160:F172)</f>
        <v>96896.61</v>
      </c>
      <c r="G173" s="8">
        <f t="shared" si="75"/>
        <v>97346.61</v>
      </c>
      <c r="H173" s="8">
        <f t="shared" si="75"/>
        <v>97346.61</v>
      </c>
      <c r="I173" s="8">
        <f t="shared" si="75"/>
        <v>97346.61</v>
      </c>
      <c r="J173" s="8">
        <f t="shared" si="75"/>
        <v>97479.94</v>
      </c>
      <c r="K173" s="8">
        <f t="shared" si="75"/>
        <v>94386.36</v>
      </c>
      <c r="L173" s="8">
        <f t="shared" si="75"/>
        <v>94386.36</v>
      </c>
      <c r="M173" s="8">
        <f t="shared" si="75"/>
        <v>94386.36</v>
      </c>
      <c r="N173" s="8">
        <f t="shared" si="75"/>
        <v>94386.36</v>
      </c>
      <c r="O173" s="8">
        <f t="shared" si="75"/>
        <v>94386.36</v>
      </c>
      <c r="P173" s="8">
        <f t="shared" si="75"/>
        <v>94386.36</v>
      </c>
      <c r="Q173" s="8">
        <f>SUM(Q160:Q172)</f>
        <v>1149631.1500000001</v>
      </c>
    </row>
    <row r="174" spans="2:21" hidden="1" outlineLevel="1" x14ac:dyDescent="0.35">
      <c r="E174" s="55">
        <f t="shared" ref="E174:Q174" si="76">E10-E173</f>
        <v>0</v>
      </c>
      <c r="F174" s="55">
        <f t="shared" si="76"/>
        <v>0</v>
      </c>
      <c r="G174" s="55">
        <f t="shared" si="76"/>
        <v>0</v>
      </c>
      <c r="H174" s="55">
        <f t="shared" si="76"/>
        <v>0</v>
      </c>
      <c r="I174" s="55">
        <f t="shared" si="76"/>
        <v>0</v>
      </c>
      <c r="J174" s="55">
        <f t="shared" si="76"/>
        <v>0</v>
      </c>
      <c r="K174" s="55">
        <f t="shared" si="76"/>
        <v>0</v>
      </c>
      <c r="L174" s="55">
        <f t="shared" si="76"/>
        <v>0</v>
      </c>
      <c r="M174" s="55">
        <f t="shared" si="76"/>
        <v>0</v>
      </c>
      <c r="N174" s="55">
        <f t="shared" si="76"/>
        <v>0</v>
      </c>
      <c r="O174" s="55">
        <f t="shared" si="76"/>
        <v>0</v>
      </c>
      <c r="P174" s="55">
        <f t="shared" si="76"/>
        <v>0</v>
      </c>
      <c r="Q174" s="6">
        <f t="shared" si="76"/>
        <v>0</v>
      </c>
      <c r="T174" s="6"/>
      <c r="U174" s="6"/>
    </row>
    <row r="175" spans="2:21" collapsed="1" x14ac:dyDescent="0.35"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T175" s="6"/>
      <c r="U175" s="6"/>
    </row>
    <row r="176" spans="2:21" ht="17.5" x14ac:dyDescent="0.35">
      <c r="B176" s="9" t="s">
        <v>160</v>
      </c>
      <c r="E176" s="349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0"/>
      <c r="T176" s="6"/>
      <c r="U176" s="6"/>
    </row>
    <row r="177" spans="2:21" hidden="1" outlineLevel="1" x14ac:dyDescent="0.35">
      <c r="B177" s="15" t="s">
        <v>503</v>
      </c>
      <c r="C177" s="15"/>
      <c r="D177" s="15" t="s">
        <v>302</v>
      </c>
      <c r="E177" s="338">
        <f>E159</f>
        <v>46023</v>
      </c>
      <c r="F177" s="338">
        <f t="shared" ref="F177:P177" si="77">F159</f>
        <v>46054</v>
      </c>
      <c r="G177" s="338">
        <f t="shared" si="77"/>
        <v>46082</v>
      </c>
      <c r="H177" s="338">
        <f t="shared" si="77"/>
        <v>46113</v>
      </c>
      <c r="I177" s="338">
        <f t="shared" si="77"/>
        <v>46143</v>
      </c>
      <c r="J177" s="338">
        <f t="shared" si="77"/>
        <v>46174</v>
      </c>
      <c r="K177" s="338">
        <f t="shared" si="77"/>
        <v>46204</v>
      </c>
      <c r="L177" s="338">
        <f t="shared" si="77"/>
        <v>46235</v>
      </c>
      <c r="M177" s="338">
        <f t="shared" si="77"/>
        <v>46266</v>
      </c>
      <c r="N177" s="338">
        <f t="shared" si="77"/>
        <v>46296</v>
      </c>
      <c r="O177" s="338">
        <f t="shared" si="77"/>
        <v>46327</v>
      </c>
      <c r="P177" s="338">
        <f t="shared" si="77"/>
        <v>46357</v>
      </c>
      <c r="Q177" s="285" t="s">
        <v>12</v>
      </c>
      <c r="T177" s="6"/>
      <c r="U177" s="6"/>
    </row>
    <row r="178" spans="2:21" hidden="1" outlineLevel="1" x14ac:dyDescent="0.35">
      <c r="B178" s="357" t="str">
        <f>B160</f>
        <v>2300-1817</v>
      </c>
      <c r="D178" s="6" t="str">
        <f>IFERROR(VLOOKUP(B178,'Renew &amp; Vac '!$L$53:$M$67,2,FALSE),IFERROR(VLOOKUP(B178,'Renew &amp; Vac '!$A$53:$B$67,2,FALSE),VLOOKUP(B178,$B$160:$D$172,3,FALSE)))</f>
        <v>M &amp; T Bank</v>
      </c>
      <c r="E178" s="6">
        <f>SUMIFS('Renew &amp; Vac '!$S$53:$S$67,'Renew &amp; Vac '!$L$53:$L$67,$B178,'Renew &amp; Vac '!$O$53:$O$67,"&lt;="&amp;E$177,'Renew &amp; Vac '!$P$53:$P$67,"&gt;="&amp;E$177)+SUMIFS('Renew &amp; Vac '!$H$53:$H$67,'Renew &amp; Vac '!$A$53:$A$67,$B178,'Renew &amp; Vac '!$D$53:$D$67,"&lt;="&amp;E$177,'Renew &amp; Vac '!$E$53:$E$67,"&gt;="&amp;E$177)</f>
        <v>0</v>
      </c>
      <c r="F178" s="6">
        <f>SUMIFS('Renew &amp; Vac '!$S$53:$S$67,'Renew &amp; Vac '!$L$53:$L$67,$B178,'Renew &amp; Vac '!$O$53:$O$67,"&lt;="&amp;F$177,'Renew &amp; Vac '!$P$53:$P$67,"&gt;="&amp;F$177)+SUMIFS('Renew &amp; Vac '!$H$53:$H$67,'Renew &amp; Vac '!$A$53:$A$67,$B178,'Renew &amp; Vac '!$D$53:$D$67,"&lt;="&amp;F$177,'Renew &amp; Vac '!$E$53:$E$67,"&gt;="&amp;F$177)</f>
        <v>0</v>
      </c>
      <c r="G178" s="6">
        <f>SUMIFS('Renew &amp; Vac '!$S$53:$S$67,'Renew &amp; Vac '!$L$53:$L$67,$B178,'Renew &amp; Vac '!$O$53:$O$67,"&lt;="&amp;G$177,'Renew &amp; Vac '!$P$53:$P$67,"&gt;="&amp;G$177)+SUMIFS('Renew &amp; Vac '!$H$53:$H$67,'Renew &amp; Vac '!$A$53:$A$67,$B178,'Renew &amp; Vac '!$D$53:$D$67,"&lt;="&amp;G$177,'Renew &amp; Vac '!$E$53:$E$67,"&gt;="&amp;G$177)</f>
        <v>0</v>
      </c>
      <c r="H178" s="6">
        <f>SUMIFS('Renew &amp; Vac '!$S$53:$S$67,'Renew &amp; Vac '!$L$53:$L$67,$B178,'Renew &amp; Vac '!$O$53:$O$67,"&lt;="&amp;H$177,'Renew &amp; Vac '!$P$53:$P$67,"&gt;="&amp;H$177)+SUMIFS('Renew &amp; Vac '!$H$53:$H$67,'Renew &amp; Vac '!$A$53:$A$67,$B178,'Renew &amp; Vac '!$D$53:$D$67,"&lt;="&amp;H$177,'Renew &amp; Vac '!$E$53:$E$67,"&gt;="&amp;H$177)</f>
        <v>0</v>
      </c>
      <c r="I178" s="6">
        <f>SUMIFS('Renew &amp; Vac '!$S$53:$S$67,'Renew &amp; Vac '!$L$53:$L$67,$B178,'Renew &amp; Vac '!$O$53:$O$67,"&lt;="&amp;I$177,'Renew &amp; Vac '!$P$53:$P$67,"&gt;="&amp;I$177)+SUMIFS('Renew &amp; Vac '!$H$53:$H$67,'Renew &amp; Vac '!$A$53:$A$67,$B178,'Renew &amp; Vac '!$D$53:$D$67,"&lt;="&amp;I$177,'Renew &amp; Vac '!$E$53:$E$67,"&gt;="&amp;I$177)</f>
        <v>0</v>
      </c>
      <c r="J178" s="6">
        <f>SUMIFS('Renew &amp; Vac '!$S$53:$S$67,'Renew &amp; Vac '!$L$53:$L$67,$B178,'Renew &amp; Vac '!$O$53:$O$67,"&lt;="&amp;J$177,'Renew &amp; Vac '!$P$53:$P$67,"&gt;="&amp;J$177)+SUMIFS('Renew &amp; Vac '!$H$53:$H$67,'Renew &amp; Vac '!$A$53:$A$67,$B178,'Renew &amp; Vac '!$D$53:$D$67,"&lt;="&amp;J$177,'Renew &amp; Vac '!$E$53:$E$67,"&gt;="&amp;J$177)</f>
        <v>0</v>
      </c>
      <c r="K178" s="6">
        <f>SUMIFS('Renew &amp; Vac '!$S$53:$S$67,'Renew &amp; Vac '!$L$53:$L$67,$B178,'Renew &amp; Vac '!$O$53:$O$67,"&lt;="&amp;K$177,'Renew &amp; Vac '!$P$53:$P$67,"&gt;="&amp;K$177)+SUMIFS('Renew &amp; Vac '!$H$53:$H$67,'Renew &amp; Vac '!$A$53:$A$67,$B178,'Renew &amp; Vac '!$D$53:$D$67,"&lt;="&amp;K$177,'Renew &amp; Vac '!$E$53:$E$67,"&gt;="&amp;K$177)</f>
        <v>0</v>
      </c>
      <c r="L178" s="6">
        <f>SUMIFS('Renew &amp; Vac '!$S$53:$S$67,'Renew &amp; Vac '!$L$53:$L$67,$B178,'Renew &amp; Vac '!$O$53:$O$67,"&lt;="&amp;L$177,'Renew &amp; Vac '!$P$53:$P$67,"&gt;="&amp;L$177)+SUMIFS('Renew &amp; Vac '!$H$53:$H$67,'Renew &amp; Vac '!$A$53:$A$67,$B178,'Renew &amp; Vac '!$D$53:$D$67,"&lt;="&amp;L$177,'Renew &amp; Vac '!$E$53:$E$67,"&gt;="&amp;L$177)</f>
        <v>0</v>
      </c>
      <c r="M178" s="6">
        <f>SUMIFS('Renew &amp; Vac '!$S$53:$S$67,'Renew &amp; Vac '!$L$53:$L$67,$B178,'Renew &amp; Vac '!$O$53:$O$67,"&lt;="&amp;M$177,'Renew &amp; Vac '!$P$53:$P$67,"&gt;="&amp;M$177)+SUMIFS('Renew &amp; Vac '!$H$53:$H$67,'Renew &amp; Vac '!$A$53:$A$67,$B178,'Renew &amp; Vac '!$D$53:$D$67,"&lt;="&amp;M$177,'Renew &amp; Vac '!$E$53:$E$67,"&gt;="&amp;M$177)</f>
        <v>0</v>
      </c>
      <c r="N178" s="6">
        <f>SUMIFS('Renew &amp; Vac '!$S$53:$S$67,'Renew &amp; Vac '!$L$53:$L$67,$B178,'Renew &amp; Vac '!$O$53:$O$67,"&lt;="&amp;N$177,'Renew &amp; Vac '!$P$53:$P$67,"&gt;="&amp;N$177)+SUMIFS('Renew &amp; Vac '!$H$53:$H$67,'Renew &amp; Vac '!$A$53:$A$67,$B178,'Renew &amp; Vac '!$D$53:$D$67,"&lt;="&amp;N$177,'Renew &amp; Vac '!$E$53:$E$67,"&gt;="&amp;N$177)</f>
        <v>0</v>
      </c>
      <c r="O178" s="6">
        <f>SUMIFS('Renew &amp; Vac '!$S$53:$S$67,'Renew &amp; Vac '!$L$53:$L$67,$B178,'Renew &amp; Vac '!$O$53:$O$67,"&lt;="&amp;O$177,'Renew &amp; Vac '!$P$53:$P$67,"&gt;="&amp;O$177)+SUMIFS('Renew &amp; Vac '!$H$53:$H$67,'Renew &amp; Vac '!$A$53:$A$67,$B178,'Renew &amp; Vac '!$D$53:$D$67,"&lt;="&amp;O$177,'Renew &amp; Vac '!$E$53:$E$67,"&gt;="&amp;O$177)</f>
        <v>0</v>
      </c>
      <c r="P178" s="6">
        <f>SUMIFS('Renew &amp; Vac '!$S$53:$S$67,'Renew &amp; Vac '!$L$53:$L$67,$B178,'Renew &amp; Vac '!$O$53:$O$67,"&lt;="&amp;P$177,'Renew &amp; Vac '!$P$53:$P$67,"&gt;="&amp;P$177)+SUMIFS('Renew &amp; Vac '!$H$53:$H$67,'Renew &amp; Vac '!$A$53:$A$67,$B178,'Renew &amp; Vac '!$D$53:$D$67,"&lt;="&amp;P$177,'Renew &amp; Vac '!$E$53:$E$67,"&gt;="&amp;P$177)</f>
        <v>0</v>
      </c>
      <c r="Q178" s="8">
        <f>SUM(E178:P178)</f>
        <v>0</v>
      </c>
      <c r="T178" s="6"/>
      <c r="U178" s="6"/>
    </row>
    <row r="179" spans="2:21" hidden="1" outlineLevel="1" x14ac:dyDescent="0.35">
      <c r="B179" s="79" t="str">
        <f t="shared" ref="B179:B190" si="78">B161</f>
        <v>2300-1847</v>
      </c>
      <c r="D179" s="6" t="str">
        <f>IFERROR(VLOOKUP(B179,'Renew &amp; Vac '!$L$53:$M$67,2,FALSE),IFERROR(VLOOKUP(B179,'Renew &amp; Vac '!$A$53:$B$67,2,FALSE),VLOOKUP(B179,$B$160:$D$172,3,FALSE)))</f>
        <v>Crafty Crab</v>
      </c>
      <c r="E179" s="6">
        <f>SUMIFS('Renew &amp; Vac '!$S$53:$S$67,'Renew &amp; Vac '!$L$53:$L$67,$B179,'Renew &amp; Vac '!$O$53:$O$67,"&lt;="&amp;E$177,'Renew &amp; Vac '!$P$53:$P$67,"&gt;="&amp;E$177)+SUMIFS('Renew &amp; Vac '!$H$53:$H$67,'Renew &amp; Vac '!$A$53:$A$67,$B179,'Renew &amp; Vac '!$D$53:$D$67,"&lt;="&amp;E$177,'Renew &amp; Vac '!$E$53:$E$67,"&gt;="&amp;E$177)</f>
        <v>0</v>
      </c>
      <c r="F179" s="6">
        <f>SUMIFS('Renew &amp; Vac '!$S$53:$S$67,'Renew &amp; Vac '!$L$53:$L$67,$B179,'Renew &amp; Vac '!$O$53:$O$67,"&lt;="&amp;F$177,'Renew &amp; Vac '!$P$53:$P$67,"&gt;="&amp;F$177)+SUMIFS('Renew &amp; Vac '!$H$53:$H$67,'Renew &amp; Vac '!$A$53:$A$67,$B179,'Renew &amp; Vac '!$D$53:$D$67,"&lt;="&amp;F$177,'Renew &amp; Vac '!$E$53:$E$67,"&gt;="&amp;F$177)</f>
        <v>0</v>
      </c>
      <c r="G179" s="6">
        <f>SUMIFS('Renew &amp; Vac '!$S$53:$S$67,'Renew &amp; Vac '!$L$53:$L$67,$B179,'Renew &amp; Vac '!$O$53:$O$67,"&lt;="&amp;G$177,'Renew &amp; Vac '!$P$53:$P$67,"&gt;="&amp;G$177)+SUMIFS('Renew &amp; Vac '!$H$53:$H$67,'Renew &amp; Vac '!$A$53:$A$67,$B179,'Renew &amp; Vac '!$D$53:$D$67,"&lt;="&amp;G$177,'Renew &amp; Vac '!$E$53:$E$67,"&gt;="&amp;G$177)</f>
        <v>0</v>
      </c>
      <c r="H179" s="6">
        <f>SUMIFS('Renew &amp; Vac '!$S$53:$S$67,'Renew &amp; Vac '!$L$53:$L$67,$B179,'Renew &amp; Vac '!$O$53:$O$67,"&lt;="&amp;H$177,'Renew &amp; Vac '!$P$53:$P$67,"&gt;="&amp;H$177)+SUMIFS('Renew &amp; Vac '!$H$53:$H$67,'Renew &amp; Vac '!$A$53:$A$67,$B179,'Renew &amp; Vac '!$D$53:$D$67,"&lt;="&amp;H$177,'Renew &amp; Vac '!$E$53:$E$67,"&gt;="&amp;H$177)</f>
        <v>0</v>
      </c>
      <c r="I179" s="6">
        <f>SUMIFS('Renew &amp; Vac '!$S$53:$S$67,'Renew &amp; Vac '!$L$53:$L$67,$B179,'Renew &amp; Vac '!$O$53:$O$67,"&lt;="&amp;I$177,'Renew &amp; Vac '!$P$53:$P$67,"&gt;="&amp;I$177)+SUMIFS('Renew &amp; Vac '!$H$53:$H$67,'Renew &amp; Vac '!$A$53:$A$67,$B179,'Renew &amp; Vac '!$D$53:$D$67,"&lt;="&amp;I$177,'Renew &amp; Vac '!$E$53:$E$67,"&gt;="&amp;I$177)</f>
        <v>0</v>
      </c>
      <c r="J179" s="6">
        <f>SUMIFS('Renew &amp; Vac '!$S$53:$S$67,'Renew &amp; Vac '!$L$53:$L$67,$B179,'Renew &amp; Vac '!$O$53:$O$67,"&lt;="&amp;J$177,'Renew &amp; Vac '!$P$53:$P$67,"&gt;="&amp;J$177)+SUMIFS('Renew &amp; Vac '!$H$53:$H$67,'Renew &amp; Vac '!$A$53:$A$67,$B179,'Renew &amp; Vac '!$D$53:$D$67,"&lt;="&amp;J$177,'Renew &amp; Vac '!$E$53:$E$67,"&gt;="&amp;J$177)</f>
        <v>0</v>
      </c>
      <c r="K179" s="6">
        <f>SUMIFS('Renew &amp; Vac '!$S$53:$S$67,'Renew &amp; Vac '!$L$53:$L$67,$B179,'Renew &amp; Vac '!$O$53:$O$67,"&lt;="&amp;K$177,'Renew &amp; Vac '!$P$53:$P$67,"&gt;="&amp;K$177)+SUMIFS('Renew &amp; Vac '!$H$53:$H$67,'Renew &amp; Vac '!$A$53:$A$67,$B179,'Renew &amp; Vac '!$D$53:$D$67,"&lt;="&amp;K$177,'Renew &amp; Vac '!$E$53:$E$67,"&gt;="&amp;K$177)</f>
        <v>0</v>
      </c>
      <c r="L179" s="6">
        <f>SUMIFS('Renew &amp; Vac '!$S$53:$S$67,'Renew &amp; Vac '!$L$53:$L$67,$B179,'Renew &amp; Vac '!$O$53:$O$67,"&lt;="&amp;L$177,'Renew &amp; Vac '!$P$53:$P$67,"&gt;="&amp;L$177)+SUMIFS('Renew &amp; Vac '!$H$53:$H$67,'Renew &amp; Vac '!$A$53:$A$67,$B179,'Renew &amp; Vac '!$D$53:$D$67,"&lt;="&amp;L$177,'Renew &amp; Vac '!$E$53:$E$67,"&gt;="&amp;L$177)</f>
        <v>0</v>
      </c>
      <c r="M179" s="6">
        <f>SUMIFS('Renew &amp; Vac '!$S$53:$S$67,'Renew &amp; Vac '!$L$53:$L$67,$B179,'Renew &amp; Vac '!$O$53:$O$67,"&lt;="&amp;M$177,'Renew &amp; Vac '!$P$53:$P$67,"&gt;="&amp;M$177)+SUMIFS('Renew &amp; Vac '!$H$53:$H$67,'Renew &amp; Vac '!$A$53:$A$67,$B179,'Renew &amp; Vac '!$D$53:$D$67,"&lt;="&amp;M$177,'Renew &amp; Vac '!$E$53:$E$67,"&gt;="&amp;M$177)</f>
        <v>0</v>
      </c>
      <c r="N179" s="6">
        <f>SUMIFS('Renew &amp; Vac '!$S$53:$S$67,'Renew &amp; Vac '!$L$53:$L$67,$B179,'Renew &amp; Vac '!$O$53:$O$67,"&lt;="&amp;N$177,'Renew &amp; Vac '!$P$53:$P$67,"&gt;="&amp;N$177)+SUMIFS('Renew &amp; Vac '!$H$53:$H$67,'Renew &amp; Vac '!$A$53:$A$67,$B179,'Renew &amp; Vac '!$D$53:$D$67,"&lt;="&amp;N$177,'Renew &amp; Vac '!$E$53:$E$67,"&gt;="&amp;N$177)</f>
        <v>0</v>
      </c>
      <c r="O179" s="6">
        <f>SUMIFS('Renew &amp; Vac '!$S$53:$S$67,'Renew &amp; Vac '!$L$53:$L$67,$B179,'Renew &amp; Vac '!$O$53:$O$67,"&lt;="&amp;O$177,'Renew &amp; Vac '!$P$53:$P$67,"&gt;="&amp;O$177)+SUMIFS('Renew &amp; Vac '!$H$53:$H$67,'Renew &amp; Vac '!$A$53:$A$67,$B179,'Renew &amp; Vac '!$D$53:$D$67,"&lt;="&amp;O$177,'Renew &amp; Vac '!$E$53:$E$67,"&gt;="&amp;O$177)</f>
        <v>0</v>
      </c>
      <c r="P179" s="6">
        <f>SUMIFS('Renew &amp; Vac '!$S$53:$S$67,'Renew &amp; Vac '!$L$53:$L$67,$B179,'Renew &amp; Vac '!$O$53:$O$67,"&lt;="&amp;P$177,'Renew &amp; Vac '!$P$53:$P$67,"&gt;="&amp;P$177)+SUMIFS('Renew &amp; Vac '!$H$53:$H$67,'Renew &amp; Vac '!$A$53:$A$67,$B179,'Renew &amp; Vac '!$D$53:$D$67,"&lt;="&amp;P$177,'Renew &amp; Vac '!$E$53:$E$67,"&gt;="&amp;P$177)</f>
        <v>0</v>
      </c>
      <c r="Q179" s="8">
        <f t="shared" ref="Q179:Q190" si="79">SUM(E179:P179)</f>
        <v>0</v>
      </c>
    </row>
    <row r="180" spans="2:21" hidden="1" outlineLevel="1" x14ac:dyDescent="0.35">
      <c r="B180" s="79" t="str">
        <f t="shared" si="78"/>
        <v>2300-1851</v>
      </c>
      <c r="D180" s="6" t="str">
        <f>IFERROR(VLOOKUP(B180,'Renew &amp; Vac '!$L$53:$M$67,2,FALSE),IFERROR(VLOOKUP(B180,'Renew &amp; Vac '!$A$53:$B$67,2,FALSE),VLOOKUP(B180,$B$160:$D$172,3,FALSE)))</f>
        <v>National Fitness Partners</v>
      </c>
      <c r="E180" s="6">
        <f>SUMIFS('Renew &amp; Vac '!$S$53:$S$67,'Renew &amp; Vac '!$L$53:$L$67,$B180,'Renew &amp; Vac '!$O$53:$O$67,"&lt;="&amp;E$177,'Renew &amp; Vac '!$P$53:$P$67,"&gt;="&amp;E$177)+SUMIFS('Renew &amp; Vac '!$H$53:$H$67,'Renew &amp; Vac '!$A$53:$A$67,$B180,'Renew &amp; Vac '!$D$53:$D$67,"&lt;="&amp;E$177,'Renew &amp; Vac '!$E$53:$E$67,"&gt;="&amp;E$177)</f>
        <v>0</v>
      </c>
      <c r="F180" s="6">
        <f>SUMIFS('Renew &amp; Vac '!$S$53:$S$67,'Renew &amp; Vac '!$L$53:$L$67,$B180,'Renew &amp; Vac '!$O$53:$O$67,"&lt;="&amp;F$177,'Renew &amp; Vac '!$P$53:$P$67,"&gt;="&amp;F$177)+SUMIFS('Renew &amp; Vac '!$H$53:$H$67,'Renew &amp; Vac '!$A$53:$A$67,$B180,'Renew &amp; Vac '!$D$53:$D$67,"&lt;="&amp;F$177,'Renew &amp; Vac '!$E$53:$E$67,"&gt;="&amp;F$177)</f>
        <v>0</v>
      </c>
      <c r="G180" s="6">
        <f>SUMIFS('Renew &amp; Vac '!$S$53:$S$67,'Renew &amp; Vac '!$L$53:$L$67,$B180,'Renew &amp; Vac '!$O$53:$O$67,"&lt;="&amp;G$177,'Renew &amp; Vac '!$P$53:$P$67,"&gt;="&amp;G$177)+SUMIFS('Renew &amp; Vac '!$H$53:$H$67,'Renew &amp; Vac '!$A$53:$A$67,$B180,'Renew &amp; Vac '!$D$53:$D$67,"&lt;="&amp;G$177,'Renew &amp; Vac '!$E$53:$E$67,"&gt;="&amp;G$177)</f>
        <v>0</v>
      </c>
      <c r="H180" s="6">
        <f>SUMIFS('Renew &amp; Vac '!$S$53:$S$67,'Renew &amp; Vac '!$L$53:$L$67,$B180,'Renew &amp; Vac '!$O$53:$O$67,"&lt;="&amp;H$177,'Renew &amp; Vac '!$P$53:$P$67,"&gt;="&amp;H$177)+SUMIFS('Renew &amp; Vac '!$H$53:$H$67,'Renew &amp; Vac '!$A$53:$A$67,$B180,'Renew &amp; Vac '!$D$53:$D$67,"&lt;="&amp;H$177,'Renew &amp; Vac '!$E$53:$E$67,"&gt;="&amp;H$177)</f>
        <v>0</v>
      </c>
      <c r="I180" s="6">
        <f>SUMIFS('Renew &amp; Vac '!$S$53:$S$67,'Renew &amp; Vac '!$L$53:$L$67,$B180,'Renew &amp; Vac '!$O$53:$O$67,"&lt;="&amp;I$177,'Renew &amp; Vac '!$P$53:$P$67,"&gt;="&amp;I$177)+SUMIFS('Renew &amp; Vac '!$H$53:$H$67,'Renew &amp; Vac '!$A$53:$A$67,$B180,'Renew &amp; Vac '!$D$53:$D$67,"&lt;="&amp;I$177,'Renew &amp; Vac '!$E$53:$E$67,"&gt;="&amp;I$177)</f>
        <v>0</v>
      </c>
      <c r="J180" s="6">
        <f>SUMIFS('Renew &amp; Vac '!$S$53:$S$67,'Renew &amp; Vac '!$L$53:$L$67,$B180,'Renew &amp; Vac '!$O$53:$O$67,"&lt;="&amp;J$177,'Renew &amp; Vac '!$P$53:$P$67,"&gt;="&amp;J$177)+SUMIFS('Renew &amp; Vac '!$H$53:$H$67,'Renew &amp; Vac '!$A$53:$A$67,$B180,'Renew &amp; Vac '!$D$53:$D$67,"&lt;="&amp;J$177,'Renew &amp; Vac '!$E$53:$E$67,"&gt;="&amp;J$177)</f>
        <v>0</v>
      </c>
      <c r="K180" s="6">
        <f>SUMIFS('Renew &amp; Vac '!$S$53:$S$67,'Renew &amp; Vac '!$L$53:$L$67,$B180,'Renew &amp; Vac '!$O$53:$O$67,"&lt;="&amp;K$177,'Renew &amp; Vac '!$P$53:$P$67,"&gt;="&amp;K$177)+SUMIFS('Renew &amp; Vac '!$H$53:$H$67,'Renew &amp; Vac '!$A$53:$A$67,$B180,'Renew &amp; Vac '!$D$53:$D$67,"&lt;="&amp;K$177,'Renew &amp; Vac '!$E$53:$E$67,"&gt;="&amp;K$177)</f>
        <v>0</v>
      </c>
      <c r="L180" s="6">
        <f>SUMIFS('Renew &amp; Vac '!$S$53:$S$67,'Renew &amp; Vac '!$L$53:$L$67,$B180,'Renew &amp; Vac '!$O$53:$O$67,"&lt;="&amp;L$177,'Renew &amp; Vac '!$P$53:$P$67,"&gt;="&amp;L$177)+SUMIFS('Renew &amp; Vac '!$H$53:$H$67,'Renew &amp; Vac '!$A$53:$A$67,$B180,'Renew &amp; Vac '!$D$53:$D$67,"&lt;="&amp;L$177,'Renew &amp; Vac '!$E$53:$E$67,"&gt;="&amp;L$177)</f>
        <v>0</v>
      </c>
      <c r="M180" s="6">
        <f>SUMIFS('Renew &amp; Vac '!$S$53:$S$67,'Renew &amp; Vac '!$L$53:$L$67,$B180,'Renew &amp; Vac '!$O$53:$O$67,"&lt;="&amp;M$177,'Renew &amp; Vac '!$P$53:$P$67,"&gt;="&amp;M$177)+SUMIFS('Renew &amp; Vac '!$H$53:$H$67,'Renew &amp; Vac '!$A$53:$A$67,$B180,'Renew &amp; Vac '!$D$53:$D$67,"&lt;="&amp;M$177,'Renew &amp; Vac '!$E$53:$E$67,"&gt;="&amp;M$177)</f>
        <v>0</v>
      </c>
      <c r="N180" s="6">
        <f>SUMIFS('Renew &amp; Vac '!$S$53:$S$67,'Renew &amp; Vac '!$L$53:$L$67,$B180,'Renew &amp; Vac '!$O$53:$O$67,"&lt;="&amp;N$177,'Renew &amp; Vac '!$P$53:$P$67,"&gt;="&amp;N$177)+SUMIFS('Renew &amp; Vac '!$H$53:$H$67,'Renew &amp; Vac '!$A$53:$A$67,$B180,'Renew &amp; Vac '!$D$53:$D$67,"&lt;="&amp;N$177,'Renew &amp; Vac '!$E$53:$E$67,"&gt;="&amp;N$177)</f>
        <v>0</v>
      </c>
      <c r="O180" s="6">
        <f>SUMIFS('Renew &amp; Vac '!$S$53:$S$67,'Renew &amp; Vac '!$L$53:$L$67,$B180,'Renew &amp; Vac '!$O$53:$O$67,"&lt;="&amp;O$177,'Renew &amp; Vac '!$P$53:$P$67,"&gt;="&amp;O$177)+SUMIFS('Renew &amp; Vac '!$H$53:$H$67,'Renew &amp; Vac '!$A$53:$A$67,$B180,'Renew &amp; Vac '!$D$53:$D$67,"&lt;="&amp;O$177,'Renew &amp; Vac '!$E$53:$E$67,"&gt;="&amp;O$177)</f>
        <v>0</v>
      </c>
      <c r="P180" s="6">
        <f>SUMIFS('Renew &amp; Vac '!$S$53:$S$67,'Renew &amp; Vac '!$L$53:$L$67,$B180,'Renew &amp; Vac '!$O$53:$O$67,"&lt;="&amp;P$177,'Renew &amp; Vac '!$P$53:$P$67,"&gt;="&amp;P$177)+SUMIFS('Renew &amp; Vac '!$H$53:$H$67,'Renew &amp; Vac '!$A$53:$A$67,$B180,'Renew &amp; Vac '!$D$53:$D$67,"&lt;="&amp;P$177,'Renew &amp; Vac '!$E$53:$E$67,"&gt;="&amp;P$177)</f>
        <v>0</v>
      </c>
      <c r="Q180" s="8">
        <f t="shared" si="79"/>
        <v>0</v>
      </c>
    </row>
    <row r="181" spans="2:21" hidden="1" outlineLevel="1" x14ac:dyDescent="0.35">
      <c r="B181" s="79" t="str">
        <f t="shared" si="78"/>
        <v>2300-1861</v>
      </c>
      <c r="D181" s="6" t="str">
        <f>IFERROR(VLOOKUP(B181,'Renew &amp; Vac '!$L$53:$M$67,2,FALSE),IFERROR(VLOOKUP(B181,'Renew &amp; Vac '!$A$53:$B$67,2,FALSE),VLOOKUP(B181,$B$160:$D$172,3,FALSE)))</f>
        <v>Edible Arrangements</v>
      </c>
      <c r="E181" s="6">
        <f>SUMIFS('Renew &amp; Vac '!$S$53:$S$67,'Renew &amp; Vac '!$L$53:$L$67,$B181,'Renew &amp; Vac '!$O$53:$O$67,"&lt;="&amp;E$177,'Renew &amp; Vac '!$P$53:$P$67,"&gt;="&amp;E$177)+SUMIFS('Renew &amp; Vac '!$H$53:$H$67,'Renew &amp; Vac '!$A$53:$A$67,$B181,'Renew &amp; Vac '!$D$53:$D$67,"&lt;="&amp;E$177,'Renew &amp; Vac '!$E$53:$E$67,"&gt;="&amp;E$177)</f>
        <v>0</v>
      </c>
      <c r="F181" s="6">
        <f>SUMIFS('Renew &amp; Vac '!$S$53:$S$67,'Renew &amp; Vac '!$L$53:$L$67,$B181,'Renew &amp; Vac '!$O$53:$O$67,"&lt;="&amp;F$177,'Renew &amp; Vac '!$P$53:$P$67,"&gt;="&amp;F$177)+SUMIFS('Renew &amp; Vac '!$H$53:$H$67,'Renew &amp; Vac '!$A$53:$A$67,$B181,'Renew &amp; Vac '!$D$53:$D$67,"&lt;="&amp;F$177,'Renew &amp; Vac '!$E$53:$E$67,"&gt;="&amp;F$177)</f>
        <v>0</v>
      </c>
      <c r="G181" s="6">
        <f>SUMIFS('Renew &amp; Vac '!$S$53:$S$67,'Renew &amp; Vac '!$L$53:$L$67,$B181,'Renew &amp; Vac '!$O$53:$O$67,"&lt;="&amp;G$177,'Renew &amp; Vac '!$P$53:$P$67,"&gt;="&amp;G$177)+SUMIFS('Renew &amp; Vac '!$H$53:$H$67,'Renew &amp; Vac '!$A$53:$A$67,$B181,'Renew &amp; Vac '!$D$53:$D$67,"&lt;="&amp;G$177,'Renew &amp; Vac '!$E$53:$E$67,"&gt;="&amp;G$177)</f>
        <v>0</v>
      </c>
      <c r="H181" s="6">
        <f>SUMIFS('Renew &amp; Vac '!$S$53:$S$67,'Renew &amp; Vac '!$L$53:$L$67,$B181,'Renew &amp; Vac '!$O$53:$O$67,"&lt;="&amp;H$177,'Renew &amp; Vac '!$P$53:$P$67,"&gt;="&amp;H$177)+SUMIFS('Renew &amp; Vac '!$H$53:$H$67,'Renew &amp; Vac '!$A$53:$A$67,$B181,'Renew &amp; Vac '!$D$53:$D$67,"&lt;="&amp;H$177,'Renew &amp; Vac '!$E$53:$E$67,"&gt;="&amp;H$177)</f>
        <v>0</v>
      </c>
      <c r="I181" s="6">
        <f>SUMIFS('Renew &amp; Vac '!$S$53:$S$67,'Renew &amp; Vac '!$L$53:$L$67,$B181,'Renew &amp; Vac '!$O$53:$O$67,"&lt;="&amp;I$177,'Renew &amp; Vac '!$P$53:$P$67,"&gt;="&amp;I$177)+SUMIFS('Renew &amp; Vac '!$H$53:$H$67,'Renew &amp; Vac '!$A$53:$A$67,$B181,'Renew &amp; Vac '!$D$53:$D$67,"&lt;="&amp;I$177,'Renew &amp; Vac '!$E$53:$E$67,"&gt;="&amp;I$177)</f>
        <v>0</v>
      </c>
      <c r="J181" s="6">
        <f>SUMIFS('Renew &amp; Vac '!$S$53:$S$67,'Renew &amp; Vac '!$L$53:$L$67,$B181,'Renew &amp; Vac '!$O$53:$O$67,"&lt;="&amp;J$177,'Renew &amp; Vac '!$P$53:$P$67,"&gt;="&amp;J$177)+SUMIFS('Renew &amp; Vac '!$H$53:$H$67,'Renew &amp; Vac '!$A$53:$A$67,$B181,'Renew &amp; Vac '!$D$53:$D$67,"&lt;="&amp;J$177,'Renew &amp; Vac '!$E$53:$E$67,"&gt;="&amp;J$177)</f>
        <v>0</v>
      </c>
      <c r="K181" s="6">
        <f>SUMIFS('Renew &amp; Vac '!$S$53:$S$67,'Renew &amp; Vac '!$L$53:$L$67,$B181,'Renew &amp; Vac '!$O$53:$O$67,"&lt;="&amp;K$177,'Renew &amp; Vac '!$P$53:$P$67,"&gt;="&amp;K$177)+SUMIFS('Renew &amp; Vac '!$H$53:$H$67,'Renew &amp; Vac '!$A$53:$A$67,$B181,'Renew &amp; Vac '!$D$53:$D$67,"&lt;="&amp;K$177,'Renew &amp; Vac '!$E$53:$E$67,"&gt;="&amp;K$177)</f>
        <v>0</v>
      </c>
      <c r="L181" s="6">
        <f>SUMIFS('Renew &amp; Vac '!$S$53:$S$67,'Renew &amp; Vac '!$L$53:$L$67,$B181,'Renew &amp; Vac '!$O$53:$O$67,"&lt;="&amp;L$177,'Renew &amp; Vac '!$P$53:$P$67,"&gt;="&amp;L$177)+SUMIFS('Renew &amp; Vac '!$H$53:$H$67,'Renew &amp; Vac '!$A$53:$A$67,$B181,'Renew &amp; Vac '!$D$53:$D$67,"&lt;="&amp;L$177,'Renew &amp; Vac '!$E$53:$E$67,"&gt;="&amp;L$177)</f>
        <v>0</v>
      </c>
      <c r="M181" s="6">
        <f>SUMIFS('Renew &amp; Vac '!$S$53:$S$67,'Renew &amp; Vac '!$L$53:$L$67,$B181,'Renew &amp; Vac '!$O$53:$O$67,"&lt;="&amp;M$177,'Renew &amp; Vac '!$P$53:$P$67,"&gt;="&amp;M$177)+SUMIFS('Renew &amp; Vac '!$H$53:$H$67,'Renew &amp; Vac '!$A$53:$A$67,$B181,'Renew &amp; Vac '!$D$53:$D$67,"&lt;="&amp;M$177,'Renew &amp; Vac '!$E$53:$E$67,"&gt;="&amp;M$177)</f>
        <v>0</v>
      </c>
      <c r="N181" s="6">
        <f>SUMIFS('Renew &amp; Vac '!$S$53:$S$67,'Renew &amp; Vac '!$L$53:$L$67,$B181,'Renew &amp; Vac '!$O$53:$O$67,"&lt;="&amp;N$177,'Renew &amp; Vac '!$P$53:$P$67,"&gt;="&amp;N$177)+SUMIFS('Renew &amp; Vac '!$H$53:$H$67,'Renew &amp; Vac '!$A$53:$A$67,$B181,'Renew &amp; Vac '!$D$53:$D$67,"&lt;="&amp;N$177,'Renew &amp; Vac '!$E$53:$E$67,"&gt;="&amp;N$177)</f>
        <v>0</v>
      </c>
      <c r="O181" s="6">
        <f>SUMIFS('Renew &amp; Vac '!$S$53:$S$67,'Renew &amp; Vac '!$L$53:$L$67,$B181,'Renew &amp; Vac '!$O$53:$O$67,"&lt;="&amp;O$177,'Renew &amp; Vac '!$P$53:$P$67,"&gt;="&amp;O$177)+SUMIFS('Renew &amp; Vac '!$H$53:$H$67,'Renew &amp; Vac '!$A$53:$A$67,$B181,'Renew &amp; Vac '!$D$53:$D$67,"&lt;="&amp;O$177,'Renew &amp; Vac '!$E$53:$E$67,"&gt;="&amp;O$177)</f>
        <v>0</v>
      </c>
      <c r="P181" s="6">
        <f>SUMIFS('Renew &amp; Vac '!$S$53:$S$67,'Renew &amp; Vac '!$L$53:$L$67,$B181,'Renew &amp; Vac '!$O$53:$O$67,"&lt;="&amp;P$177,'Renew &amp; Vac '!$P$53:$P$67,"&gt;="&amp;P$177)+SUMIFS('Renew &amp; Vac '!$H$53:$H$67,'Renew &amp; Vac '!$A$53:$A$67,$B181,'Renew &amp; Vac '!$D$53:$D$67,"&lt;="&amp;P$177,'Renew &amp; Vac '!$E$53:$E$67,"&gt;="&amp;P$177)</f>
        <v>0</v>
      </c>
      <c r="Q181" s="8">
        <f t="shared" si="79"/>
        <v>0</v>
      </c>
    </row>
    <row r="182" spans="2:21" hidden="1" outlineLevel="1" x14ac:dyDescent="0.35">
      <c r="B182" s="79" t="str">
        <f t="shared" si="78"/>
        <v>2300-1863</v>
      </c>
      <c r="D182" s="6" t="str">
        <f>IFERROR(VLOOKUP(B182,'Renew &amp; Vac '!$L$53:$M$67,2,FALSE),IFERROR(VLOOKUP(B182,'Renew &amp; Vac '!$A$53:$B$67,2,FALSE),VLOOKUP(B182,$B$160:$D$172,3,FALSE)))</f>
        <v>Cohen Fashion Optical Store</v>
      </c>
      <c r="E182" s="6">
        <f>SUMIFS('Renew &amp; Vac '!$S$53:$S$67,'Renew &amp; Vac '!$L$53:$L$67,$B182,'Renew &amp; Vac '!$O$53:$O$67,"&lt;="&amp;E$177,'Renew &amp; Vac '!$P$53:$P$67,"&gt;="&amp;E$177)+SUMIFS('Renew &amp; Vac '!$H$53:$H$67,'Renew &amp; Vac '!$A$53:$A$67,$B182,'Renew &amp; Vac '!$D$53:$D$67,"&lt;="&amp;E$177,'Renew &amp; Vac '!$E$53:$E$67,"&gt;="&amp;E$177)</f>
        <v>0</v>
      </c>
      <c r="F182" s="6">
        <f>SUMIFS('Renew &amp; Vac '!$S$53:$S$67,'Renew &amp; Vac '!$L$53:$L$67,$B182,'Renew &amp; Vac '!$O$53:$O$67,"&lt;="&amp;F$177,'Renew &amp; Vac '!$P$53:$P$67,"&gt;="&amp;F$177)+SUMIFS('Renew &amp; Vac '!$H$53:$H$67,'Renew &amp; Vac '!$A$53:$A$67,$B182,'Renew &amp; Vac '!$D$53:$D$67,"&lt;="&amp;F$177,'Renew &amp; Vac '!$E$53:$E$67,"&gt;="&amp;F$177)</f>
        <v>0</v>
      </c>
      <c r="G182" s="6">
        <f>SUMIFS('Renew &amp; Vac '!$S$53:$S$67,'Renew &amp; Vac '!$L$53:$L$67,$B182,'Renew &amp; Vac '!$O$53:$O$67,"&lt;="&amp;G$177,'Renew &amp; Vac '!$P$53:$P$67,"&gt;="&amp;G$177)+SUMIFS('Renew &amp; Vac '!$H$53:$H$67,'Renew &amp; Vac '!$A$53:$A$67,$B182,'Renew &amp; Vac '!$D$53:$D$67,"&lt;="&amp;G$177,'Renew &amp; Vac '!$E$53:$E$67,"&gt;="&amp;G$177)</f>
        <v>0</v>
      </c>
      <c r="H182" s="6">
        <f>SUMIFS('Renew &amp; Vac '!$S$53:$S$67,'Renew &amp; Vac '!$L$53:$L$67,$B182,'Renew &amp; Vac '!$O$53:$O$67,"&lt;="&amp;H$177,'Renew &amp; Vac '!$P$53:$P$67,"&gt;="&amp;H$177)+SUMIFS('Renew &amp; Vac '!$H$53:$H$67,'Renew &amp; Vac '!$A$53:$A$67,$B182,'Renew &amp; Vac '!$D$53:$D$67,"&lt;="&amp;H$177,'Renew &amp; Vac '!$E$53:$E$67,"&gt;="&amp;H$177)</f>
        <v>0</v>
      </c>
      <c r="I182" s="6">
        <f>SUMIFS('Renew &amp; Vac '!$S$53:$S$67,'Renew &amp; Vac '!$L$53:$L$67,$B182,'Renew &amp; Vac '!$O$53:$O$67,"&lt;="&amp;I$177,'Renew &amp; Vac '!$P$53:$P$67,"&gt;="&amp;I$177)+SUMIFS('Renew &amp; Vac '!$H$53:$H$67,'Renew &amp; Vac '!$A$53:$A$67,$B182,'Renew &amp; Vac '!$D$53:$D$67,"&lt;="&amp;I$177,'Renew &amp; Vac '!$E$53:$E$67,"&gt;="&amp;I$177)</f>
        <v>0</v>
      </c>
      <c r="J182" s="6">
        <f>SUMIFS('Renew &amp; Vac '!$S$53:$S$67,'Renew &amp; Vac '!$L$53:$L$67,$B182,'Renew &amp; Vac '!$O$53:$O$67,"&lt;="&amp;J$177,'Renew &amp; Vac '!$P$53:$P$67,"&gt;="&amp;J$177)+SUMIFS('Renew &amp; Vac '!$H$53:$H$67,'Renew &amp; Vac '!$A$53:$A$67,$B182,'Renew &amp; Vac '!$D$53:$D$67,"&lt;="&amp;J$177,'Renew &amp; Vac '!$E$53:$E$67,"&gt;="&amp;J$177)</f>
        <v>0</v>
      </c>
      <c r="K182" s="6">
        <f>SUMIFS('Renew &amp; Vac '!$S$53:$S$67,'Renew &amp; Vac '!$L$53:$L$67,$B182,'Renew &amp; Vac '!$O$53:$O$67,"&lt;="&amp;K$177,'Renew &amp; Vac '!$P$53:$P$67,"&gt;="&amp;K$177)+SUMIFS('Renew &amp; Vac '!$H$53:$H$67,'Renew &amp; Vac '!$A$53:$A$67,$B182,'Renew &amp; Vac '!$D$53:$D$67,"&lt;="&amp;K$177,'Renew &amp; Vac '!$E$53:$E$67,"&gt;="&amp;K$177)</f>
        <v>0</v>
      </c>
      <c r="L182" s="6">
        <f>SUMIFS('Renew &amp; Vac '!$S$53:$S$67,'Renew &amp; Vac '!$L$53:$L$67,$B182,'Renew &amp; Vac '!$O$53:$O$67,"&lt;="&amp;L$177,'Renew &amp; Vac '!$P$53:$P$67,"&gt;="&amp;L$177)+SUMIFS('Renew &amp; Vac '!$H$53:$H$67,'Renew &amp; Vac '!$A$53:$A$67,$B182,'Renew &amp; Vac '!$D$53:$D$67,"&lt;="&amp;L$177,'Renew &amp; Vac '!$E$53:$E$67,"&gt;="&amp;L$177)</f>
        <v>0</v>
      </c>
      <c r="M182" s="6">
        <f>SUMIFS('Renew &amp; Vac '!$S$53:$S$67,'Renew &amp; Vac '!$L$53:$L$67,$B182,'Renew &amp; Vac '!$O$53:$O$67,"&lt;="&amp;M$177,'Renew &amp; Vac '!$P$53:$P$67,"&gt;="&amp;M$177)+SUMIFS('Renew &amp; Vac '!$H$53:$H$67,'Renew &amp; Vac '!$A$53:$A$67,$B182,'Renew &amp; Vac '!$D$53:$D$67,"&lt;="&amp;M$177,'Renew &amp; Vac '!$E$53:$E$67,"&gt;="&amp;M$177)</f>
        <v>0</v>
      </c>
      <c r="N182" s="6">
        <f>SUMIFS('Renew &amp; Vac '!$S$53:$S$67,'Renew &amp; Vac '!$L$53:$L$67,$B182,'Renew &amp; Vac '!$O$53:$O$67,"&lt;="&amp;N$177,'Renew &amp; Vac '!$P$53:$P$67,"&gt;="&amp;N$177)+SUMIFS('Renew &amp; Vac '!$H$53:$H$67,'Renew &amp; Vac '!$A$53:$A$67,$B182,'Renew &amp; Vac '!$D$53:$D$67,"&lt;="&amp;N$177,'Renew &amp; Vac '!$E$53:$E$67,"&gt;="&amp;N$177)</f>
        <v>0</v>
      </c>
      <c r="O182" s="6">
        <f>SUMIFS('Renew &amp; Vac '!$S$53:$S$67,'Renew &amp; Vac '!$L$53:$L$67,$B182,'Renew &amp; Vac '!$O$53:$O$67,"&lt;="&amp;O$177,'Renew &amp; Vac '!$P$53:$P$67,"&gt;="&amp;O$177)+SUMIFS('Renew &amp; Vac '!$H$53:$H$67,'Renew &amp; Vac '!$A$53:$A$67,$B182,'Renew &amp; Vac '!$D$53:$D$67,"&lt;="&amp;O$177,'Renew &amp; Vac '!$E$53:$E$67,"&gt;="&amp;O$177)</f>
        <v>0</v>
      </c>
      <c r="P182" s="6">
        <f>SUMIFS('Renew &amp; Vac '!$S$53:$S$67,'Renew &amp; Vac '!$L$53:$L$67,$B182,'Renew &amp; Vac '!$O$53:$O$67,"&lt;="&amp;P$177,'Renew &amp; Vac '!$P$53:$P$67,"&gt;="&amp;P$177)+SUMIFS('Renew &amp; Vac '!$H$53:$H$67,'Renew &amp; Vac '!$A$53:$A$67,$B182,'Renew &amp; Vac '!$D$53:$D$67,"&lt;="&amp;P$177,'Renew &amp; Vac '!$E$53:$E$67,"&gt;="&amp;P$177)</f>
        <v>0</v>
      </c>
      <c r="Q182" s="8">
        <f t="shared" si="79"/>
        <v>0</v>
      </c>
    </row>
    <row r="183" spans="2:21" hidden="1" outlineLevel="1" x14ac:dyDescent="0.35">
      <c r="B183" s="79" t="str">
        <f t="shared" si="78"/>
        <v>2300-1867</v>
      </c>
      <c r="D183" s="6" t="str">
        <f>IFERROR(VLOOKUP(B183,'Renew &amp; Vac '!$L$53:$M$67,2,FALSE),IFERROR(VLOOKUP(B183,'Renew &amp; Vac '!$A$53:$B$67,2,FALSE),VLOOKUP(B183,$B$160:$D$172,3,FALSE)))</f>
        <v>T-Mobile #PABE002574</v>
      </c>
      <c r="E183" s="6">
        <f>SUMIFS('Renew &amp; Vac '!$S$53:$S$67,'Renew &amp; Vac '!$L$53:$L$67,$B183,'Renew &amp; Vac '!$O$53:$O$67,"&lt;="&amp;E$177,'Renew &amp; Vac '!$P$53:$P$67,"&gt;="&amp;E$177)+SUMIFS('Renew &amp; Vac '!$H$53:$H$67,'Renew &amp; Vac '!$A$53:$A$67,$B183,'Renew &amp; Vac '!$D$53:$D$67,"&lt;="&amp;E$177,'Renew &amp; Vac '!$E$53:$E$67,"&gt;="&amp;E$177)</f>
        <v>0</v>
      </c>
      <c r="F183" s="6">
        <f>SUMIFS('Renew &amp; Vac '!$S$53:$S$67,'Renew &amp; Vac '!$L$53:$L$67,$B183,'Renew &amp; Vac '!$O$53:$O$67,"&lt;="&amp;F$177,'Renew &amp; Vac '!$P$53:$P$67,"&gt;="&amp;F$177)+SUMIFS('Renew &amp; Vac '!$H$53:$H$67,'Renew &amp; Vac '!$A$53:$A$67,$B183,'Renew &amp; Vac '!$D$53:$D$67,"&lt;="&amp;F$177,'Renew &amp; Vac '!$E$53:$E$67,"&gt;="&amp;F$177)</f>
        <v>0</v>
      </c>
      <c r="G183" s="6">
        <f>SUMIFS('Renew &amp; Vac '!$S$53:$S$67,'Renew &amp; Vac '!$L$53:$L$67,$B183,'Renew &amp; Vac '!$O$53:$O$67,"&lt;="&amp;G$177,'Renew &amp; Vac '!$P$53:$P$67,"&gt;="&amp;G$177)+SUMIFS('Renew &amp; Vac '!$H$53:$H$67,'Renew &amp; Vac '!$A$53:$A$67,$B183,'Renew &amp; Vac '!$D$53:$D$67,"&lt;="&amp;G$177,'Renew &amp; Vac '!$E$53:$E$67,"&gt;="&amp;G$177)</f>
        <v>0</v>
      </c>
      <c r="H183" s="6">
        <f>SUMIFS('Renew &amp; Vac '!$S$53:$S$67,'Renew &amp; Vac '!$L$53:$L$67,$B183,'Renew &amp; Vac '!$O$53:$O$67,"&lt;="&amp;H$177,'Renew &amp; Vac '!$P$53:$P$67,"&gt;="&amp;H$177)+SUMIFS('Renew &amp; Vac '!$H$53:$H$67,'Renew &amp; Vac '!$A$53:$A$67,$B183,'Renew &amp; Vac '!$D$53:$D$67,"&lt;="&amp;H$177,'Renew &amp; Vac '!$E$53:$E$67,"&gt;="&amp;H$177)</f>
        <v>0</v>
      </c>
      <c r="I183" s="6">
        <f>SUMIFS('Renew &amp; Vac '!$S$53:$S$67,'Renew &amp; Vac '!$L$53:$L$67,$B183,'Renew &amp; Vac '!$O$53:$O$67,"&lt;="&amp;I$177,'Renew &amp; Vac '!$P$53:$P$67,"&gt;="&amp;I$177)+SUMIFS('Renew &amp; Vac '!$H$53:$H$67,'Renew &amp; Vac '!$A$53:$A$67,$B183,'Renew &amp; Vac '!$D$53:$D$67,"&lt;="&amp;I$177,'Renew &amp; Vac '!$E$53:$E$67,"&gt;="&amp;I$177)</f>
        <v>0</v>
      </c>
      <c r="J183" s="6">
        <f>SUMIFS('Renew &amp; Vac '!$S$53:$S$67,'Renew &amp; Vac '!$L$53:$L$67,$B183,'Renew &amp; Vac '!$O$53:$O$67,"&lt;="&amp;J$177,'Renew &amp; Vac '!$P$53:$P$67,"&gt;="&amp;J$177)+SUMIFS('Renew &amp; Vac '!$H$53:$H$67,'Renew &amp; Vac '!$A$53:$A$67,$B183,'Renew &amp; Vac '!$D$53:$D$67,"&lt;="&amp;J$177,'Renew &amp; Vac '!$E$53:$E$67,"&gt;="&amp;J$177)</f>
        <v>0</v>
      </c>
      <c r="K183" s="6">
        <f>SUMIFS('Renew &amp; Vac '!$S$53:$S$67,'Renew &amp; Vac '!$L$53:$L$67,$B183,'Renew &amp; Vac '!$O$53:$O$67,"&lt;="&amp;K$177,'Renew &amp; Vac '!$P$53:$P$67,"&gt;="&amp;K$177)+SUMIFS('Renew &amp; Vac '!$H$53:$H$67,'Renew &amp; Vac '!$A$53:$A$67,$B183,'Renew &amp; Vac '!$D$53:$D$67,"&lt;="&amp;K$177,'Renew &amp; Vac '!$E$53:$E$67,"&gt;="&amp;K$177)</f>
        <v>0</v>
      </c>
      <c r="L183" s="6">
        <f>SUMIFS('Renew &amp; Vac '!$S$53:$S$67,'Renew &amp; Vac '!$L$53:$L$67,$B183,'Renew &amp; Vac '!$O$53:$O$67,"&lt;="&amp;L$177,'Renew &amp; Vac '!$P$53:$P$67,"&gt;="&amp;L$177)+SUMIFS('Renew &amp; Vac '!$H$53:$H$67,'Renew &amp; Vac '!$A$53:$A$67,$B183,'Renew &amp; Vac '!$D$53:$D$67,"&lt;="&amp;L$177,'Renew &amp; Vac '!$E$53:$E$67,"&gt;="&amp;L$177)</f>
        <v>0</v>
      </c>
      <c r="M183" s="6">
        <f>SUMIFS('Renew &amp; Vac '!$S$53:$S$67,'Renew &amp; Vac '!$L$53:$L$67,$B183,'Renew &amp; Vac '!$O$53:$O$67,"&lt;="&amp;M$177,'Renew &amp; Vac '!$P$53:$P$67,"&gt;="&amp;M$177)+SUMIFS('Renew &amp; Vac '!$H$53:$H$67,'Renew &amp; Vac '!$A$53:$A$67,$B183,'Renew &amp; Vac '!$D$53:$D$67,"&lt;="&amp;M$177,'Renew &amp; Vac '!$E$53:$E$67,"&gt;="&amp;M$177)</f>
        <v>0</v>
      </c>
      <c r="N183" s="6">
        <f>SUMIFS('Renew &amp; Vac '!$S$53:$S$67,'Renew &amp; Vac '!$L$53:$L$67,$B183,'Renew &amp; Vac '!$O$53:$O$67,"&lt;="&amp;N$177,'Renew &amp; Vac '!$P$53:$P$67,"&gt;="&amp;N$177)+SUMIFS('Renew &amp; Vac '!$H$53:$H$67,'Renew &amp; Vac '!$A$53:$A$67,$B183,'Renew &amp; Vac '!$D$53:$D$67,"&lt;="&amp;N$177,'Renew &amp; Vac '!$E$53:$E$67,"&gt;="&amp;N$177)</f>
        <v>0</v>
      </c>
      <c r="O183" s="6">
        <f>SUMIFS('Renew &amp; Vac '!$S$53:$S$67,'Renew &amp; Vac '!$L$53:$L$67,$B183,'Renew &amp; Vac '!$O$53:$O$67,"&lt;="&amp;O$177,'Renew &amp; Vac '!$P$53:$P$67,"&gt;="&amp;O$177)+SUMIFS('Renew &amp; Vac '!$H$53:$H$67,'Renew &amp; Vac '!$A$53:$A$67,$B183,'Renew &amp; Vac '!$D$53:$D$67,"&lt;="&amp;O$177,'Renew &amp; Vac '!$E$53:$E$67,"&gt;="&amp;O$177)</f>
        <v>0</v>
      </c>
      <c r="P183" s="6">
        <f>SUMIFS('Renew &amp; Vac '!$S$53:$S$67,'Renew &amp; Vac '!$L$53:$L$67,$B183,'Renew &amp; Vac '!$O$53:$O$67,"&lt;="&amp;P$177,'Renew &amp; Vac '!$P$53:$P$67,"&gt;="&amp;P$177)+SUMIFS('Renew &amp; Vac '!$H$53:$H$67,'Renew &amp; Vac '!$A$53:$A$67,$B183,'Renew &amp; Vac '!$D$53:$D$67,"&lt;="&amp;P$177,'Renew &amp; Vac '!$E$53:$E$67,"&gt;="&amp;P$177)</f>
        <v>0</v>
      </c>
      <c r="Q183" s="8">
        <f t="shared" si="79"/>
        <v>0</v>
      </c>
    </row>
    <row r="184" spans="2:21" hidden="1" outlineLevel="1" x14ac:dyDescent="0.35">
      <c r="B184" s="79" t="str">
        <f t="shared" si="78"/>
        <v>2300-1869</v>
      </c>
      <c r="D184" s="6" t="str">
        <f>IFERROR(VLOOKUP(B184,'Renew &amp; Vac '!$L$53:$M$67,2,FALSE),IFERROR(VLOOKUP(B184,'Renew &amp; Vac '!$A$53:$B$67,2,FALSE),VLOOKUP(B184,$B$160:$D$172,3,FALSE)))</f>
        <v>China Sun</v>
      </c>
      <c r="E184" s="6">
        <f>SUMIFS('Renew &amp; Vac '!$S$53:$S$67,'Renew &amp; Vac '!$L$53:$L$67,$B184,'Renew &amp; Vac '!$O$53:$O$67,"&lt;="&amp;E$177,'Renew &amp; Vac '!$P$53:$P$67,"&gt;="&amp;E$177)+SUMIFS('Renew &amp; Vac '!$H$53:$H$67,'Renew &amp; Vac '!$A$53:$A$67,$B184,'Renew &amp; Vac '!$D$53:$D$67,"&lt;="&amp;E$177,'Renew &amp; Vac '!$E$53:$E$67,"&gt;="&amp;E$177)</f>
        <v>0</v>
      </c>
      <c r="F184" s="6">
        <f>SUMIFS('Renew &amp; Vac '!$S$53:$S$67,'Renew &amp; Vac '!$L$53:$L$67,$B184,'Renew &amp; Vac '!$O$53:$O$67,"&lt;="&amp;F$177,'Renew &amp; Vac '!$P$53:$P$67,"&gt;="&amp;F$177)+SUMIFS('Renew &amp; Vac '!$H$53:$H$67,'Renew &amp; Vac '!$A$53:$A$67,$B184,'Renew &amp; Vac '!$D$53:$D$67,"&lt;="&amp;F$177,'Renew &amp; Vac '!$E$53:$E$67,"&gt;="&amp;F$177)</f>
        <v>0</v>
      </c>
      <c r="G184" s="6">
        <f>SUMIFS('Renew &amp; Vac '!$S$53:$S$67,'Renew &amp; Vac '!$L$53:$L$67,$B184,'Renew &amp; Vac '!$O$53:$O$67,"&lt;="&amp;G$177,'Renew &amp; Vac '!$P$53:$P$67,"&gt;="&amp;G$177)+SUMIFS('Renew &amp; Vac '!$H$53:$H$67,'Renew &amp; Vac '!$A$53:$A$67,$B184,'Renew &amp; Vac '!$D$53:$D$67,"&lt;="&amp;G$177,'Renew &amp; Vac '!$E$53:$E$67,"&gt;="&amp;G$177)</f>
        <v>0</v>
      </c>
      <c r="H184" s="6">
        <f>SUMIFS('Renew &amp; Vac '!$S$53:$S$67,'Renew &amp; Vac '!$L$53:$L$67,$B184,'Renew &amp; Vac '!$O$53:$O$67,"&lt;="&amp;H$177,'Renew &amp; Vac '!$P$53:$P$67,"&gt;="&amp;H$177)+SUMIFS('Renew &amp; Vac '!$H$53:$H$67,'Renew &amp; Vac '!$A$53:$A$67,$B184,'Renew &amp; Vac '!$D$53:$D$67,"&lt;="&amp;H$177,'Renew &amp; Vac '!$E$53:$E$67,"&gt;="&amp;H$177)</f>
        <v>0</v>
      </c>
      <c r="I184" s="6">
        <f>SUMIFS('Renew &amp; Vac '!$S$53:$S$67,'Renew &amp; Vac '!$L$53:$L$67,$B184,'Renew &amp; Vac '!$O$53:$O$67,"&lt;="&amp;I$177,'Renew &amp; Vac '!$P$53:$P$67,"&gt;="&amp;I$177)+SUMIFS('Renew &amp; Vac '!$H$53:$H$67,'Renew &amp; Vac '!$A$53:$A$67,$B184,'Renew &amp; Vac '!$D$53:$D$67,"&lt;="&amp;I$177,'Renew &amp; Vac '!$E$53:$E$67,"&gt;="&amp;I$177)</f>
        <v>0</v>
      </c>
      <c r="J184" s="6">
        <f>SUMIFS('Renew &amp; Vac '!$S$53:$S$67,'Renew &amp; Vac '!$L$53:$L$67,$B184,'Renew &amp; Vac '!$O$53:$O$67,"&lt;="&amp;J$177,'Renew &amp; Vac '!$P$53:$P$67,"&gt;="&amp;J$177)+SUMIFS('Renew &amp; Vac '!$H$53:$H$67,'Renew &amp; Vac '!$A$53:$A$67,$B184,'Renew &amp; Vac '!$D$53:$D$67,"&lt;="&amp;J$177,'Renew &amp; Vac '!$E$53:$E$67,"&gt;="&amp;J$177)</f>
        <v>0</v>
      </c>
      <c r="K184" s="6">
        <f>SUMIFS('Renew &amp; Vac '!$S$53:$S$67,'Renew &amp; Vac '!$L$53:$L$67,$B184,'Renew &amp; Vac '!$O$53:$O$67,"&lt;="&amp;K$177,'Renew &amp; Vac '!$P$53:$P$67,"&gt;="&amp;K$177)+SUMIFS('Renew &amp; Vac '!$H$53:$H$67,'Renew &amp; Vac '!$A$53:$A$67,$B184,'Renew &amp; Vac '!$D$53:$D$67,"&lt;="&amp;K$177,'Renew &amp; Vac '!$E$53:$E$67,"&gt;="&amp;K$177)</f>
        <v>0</v>
      </c>
      <c r="L184" s="6">
        <f>SUMIFS('Renew &amp; Vac '!$S$53:$S$67,'Renew &amp; Vac '!$L$53:$L$67,$B184,'Renew &amp; Vac '!$O$53:$O$67,"&lt;="&amp;L$177,'Renew &amp; Vac '!$P$53:$P$67,"&gt;="&amp;L$177)+SUMIFS('Renew &amp; Vac '!$H$53:$H$67,'Renew &amp; Vac '!$A$53:$A$67,$B184,'Renew &amp; Vac '!$D$53:$D$67,"&lt;="&amp;L$177,'Renew &amp; Vac '!$E$53:$E$67,"&gt;="&amp;L$177)</f>
        <v>0</v>
      </c>
      <c r="M184" s="6">
        <f>SUMIFS('Renew &amp; Vac '!$S$53:$S$67,'Renew &amp; Vac '!$L$53:$L$67,$B184,'Renew &amp; Vac '!$O$53:$O$67,"&lt;="&amp;M$177,'Renew &amp; Vac '!$P$53:$P$67,"&gt;="&amp;M$177)+SUMIFS('Renew &amp; Vac '!$H$53:$H$67,'Renew &amp; Vac '!$A$53:$A$67,$B184,'Renew &amp; Vac '!$D$53:$D$67,"&lt;="&amp;M$177,'Renew &amp; Vac '!$E$53:$E$67,"&gt;="&amp;M$177)</f>
        <v>0</v>
      </c>
      <c r="N184" s="6">
        <f>SUMIFS('Renew &amp; Vac '!$S$53:$S$67,'Renew &amp; Vac '!$L$53:$L$67,$B184,'Renew &amp; Vac '!$O$53:$O$67,"&lt;="&amp;N$177,'Renew &amp; Vac '!$P$53:$P$67,"&gt;="&amp;N$177)+SUMIFS('Renew &amp; Vac '!$H$53:$H$67,'Renew &amp; Vac '!$A$53:$A$67,$B184,'Renew &amp; Vac '!$D$53:$D$67,"&lt;="&amp;N$177,'Renew &amp; Vac '!$E$53:$E$67,"&gt;="&amp;N$177)</f>
        <v>0</v>
      </c>
      <c r="O184" s="6">
        <f>SUMIFS('Renew &amp; Vac '!$S$53:$S$67,'Renew &amp; Vac '!$L$53:$L$67,$B184,'Renew &amp; Vac '!$O$53:$O$67,"&lt;="&amp;O$177,'Renew &amp; Vac '!$P$53:$P$67,"&gt;="&amp;O$177)+SUMIFS('Renew &amp; Vac '!$H$53:$H$67,'Renew &amp; Vac '!$A$53:$A$67,$B184,'Renew &amp; Vac '!$D$53:$D$67,"&lt;="&amp;O$177,'Renew &amp; Vac '!$E$53:$E$67,"&gt;="&amp;O$177)</f>
        <v>0</v>
      </c>
      <c r="P184" s="6">
        <f>SUMIFS('Renew &amp; Vac '!$S$53:$S$67,'Renew &amp; Vac '!$L$53:$L$67,$B184,'Renew &amp; Vac '!$O$53:$O$67,"&lt;="&amp;P$177,'Renew &amp; Vac '!$P$53:$P$67,"&gt;="&amp;P$177)+SUMIFS('Renew &amp; Vac '!$H$53:$H$67,'Renew &amp; Vac '!$A$53:$A$67,$B184,'Renew &amp; Vac '!$D$53:$D$67,"&lt;="&amp;P$177,'Renew &amp; Vac '!$E$53:$E$67,"&gt;="&amp;P$177)</f>
        <v>0</v>
      </c>
      <c r="Q184" s="8">
        <f t="shared" si="79"/>
        <v>0</v>
      </c>
    </row>
    <row r="185" spans="2:21" hidden="1" outlineLevel="1" x14ac:dyDescent="0.35">
      <c r="B185" s="79" t="str">
        <f t="shared" si="78"/>
        <v>2300-1871</v>
      </c>
      <c r="D185" s="6" t="str">
        <f>IFERROR(VLOOKUP(B185,'Renew &amp; Vac '!$L$53:$M$67,2,FALSE),IFERROR(VLOOKUP(B185,'Renew &amp; Vac '!$A$53:$B$67,2,FALSE),VLOOKUP(B185,$B$160:$D$172,3,FALSE)))</f>
        <v>Lee's Hoagie House</v>
      </c>
      <c r="E185" s="6">
        <f>SUMIFS('Renew &amp; Vac '!$S$53:$S$67,'Renew &amp; Vac '!$L$53:$L$67,$B185,'Renew &amp; Vac '!$O$53:$O$67,"&lt;="&amp;E$177,'Renew &amp; Vac '!$P$53:$P$67,"&gt;="&amp;E$177)+SUMIFS('Renew &amp; Vac '!$H$53:$H$67,'Renew &amp; Vac '!$A$53:$A$67,$B185,'Renew &amp; Vac '!$D$53:$D$67,"&lt;="&amp;E$177,'Renew &amp; Vac '!$E$53:$E$67,"&gt;="&amp;E$177)</f>
        <v>0</v>
      </c>
      <c r="F185" s="6">
        <f>SUMIFS('Renew &amp; Vac '!$S$53:$S$67,'Renew &amp; Vac '!$L$53:$L$67,$B185,'Renew &amp; Vac '!$O$53:$O$67,"&lt;="&amp;F$177,'Renew &amp; Vac '!$P$53:$P$67,"&gt;="&amp;F$177)+SUMIFS('Renew &amp; Vac '!$H$53:$H$67,'Renew &amp; Vac '!$A$53:$A$67,$B185,'Renew &amp; Vac '!$D$53:$D$67,"&lt;="&amp;F$177,'Renew &amp; Vac '!$E$53:$E$67,"&gt;="&amp;F$177)</f>
        <v>0</v>
      </c>
      <c r="G185" s="6">
        <f>SUMIFS('Renew &amp; Vac '!$S$53:$S$67,'Renew &amp; Vac '!$L$53:$L$67,$B185,'Renew &amp; Vac '!$O$53:$O$67,"&lt;="&amp;G$177,'Renew &amp; Vac '!$P$53:$P$67,"&gt;="&amp;G$177)+SUMIFS('Renew &amp; Vac '!$H$53:$H$67,'Renew &amp; Vac '!$A$53:$A$67,$B185,'Renew &amp; Vac '!$D$53:$D$67,"&lt;="&amp;G$177,'Renew &amp; Vac '!$E$53:$E$67,"&gt;="&amp;G$177)</f>
        <v>0</v>
      </c>
      <c r="H185" s="6">
        <f>SUMIFS('Renew &amp; Vac '!$S$53:$S$67,'Renew &amp; Vac '!$L$53:$L$67,$B185,'Renew &amp; Vac '!$O$53:$O$67,"&lt;="&amp;H$177,'Renew &amp; Vac '!$P$53:$P$67,"&gt;="&amp;H$177)+SUMIFS('Renew &amp; Vac '!$H$53:$H$67,'Renew &amp; Vac '!$A$53:$A$67,$B185,'Renew &amp; Vac '!$D$53:$D$67,"&lt;="&amp;H$177,'Renew &amp; Vac '!$E$53:$E$67,"&gt;="&amp;H$177)</f>
        <v>0</v>
      </c>
      <c r="I185" s="6">
        <f>SUMIFS('Renew &amp; Vac '!$S$53:$S$67,'Renew &amp; Vac '!$L$53:$L$67,$B185,'Renew &amp; Vac '!$O$53:$O$67,"&lt;="&amp;I$177,'Renew &amp; Vac '!$P$53:$P$67,"&gt;="&amp;I$177)+SUMIFS('Renew &amp; Vac '!$H$53:$H$67,'Renew &amp; Vac '!$A$53:$A$67,$B185,'Renew &amp; Vac '!$D$53:$D$67,"&lt;="&amp;I$177,'Renew &amp; Vac '!$E$53:$E$67,"&gt;="&amp;I$177)</f>
        <v>0</v>
      </c>
      <c r="J185" s="6">
        <f>SUMIFS('Renew &amp; Vac '!$S$53:$S$67,'Renew &amp; Vac '!$L$53:$L$67,$B185,'Renew &amp; Vac '!$O$53:$O$67,"&lt;="&amp;J$177,'Renew &amp; Vac '!$P$53:$P$67,"&gt;="&amp;J$177)+SUMIFS('Renew &amp; Vac '!$H$53:$H$67,'Renew &amp; Vac '!$A$53:$A$67,$B185,'Renew &amp; Vac '!$D$53:$D$67,"&lt;="&amp;J$177,'Renew &amp; Vac '!$E$53:$E$67,"&gt;="&amp;J$177)</f>
        <v>0</v>
      </c>
      <c r="K185" s="6">
        <f>SUMIFS('Renew &amp; Vac '!$S$53:$S$67,'Renew &amp; Vac '!$L$53:$L$67,$B185,'Renew &amp; Vac '!$O$53:$O$67,"&lt;="&amp;K$177,'Renew &amp; Vac '!$P$53:$P$67,"&gt;="&amp;K$177)+SUMIFS('Renew &amp; Vac '!$H$53:$H$67,'Renew &amp; Vac '!$A$53:$A$67,$B185,'Renew &amp; Vac '!$D$53:$D$67,"&lt;="&amp;K$177,'Renew &amp; Vac '!$E$53:$E$67,"&gt;="&amp;K$177)</f>
        <v>0</v>
      </c>
      <c r="L185" s="6">
        <f>SUMIFS('Renew &amp; Vac '!$S$53:$S$67,'Renew &amp; Vac '!$L$53:$L$67,$B185,'Renew &amp; Vac '!$O$53:$O$67,"&lt;="&amp;L$177,'Renew &amp; Vac '!$P$53:$P$67,"&gt;="&amp;L$177)+SUMIFS('Renew &amp; Vac '!$H$53:$H$67,'Renew &amp; Vac '!$A$53:$A$67,$B185,'Renew &amp; Vac '!$D$53:$D$67,"&lt;="&amp;L$177,'Renew &amp; Vac '!$E$53:$E$67,"&gt;="&amp;L$177)</f>
        <v>0</v>
      </c>
      <c r="M185" s="6">
        <f>SUMIFS('Renew &amp; Vac '!$S$53:$S$67,'Renew &amp; Vac '!$L$53:$L$67,$B185,'Renew &amp; Vac '!$O$53:$O$67,"&lt;="&amp;M$177,'Renew &amp; Vac '!$P$53:$P$67,"&gt;="&amp;M$177)+SUMIFS('Renew &amp; Vac '!$H$53:$H$67,'Renew &amp; Vac '!$A$53:$A$67,$B185,'Renew &amp; Vac '!$D$53:$D$67,"&lt;="&amp;M$177,'Renew &amp; Vac '!$E$53:$E$67,"&gt;="&amp;M$177)</f>
        <v>0</v>
      </c>
      <c r="N185" s="6">
        <f>SUMIFS('Renew &amp; Vac '!$S$53:$S$67,'Renew &amp; Vac '!$L$53:$L$67,$B185,'Renew &amp; Vac '!$O$53:$O$67,"&lt;="&amp;N$177,'Renew &amp; Vac '!$P$53:$P$67,"&gt;="&amp;N$177)+SUMIFS('Renew &amp; Vac '!$H$53:$H$67,'Renew &amp; Vac '!$A$53:$A$67,$B185,'Renew &amp; Vac '!$D$53:$D$67,"&lt;="&amp;N$177,'Renew &amp; Vac '!$E$53:$E$67,"&gt;="&amp;N$177)</f>
        <v>0</v>
      </c>
      <c r="O185" s="6">
        <f>SUMIFS('Renew &amp; Vac '!$S$53:$S$67,'Renew &amp; Vac '!$L$53:$L$67,$B185,'Renew &amp; Vac '!$O$53:$O$67,"&lt;="&amp;O$177,'Renew &amp; Vac '!$P$53:$P$67,"&gt;="&amp;O$177)+SUMIFS('Renew &amp; Vac '!$H$53:$H$67,'Renew &amp; Vac '!$A$53:$A$67,$B185,'Renew &amp; Vac '!$D$53:$D$67,"&lt;="&amp;O$177,'Renew &amp; Vac '!$E$53:$E$67,"&gt;="&amp;O$177)</f>
        <v>0</v>
      </c>
      <c r="P185" s="6">
        <f>SUMIFS('Renew &amp; Vac '!$S$53:$S$67,'Renew &amp; Vac '!$L$53:$L$67,$B185,'Renew &amp; Vac '!$O$53:$O$67,"&lt;="&amp;P$177,'Renew &amp; Vac '!$P$53:$P$67,"&gt;="&amp;P$177)+SUMIFS('Renew &amp; Vac '!$H$53:$H$67,'Renew &amp; Vac '!$A$53:$A$67,$B185,'Renew &amp; Vac '!$D$53:$D$67,"&lt;="&amp;P$177,'Renew &amp; Vac '!$E$53:$E$67,"&gt;="&amp;P$177)</f>
        <v>0</v>
      </c>
      <c r="Q185" s="8">
        <f t="shared" si="79"/>
        <v>0</v>
      </c>
    </row>
    <row r="186" spans="2:21" hidden="1" outlineLevel="1" x14ac:dyDescent="0.35">
      <c r="B186" s="79" t="str">
        <f t="shared" si="78"/>
        <v>2300-1877</v>
      </c>
      <c r="D186" s="6" t="str">
        <f>IFERROR(VLOOKUP(B186,'Renew &amp; Vac '!$L$53:$M$67,2,FALSE),IFERROR(VLOOKUP(B186,'Renew &amp; Vac '!$A$53:$B$67,2,FALSE),VLOOKUP(B186,$B$160:$D$172,3,FALSE)))</f>
        <v>Evolve Nails and Spa</v>
      </c>
      <c r="E186" s="6">
        <f>SUMIFS('Renew &amp; Vac '!$S$53:$S$67,'Renew &amp; Vac '!$L$53:$L$67,$B186,'Renew &amp; Vac '!$O$53:$O$67,"&lt;="&amp;E$177,'Renew &amp; Vac '!$P$53:$P$67,"&gt;="&amp;E$177)+SUMIFS('Renew &amp; Vac '!$H$53:$H$67,'Renew &amp; Vac '!$A$53:$A$67,$B186,'Renew &amp; Vac '!$D$53:$D$67,"&lt;="&amp;E$177,'Renew &amp; Vac '!$E$53:$E$67,"&gt;="&amp;E$177)</f>
        <v>0</v>
      </c>
      <c r="F186" s="6">
        <f>SUMIFS('Renew &amp; Vac '!$S$53:$S$67,'Renew &amp; Vac '!$L$53:$L$67,$B186,'Renew &amp; Vac '!$O$53:$O$67,"&lt;="&amp;F$177,'Renew &amp; Vac '!$P$53:$P$67,"&gt;="&amp;F$177)+SUMIFS('Renew &amp; Vac '!$H$53:$H$67,'Renew &amp; Vac '!$A$53:$A$67,$B186,'Renew &amp; Vac '!$D$53:$D$67,"&lt;="&amp;F$177,'Renew &amp; Vac '!$E$53:$E$67,"&gt;="&amp;F$177)</f>
        <v>0</v>
      </c>
      <c r="G186" s="6">
        <f>SUMIFS('Renew &amp; Vac '!$S$53:$S$67,'Renew &amp; Vac '!$L$53:$L$67,$B186,'Renew &amp; Vac '!$O$53:$O$67,"&lt;="&amp;G$177,'Renew &amp; Vac '!$P$53:$P$67,"&gt;="&amp;G$177)+SUMIFS('Renew &amp; Vac '!$H$53:$H$67,'Renew &amp; Vac '!$A$53:$A$67,$B186,'Renew &amp; Vac '!$D$53:$D$67,"&lt;="&amp;G$177,'Renew &amp; Vac '!$E$53:$E$67,"&gt;="&amp;G$177)</f>
        <v>0</v>
      </c>
      <c r="H186" s="6">
        <f>SUMIFS('Renew &amp; Vac '!$S$53:$S$67,'Renew &amp; Vac '!$L$53:$L$67,$B186,'Renew &amp; Vac '!$O$53:$O$67,"&lt;="&amp;H$177,'Renew &amp; Vac '!$P$53:$P$67,"&gt;="&amp;H$177)+SUMIFS('Renew &amp; Vac '!$H$53:$H$67,'Renew &amp; Vac '!$A$53:$A$67,$B186,'Renew &amp; Vac '!$D$53:$D$67,"&lt;="&amp;H$177,'Renew &amp; Vac '!$E$53:$E$67,"&gt;="&amp;H$177)</f>
        <v>0</v>
      </c>
      <c r="I186" s="6">
        <f>SUMIFS('Renew &amp; Vac '!$S$53:$S$67,'Renew &amp; Vac '!$L$53:$L$67,$B186,'Renew &amp; Vac '!$O$53:$O$67,"&lt;="&amp;I$177,'Renew &amp; Vac '!$P$53:$P$67,"&gt;="&amp;I$177)+SUMIFS('Renew &amp; Vac '!$H$53:$H$67,'Renew &amp; Vac '!$A$53:$A$67,$B186,'Renew &amp; Vac '!$D$53:$D$67,"&lt;="&amp;I$177,'Renew &amp; Vac '!$E$53:$E$67,"&gt;="&amp;I$177)</f>
        <v>0</v>
      </c>
      <c r="J186" s="6">
        <f>SUMIFS('Renew &amp; Vac '!$S$53:$S$67,'Renew &amp; Vac '!$L$53:$L$67,$B186,'Renew &amp; Vac '!$O$53:$O$67,"&lt;="&amp;J$177,'Renew &amp; Vac '!$P$53:$P$67,"&gt;="&amp;J$177)+SUMIFS('Renew &amp; Vac '!$H$53:$H$67,'Renew &amp; Vac '!$A$53:$A$67,$B186,'Renew &amp; Vac '!$D$53:$D$67,"&lt;="&amp;J$177,'Renew &amp; Vac '!$E$53:$E$67,"&gt;="&amp;J$177)</f>
        <v>0</v>
      </c>
      <c r="K186" s="6">
        <f>SUMIFS('Renew &amp; Vac '!$S$53:$S$67,'Renew &amp; Vac '!$L$53:$L$67,$B186,'Renew &amp; Vac '!$O$53:$O$67,"&lt;="&amp;K$177,'Renew &amp; Vac '!$P$53:$P$67,"&gt;="&amp;K$177)+SUMIFS('Renew &amp; Vac '!$H$53:$H$67,'Renew &amp; Vac '!$A$53:$A$67,$B186,'Renew &amp; Vac '!$D$53:$D$67,"&lt;="&amp;K$177,'Renew &amp; Vac '!$E$53:$E$67,"&gt;="&amp;K$177)</f>
        <v>0</v>
      </c>
      <c r="L186" s="6">
        <f>SUMIFS('Renew &amp; Vac '!$S$53:$S$67,'Renew &amp; Vac '!$L$53:$L$67,$B186,'Renew &amp; Vac '!$O$53:$O$67,"&lt;="&amp;L$177,'Renew &amp; Vac '!$P$53:$P$67,"&gt;="&amp;L$177)+SUMIFS('Renew &amp; Vac '!$H$53:$H$67,'Renew &amp; Vac '!$A$53:$A$67,$B186,'Renew &amp; Vac '!$D$53:$D$67,"&lt;="&amp;L$177,'Renew &amp; Vac '!$E$53:$E$67,"&gt;="&amp;L$177)</f>
        <v>0</v>
      </c>
      <c r="M186" s="6">
        <f>SUMIFS('Renew &amp; Vac '!$S$53:$S$67,'Renew &amp; Vac '!$L$53:$L$67,$B186,'Renew &amp; Vac '!$O$53:$O$67,"&lt;="&amp;M$177,'Renew &amp; Vac '!$P$53:$P$67,"&gt;="&amp;M$177)+SUMIFS('Renew &amp; Vac '!$H$53:$H$67,'Renew &amp; Vac '!$A$53:$A$67,$B186,'Renew &amp; Vac '!$D$53:$D$67,"&lt;="&amp;M$177,'Renew &amp; Vac '!$E$53:$E$67,"&gt;="&amp;M$177)</f>
        <v>0</v>
      </c>
      <c r="N186" s="6">
        <f>SUMIFS('Renew &amp; Vac '!$S$53:$S$67,'Renew &amp; Vac '!$L$53:$L$67,$B186,'Renew &amp; Vac '!$O$53:$O$67,"&lt;="&amp;N$177,'Renew &amp; Vac '!$P$53:$P$67,"&gt;="&amp;N$177)+SUMIFS('Renew &amp; Vac '!$H$53:$H$67,'Renew &amp; Vac '!$A$53:$A$67,$B186,'Renew &amp; Vac '!$D$53:$D$67,"&lt;="&amp;N$177,'Renew &amp; Vac '!$E$53:$E$67,"&gt;="&amp;N$177)</f>
        <v>0</v>
      </c>
      <c r="O186" s="6">
        <f>SUMIFS('Renew &amp; Vac '!$S$53:$S$67,'Renew &amp; Vac '!$L$53:$L$67,$B186,'Renew &amp; Vac '!$O$53:$O$67,"&lt;="&amp;O$177,'Renew &amp; Vac '!$P$53:$P$67,"&gt;="&amp;O$177)+SUMIFS('Renew &amp; Vac '!$H$53:$H$67,'Renew &amp; Vac '!$A$53:$A$67,$B186,'Renew &amp; Vac '!$D$53:$D$67,"&lt;="&amp;O$177,'Renew &amp; Vac '!$E$53:$E$67,"&gt;="&amp;O$177)</f>
        <v>0</v>
      </c>
      <c r="P186" s="6">
        <f>SUMIFS('Renew &amp; Vac '!$S$53:$S$67,'Renew &amp; Vac '!$L$53:$L$67,$B186,'Renew &amp; Vac '!$O$53:$O$67,"&lt;="&amp;P$177,'Renew &amp; Vac '!$P$53:$P$67,"&gt;="&amp;P$177)+SUMIFS('Renew &amp; Vac '!$H$53:$H$67,'Renew &amp; Vac '!$A$53:$A$67,$B186,'Renew &amp; Vac '!$D$53:$D$67,"&lt;="&amp;P$177,'Renew &amp; Vac '!$E$53:$E$67,"&gt;="&amp;P$177)</f>
        <v>0</v>
      </c>
      <c r="Q186" s="8">
        <f t="shared" si="79"/>
        <v>0</v>
      </c>
    </row>
    <row r="187" spans="2:21" hidden="1" outlineLevel="1" x14ac:dyDescent="0.35">
      <c r="B187" s="79" t="str">
        <f t="shared" si="78"/>
        <v>2300-1879</v>
      </c>
      <c r="D187" s="6" t="str">
        <f>IFERROR(VLOOKUP(B187,'Renew &amp; Vac '!$L$53:$M$67,2,FALSE),IFERROR(VLOOKUP(B187,'Renew &amp; Vac '!$A$53:$B$67,2,FALSE),VLOOKUP(B187,$B$160:$D$172,3,FALSE)))</f>
        <v>GNC</v>
      </c>
      <c r="E187" s="6">
        <f>SUMIFS('Renew &amp; Vac '!$S$53:$S$67,'Renew &amp; Vac '!$L$53:$L$67,$B187,'Renew &amp; Vac '!$O$53:$O$67,"&lt;="&amp;E$177,'Renew &amp; Vac '!$P$53:$P$67,"&gt;="&amp;E$177)+SUMIFS('Renew &amp; Vac '!$H$53:$H$67,'Renew &amp; Vac '!$A$53:$A$67,$B187,'Renew &amp; Vac '!$D$53:$D$67,"&lt;="&amp;E$177,'Renew &amp; Vac '!$E$53:$E$67,"&gt;="&amp;E$177)</f>
        <v>0</v>
      </c>
      <c r="F187" s="6">
        <f>SUMIFS('Renew &amp; Vac '!$S$53:$S$67,'Renew &amp; Vac '!$L$53:$L$67,$B187,'Renew &amp; Vac '!$O$53:$O$67,"&lt;="&amp;F$177,'Renew &amp; Vac '!$P$53:$P$67,"&gt;="&amp;F$177)+SUMIFS('Renew &amp; Vac '!$H$53:$H$67,'Renew &amp; Vac '!$A$53:$A$67,$B187,'Renew &amp; Vac '!$D$53:$D$67,"&lt;="&amp;F$177,'Renew &amp; Vac '!$E$53:$E$67,"&gt;="&amp;F$177)</f>
        <v>0</v>
      </c>
      <c r="G187" s="6">
        <f>SUMIFS('Renew &amp; Vac '!$S$53:$S$67,'Renew &amp; Vac '!$L$53:$L$67,$B187,'Renew &amp; Vac '!$O$53:$O$67,"&lt;="&amp;G$177,'Renew &amp; Vac '!$P$53:$P$67,"&gt;="&amp;G$177)+SUMIFS('Renew &amp; Vac '!$H$53:$H$67,'Renew &amp; Vac '!$A$53:$A$67,$B187,'Renew &amp; Vac '!$D$53:$D$67,"&lt;="&amp;G$177,'Renew &amp; Vac '!$E$53:$E$67,"&gt;="&amp;G$177)</f>
        <v>0</v>
      </c>
      <c r="H187" s="6">
        <f>SUMIFS('Renew &amp; Vac '!$S$53:$S$67,'Renew &amp; Vac '!$L$53:$L$67,$B187,'Renew &amp; Vac '!$O$53:$O$67,"&lt;="&amp;H$177,'Renew &amp; Vac '!$P$53:$P$67,"&gt;="&amp;H$177)+SUMIFS('Renew &amp; Vac '!$H$53:$H$67,'Renew &amp; Vac '!$A$53:$A$67,$B187,'Renew &amp; Vac '!$D$53:$D$67,"&lt;="&amp;H$177,'Renew &amp; Vac '!$E$53:$E$67,"&gt;="&amp;H$177)</f>
        <v>0</v>
      </c>
      <c r="I187" s="6">
        <f>SUMIFS('Renew &amp; Vac '!$S$53:$S$67,'Renew &amp; Vac '!$L$53:$L$67,$B187,'Renew &amp; Vac '!$O$53:$O$67,"&lt;="&amp;I$177,'Renew &amp; Vac '!$P$53:$P$67,"&gt;="&amp;I$177)+SUMIFS('Renew &amp; Vac '!$H$53:$H$67,'Renew &amp; Vac '!$A$53:$A$67,$B187,'Renew &amp; Vac '!$D$53:$D$67,"&lt;="&amp;I$177,'Renew &amp; Vac '!$E$53:$E$67,"&gt;="&amp;I$177)</f>
        <v>0</v>
      </c>
      <c r="J187" s="6">
        <f>SUMIFS('Renew &amp; Vac '!$S$53:$S$67,'Renew &amp; Vac '!$L$53:$L$67,$B187,'Renew &amp; Vac '!$O$53:$O$67,"&lt;="&amp;J$177,'Renew &amp; Vac '!$P$53:$P$67,"&gt;="&amp;J$177)+SUMIFS('Renew &amp; Vac '!$H$53:$H$67,'Renew &amp; Vac '!$A$53:$A$67,$B187,'Renew &amp; Vac '!$D$53:$D$67,"&lt;="&amp;J$177,'Renew &amp; Vac '!$E$53:$E$67,"&gt;="&amp;J$177)</f>
        <v>0</v>
      </c>
      <c r="K187" s="6">
        <f>SUMIFS('Renew &amp; Vac '!$S$53:$S$67,'Renew &amp; Vac '!$L$53:$L$67,$B187,'Renew &amp; Vac '!$O$53:$O$67,"&lt;="&amp;K$177,'Renew &amp; Vac '!$P$53:$P$67,"&gt;="&amp;K$177)+SUMIFS('Renew &amp; Vac '!$H$53:$H$67,'Renew &amp; Vac '!$A$53:$A$67,$B187,'Renew &amp; Vac '!$D$53:$D$67,"&lt;="&amp;K$177,'Renew &amp; Vac '!$E$53:$E$67,"&gt;="&amp;K$177)</f>
        <v>3200</v>
      </c>
      <c r="L187" s="6">
        <f>SUMIFS('Renew &amp; Vac '!$S$53:$S$67,'Renew &amp; Vac '!$L$53:$L$67,$B187,'Renew &amp; Vac '!$O$53:$O$67,"&lt;="&amp;L$177,'Renew &amp; Vac '!$P$53:$P$67,"&gt;="&amp;L$177)+SUMIFS('Renew &amp; Vac '!$H$53:$H$67,'Renew &amp; Vac '!$A$53:$A$67,$B187,'Renew &amp; Vac '!$D$53:$D$67,"&lt;="&amp;L$177,'Renew &amp; Vac '!$E$53:$E$67,"&gt;="&amp;L$177)</f>
        <v>3200</v>
      </c>
      <c r="M187" s="6">
        <f>SUMIFS('Renew &amp; Vac '!$S$53:$S$67,'Renew &amp; Vac '!$L$53:$L$67,$B187,'Renew &amp; Vac '!$O$53:$O$67,"&lt;="&amp;M$177,'Renew &amp; Vac '!$P$53:$P$67,"&gt;="&amp;M$177)+SUMIFS('Renew &amp; Vac '!$H$53:$H$67,'Renew &amp; Vac '!$A$53:$A$67,$B187,'Renew &amp; Vac '!$D$53:$D$67,"&lt;="&amp;M$177,'Renew &amp; Vac '!$E$53:$E$67,"&gt;="&amp;M$177)</f>
        <v>3200</v>
      </c>
      <c r="N187" s="6">
        <f>SUMIFS('Renew &amp; Vac '!$S$53:$S$67,'Renew &amp; Vac '!$L$53:$L$67,$B187,'Renew &amp; Vac '!$O$53:$O$67,"&lt;="&amp;N$177,'Renew &amp; Vac '!$P$53:$P$67,"&gt;="&amp;N$177)+SUMIFS('Renew &amp; Vac '!$H$53:$H$67,'Renew &amp; Vac '!$A$53:$A$67,$B187,'Renew &amp; Vac '!$D$53:$D$67,"&lt;="&amp;N$177,'Renew &amp; Vac '!$E$53:$E$67,"&gt;="&amp;N$177)</f>
        <v>3200</v>
      </c>
      <c r="O187" s="6">
        <f>SUMIFS('Renew &amp; Vac '!$S$53:$S$67,'Renew &amp; Vac '!$L$53:$L$67,$B187,'Renew &amp; Vac '!$O$53:$O$67,"&lt;="&amp;O$177,'Renew &amp; Vac '!$P$53:$P$67,"&gt;="&amp;O$177)+SUMIFS('Renew &amp; Vac '!$H$53:$H$67,'Renew &amp; Vac '!$A$53:$A$67,$B187,'Renew &amp; Vac '!$D$53:$D$67,"&lt;="&amp;O$177,'Renew &amp; Vac '!$E$53:$E$67,"&gt;="&amp;O$177)</f>
        <v>3200</v>
      </c>
      <c r="P187" s="6">
        <f>SUMIFS('Renew &amp; Vac '!$S$53:$S$67,'Renew &amp; Vac '!$L$53:$L$67,$B187,'Renew &amp; Vac '!$O$53:$O$67,"&lt;="&amp;P$177,'Renew &amp; Vac '!$P$53:$P$67,"&gt;="&amp;P$177)+SUMIFS('Renew &amp; Vac '!$H$53:$H$67,'Renew &amp; Vac '!$A$53:$A$67,$B187,'Renew &amp; Vac '!$D$53:$D$67,"&lt;="&amp;P$177,'Renew &amp; Vac '!$E$53:$E$67,"&gt;="&amp;P$177)</f>
        <v>3200</v>
      </c>
      <c r="Q187" s="8">
        <f t="shared" si="79"/>
        <v>19200</v>
      </c>
    </row>
    <row r="188" spans="2:21" hidden="1" outlineLevel="1" x14ac:dyDescent="0.35">
      <c r="B188" s="79" t="str">
        <f t="shared" si="78"/>
        <v>2300-1881</v>
      </c>
      <c r="D188" s="6" t="str">
        <f>IFERROR(VLOOKUP(B188,'Renew &amp; Vac '!$L$53:$M$67,2,FALSE),IFERROR(VLOOKUP(B188,'Renew &amp; Vac '!$A$53:$B$67,2,FALSE),VLOOKUP(B188,$B$160:$D$172,3,FALSE)))</f>
        <v>Citizens Bank of PA</v>
      </c>
      <c r="E188" s="6">
        <f>SUMIFS('Renew &amp; Vac '!$S$53:$S$67,'Renew &amp; Vac '!$L$53:$L$67,$B188,'Renew &amp; Vac '!$O$53:$O$67,"&lt;="&amp;E$177,'Renew &amp; Vac '!$P$53:$P$67,"&gt;="&amp;E$177)+SUMIFS('Renew &amp; Vac '!$H$53:$H$67,'Renew &amp; Vac '!$A$53:$A$67,$B188,'Renew &amp; Vac '!$D$53:$D$67,"&lt;="&amp;E$177,'Renew &amp; Vac '!$E$53:$E$67,"&gt;="&amp;E$177)</f>
        <v>0</v>
      </c>
      <c r="F188" s="6">
        <f>SUMIFS('Renew &amp; Vac '!$S$53:$S$67,'Renew &amp; Vac '!$L$53:$L$67,$B188,'Renew &amp; Vac '!$O$53:$O$67,"&lt;="&amp;F$177,'Renew &amp; Vac '!$P$53:$P$67,"&gt;="&amp;F$177)+SUMIFS('Renew &amp; Vac '!$H$53:$H$67,'Renew &amp; Vac '!$A$53:$A$67,$B188,'Renew &amp; Vac '!$D$53:$D$67,"&lt;="&amp;F$177,'Renew &amp; Vac '!$E$53:$E$67,"&gt;="&amp;F$177)</f>
        <v>0</v>
      </c>
      <c r="G188" s="6">
        <f>SUMIFS('Renew &amp; Vac '!$S$53:$S$67,'Renew &amp; Vac '!$L$53:$L$67,$B188,'Renew &amp; Vac '!$O$53:$O$67,"&lt;="&amp;G$177,'Renew &amp; Vac '!$P$53:$P$67,"&gt;="&amp;G$177)+SUMIFS('Renew &amp; Vac '!$H$53:$H$67,'Renew &amp; Vac '!$A$53:$A$67,$B188,'Renew &amp; Vac '!$D$53:$D$67,"&lt;="&amp;G$177,'Renew &amp; Vac '!$E$53:$E$67,"&gt;="&amp;G$177)</f>
        <v>0</v>
      </c>
      <c r="H188" s="6">
        <f>SUMIFS('Renew &amp; Vac '!$S$53:$S$67,'Renew &amp; Vac '!$L$53:$L$67,$B188,'Renew &amp; Vac '!$O$53:$O$67,"&lt;="&amp;H$177,'Renew &amp; Vac '!$P$53:$P$67,"&gt;="&amp;H$177)+SUMIFS('Renew &amp; Vac '!$H$53:$H$67,'Renew &amp; Vac '!$A$53:$A$67,$B188,'Renew &amp; Vac '!$D$53:$D$67,"&lt;="&amp;H$177,'Renew &amp; Vac '!$E$53:$E$67,"&gt;="&amp;H$177)</f>
        <v>0</v>
      </c>
      <c r="I188" s="6">
        <f>SUMIFS('Renew &amp; Vac '!$S$53:$S$67,'Renew &amp; Vac '!$L$53:$L$67,$B188,'Renew &amp; Vac '!$O$53:$O$67,"&lt;="&amp;I$177,'Renew &amp; Vac '!$P$53:$P$67,"&gt;="&amp;I$177)+SUMIFS('Renew &amp; Vac '!$H$53:$H$67,'Renew &amp; Vac '!$A$53:$A$67,$B188,'Renew &amp; Vac '!$D$53:$D$67,"&lt;="&amp;I$177,'Renew &amp; Vac '!$E$53:$E$67,"&gt;="&amp;I$177)</f>
        <v>0</v>
      </c>
      <c r="J188" s="6">
        <f>SUMIFS('Renew &amp; Vac '!$S$53:$S$67,'Renew &amp; Vac '!$L$53:$L$67,$B188,'Renew &amp; Vac '!$O$53:$O$67,"&lt;="&amp;J$177,'Renew &amp; Vac '!$P$53:$P$67,"&gt;="&amp;J$177)+SUMIFS('Renew &amp; Vac '!$H$53:$H$67,'Renew &amp; Vac '!$A$53:$A$67,$B188,'Renew &amp; Vac '!$D$53:$D$67,"&lt;="&amp;J$177,'Renew &amp; Vac '!$E$53:$E$67,"&gt;="&amp;J$177)</f>
        <v>0</v>
      </c>
      <c r="K188" s="6">
        <f>SUMIFS('Renew &amp; Vac '!$S$53:$S$67,'Renew &amp; Vac '!$L$53:$L$67,$B188,'Renew &amp; Vac '!$O$53:$O$67,"&lt;="&amp;K$177,'Renew &amp; Vac '!$P$53:$P$67,"&gt;="&amp;K$177)+SUMIFS('Renew &amp; Vac '!$H$53:$H$67,'Renew &amp; Vac '!$A$53:$A$67,$B188,'Renew &amp; Vac '!$D$53:$D$67,"&lt;="&amp;K$177,'Renew &amp; Vac '!$E$53:$E$67,"&gt;="&amp;K$177)</f>
        <v>0</v>
      </c>
      <c r="L188" s="6">
        <f>SUMIFS('Renew &amp; Vac '!$S$53:$S$67,'Renew &amp; Vac '!$L$53:$L$67,$B188,'Renew &amp; Vac '!$O$53:$O$67,"&lt;="&amp;L$177,'Renew &amp; Vac '!$P$53:$P$67,"&gt;="&amp;L$177)+SUMIFS('Renew &amp; Vac '!$H$53:$H$67,'Renew &amp; Vac '!$A$53:$A$67,$B188,'Renew &amp; Vac '!$D$53:$D$67,"&lt;="&amp;L$177,'Renew &amp; Vac '!$E$53:$E$67,"&gt;="&amp;L$177)</f>
        <v>0</v>
      </c>
      <c r="M188" s="6">
        <f>SUMIFS('Renew &amp; Vac '!$S$53:$S$67,'Renew &amp; Vac '!$L$53:$L$67,$B188,'Renew &amp; Vac '!$O$53:$O$67,"&lt;="&amp;M$177,'Renew &amp; Vac '!$P$53:$P$67,"&gt;="&amp;M$177)+SUMIFS('Renew &amp; Vac '!$H$53:$H$67,'Renew &amp; Vac '!$A$53:$A$67,$B188,'Renew &amp; Vac '!$D$53:$D$67,"&lt;="&amp;M$177,'Renew &amp; Vac '!$E$53:$E$67,"&gt;="&amp;M$177)</f>
        <v>0</v>
      </c>
      <c r="N188" s="6">
        <f>SUMIFS('Renew &amp; Vac '!$S$53:$S$67,'Renew &amp; Vac '!$L$53:$L$67,$B188,'Renew &amp; Vac '!$O$53:$O$67,"&lt;="&amp;N$177,'Renew &amp; Vac '!$P$53:$P$67,"&gt;="&amp;N$177)+SUMIFS('Renew &amp; Vac '!$H$53:$H$67,'Renew &amp; Vac '!$A$53:$A$67,$B188,'Renew &amp; Vac '!$D$53:$D$67,"&lt;="&amp;N$177,'Renew &amp; Vac '!$E$53:$E$67,"&gt;="&amp;N$177)</f>
        <v>0</v>
      </c>
      <c r="O188" s="6">
        <f>SUMIFS('Renew &amp; Vac '!$S$53:$S$67,'Renew &amp; Vac '!$L$53:$L$67,$B188,'Renew &amp; Vac '!$O$53:$O$67,"&lt;="&amp;O$177,'Renew &amp; Vac '!$P$53:$P$67,"&gt;="&amp;O$177)+SUMIFS('Renew &amp; Vac '!$H$53:$H$67,'Renew &amp; Vac '!$A$53:$A$67,$B188,'Renew &amp; Vac '!$D$53:$D$67,"&lt;="&amp;O$177,'Renew &amp; Vac '!$E$53:$E$67,"&gt;="&amp;O$177)</f>
        <v>0</v>
      </c>
      <c r="P188" s="6">
        <f>SUMIFS('Renew &amp; Vac '!$S$53:$S$67,'Renew &amp; Vac '!$L$53:$L$67,$B188,'Renew &amp; Vac '!$O$53:$O$67,"&lt;="&amp;P$177,'Renew &amp; Vac '!$P$53:$P$67,"&gt;="&amp;P$177)+SUMIFS('Renew &amp; Vac '!$H$53:$H$67,'Renew &amp; Vac '!$A$53:$A$67,$B188,'Renew &amp; Vac '!$D$53:$D$67,"&lt;="&amp;P$177,'Renew &amp; Vac '!$E$53:$E$67,"&gt;="&amp;P$177)</f>
        <v>0</v>
      </c>
      <c r="Q188" s="8">
        <f t="shared" si="79"/>
        <v>0</v>
      </c>
    </row>
    <row r="189" spans="2:21" hidden="1" outlineLevel="1" x14ac:dyDescent="0.35">
      <c r="B189" s="79" t="str">
        <f t="shared" si="78"/>
        <v>2300-1883</v>
      </c>
      <c r="D189" s="6" t="str">
        <f>IFERROR(VLOOKUP(B189,'Renew &amp; Vac '!$L$53:$M$67,2,FALSE),IFERROR(VLOOKUP(B189,'Renew &amp; Vac '!$A$53:$B$67,2,FALSE),VLOOKUP(B189,$B$160:$D$172,3,FALSE)))</f>
        <v>Wawa Inc. #267</v>
      </c>
      <c r="E189" s="6">
        <f>SUMIFS('Renew &amp; Vac '!$S$53:$S$67,'Renew &amp; Vac '!$L$53:$L$67,$B189,'Renew &amp; Vac '!$O$53:$O$67,"&lt;="&amp;E$177,'Renew &amp; Vac '!$P$53:$P$67,"&gt;="&amp;E$177)+SUMIFS('Renew &amp; Vac '!$H$53:$H$67,'Renew &amp; Vac '!$A$53:$A$67,$B189,'Renew &amp; Vac '!$D$53:$D$67,"&lt;="&amp;E$177,'Renew &amp; Vac '!$E$53:$E$67,"&gt;="&amp;E$177)</f>
        <v>0</v>
      </c>
      <c r="F189" s="6">
        <f>SUMIFS('Renew &amp; Vac '!$S$53:$S$67,'Renew &amp; Vac '!$L$53:$L$67,$B189,'Renew &amp; Vac '!$O$53:$O$67,"&lt;="&amp;F$177,'Renew &amp; Vac '!$P$53:$P$67,"&gt;="&amp;F$177)+SUMIFS('Renew &amp; Vac '!$H$53:$H$67,'Renew &amp; Vac '!$A$53:$A$67,$B189,'Renew &amp; Vac '!$D$53:$D$67,"&lt;="&amp;F$177,'Renew &amp; Vac '!$E$53:$E$67,"&gt;="&amp;F$177)</f>
        <v>0</v>
      </c>
      <c r="G189" s="6">
        <f>SUMIFS('Renew &amp; Vac '!$S$53:$S$67,'Renew &amp; Vac '!$L$53:$L$67,$B189,'Renew &amp; Vac '!$O$53:$O$67,"&lt;="&amp;G$177,'Renew &amp; Vac '!$P$53:$P$67,"&gt;="&amp;G$177)+SUMIFS('Renew &amp; Vac '!$H$53:$H$67,'Renew &amp; Vac '!$A$53:$A$67,$B189,'Renew &amp; Vac '!$D$53:$D$67,"&lt;="&amp;G$177,'Renew &amp; Vac '!$E$53:$E$67,"&gt;="&amp;G$177)</f>
        <v>0</v>
      </c>
      <c r="H189" s="6">
        <f>SUMIFS('Renew &amp; Vac '!$S$53:$S$67,'Renew &amp; Vac '!$L$53:$L$67,$B189,'Renew &amp; Vac '!$O$53:$O$67,"&lt;="&amp;H$177,'Renew &amp; Vac '!$P$53:$P$67,"&gt;="&amp;H$177)+SUMIFS('Renew &amp; Vac '!$H$53:$H$67,'Renew &amp; Vac '!$A$53:$A$67,$B189,'Renew &amp; Vac '!$D$53:$D$67,"&lt;="&amp;H$177,'Renew &amp; Vac '!$E$53:$E$67,"&gt;="&amp;H$177)</f>
        <v>0</v>
      </c>
      <c r="I189" s="6">
        <f>SUMIFS('Renew &amp; Vac '!$S$53:$S$67,'Renew &amp; Vac '!$L$53:$L$67,$B189,'Renew &amp; Vac '!$O$53:$O$67,"&lt;="&amp;I$177,'Renew &amp; Vac '!$P$53:$P$67,"&gt;="&amp;I$177)+SUMIFS('Renew &amp; Vac '!$H$53:$H$67,'Renew &amp; Vac '!$A$53:$A$67,$B189,'Renew &amp; Vac '!$D$53:$D$67,"&lt;="&amp;I$177,'Renew &amp; Vac '!$E$53:$E$67,"&gt;="&amp;I$177)</f>
        <v>0</v>
      </c>
      <c r="J189" s="6">
        <f>SUMIFS('Renew &amp; Vac '!$S$53:$S$67,'Renew &amp; Vac '!$L$53:$L$67,$B189,'Renew &amp; Vac '!$O$53:$O$67,"&lt;="&amp;J$177,'Renew &amp; Vac '!$P$53:$P$67,"&gt;="&amp;J$177)+SUMIFS('Renew &amp; Vac '!$H$53:$H$67,'Renew &amp; Vac '!$A$53:$A$67,$B189,'Renew &amp; Vac '!$D$53:$D$67,"&lt;="&amp;J$177,'Renew &amp; Vac '!$E$53:$E$67,"&gt;="&amp;J$177)</f>
        <v>0</v>
      </c>
      <c r="K189" s="6">
        <f>SUMIFS('Renew &amp; Vac '!$S$53:$S$67,'Renew &amp; Vac '!$L$53:$L$67,$B189,'Renew &amp; Vac '!$O$53:$O$67,"&lt;="&amp;K$177,'Renew &amp; Vac '!$P$53:$P$67,"&gt;="&amp;K$177)+SUMIFS('Renew &amp; Vac '!$H$53:$H$67,'Renew &amp; Vac '!$A$53:$A$67,$B189,'Renew &amp; Vac '!$D$53:$D$67,"&lt;="&amp;K$177,'Renew &amp; Vac '!$E$53:$E$67,"&gt;="&amp;K$177)</f>
        <v>0</v>
      </c>
      <c r="L189" s="6">
        <f>SUMIFS('Renew &amp; Vac '!$S$53:$S$67,'Renew &amp; Vac '!$L$53:$L$67,$B189,'Renew &amp; Vac '!$O$53:$O$67,"&lt;="&amp;L$177,'Renew &amp; Vac '!$P$53:$P$67,"&gt;="&amp;L$177)+SUMIFS('Renew &amp; Vac '!$H$53:$H$67,'Renew &amp; Vac '!$A$53:$A$67,$B189,'Renew &amp; Vac '!$D$53:$D$67,"&lt;="&amp;L$177,'Renew &amp; Vac '!$E$53:$E$67,"&gt;="&amp;L$177)</f>
        <v>0</v>
      </c>
      <c r="M189" s="6">
        <f>SUMIFS('Renew &amp; Vac '!$S$53:$S$67,'Renew &amp; Vac '!$L$53:$L$67,$B189,'Renew &amp; Vac '!$O$53:$O$67,"&lt;="&amp;M$177,'Renew &amp; Vac '!$P$53:$P$67,"&gt;="&amp;M$177)+SUMIFS('Renew &amp; Vac '!$H$53:$H$67,'Renew &amp; Vac '!$A$53:$A$67,$B189,'Renew &amp; Vac '!$D$53:$D$67,"&lt;="&amp;M$177,'Renew &amp; Vac '!$E$53:$E$67,"&gt;="&amp;M$177)</f>
        <v>0</v>
      </c>
      <c r="N189" s="6">
        <f>SUMIFS('Renew &amp; Vac '!$S$53:$S$67,'Renew &amp; Vac '!$L$53:$L$67,$B189,'Renew &amp; Vac '!$O$53:$O$67,"&lt;="&amp;N$177,'Renew &amp; Vac '!$P$53:$P$67,"&gt;="&amp;N$177)+SUMIFS('Renew &amp; Vac '!$H$53:$H$67,'Renew &amp; Vac '!$A$53:$A$67,$B189,'Renew &amp; Vac '!$D$53:$D$67,"&lt;="&amp;N$177,'Renew &amp; Vac '!$E$53:$E$67,"&gt;="&amp;N$177)</f>
        <v>0</v>
      </c>
      <c r="O189" s="6">
        <f>SUMIFS('Renew &amp; Vac '!$S$53:$S$67,'Renew &amp; Vac '!$L$53:$L$67,$B189,'Renew &amp; Vac '!$O$53:$O$67,"&lt;="&amp;O$177,'Renew &amp; Vac '!$P$53:$P$67,"&gt;="&amp;O$177)+SUMIFS('Renew &amp; Vac '!$H$53:$H$67,'Renew &amp; Vac '!$A$53:$A$67,$B189,'Renew &amp; Vac '!$D$53:$D$67,"&lt;="&amp;O$177,'Renew &amp; Vac '!$E$53:$E$67,"&gt;="&amp;O$177)</f>
        <v>0</v>
      </c>
      <c r="P189" s="6">
        <f>SUMIFS('Renew &amp; Vac '!$S$53:$S$67,'Renew &amp; Vac '!$L$53:$L$67,$B189,'Renew &amp; Vac '!$O$53:$O$67,"&lt;="&amp;P$177,'Renew &amp; Vac '!$P$53:$P$67,"&gt;="&amp;P$177)+SUMIFS('Renew &amp; Vac '!$H$53:$H$67,'Renew &amp; Vac '!$A$53:$A$67,$B189,'Renew &amp; Vac '!$D$53:$D$67,"&lt;="&amp;P$177,'Renew &amp; Vac '!$E$53:$E$67,"&gt;="&amp;P$177)</f>
        <v>0</v>
      </c>
      <c r="Q189" s="8">
        <f t="shared" si="79"/>
        <v>0</v>
      </c>
    </row>
    <row r="190" spans="2:21" hidden="1" outlineLevel="1" x14ac:dyDescent="0.35">
      <c r="B190" s="227" t="str">
        <f t="shared" si="78"/>
        <v>2300-1885</v>
      </c>
      <c r="C190" s="15"/>
      <c r="D190" s="15" t="str">
        <f>IFERROR(VLOOKUP(B190,'Renew &amp; Vac '!$L$53:$M$67,2,FALSE),IFERROR(VLOOKUP(B190,'Renew &amp; Vac '!$A$53:$B$67,2,FALSE),VLOOKUP(B190,$B$160:$D$172,3,FALSE)))</f>
        <v>Dunkin Donuts #336368</v>
      </c>
      <c r="E190" s="15">
        <f>SUMIFS('Renew &amp; Vac '!$S$53:$S$67,'Renew &amp; Vac '!$L$53:$L$67,$B190,'Renew &amp; Vac '!$O$53:$O$67,"&lt;="&amp;E$177,'Renew &amp; Vac '!$P$53:$P$67,"&gt;="&amp;E$177)+SUMIFS('Renew &amp; Vac '!$H$53:$H$67,'Renew &amp; Vac '!$A$53:$A$67,$B190,'Renew &amp; Vac '!$D$53:$D$67,"&lt;="&amp;E$177,'Renew &amp; Vac '!$E$53:$E$67,"&gt;="&amp;E$177)</f>
        <v>0</v>
      </c>
      <c r="F190" s="15">
        <f>SUMIFS('Renew &amp; Vac '!$S$53:$S$67,'Renew &amp; Vac '!$L$53:$L$67,$B190,'Renew &amp; Vac '!$O$53:$O$67,"&lt;="&amp;F$177,'Renew &amp; Vac '!$P$53:$P$67,"&gt;="&amp;F$177)+SUMIFS('Renew &amp; Vac '!$H$53:$H$67,'Renew &amp; Vac '!$A$53:$A$67,$B190,'Renew &amp; Vac '!$D$53:$D$67,"&lt;="&amp;F$177,'Renew &amp; Vac '!$E$53:$E$67,"&gt;="&amp;F$177)</f>
        <v>0</v>
      </c>
      <c r="G190" s="15">
        <f>SUMIFS('Renew &amp; Vac '!$S$53:$S$67,'Renew &amp; Vac '!$L$53:$L$67,$B190,'Renew &amp; Vac '!$O$53:$O$67,"&lt;="&amp;G$177,'Renew &amp; Vac '!$P$53:$P$67,"&gt;="&amp;G$177)+SUMIFS('Renew &amp; Vac '!$H$53:$H$67,'Renew &amp; Vac '!$A$53:$A$67,$B190,'Renew &amp; Vac '!$D$53:$D$67,"&lt;="&amp;G$177,'Renew &amp; Vac '!$E$53:$E$67,"&gt;="&amp;G$177)</f>
        <v>0</v>
      </c>
      <c r="H190" s="15">
        <f>SUMIFS('Renew &amp; Vac '!$S$53:$S$67,'Renew &amp; Vac '!$L$53:$L$67,$B190,'Renew &amp; Vac '!$O$53:$O$67,"&lt;="&amp;H$177,'Renew &amp; Vac '!$P$53:$P$67,"&gt;="&amp;H$177)+SUMIFS('Renew &amp; Vac '!$H$53:$H$67,'Renew &amp; Vac '!$A$53:$A$67,$B190,'Renew &amp; Vac '!$D$53:$D$67,"&lt;="&amp;H$177,'Renew &amp; Vac '!$E$53:$E$67,"&gt;="&amp;H$177)</f>
        <v>0</v>
      </c>
      <c r="I190" s="15">
        <f>SUMIFS('Renew &amp; Vac '!$S$53:$S$67,'Renew &amp; Vac '!$L$53:$L$67,$B190,'Renew &amp; Vac '!$O$53:$O$67,"&lt;="&amp;I$177,'Renew &amp; Vac '!$P$53:$P$67,"&gt;="&amp;I$177)+SUMIFS('Renew &amp; Vac '!$H$53:$H$67,'Renew &amp; Vac '!$A$53:$A$67,$B190,'Renew &amp; Vac '!$D$53:$D$67,"&lt;="&amp;I$177,'Renew &amp; Vac '!$E$53:$E$67,"&gt;="&amp;I$177)</f>
        <v>0</v>
      </c>
      <c r="J190" s="15">
        <f>SUMIFS('Renew &amp; Vac '!$S$53:$S$67,'Renew &amp; Vac '!$L$53:$L$67,$B190,'Renew &amp; Vac '!$O$53:$O$67,"&lt;="&amp;J$177,'Renew &amp; Vac '!$P$53:$P$67,"&gt;="&amp;J$177)+SUMIFS('Renew &amp; Vac '!$H$53:$H$67,'Renew &amp; Vac '!$A$53:$A$67,$B190,'Renew &amp; Vac '!$D$53:$D$67,"&lt;="&amp;J$177,'Renew &amp; Vac '!$E$53:$E$67,"&gt;="&amp;J$177)</f>
        <v>0</v>
      </c>
      <c r="K190" s="15">
        <f>SUMIFS('Renew &amp; Vac '!$S$53:$S$67,'Renew &amp; Vac '!$L$53:$L$67,$B190,'Renew &amp; Vac '!$O$53:$O$67,"&lt;="&amp;K$177,'Renew &amp; Vac '!$P$53:$P$67,"&gt;="&amp;K$177)+SUMIFS('Renew &amp; Vac '!$H$53:$H$67,'Renew &amp; Vac '!$A$53:$A$67,$B190,'Renew &amp; Vac '!$D$53:$D$67,"&lt;="&amp;K$177,'Renew &amp; Vac '!$E$53:$E$67,"&gt;="&amp;K$177)</f>
        <v>0</v>
      </c>
      <c r="L190" s="15">
        <f>SUMIFS('Renew &amp; Vac '!$S$53:$S$67,'Renew &amp; Vac '!$L$53:$L$67,$B190,'Renew &amp; Vac '!$O$53:$O$67,"&lt;="&amp;L$177,'Renew &amp; Vac '!$P$53:$P$67,"&gt;="&amp;L$177)+SUMIFS('Renew &amp; Vac '!$H$53:$H$67,'Renew &amp; Vac '!$A$53:$A$67,$B190,'Renew &amp; Vac '!$D$53:$D$67,"&lt;="&amp;L$177,'Renew &amp; Vac '!$E$53:$E$67,"&gt;="&amp;L$177)</f>
        <v>0</v>
      </c>
      <c r="M190" s="15">
        <f>SUMIFS('Renew &amp; Vac '!$S$53:$S$67,'Renew &amp; Vac '!$L$53:$L$67,$B190,'Renew &amp; Vac '!$O$53:$O$67,"&lt;="&amp;M$177,'Renew &amp; Vac '!$P$53:$P$67,"&gt;="&amp;M$177)+SUMIFS('Renew &amp; Vac '!$H$53:$H$67,'Renew &amp; Vac '!$A$53:$A$67,$B190,'Renew &amp; Vac '!$D$53:$D$67,"&lt;="&amp;M$177,'Renew &amp; Vac '!$E$53:$E$67,"&gt;="&amp;M$177)</f>
        <v>0</v>
      </c>
      <c r="N190" s="15">
        <f>SUMIFS('Renew &amp; Vac '!$S$53:$S$67,'Renew &amp; Vac '!$L$53:$L$67,$B190,'Renew &amp; Vac '!$O$53:$O$67,"&lt;="&amp;N$177,'Renew &amp; Vac '!$P$53:$P$67,"&gt;="&amp;N$177)+SUMIFS('Renew &amp; Vac '!$H$53:$H$67,'Renew &amp; Vac '!$A$53:$A$67,$B190,'Renew &amp; Vac '!$D$53:$D$67,"&lt;="&amp;N$177,'Renew &amp; Vac '!$E$53:$E$67,"&gt;="&amp;N$177)</f>
        <v>0</v>
      </c>
      <c r="O190" s="15">
        <f>SUMIFS('Renew &amp; Vac '!$S$53:$S$67,'Renew &amp; Vac '!$L$53:$L$67,$B190,'Renew &amp; Vac '!$O$53:$O$67,"&lt;="&amp;O$177,'Renew &amp; Vac '!$P$53:$P$67,"&gt;="&amp;O$177)+SUMIFS('Renew &amp; Vac '!$H$53:$H$67,'Renew &amp; Vac '!$A$53:$A$67,$B190,'Renew &amp; Vac '!$D$53:$D$67,"&lt;="&amp;O$177,'Renew &amp; Vac '!$E$53:$E$67,"&gt;="&amp;O$177)</f>
        <v>0</v>
      </c>
      <c r="P190" s="15">
        <f>SUMIFS('Renew &amp; Vac '!$S$53:$S$67,'Renew &amp; Vac '!$L$53:$L$67,$B190,'Renew &amp; Vac '!$O$53:$O$67,"&lt;="&amp;P$177,'Renew &amp; Vac '!$P$53:$P$67,"&gt;="&amp;P$177)+SUMIFS('Renew &amp; Vac '!$H$53:$H$67,'Renew &amp; Vac '!$A$53:$A$67,$B190,'Renew &amp; Vac '!$D$53:$D$67,"&lt;="&amp;P$177,'Renew &amp; Vac '!$E$53:$E$67,"&gt;="&amp;P$177)</f>
        <v>0</v>
      </c>
      <c r="Q190" s="49">
        <f t="shared" si="79"/>
        <v>0</v>
      </c>
    </row>
    <row r="191" spans="2:21" hidden="1" outlineLevel="1" x14ac:dyDescent="0.35">
      <c r="B191" s="3"/>
      <c r="D191" s="16"/>
      <c r="E191" s="8">
        <f>SUM(E178:E190)</f>
        <v>0</v>
      </c>
      <c r="F191" s="8">
        <f t="shared" ref="F191" si="80">SUM(F178:F190)</f>
        <v>0</v>
      </c>
      <c r="G191" s="8">
        <f t="shared" ref="G191" si="81">SUM(G178:G190)</f>
        <v>0</v>
      </c>
      <c r="H191" s="8">
        <f t="shared" ref="H191" si="82">SUM(H178:H190)</f>
        <v>0</v>
      </c>
      <c r="I191" s="8">
        <f t="shared" ref="I191" si="83">SUM(I178:I190)</f>
        <v>0</v>
      </c>
      <c r="J191" s="8">
        <f t="shared" ref="J191" si="84">SUM(J178:J190)</f>
        <v>0</v>
      </c>
      <c r="K191" s="8">
        <f t="shared" ref="K191" si="85">SUM(K178:K190)</f>
        <v>3200</v>
      </c>
      <c r="L191" s="8">
        <f t="shared" ref="L191" si="86">SUM(L178:L190)</f>
        <v>3200</v>
      </c>
      <c r="M191" s="8">
        <f t="shared" ref="M191" si="87">SUM(M178:M190)</f>
        <v>3200</v>
      </c>
      <c r="N191" s="8">
        <f t="shared" ref="N191" si="88">SUM(N178:N190)</f>
        <v>3200</v>
      </c>
      <c r="O191" s="8">
        <f t="shared" ref="O191" si="89">SUM(O178:O190)</f>
        <v>3200</v>
      </c>
      <c r="P191" s="8">
        <f t="shared" ref="P191" si="90">SUM(P178:P190)</f>
        <v>3200</v>
      </c>
      <c r="Q191" s="8">
        <f>SUM(Q178:Q190)</f>
        <v>19200</v>
      </c>
    </row>
    <row r="192" spans="2:21" hidden="1" outlineLevel="1" x14ac:dyDescent="0.35">
      <c r="B192" s="3"/>
      <c r="E192" s="55">
        <f t="shared" ref="E192:Q192" si="91">E11-E191</f>
        <v>0</v>
      </c>
      <c r="F192" s="55">
        <f t="shared" si="91"/>
        <v>0</v>
      </c>
      <c r="G192" s="55">
        <f t="shared" si="91"/>
        <v>0</v>
      </c>
      <c r="H192" s="55">
        <f t="shared" si="91"/>
        <v>0</v>
      </c>
      <c r="I192" s="55">
        <f t="shared" si="91"/>
        <v>0</v>
      </c>
      <c r="J192" s="55">
        <f t="shared" si="91"/>
        <v>0</v>
      </c>
      <c r="K192" s="55">
        <f t="shared" si="91"/>
        <v>0</v>
      </c>
      <c r="L192" s="55">
        <f t="shared" si="91"/>
        <v>0</v>
      </c>
      <c r="M192" s="55">
        <f t="shared" si="91"/>
        <v>0</v>
      </c>
      <c r="N192" s="55">
        <f t="shared" si="91"/>
        <v>0</v>
      </c>
      <c r="O192" s="55">
        <f t="shared" si="91"/>
        <v>0</v>
      </c>
      <c r="P192" s="55">
        <f t="shared" si="91"/>
        <v>0</v>
      </c>
      <c r="Q192" s="55">
        <f t="shared" si="91"/>
        <v>0</v>
      </c>
    </row>
    <row r="193" spans="1:20" collapsed="1" x14ac:dyDescent="0.35"/>
    <row r="194" spans="1:20" ht="17.5" x14ac:dyDescent="0.35">
      <c r="A194" s="47"/>
      <c r="B194" s="9" t="str">
        <f>"Budget Import - "&amp;B1</f>
        <v>Budget Import - 2300</v>
      </c>
      <c r="E194" s="389">
        <v>5</v>
      </c>
      <c r="F194" s="390">
        <f>E194+1</f>
        <v>6</v>
      </c>
      <c r="G194" s="390">
        <f t="shared" ref="G194:P194" si="92">F194+1</f>
        <v>7</v>
      </c>
      <c r="H194" s="390">
        <f t="shared" si="92"/>
        <v>8</v>
      </c>
      <c r="I194" s="390">
        <f t="shared" si="92"/>
        <v>9</v>
      </c>
      <c r="J194" s="390">
        <f t="shared" si="92"/>
        <v>10</v>
      </c>
      <c r="K194" s="390">
        <f t="shared" si="92"/>
        <v>11</v>
      </c>
      <c r="L194" s="390">
        <f t="shared" si="92"/>
        <v>12</v>
      </c>
      <c r="M194" s="390">
        <f t="shared" si="92"/>
        <v>13</v>
      </c>
      <c r="N194" s="390">
        <f t="shared" si="92"/>
        <v>14</v>
      </c>
      <c r="O194" s="390">
        <f t="shared" si="92"/>
        <v>15</v>
      </c>
      <c r="P194" s="390">
        <f t="shared" si="92"/>
        <v>16</v>
      </c>
      <c r="Q194" s="390" t="s">
        <v>566</v>
      </c>
    </row>
    <row r="195" spans="1:20" ht="16.5" outlineLevel="1" thickBot="1" x14ac:dyDescent="0.4">
      <c r="A195" s="47"/>
      <c r="D195" s="79" t="s">
        <v>96</v>
      </c>
      <c r="E195" s="6">
        <v>1</v>
      </c>
      <c r="F195" s="6">
        <v>2</v>
      </c>
      <c r="G195" s="6">
        <v>3</v>
      </c>
      <c r="H195" s="6">
        <v>4</v>
      </c>
      <c r="I195" s="6">
        <v>5</v>
      </c>
      <c r="J195" s="6">
        <v>6</v>
      </c>
      <c r="K195" s="6">
        <v>7</v>
      </c>
      <c r="L195" s="6">
        <v>8</v>
      </c>
      <c r="M195" s="6">
        <v>9</v>
      </c>
      <c r="N195" s="6">
        <v>10</v>
      </c>
      <c r="O195" s="6">
        <v>11</v>
      </c>
      <c r="P195" s="6">
        <v>12</v>
      </c>
      <c r="Q195" s="13" t="s">
        <v>12</v>
      </c>
    </row>
    <row r="196" spans="1:20" outlineLevel="1" x14ac:dyDescent="0.35">
      <c r="A196" s="294" t="str">
        <f t="shared" ref="A196:A214" si="93">VLOOKUP($D196,$A$10:$D$130,3,FALSE)</f>
        <v>Rental Income - In Place</v>
      </c>
      <c r="D196" s="296" t="s">
        <v>132</v>
      </c>
      <c r="E196" s="58">
        <f>-(VLOOKUP($D196,$A$10:$P$134,E$194,FALSE)+E11)</f>
        <v>-96896.61</v>
      </c>
      <c r="F196" s="58">
        <f t="shared" ref="F196:P196" si="94">-(VLOOKUP($D196,$A$10:$P$134,F$194,FALSE)+F11)</f>
        <v>-96896.61</v>
      </c>
      <c r="G196" s="58">
        <f t="shared" si="94"/>
        <v>-97346.61</v>
      </c>
      <c r="H196" s="58">
        <f t="shared" si="94"/>
        <v>-97346.61</v>
      </c>
      <c r="I196" s="58">
        <f t="shared" si="94"/>
        <v>-97346.61</v>
      </c>
      <c r="J196" s="58">
        <f t="shared" si="94"/>
        <v>-97479.94</v>
      </c>
      <c r="K196" s="58">
        <f t="shared" si="94"/>
        <v>-97586.36</v>
      </c>
      <c r="L196" s="58">
        <f t="shared" si="94"/>
        <v>-97586.36</v>
      </c>
      <c r="M196" s="58">
        <f t="shared" si="94"/>
        <v>-97586.36</v>
      </c>
      <c r="N196" s="58">
        <f t="shared" si="94"/>
        <v>-97586.36</v>
      </c>
      <c r="O196" s="58">
        <f t="shared" si="94"/>
        <v>-97586.36</v>
      </c>
      <c r="P196" s="59">
        <f t="shared" si="94"/>
        <v>-97586.36</v>
      </c>
      <c r="Q196" s="13">
        <f>SUM(E196:P196)</f>
        <v>-1168831.1500000001</v>
      </c>
      <c r="R196" s="13"/>
    </row>
    <row r="197" spans="1:20" outlineLevel="1" x14ac:dyDescent="0.35">
      <c r="A197" s="294" t="str">
        <f t="shared" si="93"/>
        <v>Electric</v>
      </c>
      <c r="D197" s="297" t="s">
        <v>98</v>
      </c>
      <c r="E197" s="61">
        <f t="shared" ref="E197:E200" si="95">-VLOOKUP($D197,$A$10:$P$134,E$194,FALSE)</f>
        <v>0</v>
      </c>
      <c r="F197" s="61">
        <f t="shared" ref="F197:P200" si="96">-VLOOKUP($D197,$A$10:$P$134,F$194,FALSE)</f>
        <v>0</v>
      </c>
      <c r="G197" s="61">
        <f t="shared" si="96"/>
        <v>0</v>
      </c>
      <c r="H197" s="61">
        <f t="shared" si="96"/>
        <v>0</v>
      </c>
      <c r="I197" s="61">
        <f t="shared" si="96"/>
        <v>0</v>
      </c>
      <c r="J197" s="61">
        <f t="shared" si="96"/>
        <v>0</v>
      </c>
      <c r="K197" s="61">
        <f t="shared" si="96"/>
        <v>0</v>
      </c>
      <c r="L197" s="61">
        <f t="shared" si="96"/>
        <v>0</v>
      </c>
      <c r="M197" s="61">
        <f t="shared" si="96"/>
        <v>0</v>
      </c>
      <c r="N197" s="61">
        <f t="shared" si="96"/>
        <v>0</v>
      </c>
      <c r="O197" s="61">
        <f t="shared" si="96"/>
        <v>0</v>
      </c>
      <c r="P197" s="62">
        <f t="shared" si="96"/>
        <v>0</v>
      </c>
      <c r="Q197" s="13">
        <f t="shared" ref="Q197:Q230" si="97">SUM(E197:P197)</f>
        <v>0</v>
      </c>
      <c r="R197" s="13"/>
    </row>
    <row r="198" spans="1:20" ht="18" outlineLevel="1" x14ac:dyDescent="0.35">
      <c r="A198" s="294" t="str">
        <f t="shared" si="93"/>
        <v>Common Area Maintenance</v>
      </c>
      <c r="D198" s="297" t="s">
        <v>99</v>
      </c>
      <c r="E198" s="61">
        <f t="shared" si="95"/>
        <v>-21100</v>
      </c>
      <c r="F198" s="61">
        <f t="shared" si="96"/>
        <v>-21100</v>
      </c>
      <c r="G198" s="61">
        <f t="shared" si="96"/>
        <v>-21100</v>
      </c>
      <c r="H198" s="61">
        <f t="shared" si="96"/>
        <v>-21100</v>
      </c>
      <c r="I198" s="61">
        <f t="shared" si="96"/>
        <v>-21100</v>
      </c>
      <c r="J198" s="61">
        <f t="shared" si="96"/>
        <v>-21100</v>
      </c>
      <c r="K198" s="61">
        <f t="shared" si="96"/>
        <v>-21100</v>
      </c>
      <c r="L198" s="61">
        <f t="shared" si="96"/>
        <v>-21100</v>
      </c>
      <c r="M198" s="61">
        <f t="shared" si="96"/>
        <v>-21100</v>
      </c>
      <c r="N198" s="61">
        <f t="shared" si="96"/>
        <v>-21100</v>
      </c>
      <c r="O198" s="61">
        <f t="shared" si="96"/>
        <v>-21100</v>
      </c>
      <c r="P198" s="62">
        <f t="shared" si="96"/>
        <v>-21100</v>
      </c>
      <c r="Q198" s="13">
        <f t="shared" si="97"/>
        <v>-253200</v>
      </c>
      <c r="R198" s="13"/>
      <c r="S198" s="328"/>
      <c r="T198" s="329"/>
    </row>
    <row r="199" spans="1:20" outlineLevel="1" x14ac:dyDescent="0.35">
      <c r="A199" s="294" t="str">
        <f t="shared" si="93"/>
        <v>Real Estate Taxes</v>
      </c>
      <c r="D199" s="297" t="s">
        <v>100</v>
      </c>
      <c r="E199" s="61">
        <f t="shared" si="95"/>
        <v>-11200</v>
      </c>
      <c r="F199" s="61">
        <f t="shared" si="96"/>
        <v>-11200</v>
      </c>
      <c r="G199" s="61">
        <f t="shared" si="96"/>
        <v>-11200</v>
      </c>
      <c r="H199" s="61">
        <f t="shared" si="96"/>
        <v>-11200</v>
      </c>
      <c r="I199" s="61">
        <f t="shared" si="96"/>
        <v>-11200</v>
      </c>
      <c r="J199" s="61">
        <f t="shared" si="96"/>
        <v>-11200</v>
      </c>
      <c r="K199" s="61">
        <f t="shared" si="96"/>
        <v>-11200</v>
      </c>
      <c r="L199" s="61">
        <f t="shared" si="96"/>
        <v>-11200</v>
      </c>
      <c r="M199" s="61">
        <f t="shared" si="96"/>
        <v>-11200</v>
      </c>
      <c r="N199" s="61">
        <f t="shared" si="96"/>
        <v>-11200</v>
      </c>
      <c r="O199" s="61">
        <f t="shared" si="96"/>
        <v>-11200</v>
      </c>
      <c r="P199" s="62">
        <f t="shared" si="96"/>
        <v>-11200</v>
      </c>
      <c r="Q199" s="13">
        <f t="shared" si="97"/>
        <v>-134400</v>
      </c>
      <c r="R199" s="13"/>
    </row>
    <row r="200" spans="1:20" outlineLevel="1" x14ac:dyDescent="0.35">
      <c r="A200" s="294" t="str">
        <f t="shared" si="93"/>
        <v>Insurance</v>
      </c>
      <c r="D200" s="297" t="s">
        <v>135</v>
      </c>
      <c r="E200" s="61">
        <f t="shared" si="95"/>
        <v>0</v>
      </c>
      <c r="F200" s="61">
        <f t="shared" si="96"/>
        <v>0</v>
      </c>
      <c r="G200" s="61">
        <f t="shared" si="96"/>
        <v>0</v>
      </c>
      <c r="H200" s="61">
        <f t="shared" si="96"/>
        <v>0</v>
      </c>
      <c r="I200" s="61">
        <f t="shared" si="96"/>
        <v>0</v>
      </c>
      <c r="J200" s="61">
        <f t="shared" si="96"/>
        <v>0</v>
      </c>
      <c r="K200" s="61">
        <f t="shared" si="96"/>
        <v>0</v>
      </c>
      <c r="L200" s="61">
        <f t="shared" si="96"/>
        <v>0</v>
      </c>
      <c r="M200" s="61">
        <f t="shared" si="96"/>
        <v>0</v>
      </c>
      <c r="N200" s="61">
        <f t="shared" si="96"/>
        <v>0</v>
      </c>
      <c r="O200" s="61">
        <f t="shared" si="96"/>
        <v>0</v>
      </c>
      <c r="P200" s="62">
        <f t="shared" si="96"/>
        <v>0</v>
      </c>
      <c r="Q200" s="13">
        <f>SUM(E200:P200)</f>
        <v>0</v>
      </c>
      <c r="R200" s="13"/>
    </row>
    <row r="201" spans="1:20" outlineLevel="1" x14ac:dyDescent="0.35">
      <c r="A201" s="294" t="str">
        <f t="shared" si="93"/>
        <v>Maintenance Salaries</v>
      </c>
      <c r="D201" s="297" t="s">
        <v>101</v>
      </c>
      <c r="E201" s="61">
        <f t="shared" ref="E201:P208" si="98">VLOOKUP($D201,$A$10:$P$134,E$194,FALSE)</f>
        <v>1895.9944606738165</v>
      </c>
      <c r="F201" s="61">
        <f t="shared" si="98"/>
        <v>1895.9944606738165</v>
      </c>
      <c r="G201" s="61">
        <f t="shared" si="98"/>
        <v>1895.9944606738165</v>
      </c>
      <c r="H201" s="61">
        <f t="shared" si="98"/>
        <v>1895.9944606738165</v>
      </c>
      <c r="I201" s="61">
        <f t="shared" si="98"/>
        <v>1895.9944606738165</v>
      </c>
      <c r="J201" s="61">
        <f t="shared" si="98"/>
        <v>1895.9944606738165</v>
      </c>
      <c r="K201" s="61">
        <f t="shared" si="98"/>
        <v>1895.9944606738165</v>
      </c>
      <c r="L201" s="61">
        <f t="shared" si="98"/>
        <v>1895.9944606738165</v>
      </c>
      <c r="M201" s="61">
        <f t="shared" si="98"/>
        <v>1895.9944606738165</v>
      </c>
      <c r="N201" s="61">
        <f t="shared" si="98"/>
        <v>1895.9944606738165</v>
      </c>
      <c r="O201" s="61">
        <f t="shared" si="98"/>
        <v>1895.9944606738165</v>
      </c>
      <c r="P201" s="62">
        <f t="shared" si="98"/>
        <v>1895.9944606738165</v>
      </c>
      <c r="Q201" s="13">
        <f t="shared" si="97"/>
        <v>22751.933528085803</v>
      </c>
      <c r="R201" s="13"/>
      <c r="S201" s="8"/>
      <c r="T201" s="323"/>
    </row>
    <row r="202" spans="1:20" outlineLevel="1" x14ac:dyDescent="0.35">
      <c r="A202" s="294" t="str">
        <f t="shared" si="93"/>
        <v>Electric</v>
      </c>
      <c r="D202" s="297" t="s">
        <v>102</v>
      </c>
      <c r="E202" s="61">
        <f t="shared" si="98"/>
        <v>774.56000000000006</v>
      </c>
      <c r="F202" s="61">
        <f t="shared" si="98"/>
        <v>624.18000000000006</v>
      </c>
      <c r="G202" s="61">
        <f t="shared" si="98"/>
        <v>793.1</v>
      </c>
      <c r="H202" s="61">
        <f t="shared" si="98"/>
        <v>585.04</v>
      </c>
      <c r="I202" s="61">
        <f t="shared" si="98"/>
        <v>552.08000000000004</v>
      </c>
      <c r="J202" s="61">
        <f t="shared" si="98"/>
        <v>509.85</v>
      </c>
      <c r="K202" s="61">
        <f t="shared" si="98"/>
        <v>507.79</v>
      </c>
      <c r="L202" s="61">
        <f t="shared" si="98"/>
        <v>627.27</v>
      </c>
      <c r="M202" s="61">
        <f t="shared" si="98"/>
        <v>702.46</v>
      </c>
      <c r="N202" s="61">
        <f t="shared" si="98"/>
        <v>854.9</v>
      </c>
      <c r="O202" s="61">
        <f t="shared" si="98"/>
        <v>748.81000000000006</v>
      </c>
      <c r="P202" s="62">
        <f t="shared" si="98"/>
        <v>798.25</v>
      </c>
      <c r="Q202" s="13">
        <f t="shared" si="97"/>
        <v>8078.2900000000009</v>
      </c>
      <c r="R202" s="13"/>
    </row>
    <row r="203" spans="1:20" outlineLevel="1" x14ac:dyDescent="0.35">
      <c r="A203" s="294" t="str">
        <f t="shared" si="93"/>
        <v>Water &amp; Sewer</v>
      </c>
      <c r="D203" s="297" t="s">
        <v>103</v>
      </c>
      <c r="E203" s="61">
        <f t="shared" si="98"/>
        <v>0</v>
      </c>
      <c r="F203" s="61">
        <f t="shared" si="98"/>
        <v>0</v>
      </c>
      <c r="G203" s="61">
        <f t="shared" si="98"/>
        <v>0</v>
      </c>
      <c r="H203" s="61">
        <f t="shared" si="98"/>
        <v>0</v>
      </c>
      <c r="I203" s="61">
        <f t="shared" si="98"/>
        <v>0</v>
      </c>
      <c r="J203" s="61">
        <f t="shared" si="98"/>
        <v>0</v>
      </c>
      <c r="K203" s="61">
        <f t="shared" si="98"/>
        <v>0</v>
      </c>
      <c r="L203" s="61">
        <f t="shared" si="98"/>
        <v>0</v>
      </c>
      <c r="M203" s="61">
        <f t="shared" si="98"/>
        <v>0</v>
      </c>
      <c r="N203" s="61">
        <f t="shared" si="98"/>
        <v>0</v>
      </c>
      <c r="O203" s="61">
        <f t="shared" si="98"/>
        <v>0</v>
      </c>
      <c r="P203" s="62">
        <f t="shared" si="98"/>
        <v>0</v>
      </c>
      <c r="Q203" s="13">
        <f t="shared" si="97"/>
        <v>0</v>
      </c>
      <c r="R203" s="13"/>
    </row>
    <row r="204" spans="1:20" outlineLevel="1" x14ac:dyDescent="0.35">
      <c r="A204" s="294" t="str">
        <f t="shared" si="93"/>
        <v>Building Maintenance</v>
      </c>
      <c r="D204" s="297" t="s">
        <v>104</v>
      </c>
      <c r="E204" s="61">
        <f t="shared" si="98"/>
        <v>950</v>
      </c>
      <c r="F204" s="61">
        <f t="shared" si="98"/>
        <v>200</v>
      </c>
      <c r="G204" s="61">
        <f t="shared" si="98"/>
        <v>200</v>
      </c>
      <c r="H204" s="61">
        <f t="shared" si="98"/>
        <v>13450</v>
      </c>
      <c r="I204" s="61">
        <f t="shared" si="98"/>
        <v>1475</v>
      </c>
      <c r="J204" s="61">
        <f t="shared" si="98"/>
        <v>200</v>
      </c>
      <c r="K204" s="61">
        <f t="shared" si="98"/>
        <v>950</v>
      </c>
      <c r="L204" s="61">
        <f t="shared" si="98"/>
        <v>12700</v>
      </c>
      <c r="M204" s="61">
        <f t="shared" si="98"/>
        <v>2600</v>
      </c>
      <c r="N204" s="61">
        <f t="shared" si="98"/>
        <v>950</v>
      </c>
      <c r="O204" s="61">
        <f t="shared" si="98"/>
        <v>1475</v>
      </c>
      <c r="P204" s="62">
        <f t="shared" si="98"/>
        <v>200</v>
      </c>
      <c r="Q204" s="13">
        <f t="shared" si="97"/>
        <v>35350</v>
      </c>
      <c r="R204" s="13"/>
    </row>
    <row r="205" spans="1:20" outlineLevel="1" x14ac:dyDescent="0.35">
      <c r="A205" s="294" t="str">
        <f t="shared" si="93"/>
        <v>Parking Lot Cleaning</v>
      </c>
      <c r="D205" s="297" t="s">
        <v>136</v>
      </c>
      <c r="E205" s="61">
        <f t="shared" si="98"/>
        <v>2832.5</v>
      </c>
      <c r="F205" s="61">
        <f t="shared" si="98"/>
        <v>2832.5</v>
      </c>
      <c r="G205" s="61">
        <f t="shared" si="98"/>
        <v>3141.5</v>
      </c>
      <c r="H205" s="61">
        <f t="shared" si="98"/>
        <v>2832.5</v>
      </c>
      <c r="I205" s="61">
        <f t="shared" si="98"/>
        <v>2832.5</v>
      </c>
      <c r="J205" s="61">
        <f t="shared" si="98"/>
        <v>2832.5</v>
      </c>
      <c r="K205" s="61">
        <f t="shared" si="98"/>
        <v>2832.5</v>
      </c>
      <c r="L205" s="61">
        <f t="shared" si="98"/>
        <v>2832.5</v>
      </c>
      <c r="M205" s="61">
        <f t="shared" si="98"/>
        <v>3141.5</v>
      </c>
      <c r="N205" s="61">
        <f t="shared" si="98"/>
        <v>2832.5</v>
      </c>
      <c r="O205" s="61">
        <f t="shared" si="98"/>
        <v>2832.5</v>
      </c>
      <c r="P205" s="62">
        <f t="shared" si="98"/>
        <v>2832.5</v>
      </c>
      <c r="Q205" s="13">
        <f t="shared" ref="Q205" si="99">SUM(E205:P205)</f>
        <v>34608</v>
      </c>
      <c r="R205" s="13"/>
    </row>
    <row r="206" spans="1:20" outlineLevel="1" x14ac:dyDescent="0.35">
      <c r="A206" s="294" t="str">
        <f t="shared" si="93"/>
        <v>Parking Lot Maintenance</v>
      </c>
      <c r="D206" s="297" t="s">
        <v>105</v>
      </c>
      <c r="E206" s="61">
        <f t="shared" si="98"/>
        <v>257.5</v>
      </c>
      <c r="F206" s="61">
        <f t="shared" si="98"/>
        <v>257.5</v>
      </c>
      <c r="G206" s="61">
        <f t="shared" si="98"/>
        <v>11736.85</v>
      </c>
      <c r="H206" s="61">
        <f t="shared" si="98"/>
        <v>1802.5</v>
      </c>
      <c r="I206" s="61">
        <f t="shared" si="98"/>
        <v>257.5</v>
      </c>
      <c r="J206" s="61">
        <f t="shared" si="98"/>
        <v>1436.8500000000001</v>
      </c>
      <c r="K206" s="61">
        <f t="shared" si="98"/>
        <v>257.5</v>
      </c>
      <c r="L206" s="61">
        <f t="shared" si="98"/>
        <v>257.5</v>
      </c>
      <c r="M206" s="61">
        <f t="shared" si="98"/>
        <v>11736.85</v>
      </c>
      <c r="N206" s="61">
        <f t="shared" si="98"/>
        <v>1802.5</v>
      </c>
      <c r="O206" s="61">
        <f t="shared" si="98"/>
        <v>257.5</v>
      </c>
      <c r="P206" s="62">
        <f t="shared" si="98"/>
        <v>1539.8500000000001</v>
      </c>
      <c r="Q206" s="13">
        <f t="shared" si="97"/>
        <v>31600.400000000001</v>
      </c>
      <c r="R206" s="13"/>
    </row>
    <row r="207" spans="1:20" outlineLevel="1" x14ac:dyDescent="0.35">
      <c r="A207" s="294" t="str">
        <f t="shared" si="93"/>
        <v>Snow Removal</v>
      </c>
      <c r="D207" s="297" t="s">
        <v>106</v>
      </c>
      <c r="E207" s="61">
        <f t="shared" si="98"/>
        <v>13390</v>
      </c>
      <c r="F207" s="61">
        <f t="shared" si="98"/>
        <v>13390</v>
      </c>
      <c r="G207" s="61">
        <f t="shared" si="98"/>
        <v>2060</v>
      </c>
      <c r="H207" s="61">
        <f t="shared" si="98"/>
        <v>0</v>
      </c>
      <c r="I207" s="61">
        <f t="shared" si="98"/>
        <v>0</v>
      </c>
      <c r="J207" s="61">
        <f t="shared" si="98"/>
        <v>0</v>
      </c>
      <c r="K207" s="61">
        <f t="shared" si="98"/>
        <v>0</v>
      </c>
      <c r="L207" s="61">
        <f t="shared" si="98"/>
        <v>0</v>
      </c>
      <c r="M207" s="61">
        <f t="shared" si="98"/>
        <v>0</v>
      </c>
      <c r="N207" s="61">
        <f t="shared" si="98"/>
        <v>0</v>
      </c>
      <c r="O207" s="61">
        <f t="shared" si="98"/>
        <v>2060</v>
      </c>
      <c r="P207" s="62">
        <f t="shared" si="98"/>
        <v>13390</v>
      </c>
      <c r="Q207" s="13">
        <f t="shared" si="97"/>
        <v>44290</v>
      </c>
      <c r="R207" s="13"/>
    </row>
    <row r="208" spans="1:20" outlineLevel="1" x14ac:dyDescent="0.35">
      <c r="A208" s="294" t="str">
        <f t="shared" si="93"/>
        <v>Landscaping</v>
      </c>
      <c r="D208" s="297" t="s">
        <v>107</v>
      </c>
      <c r="E208" s="61">
        <f t="shared" si="98"/>
        <v>0</v>
      </c>
      <c r="F208" s="61">
        <f t="shared" si="98"/>
        <v>0</v>
      </c>
      <c r="G208" s="61">
        <f t="shared" si="98"/>
        <v>0</v>
      </c>
      <c r="H208" s="61">
        <f t="shared" si="98"/>
        <v>1905.5</v>
      </c>
      <c r="I208" s="61">
        <f t="shared" si="98"/>
        <v>11905.5</v>
      </c>
      <c r="J208" s="61">
        <f t="shared" si="98"/>
        <v>1905.5</v>
      </c>
      <c r="K208" s="61">
        <f t="shared" si="98"/>
        <v>1905.5</v>
      </c>
      <c r="L208" s="61">
        <f t="shared" si="98"/>
        <v>11905.5</v>
      </c>
      <c r="M208" s="61">
        <f t="shared" si="98"/>
        <v>1905.5</v>
      </c>
      <c r="N208" s="61">
        <f t="shared" si="98"/>
        <v>1905.5</v>
      </c>
      <c r="O208" s="61">
        <f t="shared" si="98"/>
        <v>0</v>
      </c>
      <c r="P208" s="62">
        <f t="shared" si="98"/>
        <v>0</v>
      </c>
      <c r="Q208" s="13">
        <f t="shared" si="97"/>
        <v>33338.5</v>
      </c>
      <c r="R208" s="13"/>
    </row>
    <row r="209" spans="1:18" outlineLevel="1" x14ac:dyDescent="0.35">
      <c r="A209" s="294" t="str">
        <f t="shared" si="93"/>
        <v>Security</v>
      </c>
      <c r="D209" s="297" t="s">
        <v>108</v>
      </c>
      <c r="E209" s="61">
        <f>VLOOKUP($D209,$A$10:$P$134,E$194,FALSE)</f>
        <v>1200</v>
      </c>
      <c r="F209" s="61">
        <f>VLOOKUP($D209,$A$10:$P$134,F$194,FALSE)</f>
        <v>1200</v>
      </c>
      <c r="G209" s="61">
        <f t="shared" ref="G209:P224" si="100">VLOOKUP($D209,$A$10:$P$134,G$194,FALSE)</f>
        <v>1200</v>
      </c>
      <c r="H209" s="61">
        <f t="shared" si="100"/>
        <v>1200</v>
      </c>
      <c r="I209" s="61">
        <f t="shared" si="100"/>
        <v>1200</v>
      </c>
      <c r="J209" s="61">
        <f t="shared" si="100"/>
        <v>1200</v>
      </c>
      <c r="K209" s="61">
        <f t="shared" si="100"/>
        <v>1200</v>
      </c>
      <c r="L209" s="61">
        <f t="shared" si="100"/>
        <v>1200</v>
      </c>
      <c r="M209" s="61">
        <f t="shared" si="100"/>
        <v>1200</v>
      </c>
      <c r="N209" s="61">
        <f t="shared" si="100"/>
        <v>1200</v>
      </c>
      <c r="O209" s="61">
        <f t="shared" si="100"/>
        <v>1200</v>
      </c>
      <c r="P209" s="62">
        <f t="shared" si="100"/>
        <v>1200</v>
      </c>
      <c r="Q209" s="13">
        <f t="shared" si="97"/>
        <v>14400</v>
      </c>
      <c r="R209" s="13"/>
    </row>
    <row r="210" spans="1:18" outlineLevel="1" x14ac:dyDescent="0.35">
      <c r="A210" s="294" t="str">
        <f t="shared" si="93"/>
        <v>Management fee</v>
      </c>
      <c r="D210" s="297" t="s">
        <v>141</v>
      </c>
      <c r="E210" s="61">
        <f t="shared" ref="E210:P230" si="101">VLOOKUP($D210,$A$10:$P$134,E$194,FALSE)</f>
        <v>7752</v>
      </c>
      <c r="F210" s="61">
        <f t="shared" si="101"/>
        <v>7752</v>
      </c>
      <c r="G210" s="61">
        <f t="shared" si="100"/>
        <v>7779</v>
      </c>
      <c r="H210" s="61">
        <f t="shared" si="100"/>
        <v>7779</v>
      </c>
      <c r="I210" s="61">
        <f t="shared" si="100"/>
        <v>7779</v>
      </c>
      <c r="J210" s="61">
        <f t="shared" si="100"/>
        <v>7787</v>
      </c>
      <c r="K210" s="61">
        <f t="shared" si="100"/>
        <v>7793</v>
      </c>
      <c r="L210" s="61">
        <f t="shared" si="100"/>
        <v>7793</v>
      </c>
      <c r="M210" s="61">
        <f t="shared" si="100"/>
        <v>7793</v>
      </c>
      <c r="N210" s="61">
        <f t="shared" si="100"/>
        <v>7793</v>
      </c>
      <c r="O210" s="61">
        <f t="shared" si="100"/>
        <v>7793</v>
      </c>
      <c r="P210" s="62">
        <f t="shared" si="100"/>
        <v>7793</v>
      </c>
      <c r="Q210" s="13">
        <f t="shared" si="97"/>
        <v>93386</v>
      </c>
      <c r="R210" s="13"/>
    </row>
    <row r="211" spans="1:18" outlineLevel="1" x14ac:dyDescent="0.35">
      <c r="A211" s="294" t="str">
        <f t="shared" si="93"/>
        <v>Trash Removal</v>
      </c>
      <c r="D211" s="297" t="s">
        <v>110</v>
      </c>
      <c r="E211" s="61">
        <f t="shared" si="101"/>
        <v>103</v>
      </c>
      <c r="F211" s="61">
        <f t="shared" si="101"/>
        <v>103</v>
      </c>
      <c r="G211" s="61">
        <f t="shared" si="100"/>
        <v>103</v>
      </c>
      <c r="H211" s="61">
        <f t="shared" si="100"/>
        <v>103</v>
      </c>
      <c r="I211" s="61">
        <f t="shared" si="100"/>
        <v>103</v>
      </c>
      <c r="J211" s="61">
        <f t="shared" si="100"/>
        <v>103</v>
      </c>
      <c r="K211" s="61">
        <f t="shared" si="100"/>
        <v>103</v>
      </c>
      <c r="L211" s="61">
        <f t="shared" si="100"/>
        <v>103</v>
      </c>
      <c r="M211" s="61">
        <f t="shared" si="100"/>
        <v>103</v>
      </c>
      <c r="N211" s="61">
        <f t="shared" si="100"/>
        <v>103</v>
      </c>
      <c r="O211" s="61">
        <f t="shared" si="100"/>
        <v>103</v>
      </c>
      <c r="P211" s="62">
        <f t="shared" si="100"/>
        <v>103</v>
      </c>
      <c r="Q211" s="13">
        <f t="shared" si="97"/>
        <v>1236</v>
      </c>
      <c r="R211" s="13"/>
    </row>
    <row r="212" spans="1:18" outlineLevel="1" x14ac:dyDescent="0.35">
      <c r="A212" s="294" t="str">
        <f t="shared" si="93"/>
        <v>Real Estate Taxes</v>
      </c>
      <c r="D212" s="297" t="s">
        <v>111</v>
      </c>
      <c r="E212" s="61">
        <f t="shared" si="101"/>
        <v>13547.230000000001</v>
      </c>
      <c r="F212" s="61">
        <f t="shared" si="101"/>
        <v>13547.230000000001</v>
      </c>
      <c r="G212" s="61">
        <f t="shared" si="100"/>
        <v>13547.230000000001</v>
      </c>
      <c r="H212" s="61">
        <f t="shared" si="100"/>
        <v>13547.230000000001</v>
      </c>
      <c r="I212" s="61">
        <f t="shared" si="100"/>
        <v>13547.230000000001</v>
      </c>
      <c r="J212" s="61">
        <f t="shared" si="100"/>
        <v>13547.230000000001</v>
      </c>
      <c r="K212" s="61">
        <f t="shared" si="100"/>
        <v>13547.230000000001</v>
      </c>
      <c r="L212" s="61">
        <f t="shared" si="100"/>
        <v>13547.230000000001</v>
      </c>
      <c r="M212" s="61">
        <f t="shared" si="100"/>
        <v>13547.230000000001</v>
      </c>
      <c r="N212" s="61">
        <f t="shared" si="100"/>
        <v>13547.230000000001</v>
      </c>
      <c r="O212" s="61">
        <f t="shared" si="100"/>
        <v>13547.230000000001</v>
      </c>
      <c r="P212" s="62">
        <f t="shared" si="100"/>
        <v>13547.230000000001</v>
      </c>
      <c r="Q212" s="13">
        <f t="shared" si="97"/>
        <v>162566.76</v>
      </c>
      <c r="R212" s="13"/>
    </row>
    <row r="213" spans="1:18" outlineLevel="1" x14ac:dyDescent="0.35">
      <c r="A213" s="294" t="str">
        <f t="shared" si="93"/>
        <v>Insurance</v>
      </c>
      <c r="D213" s="297" t="s">
        <v>112</v>
      </c>
      <c r="E213" s="61">
        <f t="shared" si="101"/>
        <v>4067</v>
      </c>
      <c r="F213" s="61">
        <f t="shared" si="101"/>
        <v>4067</v>
      </c>
      <c r="G213" s="61">
        <f t="shared" si="100"/>
        <v>4067</v>
      </c>
      <c r="H213" s="61">
        <f t="shared" si="100"/>
        <v>4067</v>
      </c>
      <c r="I213" s="61">
        <f t="shared" si="100"/>
        <v>4067</v>
      </c>
      <c r="J213" s="61">
        <f t="shared" si="100"/>
        <v>4067</v>
      </c>
      <c r="K213" s="61">
        <f t="shared" si="100"/>
        <v>4067</v>
      </c>
      <c r="L213" s="61">
        <f t="shared" si="100"/>
        <v>4067</v>
      </c>
      <c r="M213" s="61">
        <f t="shared" si="100"/>
        <v>4067</v>
      </c>
      <c r="N213" s="61">
        <f t="shared" si="100"/>
        <v>4067</v>
      </c>
      <c r="O213" s="61">
        <f t="shared" si="100"/>
        <v>4148.34</v>
      </c>
      <c r="P213" s="62">
        <f t="shared" si="100"/>
        <v>4148.34</v>
      </c>
      <c r="Q213" s="13">
        <f t="shared" si="97"/>
        <v>48966.679999999993</v>
      </c>
      <c r="R213" s="13"/>
    </row>
    <row r="214" spans="1:18" outlineLevel="1" x14ac:dyDescent="0.35">
      <c r="A214" s="294" t="str">
        <f t="shared" si="93"/>
        <v>Cleaning &amp; Supplies</v>
      </c>
      <c r="D214" s="297" t="s">
        <v>113</v>
      </c>
      <c r="E214" s="61">
        <f t="shared" si="101"/>
        <v>0</v>
      </c>
      <c r="F214" s="61">
        <f t="shared" si="101"/>
        <v>0</v>
      </c>
      <c r="G214" s="61">
        <f t="shared" si="100"/>
        <v>0</v>
      </c>
      <c r="H214" s="61">
        <f t="shared" si="100"/>
        <v>0</v>
      </c>
      <c r="I214" s="61">
        <f t="shared" si="100"/>
        <v>0</v>
      </c>
      <c r="J214" s="61">
        <f t="shared" si="100"/>
        <v>0</v>
      </c>
      <c r="K214" s="61">
        <f t="shared" si="100"/>
        <v>0</v>
      </c>
      <c r="L214" s="61">
        <f t="shared" si="100"/>
        <v>0</v>
      </c>
      <c r="M214" s="61">
        <f t="shared" si="100"/>
        <v>0</v>
      </c>
      <c r="N214" s="61">
        <f t="shared" si="100"/>
        <v>0</v>
      </c>
      <c r="O214" s="61">
        <f t="shared" si="100"/>
        <v>0</v>
      </c>
      <c r="P214" s="62">
        <f t="shared" si="100"/>
        <v>0</v>
      </c>
      <c r="Q214" s="13">
        <f t="shared" si="97"/>
        <v>0</v>
      </c>
      <c r="R214" s="13"/>
    </row>
    <row r="215" spans="1:18" outlineLevel="1" x14ac:dyDescent="0.35">
      <c r="A215" s="294" t="str">
        <f>VLOOKUP($D215,$A$10:$D$130,4,FALSE)</f>
        <v>Salaries &amp; Wages</v>
      </c>
      <c r="D215" s="297" t="s">
        <v>114</v>
      </c>
      <c r="E215" s="61">
        <f t="shared" si="101"/>
        <v>4578.8693732749525</v>
      </c>
      <c r="F215" s="61">
        <f t="shared" si="101"/>
        <v>4578.8693732749525</v>
      </c>
      <c r="G215" s="61">
        <f t="shared" si="100"/>
        <v>4578.8693732749525</v>
      </c>
      <c r="H215" s="61">
        <f t="shared" si="100"/>
        <v>4578.8693732749525</v>
      </c>
      <c r="I215" s="61">
        <f t="shared" si="100"/>
        <v>4578.8693732749525</v>
      </c>
      <c r="J215" s="61">
        <f t="shared" si="100"/>
        <v>4578.8693732749525</v>
      </c>
      <c r="K215" s="61">
        <f t="shared" si="100"/>
        <v>4578.8693732749525</v>
      </c>
      <c r="L215" s="61">
        <f t="shared" si="100"/>
        <v>4578.8693732749525</v>
      </c>
      <c r="M215" s="61">
        <f t="shared" si="100"/>
        <v>4578.8693732749525</v>
      </c>
      <c r="N215" s="61">
        <f t="shared" si="100"/>
        <v>4578.8693732749525</v>
      </c>
      <c r="O215" s="61">
        <f t="shared" si="100"/>
        <v>4578.8693732749525</v>
      </c>
      <c r="P215" s="62">
        <f t="shared" si="100"/>
        <v>4578.8693732749525</v>
      </c>
      <c r="Q215" s="13">
        <f t="shared" si="97"/>
        <v>54946.43247929943</v>
      </c>
      <c r="R215" s="13"/>
    </row>
    <row r="216" spans="1:18" outlineLevel="1" x14ac:dyDescent="0.35">
      <c r="A216" s="294" t="str">
        <f>VLOOKUP($D216,$A$10:$D$130,4,FALSE)</f>
        <v>Commissions-Internal Broker</v>
      </c>
      <c r="D216" s="297" t="s">
        <v>115</v>
      </c>
      <c r="E216" s="61">
        <f t="shared" si="101"/>
        <v>0</v>
      </c>
      <c r="F216" s="61">
        <f t="shared" si="101"/>
        <v>0</v>
      </c>
      <c r="G216" s="61">
        <f t="shared" si="100"/>
        <v>0</v>
      </c>
      <c r="H216" s="61">
        <f t="shared" si="100"/>
        <v>0</v>
      </c>
      <c r="I216" s="61">
        <f t="shared" si="100"/>
        <v>0</v>
      </c>
      <c r="J216" s="61">
        <f t="shared" si="100"/>
        <v>0</v>
      </c>
      <c r="K216" s="61">
        <f t="shared" si="100"/>
        <v>0</v>
      </c>
      <c r="L216" s="61">
        <f t="shared" si="100"/>
        <v>0</v>
      </c>
      <c r="M216" s="61">
        <f t="shared" si="100"/>
        <v>0</v>
      </c>
      <c r="N216" s="61">
        <f t="shared" si="100"/>
        <v>0</v>
      </c>
      <c r="O216" s="61">
        <f t="shared" si="100"/>
        <v>0</v>
      </c>
      <c r="P216" s="62">
        <f t="shared" si="100"/>
        <v>0</v>
      </c>
      <c r="Q216" s="13">
        <f t="shared" si="97"/>
        <v>0</v>
      </c>
      <c r="R216" s="13"/>
    </row>
    <row r="217" spans="1:18" outlineLevel="1" x14ac:dyDescent="0.35">
      <c r="A217" s="294" t="str">
        <f>VLOOKUP($D217,$A$10:$D$130,3,FALSE)</f>
        <v>Building Maintenance</v>
      </c>
      <c r="D217" s="297" t="s">
        <v>116</v>
      </c>
      <c r="E217" s="61">
        <f t="shared" si="101"/>
        <v>154.5</v>
      </c>
      <c r="F217" s="61">
        <f t="shared" si="101"/>
        <v>154.5</v>
      </c>
      <c r="G217" s="61">
        <f t="shared" si="100"/>
        <v>154.5</v>
      </c>
      <c r="H217" s="61">
        <f t="shared" si="100"/>
        <v>154.5</v>
      </c>
      <c r="I217" s="61">
        <f t="shared" si="100"/>
        <v>154.5</v>
      </c>
      <c r="J217" s="61">
        <f t="shared" si="100"/>
        <v>154.5</v>
      </c>
      <c r="K217" s="61">
        <f t="shared" si="100"/>
        <v>154.5</v>
      </c>
      <c r="L217" s="61">
        <f t="shared" si="100"/>
        <v>154.5</v>
      </c>
      <c r="M217" s="61">
        <f t="shared" si="100"/>
        <v>154.5</v>
      </c>
      <c r="N217" s="61">
        <f t="shared" si="100"/>
        <v>154.5</v>
      </c>
      <c r="O217" s="61">
        <f t="shared" si="100"/>
        <v>154.5</v>
      </c>
      <c r="P217" s="62">
        <f t="shared" si="100"/>
        <v>154.5</v>
      </c>
      <c r="Q217" s="13">
        <f t="shared" si="97"/>
        <v>1854</v>
      </c>
      <c r="R217" s="13"/>
    </row>
    <row r="218" spans="1:18" outlineLevel="1" x14ac:dyDescent="0.35">
      <c r="A218" s="294" t="str">
        <f>VLOOKUP($D218,$A$10:$D$130,3,FALSE)</f>
        <v>Marketing</v>
      </c>
      <c r="D218" s="297" t="s">
        <v>117</v>
      </c>
      <c r="E218" s="61">
        <f t="shared" si="101"/>
        <v>1364.6828044392423</v>
      </c>
      <c r="F218" s="61">
        <f t="shared" si="101"/>
        <v>1364.6828044392423</v>
      </c>
      <c r="G218" s="61">
        <f t="shared" si="100"/>
        <v>1364.6828044392423</v>
      </c>
      <c r="H218" s="61">
        <f t="shared" si="100"/>
        <v>1364.6828044392423</v>
      </c>
      <c r="I218" s="61">
        <f t="shared" si="100"/>
        <v>1364.6828044392423</v>
      </c>
      <c r="J218" s="61">
        <f t="shared" si="100"/>
        <v>1364.6828044392423</v>
      </c>
      <c r="K218" s="61">
        <f t="shared" si="100"/>
        <v>1364.6828044392423</v>
      </c>
      <c r="L218" s="61">
        <f t="shared" si="100"/>
        <v>1364.6828044392423</v>
      </c>
      <c r="M218" s="61">
        <f t="shared" si="100"/>
        <v>1364.6828044392423</v>
      </c>
      <c r="N218" s="61">
        <f t="shared" si="100"/>
        <v>1364.6828044392423</v>
      </c>
      <c r="O218" s="61">
        <f t="shared" si="100"/>
        <v>1364.6828044392423</v>
      </c>
      <c r="P218" s="62">
        <f t="shared" si="100"/>
        <v>1364.6828044392423</v>
      </c>
      <c r="Q218" s="13">
        <f t="shared" si="97"/>
        <v>16376.193653270908</v>
      </c>
      <c r="R218" s="13"/>
    </row>
    <row r="219" spans="1:18" outlineLevel="1" x14ac:dyDescent="0.35">
      <c r="A219" s="294" t="str">
        <f>VLOOKUP($D219,$A$10:$D$130,3,FALSE)</f>
        <v>Business Taxes</v>
      </c>
      <c r="D219" s="297" t="s">
        <v>118</v>
      </c>
      <c r="E219" s="61">
        <f t="shared" si="101"/>
        <v>0</v>
      </c>
      <c r="F219" s="61">
        <f t="shared" si="101"/>
        <v>0</v>
      </c>
      <c r="G219" s="61">
        <f t="shared" si="100"/>
        <v>0</v>
      </c>
      <c r="H219" s="61">
        <f t="shared" si="100"/>
        <v>3708</v>
      </c>
      <c r="I219" s="61">
        <f t="shared" si="100"/>
        <v>0</v>
      </c>
      <c r="J219" s="61">
        <f t="shared" si="100"/>
        <v>0</v>
      </c>
      <c r="K219" s="61">
        <f t="shared" si="100"/>
        <v>0</v>
      </c>
      <c r="L219" s="61">
        <f t="shared" si="100"/>
        <v>0</v>
      </c>
      <c r="M219" s="61">
        <f t="shared" si="100"/>
        <v>0</v>
      </c>
      <c r="N219" s="61">
        <f t="shared" si="100"/>
        <v>0</v>
      </c>
      <c r="O219" s="61">
        <f t="shared" si="100"/>
        <v>0</v>
      </c>
      <c r="P219" s="62">
        <f t="shared" si="100"/>
        <v>0</v>
      </c>
      <c r="Q219" s="13">
        <f t="shared" si="97"/>
        <v>3708</v>
      </c>
      <c r="R219" s="13"/>
    </row>
    <row r="220" spans="1:18" outlineLevel="1" x14ac:dyDescent="0.35">
      <c r="A220" s="294" t="str">
        <f>VLOOKUP($D220,$A$10:$D$130,3,FALSE)</f>
        <v>Legal &amp; Accounting</v>
      </c>
      <c r="D220" s="297" t="s">
        <v>119</v>
      </c>
      <c r="E220" s="61">
        <f t="shared" si="101"/>
        <v>386.25</v>
      </c>
      <c r="F220" s="61">
        <f t="shared" si="101"/>
        <v>386.25</v>
      </c>
      <c r="G220" s="61">
        <f t="shared" si="100"/>
        <v>386.25</v>
      </c>
      <c r="H220" s="61">
        <f t="shared" si="100"/>
        <v>386.25</v>
      </c>
      <c r="I220" s="61">
        <f t="shared" si="100"/>
        <v>386.25</v>
      </c>
      <c r="J220" s="61">
        <f t="shared" si="100"/>
        <v>386.25</v>
      </c>
      <c r="K220" s="61">
        <f t="shared" si="100"/>
        <v>386.25</v>
      </c>
      <c r="L220" s="61">
        <f t="shared" si="100"/>
        <v>386.25</v>
      </c>
      <c r="M220" s="61">
        <f t="shared" si="100"/>
        <v>386.25</v>
      </c>
      <c r="N220" s="61">
        <f t="shared" si="100"/>
        <v>386.25</v>
      </c>
      <c r="O220" s="61">
        <f t="shared" si="100"/>
        <v>386.25</v>
      </c>
      <c r="P220" s="62">
        <f t="shared" si="100"/>
        <v>386.25</v>
      </c>
      <c r="Q220" s="13">
        <f t="shared" si="97"/>
        <v>4635</v>
      </c>
      <c r="R220" s="13"/>
    </row>
    <row r="221" spans="1:18" outlineLevel="1" x14ac:dyDescent="0.35">
      <c r="A221" s="294" t="str">
        <f t="shared" ref="A221:A226" si="102">VLOOKUP($D221,$A$10:$D$130,4,FALSE)</f>
        <v>Bank Fees</v>
      </c>
      <c r="D221" s="297" t="s">
        <v>126</v>
      </c>
      <c r="E221" s="61">
        <f t="shared" si="101"/>
        <v>159.65</v>
      </c>
      <c r="F221" s="61">
        <f t="shared" si="101"/>
        <v>159.65</v>
      </c>
      <c r="G221" s="61">
        <f t="shared" si="100"/>
        <v>159.65</v>
      </c>
      <c r="H221" s="61">
        <f t="shared" si="100"/>
        <v>159.65</v>
      </c>
      <c r="I221" s="61">
        <f t="shared" si="100"/>
        <v>159.65</v>
      </c>
      <c r="J221" s="61">
        <f t="shared" si="100"/>
        <v>159.65</v>
      </c>
      <c r="K221" s="61">
        <f t="shared" si="100"/>
        <v>159.65</v>
      </c>
      <c r="L221" s="61">
        <f t="shared" si="100"/>
        <v>159.65</v>
      </c>
      <c r="M221" s="61">
        <f t="shared" si="100"/>
        <v>159.65</v>
      </c>
      <c r="N221" s="61">
        <f t="shared" si="100"/>
        <v>159.65</v>
      </c>
      <c r="O221" s="61">
        <f t="shared" si="100"/>
        <v>159.65</v>
      </c>
      <c r="P221" s="62">
        <f t="shared" si="100"/>
        <v>159.65</v>
      </c>
      <c r="Q221" s="13">
        <f t="shared" si="97"/>
        <v>1915.8000000000004</v>
      </c>
      <c r="R221" s="13"/>
    </row>
    <row r="222" spans="1:18" outlineLevel="1" x14ac:dyDescent="0.35">
      <c r="A222" s="294" t="str">
        <f t="shared" si="102"/>
        <v>Other G&amp;A Expense</v>
      </c>
      <c r="D222" s="297" t="s">
        <v>127</v>
      </c>
      <c r="E222" s="61">
        <f t="shared" si="101"/>
        <v>0</v>
      </c>
      <c r="F222" s="61">
        <f t="shared" si="101"/>
        <v>0</v>
      </c>
      <c r="G222" s="61">
        <f t="shared" si="100"/>
        <v>0</v>
      </c>
      <c r="H222" s="61">
        <f t="shared" si="100"/>
        <v>0</v>
      </c>
      <c r="I222" s="61">
        <f t="shared" si="100"/>
        <v>0</v>
      </c>
      <c r="J222" s="61">
        <f t="shared" si="100"/>
        <v>0</v>
      </c>
      <c r="K222" s="61">
        <f t="shared" si="100"/>
        <v>0</v>
      </c>
      <c r="L222" s="61">
        <f t="shared" si="100"/>
        <v>0</v>
      </c>
      <c r="M222" s="61">
        <f t="shared" si="100"/>
        <v>0</v>
      </c>
      <c r="N222" s="61">
        <f t="shared" si="100"/>
        <v>0</v>
      </c>
      <c r="O222" s="61">
        <f t="shared" si="100"/>
        <v>0</v>
      </c>
      <c r="P222" s="62">
        <f t="shared" si="100"/>
        <v>0</v>
      </c>
      <c r="Q222" s="13">
        <f t="shared" si="97"/>
        <v>0</v>
      </c>
      <c r="R222" s="13"/>
    </row>
    <row r="223" spans="1:18" outlineLevel="1" x14ac:dyDescent="0.35">
      <c r="A223" s="294" t="str">
        <f t="shared" si="102"/>
        <v>Other G&amp;A-allocated from LIK</v>
      </c>
      <c r="D223" s="297" t="s">
        <v>120</v>
      </c>
      <c r="E223" s="61">
        <f t="shared" si="101"/>
        <v>175.95833333333334</v>
      </c>
      <c r="F223" s="61">
        <f t="shared" si="101"/>
        <v>175.95833333333334</v>
      </c>
      <c r="G223" s="61">
        <f t="shared" si="100"/>
        <v>175.95833333333334</v>
      </c>
      <c r="H223" s="61">
        <f t="shared" si="100"/>
        <v>175.95833333333334</v>
      </c>
      <c r="I223" s="61">
        <f t="shared" si="100"/>
        <v>175.95833333333334</v>
      </c>
      <c r="J223" s="61">
        <f t="shared" si="100"/>
        <v>175.95833333333334</v>
      </c>
      <c r="K223" s="61">
        <f t="shared" si="100"/>
        <v>175.95833333333334</v>
      </c>
      <c r="L223" s="61">
        <f t="shared" si="100"/>
        <v>175.95833333333334</v>
      </c>
      <c r="M223" s="61">
        <f t="shared" si="100"/>
        <v>175.95833333333334</v>
      </c>
      <c r="N223" s="61">
        <f t="shared" si="100"/>
        <v>175.95833333333334</v>
      </c>
      <c r="O223" s="61">
        <f t="shared" si="100"/>
        <v>175.95833333333334</v>
      </c>
      <c r="P223" s="62">
        <f t="shared" si="100"/>
        <v>175.95833333333334</v>
      </c>
      <c r="Q223" s="13">
        <f t="shared" si="97"/>
        <v>2111.4999999999995</v>
      </c>
      <c r="R223" s="13"/>
    </row>
    <row r="224" spans="1:18" outlineLevel="1" x14ac:dyDescent="0.35">
      <c r="A224" s="294" t="str">
        <f t="shared" si="102"/>
        <v>Land Improvements</v>
      </c>
      <c r="D224" s="297" t="s">
        <v>121</v>
      </c>
      <c r="E224" s="61">
        <f t="shared" si="101"/>
        <v>0</v>
      </c>
      <c r="F224" s="61">
        <f t="shared" si="101"/>
        <v>0</v>
      </c>
      <c r="G224" s="61">
        <f t="shared" si="100"/>
        <v>0</v>
      </c>
      <c r="H224" s="61">
        <f t="shared" si="100"/>
        <v>0</v>
      </c>
      <c r="I224" s="61">
        <f t="shared" si="100"/>
        <v>0</v>
      </c>
      <c r="J224" s="61">
        <f t="shared" si="100"/>
        <v>0</v>
      </c>
      <c r="K224" s="61">
        <f t="shared" si="100"/>
        <v>0</v>
      </c>
      <c r="L224" s="61">
        <f t="shared" si="100"/>
        <v>0</v>
      </c>
      <c r="M224" s="61">
        <f t="shared" si="100"/>
        <v>0</v>
      </c>
      <c r="N224" s="61">
        <f t="shared" si="100"/>
        <v>0</v>
      </c>
      <c r="O224" s="61">
        <f t="shared" si="100"/>
        <v>0</v>
      </c>
      <c r="P224" s="62">
        <f t="shared" si="100"/>
        <v>0</v>
      </c>
      <c r="Q224" s="13">
        <f t="shared" si="97"/>
        <v>0</v>
      </c>
      <c r="R224" s="13"/>
    </row>
    <row r="225" spans="1:18" outlineLevel="1" x14ac:dyDescent="0.35">
      <c r="A225" s="294" t="str">
        <f t="shared" si="102"/>
        <v>Buildings</v>
      </c>
      <c r="D225" s="297" t="s">
        <v>122</v>
      </c>
      <c r="E225" s="61">
        <f t="shared" si="101"/>
        <v>0</v>
      </c>
      <c r="F225" s="61">
        <f t="shared" si="101"/>
        <v>0</v>
      </c>
      <c r="G225" s="61">
        <f t="shared" si="101"/>
        <v>0</v>
      </c>
      <c r="H225" s="61">
        <f t="shared" si="101"/>
        <v>0</v>
      </c>
      <c r="I225" s="61">
        <f t="shared" si="101"/>
        <v>0</v>
      </c>
      <c r="J225" s="61">
        <f t="shared" si="101"/>
        <v>0</v>
      </c>
      <c r="K225" s="61">
        <f t="shared" si="101"/>
        <v>0</v>
      </c>
      <c r="L225" s="61">
        <f t="shared" si="101"/>
        <v>0</v>
      </c>
      <c r="M225" s="61">
        <f t="shared" si="101"/>
        <v>0</v>
      </c>
      <c r="N225" s="61">
        <f t="shared" si="101"/>
        <v>0</v>
      </c>
      <c r="O225" s="61">
        <f t="shared" si="101"/>
        <v>0</v>
      </c>
      <c r="P225" s="62">
        <f t="shared" si="101"/>
        <v>0</v>
      </c>
      <c r="Q225" s="13">
        <f t="shared" si="97"/>
        <v>0</v>
      </c>
      <c r="R225" s="13"/>
    </row>
    <row r="226" spans="1:18" outlineLevel="1" x14ac:dyDescent="0.35">
      <c r="A226" s="294" t="str">
        <f t="shared" si="102"/>
        <v>Equipment</v>
      </c>
      <c r="D226" s="297" t="s">
        <v>123</v>
      </c>
      <c r="E226" s="61">
        <f t="shared" si="101"/>
        <v>0</v>
      </c>
      <c r="F226" s="61">
        <f t="shared" si="101"/>
        <v>0</v>
      </c>
      <c r="G226" s="61">
        <f t="shared" si="101"/>
        <v>0</v>
      </c>
      <c r="H226" s="61">
        <f t="shared" si="101"/>
        <v>0</v>
      </c>
      <c r="I226" s="61">
        <f t="shared" si="101"/>
        <v>0</v>
      </c>
      <c r="J226" s="61">
        <f t="shared" si="101"/>
        <v>0</v>
      </c>
      <c r="K226" s="61">
        <f t="shared" si="101"/>
        <v>0</v>
      </c>
      <c r="L226" s="61">
        <f t="shared" si="101"/>
        <v>0</v>
      </c>
      <c r="M226" s="61">
        <f t="shared" si="101"/>
        <v>0</v>
      </c>
      <c r="N226" s="61">
        <f t="shared" si="101"/>
        <v>0</v>
      </c>
      <c r="O226" s="61">
        <f t="shared" si="101"/>
        <v>0</v>
      </c>
      <c r="P226" s="62">
        <f t="shared" si="101"/>
        <v>0</v>
      </c>
      <c r="Q226" s="13">
        <f t="shared" si="97"/>
        <v>0</v>
      </c>
      <c r="R226" s="13"/>
    </row>
    <row r="227" spans="1:18" outlineLevel="1" x14ac:dyDescent="0.35">
      <c r="A227" s="294" t="str">
        <f>VLOOKUP($D227,$A$10:$D$130,3,FALSE)</f>
        <v>Tenant Improvements</v>
      </c>
      <c r="D227" s="297" t="s">
        <v>124</v>
      </c>
      <c r="E227" s="61">
        <f t="shared" si="101"/>
        <v>0</v>
      </c>
      <c r="F227" s="61">
        <f t="shared" si="101"/>
        <v>0</v>
      </c>
      <c r="G227" s="61">
        <f t="shared" si="101"/>
        <v>0</v>
      </c>
      <c r="H227" s="61">
        <f t="shared" si="101"/>
        <v>0</v>
      </c>
      <c r="I227" s="61">
        <f t="shared" si="101"/>
        <v>0</v>
      </c>
      <c r="J227" s="61">
        <f t="shared" si="101"/>
        <v>0</v>
      </c>
      <c r="K227" s="61">
        <f t="shared" si="101"/>
        <v>0</v>
      </c>
      <c r="L227" s="61">
        <f t="shared" si="101"/>
        <v>0</v>
      </c>
      <c r="M227" s="61">
        <f t="shared" si="101"/>
        <v>0</v>
      </c>
      <c r="N227" s="61">
        <f t="shared" si="101"/>
        <v>0</v>
      </c>
      <c r="O227" s="61">
        <f t="shared" si="101"/>
        <v>0</v>
      </c>
      <c r="P227" s="62">
        <f t="shared" si="101"/>
        <v>0</v>
      </c>
      <c r="Q227" s="13">
        <f t="shared" si="97"/>
        <v>0</v>
      </c>
      <c r="R227" s="13"/>
    </row>
    <row r="228" spans="1:18" outlineLevel="1" x14ac:dyDescent="0.35">
      <c r="A228" s="294" t="str">
        <f>VLOOKUP($D228,$A$10:$D$130,4,FALSE)</f>
        <v>Deferred Marketing</v>
      </c>
      <c r="D228" s="297" t="s">
        <v>125</v>
      </c>
      <c r="E228" s="61">
        <f t="shared" si="101"/>
        <v>0</v>
      </c>
      <c r="F228" s="61">
        <f t="shared" si="101"/>
        <v>0</v>
      </c>
      <c r="G228" s="61">
        <f t="shared" si="101"/>
        <v>0</v>
      </c>
      <c r="H228" s="61">
        <f t="shared" si="101"/>
        <v>0</v>
      </c>
      <c r="I228" s="61">
        <f t="shared" si="101"/>
        <v>0</v>
      </c>
      <c r="J228" s="61">
        <f t="shared" si="101"/>
        <v>0</v>
      </c>
      <c r="K228" s="61">
        <f t="shared" si="101"/>
        <v>0</v>
      </c>
      <c r="L228" s="61">
        <f t="shared" si="101"/>
        <v>0</v>
      </c>
      <c r="M228" s="61">
        <f t="shared" si="101"/>
        <v>0</v>
      </c>
      <c r="N228" s="61">
        <f t="shared" si="101"/>
        <v>0</v>
      </c>
      <c r="O228" s="61">
        <f t="shared" si="101"/>
        <v>0</v>
      </c>
      <c r="P228" s="62">
        <f t="shared" si="101"/>
        <v>0</v>
      </c>
      <c r="Q228" s="13">
        <f t="shared" si="97"/>
        <v>0</v>
      </c>
      <c r="R228" s="13"/>
    </row>
    <row r="229" spans="1:18" outlineLevel="1" x14ac:dyDescent="0.35">
      <c r="A229" s="294" t="str">
        <f>VLOOKUP($D229,$A$10:$D$130,3,FALSE)</f>
        <v>Interest</v>
      </c>
      <c r="D229" s="297" t="s">
        <v>128</v>
      </c>
      <c r="E229" s="61">
        <f t="shared" si="101"/>
        <v>12479.199977184926</v>
      </c>
      <c r="F229" s="61">
        <f t="shared" si="101"/>
        <v>12442.590039788874</v>
      </c>
      <c r="G229" s="61">
        <f t="shared" si="101"/>
        <v>12405.873323408749</v>
      </c>
      <c r="H229" s="61">
        <f t="shared" si="101"/>
        <v>12369.049516605848</v>
      </c>
      <c r="I229" s="61">
        <f t="shared" si="101"/>
        <v>12332.118307033104</v>
      </c>
      <c r="J229" s="61">
        <f t="shared" si="101"/>
        <v>12295.079381432446</v>
      </c>
      <c r="K229" s="61">
        <f t="shared" si="101"/>
        <v>12257.932425632114</v>
      </c>
      <c r="L229" s="61">
        <f t="shared" si="101"/>
        <v>12220.677124544032</v>
      </c>
      <c r="M229" s="61">
        <f t="shared" si="101"/>
        <v>12183.313162161108</v>
      </c>
      <c r="N229" s="61">
        <f t="shared" si="101"/>
        <v>12145.84022155457</v>
      </c>
      <c r="O229" s="61">
        <f t="shared" si="101"/>
        <v>12108.257984871259</v>
      </c>
      <c r="P229" s="62">
        <f t="shared" si="101"/>
        <v>12070.566133330958</v>
      </c>
      <c r="Q229" s="13">
        <f t="shared" si="97"/>
        <v>147310.49759754798</v>
      </c>
      <c r="R229" s="13"/>
    </row>
    <row r="230" spans="1:18" ht="16.5" outlineLevel="1" thickBot="1" x14ac:dyDescent="0.4">
      <c r="A230" s="294" t="str">
        <f>VLOOKUP($D230,$A$10:$D$130,3,FALSE)</f>
        <v>Mortgage Amortization</v>
      </c>
      <c r="D230" s="298" t="s">
        <v>145</v>
      </c>
      <c r="E230" s="64">
        <f t="shared" si="101"/>
        <v>12551.978535789716</v>
      </c>
      <c r="F230" s="64">
        <f t="shared" si="101"/>
        <v>12588.588473185771</v>
      </c>
      <c r="G230" s="64">
        <f t="shared" si="101"/>
        <v>12625.305189565895</v>
      </c>
      <c r="H230" s="64">
        <f t="shared" si="101"/>
        <v>12662.128996368796</v>
      </c>
      <c r="I230" s="64">
        <f t="shared" si="101"/>
        <v>12699.060205941538</v>
      </c>
      <c r="J230" s="64">
        <f t="shared" si="101"/>
        <v>12736.099131542202</v>
      </c>
      <c r="K230" s="64">
        <f t="shared" si="101"/>
        <v>12773.246087342532</v>
      </c>
      <c r="L230" s="64">
        <f t="shared" si="101"/>
        <v>12810.501388430615</v>
      </c>
      <c r="M230" s="64">
        <f t="shared" si="101"/>
        <v>12847.865350813538</v>
      </c>
      <c r="N230" s="64">
        <f t="shared" si="101"/>
        <v>12885.338291420077</v>
      </c>
      <c r="O230" s="64">
        <f t="shared" si="101"/>
        <v>12922.920528103385</v>
      </c>
      <c r="P230" s="65">
        <f t="shared" si="101"/>
        <v>12960.612379643688</v>
      </c>
      <c r="Q230" s="13">
        <f t="shared" si="97"/>
        <v>153063.64455814773</v>
      </c>
      <c r="R230" s="13"/>
    </row>
    <row r="231" spans="1:18" outlineLevel="1" x14ac:dyDescent="0.35">
      <c r="D231" s="79" t="s">
        <v>12</v>
      </c>
      <c r="E231" s="6">
        <f t="shared" ref="E231:Q231" si="103">SUM(E196:E230)</f>
        <v>-50575.73651530403</v>
      </c>
      <c r="F231" s="6">
        <f t="shared" si="103"/>
        <v>-51476.116515304027</v>
      </c>
      <c r="G231" s="6">
        <f t="shared" si="103"/>
        <v>-51271.846515304016</v>
      </c>
      <c r="H231" s="6">
        <f t="shared" si="103"/>
        <v>-44919.756515304034</v>
      </c>
      <c r="I231" s="6">
        <f t="shared" si="103"/>
        <v>-52180.716515304026</v>
      </c>
      <c r="J231" s="6">
        <f t="shared" si="103"/>
        <v>-62443.926515304018</v>
      </c>
      <c r="K231" s="6">
        <f t="shared" si="103"/>
        <v>-62975.756515304034</v>
      </c>
      <c r="L231" s="6">
        <f t="shared" si="103"/>
        <v>-41106.276515304016</v>
      </c>
      <c r="M231" s="6">
        <f t="shared" si="103"/>
        <v>-49342.736515304008</v>
      </c>
      <c r="N231" s="6">
        <f t="shared" si="103"/>
        <v>-61083.646515304034</v>
      </c>
      <c r="O231" s="6">
        <f t="shared" si="103"/>
        <v>-61973.896515304026</v>
      </c>
      <c r="P231" s="6">
        <f t="shared" si="103"/>
        <v>-50587.106515304025</v>
      </c>
      <c r="Q231" s="6">
        <f t="shared" si="103"/>
        <v>-639937.51818364847</v>
      </c>
    </row>
    <row r="232" spans="1:18" outlineLevel="1" x14ac:dyDescent="0.35">
      <c r="D232" s="79"/>
      <c r="E232" s="31">
        <f>E134+E231</f>
        <v>0</v>
      </c>
      <c r="F232" s="31">
        <f t="shared" ref="F232:Q232" si="104">F134+F231</f>
        <v>0</v>
      </c>
      <c r="G232" s="31">
        <f t="shared" si="104"/>
        <v>0</v>
      </c>
      <c r="H232" s="31">
        <f t="shared" si="104"/>
        <v>0</v>
      </c>
      <c r="I232" s="31">
        <f t="shared" si="104"/>
        <v>0</v>
      </c>
      <c r="J232" s="31">
        <f t="shared" si="104"/>
        <v>0</v>
      </c>
      <c r="K232" s="31">
        <f>K134+K231</f>
        <v>0</v>
      </c>
      <c r="L232" s="31">
        <f t="shared" si="104"/>
        <v>0</v>
      </c>
      <c r="M232" s="31">
        <f t="shared" si="104"/>
        <v>0</v>
      </c>
      <c r="N232" s="31">
        <f t="shared" si="104"/>
        <v>0</v>
      </c>
      <c r="O232" s="31">
        <f t="shared" si="104"/>
        <v>0</v>
      </c>
      <c r="P232" s="31">
        <f t="shared" si="104"/>
        <v>0</v>
      </c>
      <c r="Q232" s="31">
        <f t="shared" si="104"/>
        <v>0</v>
      </c>
    </row>
    <row r="234" spans="1:18" x14ac:dyDescent="0.35">
      <c r="B234" s="3"/>
    </row>
    <row r="235" spans="1:18" x14ac:dyDescent="0.35">
      <c r="B235" s="3"/>
    </row>
    <row r="236" spans="1:18" x14ac:dyDescent="0.35">
      <c r="B236" s="3"/>
    </row>
    <row r="237" spans="1:18" x14ac:dyDescent="0.35">
      <c r="B237" s="3"/>
    </row>
    <row r="238" spans="1:18" x14ac:dyDescent="0.35">
      <c r="B238" s="3"/>
    </row>
    <row r="239" spans="1:18" x14ac:dyDescent="0.35">
      <c r="B239" s="3"/>
    </row>
    <row r="240" spans="1:18" x14ac:dyDescent="0.35">
      <c r="B240" s="3"/>
    </row>
    <row r="241" spans="2:20" x14ac:dyDescent="0.35">
      <c r="B241" s="3"/>
    </row>
    <row r="242" spans="2:20" x14ac:dyDescent="0.35">
      <c r="B242" s="3"/>
    </row>
    <row r="243" spans="2:20" x14ac:dyDescent="0.35">
      <c r="B243" s="3"/>
    </row>
    <row r="244" spans="2:20" x14ac:dyDescent="0.35">
      <c r="B244" s="3"/>
    </row>
    <row r="245" spans="2:20" x14ac:dyDescent="0.35">
      <c r="B245" s="3"/>
    </row>
    <row r="246" spans="2:20" x14ac:dyDescent="0.35">
      <c r="B246" s="3"/>
    </row>
    <row r="247" spans="2:20" x14ac:dyDescent="0.35">
      <c r="B247" s="3"/>
    </row>
    <row r="248" spans="2:20" x14ac:dyDescent="0.35">
      <c r="B248" s="3"/>
    </row>
    <row r="249" spans="2:20" x14ac:dyDescent="0.35">
      <c r="B249" s="3"/>
    </row>
    <row r="250" spans="2:20" x14ac:dyDescent="0.35">
      <c r="B250" s="3"/>
    </row>
    <row r="251" spans="2:20" x14ac:dyDescent="0.35">
      <c r="B251" s="3"/>
    </row>
    <row r="252" spans="2:20" x14ac:dyDescent="0.35">
      <c r="B252" s="3"/>
    </row>
    <row r="253" spans="2:20" x14ac:dyDescent="0.35">
      <c r="B253" s="3"/>
    </row>
    <row r="254" spans="2:20" x14ac:dyDescent="0.35">
      <c r="B254" s="3"/>
    </row>
    <row r="255" spans="2:20" x14ac:dyDescent="0.35">
      <c r="B255" s="3"/>
    </row>
    <row r="256" spans="2:20" x14ac:dyDescent="0.35">
      <c r="B256" s="3"/>
      <c r="S256" s="10"/>
      <c r="T256" s="324"/>
    </row>
    <row r="257" spans="2:20" x14ac:dyDescent="0.35">
      <c r="B257" s="3"/>
      <c r="S257" s="10"/>
      <c r="T257" s="324"/>
    </row>
    <row r="258" spans="2:20" x14ac:dyDescent="0.35">
      <c r="B258" s="3"/>
      <c r="S258" s="10"/>
      <c r="T258" s="324"/>
    </row>
    <row r="259" spans="2:20" x14ac:dyDescent="0.35">
      <c r="B259" s="3"/>
      <c r="S259" s="10"/>
      <c r="T259" s="324"/>
    </row>
    <row r="260" spans="2:20" x14ac:dyDescent="0.35">
      <c r="B260" s="3"/>
      <c r="S260" s="10"/>
      <c r="T260" s="324"/>
    </row>
    <row r="261" spans="2:20" x14ac:dyDescent="0.35">
      <c r="B261" s="3"/>
      <c r="S261" s="10"/>
      <c r="T261" s="324"/>
    </row>
    <row r="262" spans="2:20" x14ac:dyDescent="0.35">
      <c r="B262" s="3"/>
      <c r="S262" s="10"/>
      <c r="T262" s="324"/>
    </row>
    <row r="263" spans="2:20" x14ac:dyDescent="0.35">
      <c r="B263" s="3"/>
      <c r="S263" s="10"/>
      <c r="T263" s="324"/>
    </row>
    <row r="264" spans="2:20" x14ac:dyDescent="0.35">
      <c r="B264" s="3"/>
      <c r="S264" s="10"/>
      <c r="T264" s="324"/>
    </row>
    <row r="265" spans="2:20" x14ac:dyDescent="0.35">
      <c r="B265" s="3"/>
      <c r="S265" s="10"/>
      <c r="T265" s="324"/>
    </row>
    <row r="266" spans="2:20" x14ac:dyDescent="0.35">
      <c r="B266" s="3"/>
      <c r="S266" s="10"/>
      <c r="T266" s="324"/>
    </row>
    <row r="267" spans="2:20" x14ac:dyDescent="0.35">
      <c r="B267" s="3"/>
      <c r="S267" s="10"/>
      <c r="T267" s="324"/>
    </row>
    <row r="268" spans="2:20" x14ac:dyDescent="0.35">
      <c r="B268" s="3"/>
      <c r="S268" s="10"/>
      <c r="T268" s="324"/>
    </row>
    <row r="269" spans="2:20" x14ac:dyDescent="0.35">
      <c r="B269" s="3"/>
      <c r="S269" s="10"/>
      <c r="T269" s="324"/>
    </row>
    <row r="270" spans="2:20" x14ac:dyDescent="0.35">
      <c r="B270" s="3"/>
      <c r="S270" s="10"/>
      <c r="T270" s="324"/>
    </row>
    <row r="271" spans="2:20" x14ac:dyDescent="0.35">
      <c r="B271" s="3"/>
      <c r="S271" s="10"/>
      <c r="T271" s="324"/>
    </row>
    <row r="272" spans="2:20" x14ac:dyDescent="0.35">
      <c r="B272" s="3"/>
      <c r="S272" s="10"/>
      <c r="T272" s="324"/>
    </row>
    <row r="273" spans="2:20" x14ac:dyDescent="0.35">
      <c r="B273" s="3"/>
      <c r="S273" s="10"/>
      <c r="T273" s="324"/>
    </row>
    <row r="274" spans="2:20" x14ac:dyDescent="0.35">
      <c r="B274" s="3"/>
      <c r="S274" s="10"/>
      <c r="T274" s="324"/>
    </row>
    <row r="275" spans="2:20" x14ac:dyDescent="0.35">
      <c r="B275" s="3"/>
      <c r="S275" s="10"/>
      <c r="T275" s="324"/>
    </row>
    <row r="276" spans="2:20" x14ac:dyDescent="0.35">
      <c r="B276" s="3"/>
      <c r="S276" s="10"/>
      <c r="T276" s="324"/>
    </row>
    <row r="277" spans="2:20" x14ac:dyDescent="0.35">
      <c r="B277" s="3"/>
      <c r="S277" s="10"/>
      <c r="T277" s="324"/>
    </row>
    <row r="278" spans="2:20" x14ac:dyDescent="0.35">
      <c r="B278" s="3"/>
      <c r="S278" s="10"/>
      <c r="T278" s="324"/>
    </row>
    <row r="279" spans="2:20" x14ac:dyDescent="0.35">
      <c r="B279" s="3"/>
      <c r="S279" s="10"/>
      <c r="T279" s="324"/>
    </row>
    <row r="280" spans="2:20" x14ac:dyDescent="0.35">
      <c r="B280" s="3"/>
      <c r="S280" s="10"/>
      <c r="T280" s="324"/>
    </row>
    <row r="281" spans="2:20" x14ac:dyDescent="0.35">
      <c r="B281" s="3"/>
      <c r="S281" s="10"/>
      <c r="T281" s="324"/>
    </row>
    <row r="282" spans="2:20" x14ac:dyDescent="0.35">
      <c r="B282" s="3"/>
      <c r="S282" s="10"/>
      <c r="T282" s="324"/>
    </row>
    <row r="283" spans="2:20" x14ac:dyDescent="0.35">
      <c r="B283" s="3"/>
      <c r="S283" s="10"/>
      <c r="T283" s="324"/>
    </row>
    <row r="284" spans="2:20" x14ac:dyDescent="0.35">
      <c r="B284" s="3"/>
      <c r="S284" s="10"/>
      <c r="T284" s="324"/>
    </row>
    <row r="285" spans="2:20" x14ac:dyDescent="0.35">
      <c r="B285" s="3"/>
      <c r="S285" s="10"/>
      <c r="T285" s="324"/>
    </row>
    <row r="286" spans="2:20" x14ac:dyDescent="0.35">
      <c r="B286" s="3"/>
      <c r="S286" s="10"/>
      <c r="T286" s="324"/>
    </row>
    <row r="287" spans="2:20" x14ac:dyDescent="0.35">
      <c r="B287" s="3"/>
      <c r="S287" s="10"/>
      <c r="T287" s="324"/>
    </row>
    <row r="288" spans="2:20" x14ac:dyDescent="0.35">
      <c r="B288" s="3"/>
      <c r="S288" s="10"/>
      <c r="T288" s="324"/>
    </row>
    <row r="289" spans="2:20" x14ac:dyDescent="0.35">
      <c r="B289" s="3"/>
      <c r="S289" s="10"/>
      <c r="T289" s="324"/>
    </row>
    <row r="290" spans="2:20" x14ac:dyDescent="0.35">
      <c r="B290" s="3"/>
      <c r="S290" s="10"/>
      <c r="T290" s="324"/>
    </row>
    <row r="291" spans="2:20" x14ac:dyDescent="0.35">
      <c r="B291" s="3"/>
      <c r="S291" s="10"/>
      <c r="T291" s="324"/>
    </row>
    <row r="292" spans="2:20" x14ac:dyDescent="0.35">
      <c r="B292" s="3"/>
      <c r="S292" s="10"/>
      <c r="T292" s="324"/>
    </row>
    <row r="293" spans="2:20" x14ac:dyDescent="0.35">
      <c r="B293" s="3"/>
      <c r="S293" s="10"/>
      <c r="T293" s="324"/>
    </row>
    <row r="294" spans="2:20" x14ac:dyDescent="0.35">
      <c r="B294" s="3"/>
      <c r="S294" s="10"/>
      <c r="T294" s="324"/>
    </row>
    <row r="295" spans="2:20" x14ac:dyDescent="0.35">
      <c r="B295" s="3"/>
      <c r="S295" s="10"/>
      <c r="T295" s="324"/>
    </row>
    <row r="296" spans="2:20" x14ac:dyDescent="0.35">
      <c r="B296" s="3"/>
      <c r="S296" s="10"/>
      <c r="T296" s="324"/>
    </row>
    <row r="297" spans="2:20" x14ac:dyDescent="0.35">
      <c r="B297" s="3"/>
      <c r="S297" s="10"/>
      <c r="T297" s="324"/>
    </row>
    <row r="298" spans="2:20" x14ac:dyDescent="0.35">
      <c r="B298" s="3"/>
      <c r="S298" s="10"/>
      <c r="T298" s="324"/>
    </row>
    <row r="299" spans="2:20" x14ac:dyDescent="0.35">
      <c r="B299" s="3"/>
      <c r="S299" s="10"/>
      <c r="T299" s="324"/>
    </row>
    <row r="300" spans="2:20" x14ac:dyDescent="0.35">
      <c r="B300" s="3"/>
      <c r="S300" s="10"/>
      <c r="T300" s="324"/>
    </row>
    <row r="301" spans="2:20" x14ac:dyDescent="0.35">
      <c r="B301" s="3"/>
      <c r="S301" s="10"/>
      <c r="T301" s="324"/>
    </row>
    <row r="302" spans="2:20" x14ac:dyDescent="0.35">
      <c r="B302" s="3"/>
      <c r="S302" s="10"/>
      <c r="T302" s="324"/>
    </row>
    <row r="303" spans="2:20" x14ac:dyDescent="0.35">
      <c r="B303" s="3"/>
      <c r="S303" s="10"/>
      <c r="T303" s="324"/>
    </row>
    <row r="304" spans="2:20" x14ac:dyDescent="0.35">
      <c r="B304" s="3"/>
      <c r="S304" s="10"/>
      <c r="T304" s="324"/>
    </row>
    <row r="305" spans="2:20" x14ac:dyDescent="0.35">
      <c r="B305" s="3"/>
      <c r="S305" s="10"/>
      <c r="T305" s="324"/>
    </row>
    <row r="306" spans="2:20" x14ac:dyDescent="0.35">
      <c r="B306" s="3"/>
      <c r="S306" s="10"/>
      <c r="T306" s="324"/>
    </row>
    <row r="307" spans="2:20" x14ac:dyDescent="0.35">
      <c r="B307" s="3"/>
      <c r="S307" s="10"/>
      <c r="T307" s="324"/>
    </row>
    <row r="308" spans="2:20" x14ac:dyDescent="0.35">
      <c r="B308" s="3"/>
    </row>
    <row r="309" spans="2:20" x14ac:dyDescent="0.35">
      <c r="B309" s="3"/>
    </row>
    <row r="310" spans="2:20" x14ac:dyDescent="0.35">
      <c r="B310" s="3"/>
    </row>
    <row r="311" spans="2:20" x14ac:dyDescent="0.35">
      <c r="B311" s="3"/>
    </row>
    <row r="312" spans="2:20" x14ac:dyDescent="0.35">
      <c r="B312" s="3"/>
    </row>
    <row r="313" spans="2:20" x14ac:dyDescent="0.35">
      <c r="B313" s="3"/>
    </row>
    <row r="314" spans="2:20" x14ac:dyDescent="0.35">
      <c r="B314" s="3"/>
    </row>
    <row r="315" spans="2:20" x14ac:dyDescent="0.35">
      <c r="B315" s="3"/>
    </row>
    <row r="316" spans="2:20" x14ac:dyDescent="0.35">
      <c r="B316" s="3"/>
    </row>
    <row r="318" spans="2:20" x14ac:dyDescent="0.35">
      <c r="S318" s="10"/>
      <c r="T318" s="324"/>
    </row>
    <row r="319" spans="2:20" x14ac:dyDescent="0.35">
      <c r="S319" s="10"/>
      <c r="T319" s="324"/>
    </row>
    <row r="320" spans="2:20" x14ac:dyDescent="0.35">
      <c r="S320" s="10"/>
      <c r="T320" s="324"/>
    </row>
    <row r="321" spans="19:20" x14ac:dyDescent="0.35">
      <c r="S321" s="44"/>
      <c r="T321" s="325"/>
    </row>
    <row r="322" spans="19:20" x14ac:dyDescent="0.35">
      <c r="S322" s="42"/>
      <c r="T322" s="326"/>
    </row>
    <row r="323" spans="19:20" x14ac:dyDescent="0.35">
      <c r="S323" s="10"/>
      <c r="T323" s="324"/>
    </row>
    <row r="324" spans="19:20" x14ac:dyDescent="0.35">
      <c r="S324" s="10"/>
      <c r="T324" s="324"/>
    </row>
    <row r="325" spans="19:20" x14ac:dyDescent="0.35">
      <c r="S325" s="10"/>
      <c r="T325" s="324"/>
    </row>
    <row r="326" spans="19:20" x14ac:dyDescent="0.35">
      <c r="S326" s="10"/>
      <c r="T326" s="324"/>
    </row>
    <row r="327" spans="19:20" x14ac:dyDescent="0.35">
      <c r="S327" s="10"/>
      <c r="T327" s="324"/>
    </row>
    <row r="328" spans="19:20" x14ac:dyDescent="0.35">
      <c r="S328" s="10"/>
      <c r="T328" s="324"/>
    </row>
    <row r="329" spans="19:20" x14ac:dyDescent="0.35">
      <c r="S329" s="10"/>
      <c r="T329" s="324"/>
    </row>
    <row r="330" spans="19:20" x14ac:dyDescent="0.35">
      <c r="S330" s="10"/>
      <c r="T330" s="324"/>
    </row>
    <row r="331" spans="19:20" x14ac:dyDescent="0.35">
      <c r="S331" s="10"/>
      <c r="T331" s="324"/>
    </row>
    <row r="332" spans="19:20" x14ac:dyDescent="0.35">
      <c r="S332" s="10"/>
      <c r="T332" s="324"/>
    </row>
    <row r="333" spans="19:20" x14ac:dyDescent="0.35">
      <c r="S333" s="10"/>
      <c r="T333" s="324"/>
    </row>
    <row r="334" spans="19:20" x14ac:dyDescent="0.35">
      <c r="S334" s="10"/>
      <c r="T334" s="324"/>
    </row>
    <row r="335" spans="19:20" x14ac:dyDescent="0.35">
      <c r="S335" s="10"/>
      <c r="T335" s="324"/>
    </row>
    <row r="336" spans="19:20" x14ac:dyDescent="0.35">
      <c r="S336" s="10"/>
      <c r="T336" s="324"/>
    </row>
    <row r="337" spans="19:20" x14ac:dyDescent="0.35">
      <c r="S337" s="10"/>
      <c r="T337" s="324"/>
    </row>
    <row r="338" spans="19:20" x14ac:dyDescent="0.35">
      <c r="S338" s="10"/>
      <c r="T338" s="324"/>
    </row>
    <row r="339" spans="19:20" x14ac:dyDescent="0.35">
      <c r="S339" s="10"/>
      <c r="T339" s="324"/>
    </row>
    <row r="340" spans="19:20" x14ac:dyDescent="0.35">
      <c r="S340" s="10"/>
      <c r="T340" s="324"/>
    </row>
    <row r="341" spans="19:20" x14ac:dyDescent="0.35">
      <c r="S341" s="10"/>
      <c r="T341" s="324"/>
    </row>
    <row r="342" spans="19:20" x14ac:dyDescent="0.35">
      <c r="S342" s="10"/>
      <c r="T342" s="324"/>
    </row>
    <row r="343" spans="19:20" x14ac:dyDescent="0.35">
      <c r="S343" s="10"/>
      <c r="T343" s="324"/>
    </row>
    <row r="344" spans="19:20" x14ac:dyDescent="0.35">
      <c r="S344" s="10"/>
      <c r="T344" s="324"/>
    </row>
    <row r="345" spans="19:20" x14ac:dyDescent="0.35">
      <c r="S345" s="10"/>
      <c r="T345" s="324"/>
    </row>
    <row r="346" spans="19:20" x14ac:dyDescent="0.35">
      <c r="S346" s="10"/>
      <c r="T346" s="324"/>
    </row>
    <row r="347" spans="19:20" x14ac:dyDescent="0.35">
      <c r="S347" s="10"/>
      <c r="T347" s="324"/>
    </row>
    <row r="348" spans="19:20" x14ac:dyDescent="0.35">
      <c r="S348" s="10"/>
      <c r="T348" s="324"/>
    </row>
    <row r="349" spans="19:20" x14ac:dyDescent="0.35">
      <c r="S349" s="10"/>
      <c r="T349" s="324"/>
    </row>
    <row r="350" spans="19:20" x14ac:dyDescent="0.35">
      <c r="S350" s="10"/>
      <c r="T350" s="324"/>
    </row>
    <row r="351" spans="19:20" x14ac:dyDescent="0.35">
      <c r="S351" s="10"/>
      <c r="T351" s="324"/>
    </row>
    <row r="352" spans="19:20" x14ac:dyDescent="0.35">
      <c r="S352" s="10"/>
      <c r="T352" s="324"/>
    </row>
    <row r="353" spans="19:20" x14ac:dyDescent="0.35">
      <c r="S353" s="10"/>
      <c r="T353" s="324"/>
    </row>
    <row r="354" spans="19:20" x14ac:dyDescent="0.35">
      <c r="S354" s="10"/>
      <c r="T354" s="324"/>
    </row>
    <row r="355" spans="19:20" x14ac:dyDescent="0.35">
      <c r="S355" s="10"/>
      <c r="T355" s="324"/>
    </row>
    <row r="356" spans="19:20" x14ac:dyDescent="0.35">
      <c r="S356" s="10"/>
      <c r="T356" s="324"/>
    </row>
    <row r="358" spans="19:20" x14ac:dyDescent="0.35">
      <c r="S358" s="46"/>
      <c r="T358" s="327"/>
    </row>
    <row r="361" spans="19:20" x14ac:dyDescent="0.35">
      <c r="S361" s="10"/>
      <c r="T361" s="324"/>
    </row>
    <row r="362" spans="19:20" x14ac:dyDescent="0.35">
      <c r="S362" s="10"/>
      <c r="T362" s="324"/>
    </row>
  </sheetData>
  <sheetProtection selectLockedCells="1"/>
  <phoneticPr fontId="0" type="noConversion"/>
  <conditionalFormatting sqref="E142:P154">
    <cfRule type="expression" dxfId="112" priority="467">
      <formula>E178&gt;0</formula>
    </cfRule>
    <cfRule type="expression" dxfId="111" priority="468">
      <formula>E160&gt;0</formula>
    </cfRule>
  </conditionalFormatting>
  <conditionalFormatting sqref="E156:Q156">
    <cfRule type="expression" dxfId="110" priority="4">
      <formula>ABS(E156)&lt;1</formula>
    </cfRule>
  </conditionalFormatting>
  <conditionalFormatting sqref="E174:Q175">
    <cfRule type="expression" dxfId="109" priority="6">
      <formula>ABS(E174)&lt;1</formula>
    </cfRule>
  </conditionalFormatting>
  <conditionalFormatting sqref="E192:Q192">
    <cfRule type="expression" dxfId="108" priority="5">
      <formula>ABS(E192)&lt;1</formula>
    </cfRule>
  </conditionalFormatting>
  <conditionalFormatting sqref="E232:Q232">
    <cfRule type="cellIs" dxfId="107" priority="1" operator="between">
      <formula>-1</formula>
      <formula>1</formula>
    </cfRule>
  </conditionalFormatting>
  <dataValidations disablePrompts="1" count="1">
    <dataValidation operator="notEqual" showInputMessage="1" showErrorMessage="1" sqref="E18:P18" xr:uid="{00000000-0002-0000-0400-000000000000}"/>
  </dataValidations>
  <pageMargins left="0" right="0" top="0" bottom="0" header="0.05" footer="0"/>
  <pageSetup scale="47" fitToHeight="2" orientation="landscape" cellComments="asDisplayed" r:id="rId1"/>
  <headerFooter alignWithMargins="0">
    <oddFooter>&amp;L&amp;Z&amp;F\&amp;A&amp;R&amp;D;&amp;T</oddFooter>
  </headerFooter>
  <rowBreaks count="1" manualBreakCount="1">
    <brk id="72" min="1" max="1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>
    <tabColor theme="0"/>
  </sheetPr>
  <dimension ref="A1:V389"/>
  <sheetViews>
    <sheetView topLeftCell="A20" zoomScale="175" zoomScaleNormal="175" workbookViewId="0">
      <selection activeCell="E33" sqref="E33"/>
    </sheetView>
  </sheetViews>
  <sheetFormatPr defaultColWidth="10.81640625" defaultRowHeight="16" outlineLevelRow="1" outlineLevelCol="1" x14ac:dyDescent="0.35"/>
  <cols>
    <col min="1" max="1" width="15.54296875" style="6" bestFit="1" customWidth="1"/>
    <col min="2" max="2" width="10.1796875" style="6" customWidth="1"/>
    <col min="3" max="3" width="2.81640625" style="6" customWidth="1"/>
    <col min="4" max="4" width="37.81640625" style="6" customWidth="1"/>
    <col min="5" max="5" width="14" style="6" customWidth="1"/>
    <col min="6" max="6" width="13.1796875" style="6" customWidth="1"/>
    <col min="7" max="8" width="15.81640625" style="6" customWidth="1"/>
    <col min="9" max="9" width="13.81640625" style="6" customWidth="1"/>
    <col min="10" max="10" width="13.1796875" style="6" customWidth="1"/>
    <col min="11" max="11" width="14.1796875" style="6" customWidth="1"/>
    <col min="12" max="16" width="13.1796875" style="6" customWidth="1"/>
    <col min="17" max="18" width="15.1796875" style="6" bestFit="1" customWidth="1"/>
    <col min="19" max="19" width="17.26953125" style="6" hidden="1" customWidth="1" outlineLevel="1"/>
    <col min="20" max="20" width="14.26953125" style="273" hidden="1" customWidth="1" outlineLevel="1"/>
    <col min="21" max="21" width="9.1796875" style="23" bestFit="1" customWidth="1" collapsed="1"/>
    <col min="22" max="22" width="33.1796875" style="6" bestFit="1" customWidth="1"/>
    <col min="23" max="16384" width="10.81640625" style="6"/>
  </cols>
  <sheetData>
    <row r="1" spans="1:22" s="20" customFormat="1" ht="29" x14ac:dyDescent="0.25">
      <c r="B1" s="214">
        <v>4500</v>
      </c>
      <c r="C1" s="388" t="s">
        <v>559</v>
      </c>
      <c r="J1" s="21" t="str">
        <f>+'2300'!J1</f>
        <v>Operating Budget</v>
      </c>
      <c r="Q1" s="22">
        <f>'All Shopping Centers'!Q1</f>
        <v>46023</v>
      </c>
      <c r="R1" s="22"/>
      <c r="S1" s="22"/>
      <c r="T1" s="299"/>
      <c r="U1" s="230"/>
    </row>
    <row r="2" spans="1:22" ht="18" x14ac:dyDescent="0.35">
      <c r="J2" s="73" t="str">
        <f>'All Shopping Centers'!J2&amp;" - "&amp;B1</f>
        <v>Shopping Centers - 4500</v>
      </c>
    </row>
    <row r="3" spans="1:22" ht="18" x14ac:dyDescent="0.35">
      <c r="S3" s="300" t="s">
        <v>496</v>
      </c>
      <c r="T3" s="301"/>
    </row>
    <row r="4" spans="1:22" s="11" customFormat="1" ht="18" x14ac:dyDescent="0.35">
      <c r="B4" s="215">
        <v>82809</v>
      </c>
      <c r="C4" s="215"/>
      <c r="D4" s="13"/>
      <c r="E4" s="24" t="s">
        <v>0</v>
      </c>
      <c r="F4" s="24" t="s">
        <v>1</v>
      </c>
      <c r="G4" s="24" t="s">
        <v>2</v>
      </c>
      <c r="H4" s="24" t="s">
        <v>3</v>
      </c>
      <c r="I4" s="24" t="s">
        <v>4</v>
      </c>
      <c r="J4" s="24" t="s">
        <v>5</v>
      </c>
      <c r="K4" s="24" t="s">
        <v>6</v>
      </c>
      <c r="L4" s="24" t="s">
        <v>7</v>
      </c>
      <c r="M4" s="24" t="s">
        <v>8</v>
      </c>
      <c r="N4" s="24" t="s">
        <v>9</v>
      </c>
      <c r="O4" s="24" t="s">
        <v>10</v>
      </c>
      <c r="P4" s="24" t="s">
        <v>11</v>
      </c>
      <c r="Q4" s="100" t="s">
        <v>12</v>
      </c>
      <c r="R4" s="100" t="s">
        <v>317</v>
      </c>
      <c r="S4" s="302" t="s">
        <v>12</v>
      </c>
      <c r="T4" s="303" t="s">
        <v>495</v>
      </c>
      <c r="U4" s="231" t="s">
        <v>349</v>
      </c>
      <c r="V4" s="292" t="s">
        <v>282</v>
      </c>
    </row>
    <row r="5" spans="1:22" x14ac:dyDescent="0.35">
      <c r="Q5" s="101"/>
      <c r="R5" s="101"/>
      <c r="S5" s="304"/>
      <c r="T5" s="305"/>
    </row>
    <row r="6" spans="1:22" s="25" customFormat="1" x14ac:dyDescent="0.35">
      <c r="B6" s="26"/>
      <c r="D6" s="211" t="s">
        <v>13</v>
      </c>
      <c r="E6" s="212">
        <f>'Renew &amp; Vac '!AJ75</f>
        <v>0.97099999999999997</v>
      </c>
      <c r="F6" s="212">
        <f>'Renew &amp; Vac '!AK75</f>
        <v>0.97099999999999997</v>
      </c>
      <c r="G6" s="212">
        <f>'Renew &amp; Vac '!AL75</f>
        <v>0.97099999999999997</v>
      </c>
      <c r="H6" s="212">
        <f>'Renew &amp; Vac '!AM75</f>
        <v>0.97099999999999997</v>
      </c>
      <c r="I6" s="212">
        <f>'Renew &amp; Vac '!AN75</f>
        <v>1</v>
      </c>
      <c r="J6" s="212">
        <f>'Renew &amp; Vac '!AO75</f>
        <v>1</v>
      </c>
      <c r="K6" s="212">
        <f>'Renew &amp; Vac '!AP75</f>
        <v>1</v>
      </c>
      <c r="L6" s="212">
        <f>'Renew &amp; Vac '!AQ75</f>
        <v>1</v>
      </c>
      <c r="M6" s="212">
        <f>'Renew &amp; Vac '!AR75</f>
        <v>1</v>
      </c>
      <c r="N6" s="212">
        <f>'Renew &amp; Vac '!AS75</f>
        <v>1</v>
      </c>
      <c r="O6" s="212">
        <f>'Renew &amp; Vac '!AT75</f>
        <v>1</v>
      </c>
      <c r="P6" s="212">
        <f>'Renew &amp; Vac '!AU75</f>
        <v>1</v>
      </c>
      <c r="Q6" s="102"/>
      <c r="R6" s="102"/>
      <c r="S6" s="306"/>
      <c r="T6" s="307"/>
      <c r="U6" s="232"/>
    </row>
    <row r="7" spans="1:22" s="25" customFormat="1" x14ac:dyDescent="0.35">
      <c r="B7" s="26"/>
      <c r="D7" s="211" t="s">
        <v>323</v>
      </c>
      <c r="E7" s="213">
        <f>$B$4*E6</f>
        <v>80407.539000000004</v>
      </c>
      <c r="F7" s="213">
        <f t="shared" ref="F7:P7" si="0">$B$4*F6</f>
        <v>80407.539000000004</v>
      </c>
      <c r="G7" s="213">
        <f t="shared" si="0"/>
        <v>80407.539000000004</v>
      </c>
      <c r="H7" s="213">
        <f t="shared" si="0"/>
        <v>80407.539000000004</v>
      </c>
      <c r="I7" s="213">
        <f t="shared" si="0"/>
        <v>82809</v>
      </c>
      <c r="J7" s="213">
        <f t="shared" si="0"/>
        <v>82809</v>
      </c>
      <c r="K7" s="213">
        <f t="shared" si="0"/>
        <v>82809</v>
      </c>
      <c r="L7" s="213">
        <f t="shared" si="0"/>
        <v>82809</v>
      </c>
      <c r="M7" s="213">
        <f t="shared" si="0"/>
        <v>82809</v>
      </c>
      <c r="N7" s="213">
        <f t="shared" si="0"/>
        <v>82809</v>
      </c>
      <c r="O7" s="213">
        <f t="shared" si="0"/>
        <v>82809</v>
      </c>
      <c r="P7" s="213">
        <f t="shared" si="0"/>
        <v>82809</v>
      </c>
      <c r="Q7" s="102"/>
      <c r="R7" s="102"/>
      <c r="S7" s="306"/>
      <c r="T7" s="307"/>
      <c r="U7" s="232"/>
    </row>
    <row r="8" spans="1:22" ht="18" x14ac:dyDescent="0.35">
      <c r="B8" s="7" t="s">
        <v>14</v>
      </c>
      <c r="Q8" s="101"/>
      <c r="R8" s="101"/>
      <c r="S8" s="304"/>
      <c r="T8" s="305"/>
    </row>
    <row r="9" spans="1:22" x14ac:dyDescent="0.35">
      <c r="A9" s="66"/>
      <c r="Q9" s="101"/>
      <c r="R9" s="101"/>
      <c r="S9" s="304"/>
      <c r="T9" s="305"/>
    </row>
    <row r="10" spans="1:22" x14ac:dyDescent="0.35">
      <c r="A10" s="66" t="s">
        <v>132</v>
      </c>
      <c r="C10" s="6" t="s">
        <v>159</v>
      </c>
      <c r="E10" s="6">
        <f>SUMIFS('In Place Revenue'!$G:$G,'In Place Revenue'!$A:$A,$B$1,'In Place Revenue'!$H:$H,1)</f>
        <v>123600.01</v>
      </c>
      <c r="F10" s="6">
        <f>SUMIFS('In Place Revenue'!$G:$G,'In Place Revenue'!$A:$A,$B$1,'In Place Revenue'!$H:$H,2)</f>
        <v>123600.01</v>
      </c>
      <c r="G10" s="6">
        <f>SUMIFS('In Place Revenue'!$G:$G,'In Place Revenue'!$A:$A,$B$1,'In Place Revenue'!$H:$H,3)</f>
        <v>123600.01</v>
      </c>
      <c r="H10" s="6">
        <f>SUMIFS('In Place Revenue'!$G:$G,'In Place Revenue'!$A:$A,$B$1,'In Place Revenue'!$H:$H,4)</f>
        <v>123600.01</v>
      </c>
      <c r="I10" s="6">
        <f>SUMIFS('In Place Revenue'!$G:$G,'In Place Revenue'!$A:$A,$B$1,'In Place Revenue'!$H:$H,5)</f>
        <v>123600.01</v>
      </c>
      <c r="J10" s="6">
        <f>SUMIFS('In Place Revenue'!$G:$G,'In Place Revenue'!$A:$A,$B$1,'In Place Revenue'!$H:$H,6)</f>
        <v>123600.01</v>
      </c>
      <c r="K10" s="6">
        <f>SUMIFS('In Place Revenue'!$G:$G,'In Place Revenue'!$A:$A,$B$1,'In Place Revenue'!$H:$H,7)</f>
        <v>123600.01</v>
      </c>
      <c r="L10" s="6">
        <f>SUMIFS('In Place Revenue'!$G:$G,'In Place Revenue'!$A:$A,$B$1,'In Place Revenue'!$H:$H,8)</f>
        <v>123600.01</v>
      </c>
      <c r="M10" s="6">
        <f>SUMIFS('In Place Revenue'!$G:$G,'In Place Revenue'!$A:$A,$B$1,'In Place Revenue'!$H:$H,9)</f>
        <v>123600.01</v>
      </c>
      <c r="N10" s="6">
        <f>SUMIFS('In Place Revenue'!$G:$G,'In Place Revenue'!$A:$A,$B$1,'In Place Revenue'!$H:$H,10)</f>
        <v>123600.01</v>
      </c>
      <c r="O10" s="6">
        <f>SUMIFS('In Place Revenue'!$G:$G,'In Place Revenue'!$A:$A,$B$1,'In Place Revenue'!$H:$H,11)</f>
        <v>133286.66999999998</v>
      </c>
      <c r="P10" s="6">
        <f>SUMIFS('In Place Revenue'!$G:$G,'In Place Revenue'!$A:$A,$B$1,'In Place Revenue'!$H:$H,12)</f>
        <v>133286.66999999998</v>
      </c>
      <c r="Q10" s="101">
        <f>SUM(E10:P10)</f>
        <v>1502573.4399999997</v>
      </c>
      <c r="R10" s="184">
        <f>Q10/$B$4</f>
        <v>18.145049934185895</v>
      </c>
      <c r="S10" s="304">
        <v>1439251</v>
      </c>
      <c r="T10" s="308">
        <f>(Q10+Q11)/S10-1</f>
        <v>7.2900724057165744E-2</v>
      </c>
      <c r="U10" s="233"/>
    </row>
    <row r="11" spans="1:22" x14ac:dyDescent="0.35">
      <c r="A11" s="66" t="s">
        <v>132</v>
      </c>
      <c r="C11" s="6" t="s">
        <v>160</v>
      </c>
      <c r="E11" s="6">
        <f>'Renew &amp; Vac '!AJ76</f>
        <v>0</v>
      </c>
      <c r="F11" s="6">
        <f>'Renew &amp; Vac '!AK76</f>
        <v>0</v>
      </c>
      <c r="G11" s="6">
        <f>'Renew &amp; Vac '!AL76</f>
        <v>0</v>
      </c>
      <c r="H11" s="6">
        <f>'Renew &amp; Vac '!AM76</f>
        <v>0</v>
      </c>
      <c r="I11" s="6">
        <f>'Renew &amp; Vac '!AN76</f>
        <v>5200</v>
      </c>
      <c r="J11" s="6">
        <f>'Renew &amp; Vac '!AO76</f>
        <v>5200</v>
      </c>
      <c r="K11" s="6">
        <f>'Renew &amp; Vac '!AP76</f>
        <v>5200</v>
      </c>
      <c r="L11" s="6">
        <f>'Renew &amp; Vac '!AQ76</f>
        <v>5200</v>
      </c>
      <c r="M11" s="6">
        <f>'Renew &amp; Vac '!AR76</f>
        <v>5200</v>
      </c>
      <c r="N11" s="6">
        <f>'Renew &amp; Vac '!AS76</f>
        <v>5200</v>
      </c>
      <c r="O11" s="6">
        <f>'Renew &amp; Vac '!AT76</f>
        <v>5200</v>
      </c>
      <c r="P11" s="6">
        <f>'Renew &amp; Vac '!AU76</f>
        <v>5200</v>
      </c>
      <c r="Q11" s="101">
        <f>SUM(E11:P11)</f>
        <v>41600</v>
      </c>
      <c r="R11" s="184">
        <f t="shared" ref="R11:R71" si="1">Q11/$B$4</f>
        <v>0.50236085449649193</v>
      </c>
      <c r="S11" s="304"/>
      <c r="T11" s="308"/>
      <c r="U11" s="233"/>
    </row>
    <row r="12" spans="1:22" x14ac:dyDescent="0.35">
      <c r="A12" s="66" t="s">
        <v>97</v>
      </c>
      <c r="C12" s="6" t="s">
        <v>15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01">
        <f>SUM(E12:P12)</f>
        <v>0</v>
      </c>
      <c r="R12" s="184">
        <f t="shared" si="1"/>
        <v>0</v>
      </c>
      <c r="S12" s="304">
        <v>0</v>
      </c>
      <c r="T12" s="308" t="str">
        <f>IFERROR(Q12/S12-1,"")</f>
        <v/>
      </c>
      <c r="U12" s="233"/>
    </row>
    <row r="13" spans="1:22" x14ac:dyDescent="0.35">
      <c r="A13" s="66" t="s">
        <v>133</v>
      </c>
      <c r="C13" s="6" t="s">
        <v>16</v>
      </c>
      <c r="E13" s="12">
        <f>1.03*10224.24</f>
        <v>10530.967199999999</v>
      </c>
      <c r="F13" s="12">
        <f t="shared" ref="F13:P13" si="2">1.03*10224.24</f>
        <v>10530.967199999999</v>
      </c>
      <c r="G13" s="12">
        <f t="shared" si="2"/>
        <v>10530.967199999999</v>
      </c>
      <c r="H13" s="12">
        <f t="shared" si="2"/>
        <v>10530.967199999999</v>
      </c>
      <c r="I13" s="12">
        <f t="shared" si="2"/>
        <v>10530.967199999999</v>
      </c>
      <c r="J13" s="12">
        <f t="shared" si="2"/>
        <v>10530.967199999999</v>
      </c>
      <c r="K13" s="12">
        <f t="shared" si="2"/>
        <v>10530.967199999999</v>
      </c>
      <c r="L13" s="12">
        <f t="shared" si="2"/>
        <v>10530.967199999999</v>
      </c>
      <c r="M13" s="12">
        <f t="shared" si="2"/>
        <v>10530.967199999999</v>
      </c>
      <c r="N13" s="12">
        <f t="shared" si="2"/>
        <v>10530.967199999999</v>
      </c>
      <c r="O13" s="12">
        <f t="shared" si="2"/>
        <v>10530.967199999999</v>
      </c>
      <c r="P13" s="12">
        <f t="shared" si="2"/>
        <v>10530.967199999999</v>
      </c>
      <c r="Q13" s="101">
        <f>SUM(E13:P13)</f>
        <v>126371.60639999999</v>
      </c>
      <c r="R13" s="184">
        <f t="shared" si="1"/>
        <v>1.5260612542114986</v>
      </c>
      <c r="S13" s="304">
        <v>125144</v>
      </c>
      <c r="T13" s="308">
        <f t="shared" ref="T13:T14" si="3">IFERROR(Q13/S13-1,"")</f>
        <v>9.8095505977113806E-3</v>
      </c>
      <c r="U13" s="233" t="s">
        <v>283</v>
      </c>
      <c r="V13" s="6" t="s">
        <v>348</v>
      </c>
    </row>
    <row r="14" spans="1:22" x14ac:dyDescent="0.35">
      <c r="A14" s="66" t="s">
        <v>134</v>
      </c>
      <c r="C14" s="6" t="s">
        <v>17</v>
      </c>
      <c r="E14" s="12">
        <f>1.03*89</f>
        <v>91.67</v>
      </c>
      <c r="F14" s="12">
        <f t="shared" ref="F14:P14" si="4">1.03*89</f>
        <v>91.67</v>
      </c>
      <c r="G14" s="12">
        <f t="shared" si="4"/>
        <v>91.67</v>
      </c>
      <c r="H14" s="12">
        <f t="shared" si="4"/>
        <v>91.67</v>
      </c>
      <c r="I14" s="12">
        <f t="shared" si="4"/>
        <v>91.67</v>
      </c>
      <c r="J14" s="12">
        <f t="shared" si="4"/>
        <v>91.67</v>
      </c>
      <c r="K14" s="12">
        <f t="shared" si="4"/>
        <v>91.67</v>
      </c>
      <c r="L14" s="12">
        <f t="shared" si="4"/>
        <v>91.67</v>
      </c>
      <c r="M14" s="12">
        <f t="shared" si="4"/>
        <v>91.67</v>
      </c>
      <c r="N14" s="12">
        <f t="shared" si="4"/>
        <v>91.67</v>
      </c>
      <c r="O14" s="12">
        <f t="shared" si="4"/>
        <v>91.67</v>
      </c>
      <c r="P14" s="12">
        <f t="shared" si="4"/>
        <v>91.67</v>
      </c>
      <c r="Q14" s="101">
        <f>SUM(E14:P14)</f>
        <v>1100.0399999999997</v>
      </c>
      <c r="R14" s="184">
        <f t="shared" si="1"/>
        <v>1.328406332645002E-2</v>
      </c>
      <c r="S14" s="304">
        <v>16693</v>
      </c>
      <c r="T14" s="320">
        <f t="shared" si="3"/>
        <v>-0.93410171928353203</v>
      </c>
      <c r="U14" s="233" t="s">
        <v>283</v>
      </c>
      <c r="V14" s="6" t="s">
        <v>348</v>
      </c>
    </row>
    <row r="15" spans="1:22" x14ac:dyDescent="0.35">
      <c r="A15" s="66"/>
      <c r="C15" s="6" t="s">
        <v>18</v>
      </c>
      <c r="D15" s="16"/>
      <c r="E15" s="28">
        <f>SUM(E10:E14)</f>
        <v>134222.64720000001</v>
      </c>
      <c r="F15" s="28">
        <f t="shared" ref="F15:Q15" si="5">SUM(F10:F14)</f>
        <v>134222.64720000001</v>
      </c>
      <c r="G15" s="28">
        <f t="shared" si="5"/>
        <v>134222.64720000001</v>
      </c>
      <c r="H15" s="28">
        <f t="shared" si="5"/>
        <v>134222.64720000001</v>
      </c>
      <c r="I15" s="28">
        <f t="shared" si="5"/>
        <v>139422.64720000001</v>
      </c>
      <c r="J15" s="28">
        <f t="shared" si="5"/>
        <v>139422.64720000001</v>
      </c>
      <c r="K15" s="28">
        <f t="shared" si="5"/>
        <v>139422.64720000001</v>
      </c>
      <c r="L15" s="28">
        <f t="shared" si="5"/>
        <v>139422.64720000001</v>
      </c>
      <c r="M15" s="28">
        <f t="shared" si="5"/>
        <v>139422.64720000001</v>
      </c>
      <c r="N15" s="28">
        <f t="shared" si="5"/>
        <v>139422.64720000001</v>
      </c>
      <c r="O15" s="28">
        <f t="shared" si="5"/>
        <v>149109.30720000001</v>
      </c>
      <c r="P15" s="28">
        <f t="shared" si="5"/>
        <v>149109.30720000001</v>
      </c>
      <c r="Q15" s="110">
        <f t="shared" si="5"/>
        <v>1671645.0863999997</v>
      </c>
      <c r="R15" s="191">
        <f t="shared" si="1"/>
        <v>20.186756106220333</v>
      </c>
      <c r="S15" s="309">
        <f>SUM(S10:S14)</f>
        <v>1581088</v>
      </c>
      <c r="T15" s="310">
        <f>Q15/S15-1</f>
        <v>5.7275171527454205E-2</v>
      </c>
      <c r="U15" s="233"/>
    </row>
    <row r="16" spans="1:22" ht="18" x14ac:dyDescent="0.35">
      <c r="A16" s="66"/>
      <c r="Q16" s="103"/>
      <c r="R16" s="185"/>
      <c r="S16" s="311"/>
      <c r="T16" s="312"/>
      <c r="U16" s="234"/>
    </row>
    <row r="17" spans="1:22" ht="18" x14ac:dyDescent="0.35">
      <c r="A17" s="66"/>
      <c r="B17" s="7" t="s">
        <v>19</v>
      </c>
      <c r="Q17" s="101"/>
      <c r="R17" s="184"/>
      <c r="S17" s="304"/>
      <c r="T17" s="308"/>
      <c r="U17" s="233"/>
    </row>
    <row r="18" spans="1:22" x14ac:dyDescent="0.35">
      <c r="A18" s="66" t="s">
        <v>98</v>
      </c>
      <c r="C18" s="6" t="s">
        <v>20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01">
        <f>SUM(E18:P18)</f>
        <v>0</v>
      </c>
      <c r="R18" s="184">
        <f t="shared" ref="R18" si="6">Q18/$B$4</f>
        <v>0</v>
      </c>
      <c r="S18" s="304">
        <v>0</v>
      </c>
      <c r="T18" s="308" t="str">
        <f t="shared" ref="T18:T20" si="7">IFERROR(Q18/S18-1,"")</f>
        <v/>
      </c>
      <c r="U18" s="233"/>
    </row>
    <row r="19" spans="1:22" x14ac:dyDescent="0.35">
      <c r="A19" s="66" t="s">
        <v>99</v>
      </c>
      <c r="C19" s="6" t="s">
        <v>21</v>
      </c>
      <c r="E19" s="6">
        <f>+'Tenant Recoveries'!H26</f>
        <v>30500</v>
      </c>
      <c r="F19" s="6">
        <f t="shared" ref="F19:H20" si="8">+E19</f>
        <v>30500</v>
      </c>
      <c r="G19" s="6">
        <f t="shared" si="8"/>
        <v>30500</v>
      </c>
      <c r="H19" s="6">
        <f t="shared" si="8"/>
        <v>30500</v>
      </c>
      <c r="I19" s="6">
        <f t="shared" ref="I19:P19" si="9">+H19</f>
        <v>30500</v>
      </c>
      <c r="J19" s="6">
        <f t="shared" si="9"/>
        <v>30500</v>
      </c>
      <c r="K19" s="6">
        <f t="shared" si="9"/>
        <v>30500</v>
      </c>
      <c r="L19" s="6">
        <f t="shared" si="9"/>
        <v>30500</v>
      </c>
      <c r="M19" s="6">
        <f t="shared" si="9"/>
        <v>30500</v>
      </c>
      <c r="N19" s="6">
        <f t="shared" si="9"/>
        <v>30500</v>
      </c>
      <c r="O19" s="6">
        <f t="shared" si="9"/>
        <v>30500</v>
      </c>
      <c r="P19" s="6">
        <f t="shared" si="9"/>
        <v>30500</v>
      </c>
      <c r="Q19" s="101">
        <f>SUM(E19:P19)</f>
        <v>366000</v>
      </c>
      <c r="R19" s="184">
        <f t="shared" si="1"/>
        <v>4.4198094410027897</v>
      </c>
      <c r="S19" s="304">
        <v>341379</v>
      </c>
      <c r="T19" s="308">
        <f t="shared" si="7"/>
        <v>7.2122186777745512E-2</v>
      </c>
      <c r="U19" s="233"/>
    </row>
    <row r="20" spans="1:22" x14ac:dyDescent="0.35">
      <c r="A20" s="66" t="s">
        <v>100</v>
      </c>
      <c r="C20" s="6" t="s">
        <v>22</v>
      </c>
      <c r="E20" s="6">
        <f>+'Tenant Recoveries'!H27</f>
        <v>15100</v>
      </c>
      <c r="F20" s="6">
        <f t="shared" si="8"/>
        <v>15100</v>
      </c>
      <c r="G20" s="6">
        <f t="shared" si="8"/>
        <v>15100</v>
      </c>
      <c r="H20" s="6">
        <f t="shared" si="8"/>
        <v>15100</v>
      </c>
      <c r="I20" s="6">
        <f t="shared" ref="I20:P20" si="10">+H20</f>
        <v>15100</v>
      </c>
      <c r="J20" s="6">
        <f t="shared" si="10"/>
        <v>15100</v>
      </c>
      <c r="K20" s="6">
        <f t="shared" si="10"/>
        <v>15100</v>
      </c>
      <c r="L20" s="6">
        <f t="shared" si="10"/>
        <v>15100</v>
      </c>
      <c r="M20" s="6">
        <f t="shared" si="10"/>
        <v>15100</v>
      </c>
      <c r="N20" s="6">
        <f t="shared" si="10"/>
        <v>15100</v>
      </c>
      <c r="O20" s="6">
        <f t="shared" si="10"/>
        <v>15100</v>
      </c>
      <c r="P20" s="6">
        <f t="shared" si="10"/>
        <v>15100</v>
      </c>
      <c r="Q20" s="101">
        <f>SUM(E20:P20)</f>
        <v>181200</v>
      </c>
      <c r="R20" s="184">
        <f t="shared" si="1"/>
        <v>2.1881679527587581</v>
      </c>
      <c r="S20" s="304">
        <v>127932</v>
      </c>
      <c r="T20" s="308">
        <f t="shared" si="7"/>
        <v>0.41637745052058905</v>
      </c>
      <c r="U20" s="233"/>
    </row>
    <row r="21" spans="1:22" x14ac:dyDescent="0.35">
      <c r="A21" s="66" t="s">
        <v>135</v>
      </c>
      <c r="C21" s="6" t="s">
        <v>23</v>
      </c>
      <c r="E21" s="6">
        <f>'Tenant Recoveries'!H24</f>
        <v>10365</v>
      </c>
      <c r="Q21" s="101">
        <f>SUM(E21:P21)</f>
        <v>10365</v>
      </c>
      <c r="R21" s="184">
        <f t="shared" si="1"/>
        <v>0.12516755425134948</v>
      </c>
      <c r="S21" s="304">
        <v>9004</v>
      </c>
      <c r="T21" s="308">
        <f>IFERROR(Q21/S21-1,"")</f>
        <v>0.1511550422034651</v>
      </c>
      <c r="U21" s="233"/>
    </row>
    <row r="22" spans="1:22" x14ac:dyDescent="0.35">
      <c r="A22" s="66"/>
      <c r="C22" s="6" t="s">
        <v>24</v>
      </c>
      <c r="D22" s="16"/>
      <c r="E22" s="28">
        <f t="shared" ref="E22:Q22" si="11">SUM(E18:E21)</f>
        <v>55965</v>
      </c>
      <c r="F22" s="28">
        <f t="shared" si="11"/>
        <v>45600</v>
      </c>
      <c r="G22" s="28">
        <f t="shared" si="11"/>
        <v>45600</v>
      </c>
      <c r="H22" s="28">
        <f t="shared" si="11"/>
        <v>45600</v>
      </c>
      <c r="I22" s="28">
        <f t="shared" si="11"/>
        <v>45600</v>
      </c>
      <c r="J22" s="28">
        <f t="shared" si="11"/>
        <v>45600</v>
      </c>
      <c r="K22" s="28">
        <f t="shared" si="11"/>
        <v>45600</v>
      </c>
      <c r="L22" s="28">
        <f t="shared" si="11"/>
        <v>45600</v>
      </c>
      <c r="M22" s="28">
        <f t="shared" si="11"/>
        <v>45600</v>
      </c>
      <c r="N22" s="28">
        <f t="shared" si="11"/>
        <v>45600</v>
      </c>
      <c r="O22" s="28">
        <f t="shared" si="11"/>
        <v>45600</v>
      </c>
      <c r="P22" s="28">
        <f t="shared" si="11"/>
        <v>45600</v>
      </c>
      <c r="Q22" s="110">
        <f t="shared" si="11"/>
        <v>557565</v>
      </c>
      <c r="R22" s="191">
        <f t="shared" si="1"/>
        <v>6.7331449480128969</v>
      </c>
      <c r="S22" s="309">
        <f t="shared" ref="S22" si="12">SUM(S18:S21)</f>
        <v>478315</v>
      </c>
      <c r="T22" s="310">
        <f>Q22/S22-1</f>
        <v>0.16568579283526552</v>
      </c>
      <c r="U22" s="233"/>
    </row>
    <row r="23" spans="1:22" ht="16.5" thickBot="1" x14ac:dyDescent="0.4">
      <c r="A23" s="66"/>
      <c r="Q23" s="101"/>
      <c r="R23" s="184">
        <f t="shared" si="1"/>
        <v>0</v>
      </c>
      <c r="S23" s="304"/>
      <c r="T23" s="308"/>
      <c r="U23" s="233"/>
    </row>
    <row r="24" spans="1:22" s="9" customFormat="1" ht="18" thickBot="1" x14ac:dyDescent="0.4">
      <c r="A24" s="218"/>
      <c r="B24" s="219" t="s">
        <v>25</v>
      </c>
      <c r="C24" s="220"/>
      <c r="D24" s="220"/>
      <c r="E24" s="220">
        <f t="shared" ref="E24:Q24" si="13">+E15+E22</f>
        <v>190187.64720000001</v>
      </c>
      <c r="F24" s="220">
        <f t="shared" si="13"/>
        <v>179822.64720000001</v>
      </c>
      <c r="G24" s="220">
        <f t="shared" si="13"/>
        <v>179822.64720000001</v>
      </c>
      <c r="H24" s="220">
        <f t="shared" si="13"/>
        <v>179822.64720000001</v>
      </c>
      <c r="I24" s="220">
        <f t="shared" si="13"/>
        <v>185022.64720000001</v>
      </c>
      <c r="J24" s="220">
        <f t="shared" si="13"/>
        <v>185022.64720000001</v>
      </c>
      <c r="K24" s="220">
        <f t="shared" si="13"/>
        <v>185022.64720000001</v>
      </c>
      <c r="L24" s="220">
        <f t="shared" si="13"/>
        <v>185022.64720000001</v>
      </c>
      <c r="M24" s="220">
        <f t="shared" si="13"/>
        <v>185022.64720000001</v>
      </c>
      <c r="N24" s="220">
        <f t="shared" si="13"/>
        <v>185022.64720000001</v>
      </c>
      <c r="O24" s="220">
        <f t="shared" si="13"/>
        <v>194709.30720000001</v>
      </c>
      <c r="P24" s="220">
        <f t="shared" si="13"/>
        <v>194709.30720000001</v>
      </c>
      <c r="Q24" s="221">
        <f t="shared" si="13"/>
        <v>2229210.0863999994</v>
      </c>
      <c r="R24" s="222">
        <f t="shared" si="1"/>
        <v>26.919901054233229</v>
      </c>
      <c r="S24" s="313">
        <f t="shared" ref="S24" si="14">+S15+S22</f>
        <v>2059403</v>
      </c>
      <c r="T24" s="314">
        <f>Q24/S24-1</f>
        <v>8.2454520266309839E-2</v>
      </c>
      <c r="U24" s="235"/>
    </row>
    <row r="25" spans="1:22" ht="18" x14ac:dyDescent="0.35">
      <c r="A25" s="66"/>
      <c r="Q25" s="103"/>
      <c r="R25" s="185"/>
      <c r="S25" s="311"/>
      <c r="T25" s="312"/>
      <c r="U25" s="234"/>
    </row>
    <row r="26" spans="1:22" ht="18" x14ac:dyDescent="0.35">
      <c r="A26" s="66"/>
      <c r="B26" s="7" t="s">
        <v>26</v>
      </c>
      <c r="Q26" s="101"/>
      <c r="R26" s="184"/>
      <c r="S26" s="304"/>
      <c r="T26" s="308"/>
      <c r="U26" s="233"/>
    </row>
    <row r="27" spans="1:22" x14ac:dyDescent="0.35">
      <c r="A27" s="66" t="s">
        <v>101</v>
      </c>
      <c r="C27" s="6" t="s">
        <v>27</v>
      </c>
      <c r="E27" s="6">
        <f>VLOOKUP($B$1,'Allocated Expenses'!$B$6:$P$15,4,FALSE)</f>
        <v>2549.948114304198</v>
      </c>
      <c r="F27" s="6">
        <f>VLOOKUP($B$1,'Allocated Expenses'!$B$6:$P$15,5,FALSE)</f>
        <v>2549.948114304198</v>
      </c>
      <c r="G27" s="6">
        <f>VLOOKUP($B$1,'Allocated Expenses'!$B$6:$P$15,6,FALSE)</f>
        <v>2549.948114304198</v>
      </c>
      <c r="H27" s="6">
        <f>VLOOKUP($B$1,'Allocated Expenses'!$B$6:$P$15,7,FALSE)</f>
        <v>2549.948114304198</v>
      </c>
      <c r="I27" s="6">
        <f>VLOOKUP($B$1,'Allocated Expenses'!$B$6:$P$15,8,FALSE)</f>
        <v>2549.948114304198</v>
      </c>
      <c r="J27" s="6">
        <f>VLOOKUP($B$1,'Allocated Expenses'!$B$6:$P$15,9,FALSE)</f>
        <v>2549.948114304198</v>
      </c>
      <c r="K27" s="6">
        <f>VLOOKUP($B$1,'Allocated Expenses'!$B$6:$P$15,10,FALSE)</f>
        <v>2549.948114304198</v>
      </c>
      <c r="L27" s="6">
        <f>VLOOKUP($B$1,'Allocated Expenses'!$B$6:$P$15,11,FALSE)</f>
        <v>2549.948114304198</v>
      </c>
      <c r="M27" s="6">
        <f>VLOOKUP($B$1,'Allocated Expenses'!$B$6:$P$15,12,FALSE)</f>
        <v>2549.948114304198</v>
      </c>
      <c r="N27" s="6">
        <f>VLOOKUP($B$1,'Allocated Expenses'!$B$6:$P$15,13,FALSE)</f>
        <v>2549.948114304198</v>
      </c>
      <c r="O27" s="6">
        <f>VLOOKUP($B$1,'Allocated Expenses'!$B$6:$P$15,14,FALSE)</f>
        <v>2549.948114304198</v>
      </c>
      <c r="P27" s="6">
        <f>VLOOKUP($B$1,'Allocated Expenses'!$B$6:$P$15,15,FALSE)</f>
        <v>2549.948114304198</v>
      </c>
      <c r="Q27" s="101">
        <f>SUM(E27:P27)</f>
        <v>30599.377371650382</v>
      </c>
      <c r="R27" s="184">
        <f t="shared" si="1"/>
        <v>0.36951753277603139</v>
      </c>
      <c r="S27" s="304">
        <v>31440</v>
      </c>
      <c r="T27" s="308">
        <f t="shared" ref="T27" si="15">IFERROR(Q27/S27-1,"")</f>
        <v>-2.6737360952596045E-2</v>
      </c>
      <c r="U27" s="233"/>
    </row>
    <row r="28" spans="1:22" x14ac:dyDescent="0.35">
      <c r="A28" s="66"/>
      <c r="Q28" s="101"/>
      <c r="R28" s="184"/>
      <c r="S28" s="304"/>
      <c r="T28" s="308"/>
      <c r="U28" s="233"/>
    </row>
    <row r="29" spans="1:22" x14ac:dyDescent="0.35">
      <c r="A29" s="66" t="s">
        <v>102</v>
      </c>
      <c r="C29" s="6" t="s">
        <v>20</v>
      </c>
      <c r="E29" s="12">
        <f>1.03*811</f>
        <v>835.33</v>
      </c>
      <c r="F29" s="12">
        <f>1.03*921</f>
        <v>948.63</v>
      </c>
      <c r="G29" s="12">
        <f>1.03*676</f>
        <v>696.28</v>
      </c>
      <c r="H29" s="12">
        <f>1.03*649</f>
        <v>668.47</v>
      </c>
      <c r="I29" s="12">
        <f>1.03*514</f>
        <v>529.41999999999996</v>
      </c>
      <c r="J29" s="12">
        <f>1.03*482</f>
        <v>496.46000000000004</v>
      </c>
      <c r="K29" s="12">
        <f>1.03*509</f>
        <v>524.27</v>
      </c>
      <c r="L29" s="12">
        <f>1.03*549</f>
        <v>565.47</v>
      </c>
      <c r="M29" s="12">
        <f>1.03*620</f>
        <v>638.6</v>
      </c>
      <c r="N29" s="12">
        <f>1.03*690</f>
        <v>710.7</v>
      </c>
      <c r="O29" s="12">
        <f>1.03*747</f>
        <v>769.41</v>
      </c>
      <c r="P29" s="12">
        <f>1.03*946</f>
        <v>974.38</v>
      </c>
      <c r="Q29" s="101">
        <f>SUM(E29:P29)</f>
        <v>8357.42</v>
      </c>
      <c r="R29" s="184">
        <f t="shared" si="1"/>
        <v>0.10092405414870365</v>
      </c>
      <c r="S29" s="304">
        <v>8238</v>
      </c>
      <c r="T29" s="308">
        <f t="shared" ref="T29" si="16">IFERROR(Q29/S29-1,"")</f>
        <v>1.4496236950716224E-2</v>
      </c>
      <c r="U29" s="233" t="s">
        <v>283</v>
      </c>
      <c r="V29" s="6" t="s">
        <v>348</v>
      </c>
    </row>
    <row r="30" spans="1:22" x14ac:dyDescent="0.35">
      <c r="A30" s="66"/>
      <c r="Q30" s="101"/>
      <c r="R30" s="184"/>
      <c r="S30" s="304"/>
      <c r="T30" s="308"/>
      <c r="U30" s="233"/>
    </row>
    <row r="31" spans="1:22" x14ac:dyDescent="0.35">
      <c r="A31" s="66" t="s">
        <v>103</v>
      </c>
      <c r="C31" s="6" t="s">
        <v>28</v>
      </c>
      <c r="E31" s="12">
        <f>1.03*180</f>
        <v>185.4</v>
      </c>
      <c r="F31" s="12">
        <f t="shared" ref="F31:P31" si="17">1.03*180</f>
        <v>185.4</v>
      </c>
      <c r="G31" s="12">
        <f t="shared" si="17"/>
        <v>185.4</v>
      </c>
      <c r="H31" s="12">
        <f t="shared" si="17"/>
        <v>185.4</v>
      </c>
      <c r="I31" s="12">
        <f t="shared" si="17"/>
        <v>185.4</v>
      </c>
      <c r="J31" s="12">
        <f t="shared" si="17"/>
        <v>185.4</v>
      </c>
      <c r="K31" s="12">
        <f t="shared" si="17"/>
        <v>185.4</v>
      </c>
      <c r="L31" s="12">
        <f t="shared" si="17"/>
        <v>185.4</v>
      </c>
      <c r="M31" s="12">
        <f t="shared" si="17"/>
        <v>185.4</v>
      </c>
      <c r="N31" s="12">
        <f t="shared" si="17"/>
        <v>185.4</v>
      </c>
      <c r="O31" s="12">
        <f t="shared" si="17"/>
        <v>185.4</v>
      </c>
      <c r="P31" s="12">
        <f t="shared" si="17"/>
        <v>185.4</v>
      </c>
      <c r="Q31" s="101">
        <f>SUM(E31:P31)</f>
        <v>2224.8000000000006</v>
      </c>
      <c r="R31" s="184">
        <f t="shared" si="1"/>
        <v>2.6866644929898931E-2</v>
      </c>
      <c r="S31" s="304">
        <v>1346</v>
      </c>
      <c r="T31" s="308">
        <f t="shared" ref="T31" si="18">IFERROR(Q31/S31-1,"")</f>
        <v>0.6528974739970288</v>
      </c>
      <c r="U31" s="233" t="s">
        <v>283</v>
      </c>
      <c r="V31" s="6" t="s">
        <v>348</v>
      </c>
    </row>
    <row r="32" spans="1:22" x14ac:dyDescent="0.35">
      <c r="A32" s="66"/>
      <c r="Q32" s="101"/>
      <c r="R32" s="184"/>
      <c r="S32" s="304"/>
      <c r="T32" s="308"/>
      <c r="U32" s="233"/>
    </row>
    <row r="33" spans="1:22" x14ac:dyDescent="0.35">
      <c r="A33" s="66"/>
      <c r="D33" s="50" t="s">
        <v>29</v>
      </c>
      <c r="E33" s="45">
        <f>'Building Maint'!C23</f>
        <v>900</v>
      </c>
      <c r="F33" s="45">
        <f>'Building Maint'!D23</f>
        <v>850</v>
      </c>
      <c r="G33" s="45">
        <f>'Building Maint'!E23</f>
        <v>0</v>
      </c>
      <c r="H33" s="45">
        <f>'Building Maint'!F23</f>
        <v>1700</v>
      </c>
      <c r="I33" s="45">
        <f>'Building Maint'!G23</f>
        <v>1050</v>
      </c>
      <c r="J33" s="45">
        <f>'Building Maint'!H23</f>
        <v>0</v>
      </c>
      <c r="K33" s="45">
        <f>'Building Maint'!I23</f>
        <v>900</v>
      </c>
      <c r="L33" s="45">
        <f>'Building Maint'!J23</f>
        <v>400</v>
      </c>
      <c r="M33" s="45">
        <f>'Building Maint'!K23</f>
        <v>0</v>
      </c>
      <c r="N33" s="45">
        <f>'Building Maint'!L23</f>
        <v>900</v>
      </c>
      <c r="O33" s="45">
        <f>'Building Maint'!M23</f>
        <v>1050</v>
      </c>
      <c r="P33" s="45">
        <f>'Building Maint'!N23</f>
        <v>0</v>
      </c>
      <c r="Q33" s="195">
        <f>SUM(E33:P33)</f>
        <v>7750</v>
      </c>
      <c r="R33" s="186">
        <f t="shared" si="1"/>
        <v>9.3588861114130104E-2</v>
      </c>
      <c r="S33" s="304"/>
      <c r="T33" s="308"/>
      <c r="U33" s="233" t="s">
        <v>283</v>
      </c>
      <c r="V33" s="6" t="s">
        <v>348</v>
      </c>
    </row>
    <row r="34" spans="1:22" x14ac:dyDescent="0.35">
      <c r="A34" s="66"/>
      <c r="D34" s="51" t="s">
        <v>30</v>
      </c>
      <c r="E34" s="6">
        <f>'Building Maint'!C9</f>
        <v>900</v>
      </c>
      <c r="F34" s="6">
        <f>'Building Maint'!D9</f>
        <v>900</v>
      </c>
      <c r="G34" s="6">
        <f>'Building Maint'!E9</f>
        <v>900</v>
      </c>
      <c r="H34" s="6">
        <f>'Building Maint'!F9</f>
        <v>900</v>
      </c>
      <c r="I34" s="6">
        <f>'Building Maint'!G9</f>
        <v>900</v>
      </c>
      <c r="J34" s="6">
        <f>'Building Maint'!H9</f>
        <v>900</v>
      </c>
      <c r="K34" s="6">
        <f>'Building Maint'!I9</f>
        <v>900</v>
      </c>
      <c r="L34" s="6">
        <f>'Building Maint'!J9</f>
        <v>900</v>
      </c>
      <c r="M34" s="6">
        <f>'Building Maint'!K9</f>
        <v>900</v>
      </c>
      <c r="N34" s="6">
        <f>'Building Maint'!L9</f>
        <v>1250</v>
      </c>
      <c r="O34" s="6">
        <f>'Building Maint'!M9</f>
        <v>900</v>
      </c>
      <c r="P34" s="6">
        <f>'Building Maint'!N9</f>
        <v>900</v>
      </c>
      <c r="Q34" s="196">
        <f>SUM(E34:P34)</f>
        <v>11150</v>
      </c>
      <c r="R34" s="187">
        <f t="shared" si="1"/>
        <v>0.13464720018355492</v>
      </c>
      <c r="S34" s="304"/>
      <c r="T34" s="308"/>
      <c r="U34" s="233" t="s">
        <v>283</v>
      </c>
      <c r="V34" s="6" t="s">
        <v>348</v>
      </c>
    </row>
    <row r="35" spans="1:22" x14ac:dyDescent="0.35">
      <c r="A35" s="66"/>
      <c r="D35" s="52" t="s">
        <v>31</v>
      </c>
      <c r="E35" s="14"/>
      <c r="F35" s="14"/>
      <c r="G35" s="14">
        <v>2500</v>
      </c>
      <c r="H35" s="14"/>
      <c r="I35" s="14"/>
      <c r="J35" s="14"/>
      <c r="K35" s="14"/>
      <c r="L35" s="14"/>
      <c r="M35" s="14"/>
      <c r="N35" s="14"/>
      <c r="O35" s="14">
        <v>2500</v>
      </c>
      <c r="P35" s="14"/>
      <c r="Q35" s="197">
        <f>SUM(E35:P35)</f>
        <v>5000</v>
      </c>
      <c r="R35" s="188">
        <f t="shared" si="1"/>
        <v>6.0379910396212974E-2</v>
      </c>
      <c r="S35" s="304"/>
      <c r="T35" s="308"/>
      <c r="U35" s="233" t="s">
        <v>283</v>
      </c>
      <c r="V35" s="6" t="s">
        <v>501</v>
      </c>
    </row>
    <row r="36" spans="1:22" x14ac:dyDescent="0.35">
      <c r="A36" s="66" t="s">
        <v>104</v>
      </c>
      <c r="C36" s="6" t="s">
        <v>32</v>
      </c>
      <c r="E36" s="15">
        <f t="shared" ref="E36:Q36" si="19">SUM(E33:E35)</f>
        <v>1800</v>
      </c>
      <c r="F36" s="15">
        <f t="shared" si="19"/>
        <v>1750</v>
      </c>
      <c r="G36" s="15">
        <f t="shared" si="19"/>
        <v>3400</v>
      </c>
      <c r="H36" s="15">
        <f t="shared" si="19"/>
        <v>2600</v>
      </c>
      <c r="I36" s="15">
        <f t="shared" si="19"/>
        <v>1950</v>
      </c>
      <c r="J36" s="15">
        <f t="shared" si="19"/>
        <v>900</v>
      </c>
      <c r="K36" s="15">
        <f t="shared" si="19"/>
        <v>1800</v>
      </c>
      <c r="L36" s="15">
        <f t="shared" si="19"/>
        <v>1300</v>
      </c>
      <c r="M36" s="15">
        <f t="shared" si="19"/>
        <v>900</v>
      </c>
      <c r="N36" s="15">
        <f t="shared" si="19"/>
        <v>2150</v>
      </c>
      <c r="O36" s="15">
        <f t="shared" si="19"/>
        <v>4450</v>
      </c>
      <c r="P36" s="15">
        <f t="shared" si="19"/>
        <v>900</v>
      </c>
      <c r="Q36" s="108">
        <f t="shared" si="19"/>
        <v>23900</v>
      </c>
      <c r="R36" s="189">
        <f t="shared" si="1"/>
        <v>0.28861597169389802</v>
      </c>
      <c r="S36" s="309">
        <v>27834</v>
      </c>
      <c r="T36" s="310">
        <f>IFERROR(Q36/S36-1,"")</f>
        <v>-0.1413379320255802</v>
      </c>
      <c r="U36" s="233"/>
    </row>
    <row r="37" spans="1:22" x14ac:dyDescent="0.35">
      <c r="A37" s="66"/>
      <c r="Q37" s="101"/>
      <c r="R37" s="184"/>
      <c r="S37" s="304"/>
      <c r="T37" s="308"/>
      <c r="U37" s="233"/>
    </row>
    <row r="38" spans="1:22" x14ac:dyDescent="0.35">
      <c r="A38" s="66" t="s">
        <v>136</v>
      </c>
      <c r="B38" s="6" t="s">
        <v>33</v>
      </c>
      <c r="C38" s="6" t="s">
        <v>34</v>
      </c>
      <c r="E38" s="12">
        <f>1.03*3630</f>
        <v>3738.9</v>
      </c>
      <c r="F38" s="12">
        <f>1.03*4200</f>
        <v>4326</v>
      </c>
      <c r="G38" s="12">
        <f>1.03*3630</f>
        <v>3738.9</v>
      </c>
      <c r="H38" s="12">
        <f>1.03*3630</f>
        <v>3738.9</v>
      </c>
      <c r="I38" s="12">
        <f>1.03*4200</f>
        <v>4326</v>
      </c>
      <c r="J38" s="12">
        <f>1.03*3630</f>
        <v>3738.9</v>
      </c>
      <c r="K38" s="12">
        <f>1.03*3630</f>
        <v>3738.9</v>
      </c>
      <c r="L38" s="12">
        <f>1.03*4200</f>
        <v>4326</v>
      </c>
      <c r="M38" s="12">
        <f>1.03*3630</f>
        <v>3738.9</v>
      </c>
      <c r="N38" s="12">
        <f>1.03*3630</f>
        <v>3738.9</v>
      </c>
      <c r="O38" s="12">
        <f>1.03*4200</f>
        <v>4326</v>
      </c>
      <c r="P38" s="12">
        <f>1.03*3630</f>
        <v>3738.9</v>
      </c>
      <c r="Q38" s="101">
        <f>SUM(E38:P38)</f>
        <v>47215.200000000004</v>
      </c>
      <c r="R38" s="184">
        <f t="shared" si="1"/>
        <v>0.57016990906785503</v>
      </c>
      <c r="S38" s="304">
        <v>49730</v>
      </c>
      <c r="T38" s="308">
        <f t="shared" ref="T38" si="20">IFERROR(Q38/S38-1,"")</f>
        <v>-5.0569072994168462E-2</v>
      </c>
      <c r="U38" s="233" t="s">
        <v>283</v>
      </c>
      <c r="V38" s="6" t="s">
        <v>348</v>
      </c>
    </row>
    <row r="39" spans="1:22" x14ac:dyDescent="0.35">
      <c r="A39" s="66"/>
      <c r="Q39" s="101"/>
      <c r="R39" s="184"/>
      <c r="S39" s="304"/>
      <c r="T39" s="308"/>
      <c r="U39" s="233"/>
    </row>
    <row r="40" spans="1:22" x14ac:dyDescent="0.35">
      <c r="A40" s="66"/>
      <c r="D40" s="50" t="s">
        <v>35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195">
        <f>SUM(E40:P40)</f>
        <v>0</v>
      </c>
      <c r="R40" s="186">
        <f t="shared" si="1"/>
        <v>0</v>
      </c>
      <c r="S40" s="304"/>
      <c r="T40" s="308"/>
      <c r="U40" s="233" t="s">
        <v>283</v>
      </c>
      <c r="V40" s="6" t="s">
        <v>348</v>
      </c>
    </row>
    <row r="41" spans="1:22" x14ac:dyDescent="0.35">
      <c r="A41" s="66"/>
      <c r="D41" s="51" t="s">
        <v>36</v>
      </c>
      <c r="E41" s="12">
        <f>1.03*915</f>
        <v>942.45</v>
      </c>
      <c r="F41" s="12">
        <f>1.03*565</f>
        <v>581.95000000000005</v>
      </c>
      <c r="G41" s="12">
        <f>1.03*2385</f>
        <v>2456.5500000000002</v>
      </c>
      <c r="H41" s="12">
        <f>1.03*2065</f>
        <v>2126.9500000000003</v>
      </c>
      <c r="I41" s="12">
        <f>1.03*565</f>
        <v>581.95000000000005</v>
      </c>
      <c r="J41" s="12">
        <f>1.03*2385</f>
        <v>2456.5500000000002</v>
      </c>
      <c r="K41" s="12">
        <f>1.03*506</f>
        <v>521.18000000000006</v>
      </c>
      <c r="L41" s="12">
        <f>1.03*565</f>
        <v>581.95000000000005</v>
      </c>
      <c r="M41" s="12">
        <f>1.03*2385</f>
        <v>2456.5500000000002</v>
      </c>
      <c r="N41" s="12">
        <f>1.03*2065</f>
        <v>2126.9500000000003</v>
      </c>
      <c r="O41" s="12">
        <f>1.03*565</f>
        <v>581.95000000000005</v>
      </c>
      <c r="P41" s="12">
        <f>1.03*2485</f>
        <v>2559.5500000000002</v>
      </c>
      <c r="Q41" s="196">
        <f>SUM(E41:P41)</f>
        <v>17974.530000000002</v>
      </c>
      <c r="R41" s="187">
        <f t="shared" si="1"/>
        <v>0.21706010216280841</v>
      </c>
      <c r="S41" s="304"/>
      <c r="T41" s="308"/>
      <c r="U41" s="233" t="s">
        <v>283</v>
      </c>
      <c r="V41" s="6" t="s">
        <v>502</v>
      </c>
    </row>
    <row r="42" spans="1:22" x14ac:dyDescent="0.35">
      <c r="A42" s="66"/>
      <c r="D42" s="52" t="s">
        <v>37</v>
      </c>
      <c r="E42" s="14"/>
      <c r="F42" s="14"/>
      <c r="G42" s="14"/>
      <c r="H42" s="14">
        <v>10000</v>
      </c>
      <c r="I42" s="14"/>
      <c r="J42" s="14"/>
      <c r="K42" s="14"/>
      <c r="L42" s="14"/>
      <c r="M42" s="14">
        <v>10000</v>
      </c>
      <c r="N42" s="14"/>
      <c r="O42" s="14"/>
      <c r="P42" s="14"/>
      <c r="Q42" s="197">
        <f>SUM(E42:P42)</f>
        <v>20000</v>
      </c>
      <c r="R42" s="188">
        <f t="shared" si="1"/>
        <v>0.2415196415848519</v>
      </c>
      <c r="S42" s="304"/>
      <c r="T42" s="308"/>
      <c r="U42" s="233" t="s">
        <v>465</v>
      </c>
      <c r="V42" s="6" t="s">
        <v>470</v>
      </c>
    </row>
    <row r="43" spans="1:22" x14ac:dyDescent="0.35">
      <c r="A43" s="66" t="s">
        <v>105</v>
      </c>
      <c r="C43" s="6" t="s">
        <v>38</v>
      </c>
      <c r="E43" s="15">
        <f t="shared" ref="E43:Q43" si="21">SUM(E40:E42)</f>
        <v>942.45</v>
      </c>
      <c r="F43" s="15">
        <f t="shared" si="21"/>
        <v>581.95000000000005</v>
      </c>
      <c r="G43" s="15">
        <f t="shared" si="21"/>
        <v>2456.5500000000002</v>
      </c>
      <c r="H43" s="15">
        <f t="shared" si="21"/>
        <v>12126.95</v>
      </c>
      <c r="I43" s="15">
        <f t="shared" si="21"/>
        <v>581.95000000000005</v>
      </c>
      <c r="J43" s="15">
        <f t="shared" si="21"/>
        <v>2456.5500000000002</v>
      </c>
      <c r="K43" s="15">
        <f t="shared" si="21"/>
        <v>521.18000000000006</v>
      </c>
      <c r="L43" s="15">
        <f t="shared" si="21"/>
        <v>581.95000000000005</v>
      </c>
      <c r="M43" s="15">
        <f t="shared" si="21"/>
        <v>12456.55</v>
      </c>
      <c r="N43" s="15">
        <f t="shared" si="21"/>
        <v>2126.9500000000003</v>
      </c>
      <c r="O43" s="15">
        <f t="shared" si="21"/>
        <v>581.95000000000005</v>
      </c>
      <c r="P43" s="15">
        <f t="shared" si="21"/>
        <v>2559.5500000000002</v>
      </c>
      <c r="Q43" s="108">
        <f t="shared" si="21"/>
        <v>37974.53</v>
      </c>
      <c r="R43" s="189">
        <f t="shared" si="1"/>
        <v>0.45857974374766025</v>
      </c>
      <c r="S43" s="309">
        <v>45254</v>
      </c>
      <c r="T43" s="310">
        <f t="shared" ref="T43" si="22">IFERROR(Q43/S43-1,"")</f>
        <v>-0.16085804569761797</v>
      </c>
      <c r="U43" s="233"/>
    </row>
    <row r="44" spans="1:22" x14ac:dyDescent="0.35">
      <c r="A44" s="66"/>
      <c r="Q44" s="101"/>
      <c r="R44" s="184"/>
      <c r="S44" s="304"/>
      <c r="T44" s="308"/>
      <c r="U44" s="233"/>
    </row>
    <row r="45" spans="1:22" x14ac:dyDescent="0.35">
      <c r="A45" s="66" t="s">
        <v>106</v>
      </c>
      <c r="C45" s="6" t="s">
        <v>39</v>
      </c>
      <c r="E45" s="12">
        <f>1.03*10000</f>
        <v>10300</v>
      </c>
      <c r="F45" s="12">
        <f>1.03*10000</f>
        <v>10300</v>
      </c>
      <c r="G45" s="12">
        <f>1.03*5000</f>
        <v>5150</v>
      </c>
      <c r="H45" s="12"/>
      <c r="I45" s="12"/>
      <c r="J45" s="12"/>
      <c r="K45" s="12"/>
      <c r="L45" s="12"/>
      <c r="M45" s="12"/>
      <c r="N45" s="12"/>
      <c r="O45" s="12">
        <f>1.03*1500</f>
        <v>1545</v>
      </c>
      <c r="P45" s="12">
        <f>1.03*5000</f>
        <v>5150</v>
      </c>
      <c r="Q45" s="101">
        <f>SUM(E45:P45)</f>
        <v>32445</v>
      </c>
      <c r="R45" s="184">
        <f t="shared" si="1"/>
        <v>0.39180523856102595</v>
      </c>
      <c r="S45" s="304">
        <v>44165</v>
      </c>
      <c r="T45" s="308">
        <f t="shared" ref="T45" si="23">IFERROR(Q45/S45-1,"")</f>
        <v>-0.26536850447186688</v>
      </c>
      <c r="U45" s="233" t="s">
        <v>283</v>
      </c>
      <c r="V45" s="6" t="s">
        <v>348</v>
      </c>
    </row>
    <row r="46" spans="1:22" x14ac:dyDescent="0.35">
      <c r="A46" s="66"/>
      <c r="Q46" s="101"/>
      <c r="R46" s="184"/>
      <c r="S46" s="304"/>
      <c r="T46" s="308"/>
      <c r="U46" s="233"/>
    </row>
    <row r="47" spans="1:22" x14ac:dyDescent="0.35">
      <c r="A47" s="66"/>
      <c r="D47" s="50" t="s">
        <v>40</v>
      </c>
      <c r="E47" s="70"/>
      <c r="F47" s="70"/>
      <c r="G47" s="70">
        <f>1.03*1940</f>
        <v>1998.2</v>
      </c>
      <c r="H47" s="70">
        <f t="shared" ref="H47:N47" si="24">1.03*1940</f>
        <v>1998.2</v>
      </c>
      <c r="I47" s="70">
        <f t="shared" si="24"/>
        <v>1998.2</v>
      </c>
      <c r="J47" s="70">
        <f t="shared" si="24"/>
        <v>1998.2</v>
      </c>
      <c r="K47" s="70">
        <f t="shared" si="24"/>
        <v>1998.2</v>
      </c>
      <c r="L47" s="70">
        <f t="shared" si="24"/>
        <v>1998.2</v>
      </c>
      <c r="M47" s="70">
        <f t="shared" si="24"/>
        <v>1998.2</v>
      </c>
      <c r="N47" s="70">
        <f t="shared" si="24"/>
        <v>1998.2</v>
      </c>
      <c r="O47" s="70"/>
      <c r="P47" s="70"/>
      <c r="Q47" s="195">
        <f>SUM(E47:P47)</f>
        <v>15985.600000000002</v>
      </c>
      <c r="R47" s="186">
        <f t="shared" si="1"/>
        <v>0.19304181912594046</v>
      </c>
      <c r="S47" s="304"/>
      <c r="T47" s="308"/>
      <c r="U47" s="233" t="s">
        <v>283</v>
      </c>
      <c r="V47" s="6" t="s">
        <v>348</v>
      </c>
    </row>
    <row r="48" spans="1:22" x14ac:dyDescent="0.35">
      <c r="A48" s="66"/>
      <c r="D48" s="51" t="s">
        <v>41</v>
      </c>
      <c r="E48" s="12"/>
      <c r="F48" s="12"/>
      <c r="G48" s="12">
        <f>1.03*200</f>
        <v>206</v>
      </c>
      <c r="H48" s="12">
        <f t="shared" ref="H48:N48" si="25">1.03*200</f>
        <v>206</v>
      </c>
      <c r="I48" s="12">
        <f t="shared" si="25"/>
        <v>206</v>
      </c>
      <c r="J48" s="12">
        <f t="shared" si="25"/>
        <v>206</v>
      </c>
      <c r="K48" s="12">
        <f t="shared" si="25"/>
        <v>206</v>
      </c>
      <c r="L48" s="12">
        <f t="shared" si="25"/>
        <v>206</v>
      </c>
      <c r="M48" s="12">
        <f t="shared" si="25"/>
        <v>206</v>
      </c>
      <c r="N48" s="12">
        <f t="shared" si="25"/>
        <v>206</v>
      </c>
      <c r="O48" s="12"/>
      <c r="P48" s="12"/>
      <c r="Q48" s="196">
        <f>SUM(E48:P48)</f>
        <v>1648</v>
      </c>
      <c r="R48" s="187">
        <f t="shared" si="1"/>
        <v>1.9901218466591795E-2</v>
      </c>
      <c r="S48" s="304"/>
      <c r="T48" s="308"/>
      <c r="U48" s="233" t="s">
        <v>283</v>
      </c>
      <c r="V48" s="6" t="s">
        <v>348</v>
      </c>
    </row>
    <row r="49" spans="1:22" x14ac:dyDescent="0.35">
      <c r="A49" s="66"/>
      <c r="D49" s="52" t="s">
        <v>42</v>
      </c>
      <c r="E49" s="14"/>
      <c r="F49" s="14"/>
      <c r="G49" s="14"/>
      <c r="H49" s="14"/>
      <c r="I49" s="14">
        <f>1.03*1500</f>
        <v>1545</v>
      </c>
      <c r="J49" s="14"/>
      <c r="K49" s="14"/>
      <c r="L49" s="14"/>
      <c r="M49" s="14">
        <f>1.03*1500</f>
        <v>1545</v>
      </c>
      <c r="N49" s="14"/>
      <c r="O49" s="14"/>
      <c r="P49" s="14"/>
      <c r="Q49" s="197">
        <f>SUM(E49:P49)</f>
        <v>3090</v>
      </c>
      <c r="R49" s="188">
        <f t="shared" si="1"/>
        <v>3.7314784624859619E-2</v>
      </c>
      <c r="S49" s="304"/>
      <c r="T49" s="308"/>
      <c r="U49" s="233" t="s">
        <v>283</v>
      </c>
      <c r="V49" s="6" t="s">
        <v>348</v>
      </c>
    </row>
    <row r="50" spans="1:22" x14ac:dyDescent="0.35">
      <c r="A50" s="66" t="s">
        <v>107</v>
      </c>
      <c r="C50" s="6" t="s">
        <v>43</v>
      </c>
      <c r="E50" s="15">
        <f t="shared" ref="E50:Q50" si="26">SUM(E47:E49)</f>
        <v>0</v>
      </c>
      <c r="F50" s="15">
        <f t="shared" si="26"/>
        <v>0</v>
      </c>
      <c r="G50" s="15">
        <f t="shared" si="26"/>
        <v>2204.1999999999998</v>
      </c>
      <c r="H50" s="15">
        <f t="shared" si="26"/>
        <v>2204.1999999999998</v>
      </c>
      <c r="I50" s="15">
        <f t="shared" si="26"/>
        <v>3749.2</v>
      </c>
      <c r="J50" s="15">
        <f t="shared" si="26"/>
        <v>2204.1999999999998</v>
      </c>
      <c r="K50" s="15">
        <f t="shared" si="26"/>
        <v>2204.1999999999998</v>
      </c>
      <c r="L50" s="15">
        <f t="shared" si="26"/>
        <v>2204.1999999999998</v>
      </c>
      <c r="M50" s="15">
        <f t="shared" si="26"/>
        <v>3749.2</v>
      </c>
      <c r="N50" s="15">
        <f t="shared" si="26"/>
        <v>2204.1999999999998</v>
      </c>
      <c r="O50" s="15">
        <f t="shared" si="26"/>
        <v>0</v>
      </c>
      <c r="P50" s="15">
        <f t="shared" si="26"/>
        <v>0</v>
      </c>
      <c r="Q50" s="108">
        <f t="shared" si="26"/>
        <v>20723.600000000002</v>
      </c>
      <c r="R50" s="189">
        <f t="shared" si="1"/>
        <v>0.25025782221739185</v>
      </c>
      <c r="S50" s="309">
        <v>17897</v>
      </c>
      <c r="T50" s="310">
        <f t="shared" ref="T50" si="27">IFERROR(Q50/S50-1,"")</f>
        <v>0.15793708442755783</v>
      </c>
      <c r="U50" s="233"/>
    </row>
    <row r="51" spans="1:22" x14ac:dyDescent="0.35">
      <c r="A51" s="66"/>
      <c r="Q51" s="101"/>
      <c r="R51" s="184"/>
      <c r="S51" s="304"/>
      <c r="T51" s="308"/>
      <c r="U51" s="233"/>
    </row>
    <row r="52" spans="1:22" x14ac:dyDescent="0.35">
      <c r="A52" s="66" t="s">
        <v>108</v>
      </c>
      <c r="C52" s="6" t="s">
        <v>44</v>
      </c>
      <c r="E52" s="12">
        <f>1.03*10000</f>
        <v>10300</v>
      </c>
      <c r="F52" s="12">
        <f t="shared" ref="F52:H52" si="28">1.03*10000</f>
        <v>10300</v>
      </c>
      <c r="G52" s="12">
        <f t="shared" si="28"/>
        <v>10300</v>
      </c>
      <c r="H52" s="12">
        <f t="shared" si="28"/>
        <v>10300</v>
      </c>
      <c r="I52" s="12">
        <f>1.03*12500</f>
        <v>12875</v>
      </c>
      <c r="J52" s="12">
        <f t="shared" ref="J52:N52" si="29">1.03*10000</f>
        <v>10300</v>
      </c>
      <c r="K52" s="12">
        <f t="shared" si="29"/>
        <v>10300</v>
      </c>
      <c r="L52" s="12">
        <f t="shared" si="29"/>
        <v>10300</v>
      </c>
      <c r="M52" s="12">
        <f t="shared" si="29"/>
        <v>10300</v>
      </c>
      <c r="N52" s="12">
        <f t="shared" si="29"/>
        <v>10300</v>
      </c>
      <c r="O52" s="12">
        <f>1.03*12500</f>
        <v>12875</v>
      </c>
      <c r="P52" s="12">
        <f>1.03*10000</f>
        <v>10300</v>
      </c>
      <c r="Q52" s="101">
        <f>SUM(E52:P52)</f>
        <v>128750</v>
      </c>
      <c r="R52" s="184">
        <f t="shared" si="1"/>
        <v>1.5547826927024839</v>
      </c>
      <c r="S52" s="304">
        <v>110354</v>
      </c>
      <c r="T52" s="308">
        <f t="shared" ref="T52" si="30">IFERROR(Q52/S52-1,"")</f>
        <v>0.16669989307138855</v>
      </c>
      <c r="U52" s="233" t="s">
        <v>283</v>
      </c>
      <c r="V52" s="6" t="s">
        <v>348</v>
      </c>
    </row>
    <row r="53" spans="1:22" x14ac:dyDescent="0.35">
      <c r="A53" s="66"/>
      <c r="Q53" s="101"/>
      <c r="R53" s="184"/>
      <c r="S53" s="304"/>
      <c r="T53" s="308"/>
      <c r="U53" s="233"/>
    </row>
    <row r="54" spans="1:22" hidden="1" x14ac:dyDescent="0.35">
      <c r="A54" s="66" t="s">
        <v>109</v>
      </c>
      <c r="B54" s="6" t="s">
        <v>45</v>
      </c>
      <c r="C54" s="6" t="s">
        <v>46</v>
      </c>
      <c r="Q54" s="101">
        <f>SUM(E54:P54)</f>
        <v>0</v>
      </c>
      <c r="R54" s="184">
        <f t="shared" si="1"/>
        <v>0</v>
      </c>
      <c r="S54" s="304"/>
      <c r="T54" s="308" t="e">
        <f t="shared" ref="T54" si="31">R54/S54-1</f>
        <v>#DIV/0!</v>
      </c>
      <c r="U54" s="233"/>
    </row>
    <row r="55" spans="1:22" hidden="1" x14ac:dyDescent="0.35">
      <c r="A55" s="66"/>
      <c r="Q55" s="101"/>
      <c r="R55" s="184"/>
      <c r="S55" s="304"/>
      <c r="T55" s="308"/>
      <c r="U55" s="233"/>
    </row>
    <row r="56" spans="1:22" x14ac:dyDescent="0.35">
      <c r="A56" s="66" t="s">
        <v>110</v>
      </c>
      <c r="C56" s="6" t="s">
        <v>47</v>
      </c>
      <c r="E56" s="12">
        <f>1.03*1200+1500</f>
        <v>2736</v>
      </c>
      <c r="F56" s="12">
        <f t="shared" ref="F56:P56" si="32">1.03*1200</f>
        <v>1236</v>
      </c>
      <c r="G56" s="12">
        <f t="shared" si="32"/>
        <v>1236</v>
      </c>
      <c r="H56" s="12">
        <f>1.03*1200+1500</f>
        <v>2736</v>
      </c>
      <c r="I56" s="12">
        <f t="shared" si="32"/>
        <v>1236</v>
      </c>
      <c r="J56" s="12">
        <f t="shared" si="32"/>
        <v>1236</v>
      </c>
      <c r="K56" s="12">
        <f>1.03*1200+1500</f>
        <v>2736</v>
      </c>
      <c r="L56" s="12">
        <f t="shared" si="32"/>
        <v>1236</v>
      </c>
      <c r="M56" s="12">
        <f t="shared" si="32"/>
        <v>1236</v>
      </c>
      <c r="N56" s="12">
        <f>1.03*1200+1500</f>
        <v>2736</v>
      </c>
      <c r="O56" s="12">
        <f t="shared" si="32"/>
        <v>1236</v>
      </c>
      <c r="P56" s="12">
        <f t="shared" si="32"/>
        <v>1236</v>
      </c>
      <c r="Q56" s="101">
        <f>SUM(E56:P56)</f>
        <v>20832</v>
      </c>
      <c r="R56" s="184">
        <f t="shared" si="1"/>
        <v>0.25156685867478173</v>
      </c>
      <c r="S56" s="304">
        <v>13528</v>
      </c>
      <c r="T56" s="308">
        <f t="shared" ref="T56" si="33">IFERROR(Q56/S56-1,"")</f>
        <v>0.53991720875221771</v>
      </c>
      <c r="U56" s="233" t="s">
        <v>465</v>
      </c>
      <c r="V56" s="6" t="s">
        <v>471</v>
      </c>
    </row>
    <row r="57" spans="1:22" x14ac:dyDescent="0.35">
      <c r="A57" s="66"/>
      <c r="Q57" s="101"/>
      <c r="R57" s="184"/>
      <c r="S57" s="304"/>
      <c r="T57" s="308"/>
      <c r="U57" s="233"/>
    </row>
    <row r="58" spans="1:22" x14ac:dyDescent="0.35">
      <c r="A58" s="66" t="s">
        <v>111</v>
      </c>
      <c r="C58" s="6" t="s">
        <v>22</v>
      </c>
      <c r="E58" s="6">
        <f>+'INS RET DEBT'!E84+'INS RET DEBT'!E85</f>
        <v>15829.9</v>
      </c>
      <c r="F58" s="6">
        <f>+'INS RET DEBT'!F84+'INS RET DEBT'!F85</f>
        <v>15829.9</v>
      </c>
      <c r="G58" s="6">
        <f>+'INS RET DEBT'!G84+'INS RET DEBT'!G85</f>
        <v>15829.9</v>
      </c>
      <c r="H58" s="6">
        <f>+'INS RET DEBT'!H84+'INS RET DEBT'!H85</f>
        <v>15829.9</v>
      </c>
      <c r="I58" s="6">
        <f>+'INS RET DEBT'!I84+'INS RET DEBT'!I85</f>
        <v>15829.9</v>
      </c>
      <c r="J58" s="6">
        <f>+'INS RET DEBT'!J84+'INS RET DEBT'!J85</f>
        <v>15829.9</v>
      </c>
      <c r="K58" s="6">
        <f>+'INS RET DEBT'!K84+'INS RET DEBT'!K85</f>
        <v>15829.9</v>
      </c>
      <c r="L58" s="6">
        <f>+'INS RET DEBT'!L84+'INS RET DEBT'!L85</f>
        <v>15829.9</v>
      </c>
      <c r="M58" s="6">
        <f>+'INS RET DEBT'!M84+'INS RET DEBT'!M85</f>
        <v>15829.9</v>
      </c>
      <c r="N58" s="6">
        <f>+'INS RET DEBT'!N84+'INS RET DEBT'!N85</f>
        <v>15829.9</v>
      </c>
      <c r="O58" s="6">
        <f>+'INS RET DEBT'!O84+'INS RET DEBT'!O85</f>
        <v>15829.9</v>
      </c>
      <c r="P58" s="6">
        <f>+'INS RET DEBT'!P84+'INS RET DEBT'!P85</f>
        <v>15829.9</v>
      </c>
      <c r="Q58" s="101">
        <f>SUM(E58:P58)</f>
        <v>189958.79999999996</v>
      </c>
      <c r="R58" s="184">
        <f t="shared" si="1"/>
        <v>2.2939390645944275</v>
      </c>
      <c r="S58" s="304">
        <v>180779</v>
      </c>
      <c r="T58" s="308">
        <f t="shared" ref="T58" si="34">IFERROR(Q58/S58-1,"")</f>
        <v>5.0779128106693605E-2</v>
      </c>
      <c r="U58" s="233"/>
    </row>
    <row r="59" spans="1:22" x14ac:dyDescent="0.35">
      <c r="A59" s="66"/>
      <c r="Q59" s="101"/>
      <c r="R59" s="184"/>
      <c r="S59" s="304"/>
      <c r="T59" s="308"/>
      <c r="U59" s="233"/>
    </row>
    <row r="60" spans="1:22" x14ac:dyDescent="0.35">
      <c r="A60" s="66"/>
      <c r="D60" s="50" t="s">
        <v>48</v>
      </c>
      <c r="E60" s="45">
        <f>+'INS RET DEBT'!E27+'INS RET DEBT'!E28</f>
        <v>5606</v>
      </c>
      <c r="F60" s="45">
        <f>+'INS RET DEBT'!F27+'INS RET DEBT'!F28</f>
        <v>5606</v>
      </c>
      <c r="G60" s="45">
        <f>+'INS RET DEBT'!G27+'INS RET DEBT'!G28</f>
        <v>5606</v>
      </c>
      <c r="H60" s="45">
        <f>+'INS RET DEBT'!H27+'INS RET DEBT'!H28</f>
        <v>5606</v>
      </c>
      <c r="I60" s="45">
        <f>+'INS RET DEBT'!I27+'INS RET DEBT'!I28</f>
        <v>5606</v>
      </c>
      <c r="J60" s="45">
        <f>+'INS RET DEBT'!J27+'INS RET DEBT'!J28</f>
        <v>5606</v>
      </c>
      <c r="K60" s="45">
        <f>+'INS RET DEBT'!K27+'INS RET DEBT'!K28</f>
        <v>5606</v>
      </c>
      <c r="L60" s="45">
        <f>+'INS RET DEBT'!L27+'INS RET DEBT'!L28</f>
        <v>5606</v>
      </c>
      <c r="M60" s="45">
        <f>+'INS RET DEBT'!M27+'INS RET DEBT'!M28</f>
        <v>5606</v>
      </c>
      <c r="N60" s="45">
        <f>+'INS RET DEBT'!N27+'INS RET DEBT'!N28</f>
        <v>5606</v>
      </c>
      <c r="O60" s="45">
        <f>+'INS RET DEBT'!O27+'INS RET DEBT'!O28</f>
        <v>5718.12</v>
      </c>
      <c r="P60" s="45">
        <f>+'INS RET DEBT'!P27+'INS RET DEBT'!P28</f>
        <v>5718.12</v>
      </c>
      <c r="Q60" s="195">
        <f>SUM(E60:P60)</f>
        <v>67496.240000000005</v>
      </c>
      <c r="R60" s="186">
        <f t="shared" si="1"/>
        <v>0.81508338465625718</v>
      </c>
      <c r="S60" s="304"/>
      <c r="T60" s="308"/>
      <c r="U60" s="233"/>
    </row>
    <row r="61" spans="1:22" x14ac:dyDescent="0.35">
      <c r="A61" s="66"/>
      <c r="D61" s="51" t="s">
        <v>89</v>
      </c>
      <c r="E61" s="6">
        <f>+'INS RET DEBT'!E30</f>
        <v>991</v>
      </c>
      <c r="F61" s="6">
        <f>+'INS RET DEBT'!F30</f>
        <v>991</v>
      </c>
      <c r="G61" s="6">
        <f>+'INS RET DEBT'!G30</f>
        <v>991</v>
      </c>
      <c r="H61" s="6">
        <f>+'INS RET DEBT'!H30</f>
        <v>991</v>
      </c>
      <c r="I61" s="6">
        <f>+'INS RET DEBT'!I30</f>
        <v>991</v>
      </c>
      <c r="J61" s="6">
        <f>+'INS RET DEBT'!J30</f>
        <v>991</v>
      </c>
      <c r="K61" s="6">
        <f>+'INS RET DEBT'!K30</f>
        <v>991</v>
      </c>
      <c r="L61" s="6">
        <f>+'INS RET DEBT'!L30</f>
        <v>991</v>
      </c>
      <c r="M61" s="6">
        <f>+'INS RET DEBT'!M30</f>
        <v>991</v>
      </c>
      <c r="N61" s="6">
        <f>+'INS RET DEBT'!N30</f>
        <v>991</v>
      </c>
      <c r="O61" s="6">
        <f>+'INS RET DEBT'!O30</f>
        <v>1010.82</v>
      </c>
      <c r="P61" s="6">
        <f>+'INS RET DEBT'!P30</f>
        <v>1010.82</v>
      </c>
      <c r="Q61" s="196">
        <f>SUM(E61:P61)</f>
        <v>11931.64</v>
      </c>
      <c r="R61" s="187">
        <f t="shared" si="1"/>
        <v>0.14408627081597411</v>
      </c>
      <c r="S61" s="304"/>
      <c r="T61" s="308"/>
      <c r="U61" s="233"/>
    </row>
    <row r="62" spans="1:22" x14ac:dyDescent="0.35">
      <c r="A62" s="66"/>
      <c r="D62" s="52" t="s">
        <v>50</v>
      </c>
      <c r="E62" s="15">
        <f>+'INS RET DEBT'!E31</f>
        <v>0</v>
      </c>
      <c r="F62" s="15">
        <f>+'INS RET DEBT'!F31</f>
        <v>0</v>
      </c>
      <c r="G62" s="15">
        <f>+'INS RET DEBT'!G31</f>
        <v>0</v>
      </c>
      <c r="H62" s="15">
        <f>+'INS RET DEBT'!H31</f>
        <v>0</v>
      </c>
      <c r="I62" s="15">
        <f>+'INS RET DEBT'!I31</f>
        <v>0</v>
      </c>
      <c r="J62" s="15">
        <f>+'INS RET DEBT'!J31</f>
        <v>0</v>
      </c>
      <c r="K62" s="15">
        <f>+'INS RET DEBT'!K31</f>
        <v>0</v>
      </c>
      <c r="L62" s="15">
        <f>+'INS RET DEBT'!L31</f>
        <v>0</v>
      </c>
      <c r="M62" s="15">
        <f>+'INS RET DEBT'!M31</f>
        <v>0</v>
      </c>
      <c r="N62" s="15">
        <f>+'INS RET DEBT'!N31</f>
        <v>0</v>
      </c>
      <c r="O62" s="15">
        <f>+'INS RET DEBT'!O31</f>
        <v>0</v>
      </c>
      <c r="P62" s="15">
        <f>+'INS RET DEBT'!P31</f>
        <v>0</v>
      </c>
      <c r="Q62" s="197">
        <f>SUM(E62:P62)</f>
        <v>0</v>
      </c>
      <c r="R62" s="188">
        <f t="shared" si="1"/>
        <v>0</v>
      </c>
      <c r="S62" s="304"/>
      <c r="T62" s="308"/>
      <c r="U62" s="233"/>
    </row>
    <row r="63" spans="1:22" x14ac:dyDescent="0.35">
      <c r="A63" s="66" t="s">
        <v>112</v>
      </c>
      <c r="C63" s="6" t="s">
        <v>23</v>
      </c>
      <c r="E63" s="15">
        <f t="shared" ref="E63:Q63" si="35">SUM(E60:E62)</f>
        <v>6597</v>
      </c>
      <c r="F63" s="15">
        <f t="shared" si="35"/>
        <v>6597</v>
      </c>
      <c r="G63" s="15">
        <f t="shared" si="35"/>
        <v>6597</v>
      </c>
      <c r="H63" s="15">
        <f t="shared" si="35"/>
        <v>6597</v>
      </c>
      <c r="I63" s="15">
        <f t="shared" si="35"/>
        <v>6597</v>
      </c>
      <c r="J63" s="15">
        <f t="shared" si="35"/>
        <v>6597</v>
      </c>
      <c r="K63" s="15">
        <f t="shared" si="35"/>
        <v>6597</v>
      </c>
      <c r="L63" s="15">
        <f t="shared" si="35"/>
        <v>6597</v>
      </c>
      <c r="M63" s="15">
        <f t="shared" si="35"/>
        <v>6597</v>
      </c>
      <c r="N63" s="15">
        <f t="shared" si="35"/>
        <v>6597</v>
      </c>
      <c r="O63" s="15">
        <f t="shared" si="35"/>
        <v>6728.94</v>
      </c>
      <c r="P63" s="15">
        <f t="shared" si="35"/>
        <v>6728.94</v>
      </c>
      <c r="Q63" s="108">
        <f t="shared" si="35"/>
        <v>79427.88</v>
      </c>
      <c r="R63" s="189">
        <f t="shared" si="1"/>
        <v>0.95916965547223132</v>
      </c>
      <c r="S63" s="309">
        <v>79848</v>
      </c>
      <c r="T63" s="310">
        <f t="shared" ref="T63" si="36">IFERROR(Q63/S63-1,"")</f>
        <v>-5.2614968440035659E-3</v>
      </c>
      <c r="U63" s="233"/>
    </row>
    <row r="64" spans="1:22" x14ac:dyDescent="0.35">
      <c r="A64" s="66"/>
      <c r="Q64" s="101"/>
      <c r="R64" s="184"/>
      <c r="S64" s="304"/>
      <c r="T64" s="308"/>
      <c r="U64" s="233"/>
    </row>
    <row r="65" spans="1:21" x14ac:dyDescent="0.35">
      <c r="A65" s="66"/>
      <c r="D65" s="50" t="s">
        <v>51</v>
      </c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198">
        <f>SUM(E65:P65)</f>
        <v>0</v>
      </c>
      <c r="R65" s="186">
        <f t="shared" si="1"/>
        <v>0</v>
      </c>
      <c r="S65" s="304"/>
      <c r="T65" s="308"/>
      <c r="U65" s="233"/>
    </row>
    <row r="66" spans="1:21" x14ac:dyDescent="0.35">
      <c r="A66" s="66"/>
      <c r="D66" s="52" t="s">
        <v>52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08">
        <f>SUM(E66:P66)</f>
        <v>0</v>
      </c>
      <c r="R66" s="188">
        <f t="shared" si="1"/>
        <v>0</v>
      </c>
      <c r="S66" s="304"/>
      <c r="T66" s="308"/>
      <c r="U66" s="233"/>
    </row>
    <row r="67" spans="1:21" x14ac:dyDescent="0.35">
      <c r="A67" s="66" t="s">
        <v>113</v>
      </c>
      <c r="B67" s="6" t="s">
        <v>45</v>
      </c>
      <c r="C67" s="6" t="s">
        <v>51</v>
      </c>
      <c r="E67" s="15">
        <f t="shared" ref="E67:P67" si="37">SUM(E65:E66)</f>
        <v>0</v>
      </c>
      <c r="F67" s="15">
        <f t="shared" si="37"/>
        <v>0</v>
      </c>
      <c r="G67" s="15">
        <f t="shared" si="37"/>
        <v>0</v>
      </c>
      <c r="H67" s="15">
        <f t="shared" si="37"/>
        <v>0</v>
      </c>
      <c r="I67" s="15">
        <f t="shared" si="37"/>
        <v>0</v>
      </c>
      <c r="J67" s="15">
        <f t="shared" si="37"/>
        <v>0</v>
      </c>
      <c r="K67" s="15">
        <f t="shared" si="37"/>
        <v>0</v>
      </c>
      <c r="L67" s="15">
        <f t="shared" si="37"/>
        <v>0</v>
      </c>
      <c r="M67" s="15">
        <f t="shared" si="37"/>
        <v>0</v>
      </c>
      <c r="N67" s="15">
        <f t="shared" si="37"/>
        <v>0</v>
      </c>
      <c r="O67" s="15">
        <f t="shared" si="37"/>
        <v>0</v>
      </c>
      <c r="P67" s="15">
        <f t="shared" si="37"/>
        <v>0</v>
      </c>
      <c r="Q67" s="108">
        <f>SUM(Q65:Q66)</f>
        <v>0</v>
      </c>
      <c r="R67" s="189">
        <f t="shared" si="1"/>
        <v>0</v>
      </c>
      <c r="S67" s="309">
        <v>0</v>
      </c>
      <c r="T67" s="310" t="str">
        <f t="shared" ref="T67" si="38">IFERROR(Q67/S67-1,"")</f>
        <v/>
      </c>
      <c r="U67" s="233"/>
    </row>
    <row r="68" spans="1:21" x14ac:dyDescent="0.35">
      <c r="A68" s="66"/>
      <c r="Q68" s="101"/>
      <c r="R68" s="184"/>
      <c r="S68" s="304"/>
      <c r="T68" s="308"/>
      <c r="U68" s="233"/>
    </row>
    <row r="69" spans="1:21" x14ac:dyDescent="0.35">
      <c r="A69" s="66"/>
      <c r="B69" s="6" t="s">
        <v>33</v>
      </c>
      <c r="C69" s="6" t="s">
        <v>53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01">
        <f>SUM(E69:P69)</f>
        <v>0</v>
      </c>
      <c r="R69" s="184">
        <f t="shared" si="1"/>
        <v>0</v>
      </c>
      <c r="S69" s="304"/>
      <c r="T69" s="308" t="str">
        <f t="shared" ref="T69" si="39">IFERROR(Q69/S69-1,"")</f>
        <v/>
      </c>
      <c r="U69" s="233"/>
    </row>
    <row r="70" spans="1:21" x14ac:dyDescent="0.35">
      <c r="A70" s="66"/>
      <c r="Q70" s="101"/>
      <c r="R70" s="184"/>
      <c r="S70" s="304"/>
      <c r="T70" s="308"/>
      <c r="U70" s="233"/>
    </row>
    <row r="71" spans="1:21" ht="18" x14ac:dyDescent="0.35">
      <c r="A71" s="66"/>
      <c r="C71" s="53" t="s">
        <v>54</v>
      </c>
      <c r="D71" s="54"/>
      <c r="E71" s="54">
        <f t="shared" ref="E71:P71" si="40">+E27+E29+E31+E36+E38+E43+E45+E50+E52+E54+E56+E58+E63+E67+E69</f>
        <v>55814.928114304203</v>
      </c>
      <c r="F71" s="54">
        <f t="shared" si="40"/>
        <v>54604.828114304197</v>
      </c>
      <c r="G71" s="54">
        <f t="shared" si="40"/>
        <v>54344.178114304195</v>
      </c>
      <c r="H71" s="54">
        <f t="shared" si="40"/>
        <v>59536.768114304206</v>
      </c>
      <c r="I71" s="54">
        <f t="shared" si="40"/>
        <v>50409.818114304202</v>
      </c>
      <c r="J71" s="54">
        <f t="shared" si="40"/>
        <v>46494.358114304196</v>
      </c>
      <c r="K71" s="54">
        <f t="shared" si="40"/>
        <v>46986.798114304198</v>
      </c>
      <c r="L71" s="54">
        <f t="shared" si="40"/>
        <v>45675.868114304198</v>
      </c>
      <c r="M71" s="54">
        <f t="shared" si="40"/>
        <v>58181.498114304202</v>
      </c>
      <c r="N71" s="54">
        <f t="shared" si="40"/>
        <v>49128.998114304195</v>
      </c>
      <c r="O71" s="54">
        <f t="shared" si="40"/>
        <v>51077.548114304198</v>
      </c>
      <c r="P71" s="54">
        <f t="shared" si="40"/>
        <v>50153.018114304199</v>
      </c>
      <c r="Q71" s="109">
        <f>+Q27+Q29+Q31+Q36+Q38+Q43+Q45+Q50+Q52+Q54+Q56+Q58+Q63+Q67+Q69</f>
        <v>622408.60737165029</v>
      </c>
      <c r="R71" s="190">
        <f t="shared" si="1"/>
        <v>7.5161951885863889</v>
      </c>
      <c r="S71" s="315">
        <f>+S27+S29+S31+S36+S38+S43+S45+S50+S52+S54+S56+S58+S63+S67+S69</f>
        <v>610413</v>
      </c>
      <c r="T71" s="316">
        <f>Q71/S71-1</f>
        <v>1.9651625000860484E-2</v>
      </c>
      <c r="U71" s="236"/>
    </row>
    <row r="72" spans="1:21" ht="18" x14ac:dyDescent="0.35">
      <c r="A72" s="66"/>
      <c r="Q72" s="103"/>
      <c r="R72" s="185"/>
      <c r="S72" s="311"/>
      <c r="T72" s="312"/>
      <c r="U72" s="234"/>
    </row>
    <row r="73" spans="1:21" ht="18" x14ac:dyDescent="0.35">
      <c r="A73" s="66"/>
      <c r="B73" s="7" t="s">
        <v>55</v>
      </c>
      <c r="Q73" s="101"/>
      <c r="R73" s="184"/>
      <c r="S73" s="304"/>
      <c r="T73" s="308"/>
      <c r="U73" s="233"/>
    </row>
    <row r="74" spans="1:21" x14ac:dyDescent="0.35">
      <c r="A74" s="66"/>
      <c r="Q74" s="101"/>
      <c r="R74" s="184"/>
      <c r="S74" s="304"/>
      <c r="T74" s="308"/>
      <c r="U74" s="233"/>
    </row>
    <row r="75" spans="1:21" x14ac:dyDescent="0.35">
      <c r="A75" s="66" t="s">
        <v>137</v>
      </c>
      <c r="C75" s="6" t="s">
        <v>56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01">
        <f>SUM(E75:P75)</f>
        <v>0</v>
      </c>
      <c r="R75" s="184">
        <f t="shared" ref="R75:R122" si="41">Q75/$B$4</f>
        <v>0</v>
      </c>
      <c r="S75" s="304">
        <v>0</v>
      </c>
      <c r="T75" s="308" t="str">
        <f t="shared" ref="T75" si="42">IFERROR(Q75/S75-1,"")</f>
        <v/>
      </c>
      <c r="U75" s="233"/>
    </row>
    <row r="76" spans="1:21" x14ac:dyDescent="0.35">
      <c r="A76" s="66"/>
      <c r="Q76" s="101"/>
      <c r="R76" s="184"/>
      <c r="S76" s="304"/>
      <c r="T76" s="308"/>
      <c r="U76" s="233"/>
    </row>
    <row r="77" spans="1:21" x14ac:dyDescent="0.35">
      <c r="A77" s="66" t="s">
        <v>114</v>
      </c>
      <c r="D77" s="6" t="s">
        <v>57</v>
      </c>
      <c r="E77" s="6">
        <f>VLOOKUP($B$1,'Allocated Expenses'!$B$20:$P$29,4,FALSE)</f>
        <v>6158.1821920925986</v>
      </c>
      <c r="F77" s="6">
        <f>VLOOKUP($B$1,'Allocated Expenses'!$B$20:$P$29,5,FALSE)</f>
        <v>6158.1821920925986</v>
      </c>
      <c r="G77" s="6">
        <f>VLOOKUP($B$1,'Allocated Expenses'!$B$20:$P$29,6,FALSE)</f>
        <v>6158.1821920925986</v>
      </c>
      <c r="H77" s="6">
        <f>VLOOKUP($B$1,'Allocated Expenses'!$B$20:$P$29,7,FALSE)</f>
        <v>6158.1821920925986</v>
      </c>
      <c r="I77" s="6">
        <f>VLOOKUP($B$1,'Allocated Expenses'!$B$20:$P$29,8,FALSE)</f>
        <v>6158.1821920925986</v>
      </c>
      <c r="J77" s="6">
        <f>VLOOKUP($B$1,'Allocated Expenses'!$B$20:$P$29,9,FALSE)</f>
        <v>6158.1821920925986</v>
      </c>
      <c r="K77" s="6">
        <f>VLOOKUP($B$1,'Allocated Expenses'!$B$20:$P$29,10,FALSE)</f>
        <v>6158.1821920925986</v>
      </c>
      <c r="L77" s="6">
        <f>VLOOKUP($B$1,'Allocated Expenses'!$B$20:$P$29,11,FALSE)</f>
        <v>6158.1821920925986</v>
      </c>
      <c r="M77" s="6">
        <f>VLOOKUP($B$1,'Allocated Expenses'!$B$20:$P$29,12,FALSE)</f>
        <v>6158.1821920925986</v>
      </c>
      <c r="N77" s="6">
        <f>VLOOKUP($B$1,'Allocated Expenses'!$B$20:$P$29,13,FALSE)</f>
        <v>6158.1821920925986</v>
      </c>
      <c r="O77" s="6">
        <f>VLOOKUP($B$1,'Allocated Expenses'!$B$20:$P$29,14,FALSE)</f>
        <v>6158.1821920925986</v>
      </c>
      <c r="P77" s="6">
        <f>VLOOKUP($B$1,'Allocated Expenses'!$B$20:$P$29,15,FALSE)</f>
        <v>6158.1821920925986</v>
      </c>
      <c r="Q77" s="101">
        <f>SUM(E77:P77)</f>
        <v>73898.186305111201</v>
      </c>
      <c r="R77" s="184">
        <f t="shared" si="41"/>
        <v>0.89239317350905334</v>
      </c>
      <c r="S77" s="304"/>
      <c r="T77" s="308"/>
      <c r="U77" s="233"/>
    </row>
    <row r="78" spans="1:21" x14ac:dyDescent="0.35">
      <c r="A78" s="66" t="s">
        <v>115</v>
      </c>
      <c r="D78" s="6" t="s">
        <v>58</v>
      </c>
      <c r="E78" s="15">
        <f>VLOOKUP($B$1,'Allocated Expenses'!$B$132:$P$141,4,FALSE)</f>
        <v>0</v>
      </c>
      <c r="F78" s="15">
        <f>VLOOKUP($B$1,'Allocated Expenses'!$B$132:$P$141,5,FALSE)</f>
        <v>0</v>
      </c>
      <c r="G78" s="15">
        <f>VLOOKUP($B$1,'Allocated Expenses'!$B$132:$P$141,6,FALSE)</f>
        <v>0</v>
      </c>
      <c r="H78" s="15">
        <f>VLOOKUP($B$1,'Allocated Expenses'!$B$132:$P$141,7,FALSE)</f>
        <v>0</v>
      </c>
      <c r="I78" s="15">
        <f>VLOOKUP($B$1,'Allocated Expenses'!$B$132:$P$141,8,FALSE)</f>
        <v>0</v>
      </c>
      <c r="J78" s="15">
        <f>VLOOKUP($B$1,'Allocated Expenses'!$B$132:$P$141,9,FALSE)</f>
        <v>0</v>
      </c>
      <c r="K78" s="15">
        <f>VLOOKUP($B$1,'Allocated Expenses'!$B$132:$P$141,10,FALSE)</f>
        <v>0</v>
      </c>
      <c r="L78" s="15">
        <f>VLOOKUP($B$1,'Allocated Expenses'!$B$132:$P$141,11,FALSE)</f>
        <v>0</v>
      </c>
      <c r="M78" s="15">
        <f>VLOOKUP($B$1,'Allocated Expenses'!$B$132:$P$141,12,FALSE)</f>
        <v>0</v>
      </c>
      <c r="N78" s="15">
        <f>VLOOKUP($B$1,'Allocated Expenses'!$B$132:$P$141,13,FALSE)</f>
        <v>0</v>
      </c>
      <c r="O78" s="15">
        <f>VLOOKUP($B$1,'Allocated Expenses'!$B$132:$P$141,14,FALSE)</f>
        <v>0</v>
      </c>
      <c r="P78" s="15">
        <f>VLOOKUP($B$1,'Allocated Expenses'!$B$132:$P$141,15,FALSE)</f>
        <v>0</v>
      </c>
      <c r="Q78" s="108">
        <f>SUM(E78:P78)</f>
        <v>0</v>
      </c>
      <c r="R78" s="189">
        <f t="shared" si="41"/>
        <v>0</v>
      </c>
      <c r="S78" s="304"/>
      <c r="T78" s="308"/>
      <c r="U78" s="233"/>
    </row>
    <row r="79" spans="1:21" x14ac:dyDescent="0.35">
      <c r="A79" s="66"/>
      <c r="C79" s="6" t="s">
        <v>59</v>
      </c>
      <c r="E79" s="15">
        <f t="shared" ref="E79:Q79" si="43">SUM(E77:E78)</f>
        <v>6158.1821920925986</v>
      </c>
      <c r="F79" s="15">
        <f t="shared" si="43"/>
        <v>6158.1821920925986</v>
      </c>
      <c r="G79" s="15">
        <f t="shared" si="43"/>
        <v>6158.1821920925986</v>
      </c>
      <c r="H79" s="15">
        <f t="shared" si="43"/>
        <v>6158.1821920925986</v>
      </c>
      <c r="I79" s="15">
        <f t="shared" si="43"/>
        <v>6158.1821920925986</v>
      </c>
      <c r="J79" s="15">
        <f t="shared" si="43"/>
        <v>6158.1821920925986</v>
      </c>
      <c r="K79" s="15">
        <f t="shared" si="43"/>
        <v>6158.1821920925986</v>
      </c>
      <c r="L79" s="15">
        <f t="shared" si="43"/>
        <v>6158.1821920925986</v>
      </c>
      <c r="M79" s="15">
        <f t="shared" si="43"/>
        <v>6158.1821920925986</v>
      </c>
      <c r="N79" s="15">
        <f t="shared" si="43"/>
        <v>6158.1821920925986</v>
      </c>
      <c r="O79" s="15">
        <f t="shared" si="43"/>
        <v>6158.1821920925986</v>
      </c>
      <c r="P79" s="15">
        <f t="shared" si="43"/>
        <v>6158.1821920925986</v>
      </c>
      <c r="Q79" s="108">
        <f t="shared" si="43"/>
        <v>73898.186305111201</v>
      </c>
      <c r="R79" s="189">
        <f t="shared" si="41"/>
        <v>0.89239317350905334</v>
      </c>
      <c r="S79" s="309">
        <v>86280</v>
      </c>
      <c r="T79" s="310">
        <f t="shared" ref="T79" si="44">IFERROR(Q79/S79-1,"")</f>
        <v>-0.14350734463246173</v>
      </c>
      <c r="U79" s="233"/>
    </row>
    <row r="80" spans="1:21" x14ac:dyDescent="0.35">
      <c r="A80" s="66"/>
      <c r="Q80" s="101"/>
      <c r="R80" s="184"/>
      <c r="S80" s="304"/>
      <c r="T80" s="308"/>
      <c r="U80" s="233"/>
    </row>
    <row r="81" spans="1:22" x14ac:dyDescent="0.35">
      <c r="A81" s="66" t="s">
        <v>138</v>
      </c>
      <c r="D81" s="6" t="s">
        <v>60</v>
      </c>
      <c r="E81" s="12">
        <f>1.03*202</f>
        <v>208.06</v>
      </c>
      <c r="F81" s="12">
        <f>1.03*202</f>
        <v>208.06</v>
      </c>
      <c r="G81" s="12">
        <f>1.03*202</f>
        <v>208.06</v>
      </c>
      <c r="H81" s="12">
        <f>1.03*101</f>
        <v>104.03</v>
      </c>
      <c r="I81" s="12">
        <f t="shared" ref="I81:N81" si="45">1.03*101</f>
        <v>104.03</v>
      </c>
      <c r="J81" s="12">
        <f t="shared" si="45"/>
        <v>104.03</v>
      </c>
      <c r="K81" s="12">
        <f t="shared" si="45"/>
        <v>104.03</v>
      </c>
      <c r="L81" s="12">
        <f t="shared" si="45"/>
        <v>104.03</v>
      </c>
      <c r="M81" s="12">
        <f t="shared" si="45"/>
        <v>104.03</v>
      </c>
      <c r="N81" s="12">
        <f t="shared" si="45"/>
        <v>104.03</v>
      </c>
      <c r="O81" s="12">
        <f>1.03*200</f>
        <v>206</v>
      </c>
      <c r="P81" s="12">
        <f>1.03*200</f>
        <v>206</v>
      </c>
      <c r="Q81" s="101">
        <f>SUM(E81:P81)</f>
        <v>1764.3899999999999</v>
      </c>
      <c r="R81" s="184">
        <f t="shared" si="41"/>
        <v>2.1306742020794838E-2</v>
      </c>
      <c r="S81" s="304"/>
      <c r="T81" s="308"/>
      <c r="U81" s="233" t="s">
        <v>283</v>
      </c>
      <c r="V81" s="6" t="s">
        <v>348</v>
      </c>
    </row>
    <row r="82" spans="1:22" x14ac:dyDescent="0.35">
      <c r="A82" s="66" t="s">
        <v>139</v>
      </c>
      <c r="D82" s="6" t="s">
        <v>20</v>
      </c>
      <c r="E82" s="12">
        <f>1.03*192</f>
        <v>197.76</v>
      </c>
      <c r="F82" s="12">
        <f>1.03*191</f>
        <v>196.73000000000002</v>
      </c>
      <c r="G82" s="12">
        <f>1.03*189</f>
        <v>194.67000000000002</v>
      </c>
      <c r="H82" s="12">
        <f>1.03*195</f>
        <v>200.85</v>
      </c>
      <c r="I82" s="12">
        <f>1.03*200</f>
        <v>206</v>
      </c>
      <c r="J82" s="12">
        <f>1.03*197</f>
        <v>202.91</v>
      </c>
      <c r="K82" s="12">
        <f>1.03*197</f>
        <v>202.91</v>
      </c>
      <c r="L82" s="12">
        <f>1.03*238</f>
        <v>245.14000000000001</v>
      </c>
      <c r="M82" s="12">
        <f>1.03*197</f>
        <v>202.91</v>
      </c>
      <c r="N82" s="12">
        <f>1.03*199</f>
        <v>204.97</v>
      </c>
      <c r="O82" s="12">
        <f>1.03*202</f>
        <v>208.06</v>
      </c>
      <c r="P82" s="12">
        <f>1.03*198</f>
        <v>203.94</v>
      </c>
      <c r="Q82" s="101">
        <f>SUM(E82:P82)</f>
        <v>2466.8500000000004</v>
      </c>
      <c r="R82" s="184">
        <f t="shared" si="41"/>
        <v>2.9789636392179599E-2</v>
      </c>
      <c r="S82" s="304"/>
      <c r="T82" s="308"/>
      <c r="U82" s="233" t="s">
        <v>283</v>
      </c>
      <c r="V82" s="6" t="s">
        <v>348</v>
      </c>
    </row>
    <row r="83" spans="1:22" x14ac:dyDescent="0.35">
      <c r="A83" s="66" t="s">
        <v>140</v>
      </c>
      <c r="D83" s="6" t="s">
        <v>28</v>
      </c>
      <c r="E83" s="14">
        <f>1.03*40</f>
        <v>41.2</v>
      </c>
      <c r="F83" s="14">
        <f t="shared" ref="F83:P83" si="46">1.03*40</f>
        <v>41.2</v>
      </c>
      <c r="G83" s="14">
        <f t="shared" si="46"/>
        <v>41.2</v>
      </c>
      <c r="H83" s="14">
        <f t="shared" si="46"/>
        <v>41.2</v>
      </c>
      <c r="I83" s="14">
        <f t="shared" si="46"/>
        <v>41.2</v>
      </c>
      <c r="J83" s="14">
        <f t="shared" si="46"/>
        <v>41.2</v>
      </c>
      <c r="K83" s="14">
        <f t="shared" si="46"/>
        <v>41.2</v>
      </c>
      <c r="L83" s="14">
        <f t="shared" si="46"/>
        <v>41.2</v>
      </c>
      <c r="M83" s="14">
        <f t="shared" si="46"/>
        <v>41.2</v>
      </c>
      <c r="N83" s="14">
        <f t="shared" si="46"/>
        <v>41.2</v>
      </c>
      <c r="O83" s="14">
        <f t="shared" si="46"/>
        <v>41.2</v>
      </c>
      <c r="P83" s="14">
        <f t="shared" si="46"/>
        <v>41.2</v>
      </c>
      <c r="Q83" s="108">
        <f>SUM(E83:P83)</f>
        <v>494.39999999999992</v>
      </c>
      <c r="R83" s="189">
        <f t="shared" si="41"/>
        <v>5.9703655399775376E-3</v>
      </c>
      <c r="S83" s="304"/>
      <c r="T83" s="308"/>
      <c r="U83" s="233" t="s">
        <v>283</v>
      </c>
      <c r="V83" s="6" t="s">
        <v>348</v>
      </c>
    </row>
    <row r="84" spans="1:22" x14ac:dyDescent="0.35">
      <c r="A84" s="66"/>
      <c r="C84" s="6" t="s">
        <v>61</v>
      </c>
      <c r="E84" s="15">
        <f t="shared" ref="E84:Q84" si="47">SUM(E81:E83)</f>
        <v>447.02</v>
      </c>
      <c r="F84" s="15">
        <f t="shared" si="47"/>
        <v>445.99</v>
      </c>
      <c r="G84" s="15">
        <f t="shared" si="47"/>
        <v>443.93</v>
      </c>
      <c r="H84" s="15">
        <f t="shared" si="47"/>
        <v>346.08</v>
      </c>
      <c r="I84" s="15">
        <f t="shared" si="47"/>
        <v>351.22999999999996</v>
      </c>
      <c r="J84" s="15">
        <f t="shared" si="47"/>
        <v>348.14</v>
      </c>
      <c r="K84" s="15">
        <f t="shared" si="47"/>
        <v>348.14</v>
      </c>
      <c r="L84" s="15">
        <f t="shared" si="47"/>
        <v>390.37</v>
      </c>
      <c r="M84" s="15">
        <f t="shared" si="47"/>
        <v>348.14</v>
      </c>
      <c r="N84" s="15">
        <f t="shared" si="47"/>
        <v>350.2</v>
      </c>
      <c r="O84" s="15">
        <f t="shared" si="47"/>
        <v>455.26</v>
      </c>
      <c r="P84" s="15">
        <f t="shared" si="47"/>
        <v>451.14</v>
      </c>
      <c r="Q84" s="108">
        <f t="shared" si="47"/>
        <v>4725.6399999999994</v>
      </c>
      <c r="R84" s="189">
        <f t="shared" si="41"/>
        <v>5.7066743952951964E-2</v>
      </c>
      <c r="S84" s="309">
        <v>5683</v>
      </c>
      <c r="T84" s="310">
        <f>IFERROR(Q84/S84-1,"")</f>
        <v>-0.16846032025338742</v>
      </c>
      <c r="U84" s="233"/>
    </row>
    <row r="85" spans="1:22" x14ac:dyDescent="0.35">
      <c r="A85" s="66"/>
      <c r="Q85" s="101"/>
      <c r="R85" s="184"/>
      <c r="S85" s="304"/>
      <c r="T85" s="308"/>
      <c r="U85" s="233"/>
    </row>
    <row r="86" spans="1:22" x14ac:dyDescent="0.35">
      <c r="A86" s="66"/>
      <c r="D86" s="50" t="s">
        <v>30</v>
      </c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198">
        <f>SUM(E86:P86)</f>
        <v>0</v>
      </c>
      <c r="R86" s="186">
        <f t="shared" si="41"/>
        <v>0</v>
      </c>
      <c r="S86" s="304"/>
      <c r="T86" s="308"/>
      <c r="U86" s="233"/>
    </row>
    <row r="87" spans="1:22" x14ac:dyDescent="0.35">
      <c r="A87" s="66"/>
      <c r="D87" s="52" t="s">
        <v>31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08">
        <f>SUM(E87:P87)</f>
        <v>0</v>
      </c>
      <c r="R87" s="188">
        <f t="shared" si="41"/>
        <v>0</v>
      </c>
      <c r="S87" s="304"/>
      <c r="T87" s="308"/>
      <c r="U87" s="233"/>
    </row>
    <row r="88" spans="1:22" x14ac:dyDescent="0.35">
      <c r="A88" s="66" t="s">
        <v>116</v>
      </c>
      <c r="C88" s="6" t="s">
        <v>32</v>
      </c>
      <c r="E88" s="15">
        <f t="shared" ref="E88:Q88" si="48">SUM(E86:E87)</f>
        <v>0</v>
      </c>
      <c r="F88" s="15">
        <f t="shared" si="48"/>
        <v>0</v>
      </c>
      <c r="G88" s="15">
        <f t="shared" si="48"/>
        <v>0</v>
      </c>
      <c r="H88" s="15">
        <f t="shared" si="48"/>
        <v>0</v>
      </c>
      <c r="I88" s="15">
        <f t="shared" si="48"/>
        <v>0</v>
      </c>
      <c r="J88" s="15">
        <f t="shared" si="48"/>
        <v>0</v>
      </c>
      <c r="K88" s="15">
        <f t="shared" si="48"/>
        <v>0</v>
      </c>
      <c r="L88" s="15">
        <f t="shared" si="48"/>
        <v>0</v>
      </c>
      <c r="M88" s="15">
        <f t="shared" si="48"/>
        <v>0</v>
      </c>
      <c r="N88" s="15">
        <f t="shared" si="48"/>
        <v>0</v>
      </c>
      <c r="O88" s="15">
        <f t="shared" si="48"/>
        <v>0</v>
      </c>
      <c r="P88" s="15">
        <f t="shared" si="48"/>
        <v>0</v>
      </c>
      <c r="Q88" s="108">
        <f t="shared" si="48"/>
        <v>0</v>
      </c>
      <c r="R88" s="189">
        <f t="shared" si="41"/>
        <v>0</v>
      </c>
      <c r="S88" s="309">
        <v>18216</v>
      </c>
      <c r="T88" s="310">
        <f t="shared" ref="T88" si="49">IFERROR(Q88/S88-1,"")</f>
        <v>-1</v>
      </c>
      <c r="U88" s="233"/>
    </row>
    <row r="89" spans="1:22" x14ac:dyDescent="0.35">
      <c r="A89" s="66"/>
      <c r="Q89" s="101"/>
      <c r="R89" s="184"/>
      <c r="S89" s="304"/>
      <c r="T89" s="308"/>
      <c r="U89" s="233"/>
    </row>
    <row r="90" spans="1:22" x14ac:dyDescent="0.35">
      <c r="A90" s="66" t="s">
        <v>141</v>
      </c>
      <c r="B90" s="6" t="s">
        <v>33</v>
      </c>
      <c r="C90" s="6" t="s">
        <v>62</v>
      </c>
      <c r="E90" s="6">
        <f>ROUND(E$24*0.06,0)</f>
        <v>11411</v>
      </c>
      <c r="F90" s="6">
        <f t="shared" ref="F90:P90" si="50">ROUND(F$24*0.06,0)</f>
        <v>10789</v>
      </c>
      <c r="G90" s="6">
        <f t="shared" si="50"/>
        <v>10789</v>
      </c>
      <c r="H90" s="6">
        <f t="shared" si="50"/>
        <v>10789</v>
      </c>
      <c r="I90" s="6">
        <f t="shared" si="50"/>
        <v>11101</v>
      </c>
      <c r="J90" s="6">
        <f t="shared" si="50"/>
        <v>11101</v>
      </c>
      <c r="K90" s="6">
        <f t="shared" si="50"/>
        <v>11101</v>
      </c>
      <c r="L90" s="6">
        <f t="shared" si="50"/>
        <v>11101</v>
      </c>
      <c r="M90" s="6">
        <f t="shared" si="50"/>
        <v>11101</v>
      </c>
      <c r="N90" s="6">
        <f t="shared" si="50"/>
        <v>11101</v>
      </c>
      <c r="O90" s="6">
        <f t="shared" si="50"/>
        <v>11683</v>
      </c>
      <c r="P90" s="6">
        <f t="shared" si="50"/>
        <v>11683</v>
      </c>
      <c r="Q90" s="101">
        <f>SUM(E90:P90)</f>
        <v>133750</v>
      </c>
      <c r="R90" s="184">
        <f t="shared" ref="R90" si="51">Q90/$B$4</f>
        <v>1.615162603098697</v>
      </c>
      <c r="S90" s="304">
        <v>112998</v>
      </c>
      <c r="T90" s="308">
        <f t="shared" ref="T90:T92" si="52">IFERROR(Q90/S90-1,"")</f>
        <v>0.18364926812863946</v>
      </c>
      <c r="U90" s="233"/>
    </row>
    <row r="91" spans="1:22" x14ac:dyDescent="0.35">
      <c r="A91" s="66"/>
      <c r="Q91" s="101"/>
      <c r="R91" s="184"/>
      <c r="S91" s="304"/>
      <c r="T91" s="308" t="str">
        <f t="shared" si="52"/>
        <v/>
      </c>
      <c r="U91" s="233"/>
    </row>
    <row r="92" spans="1:22" x14ac:dyDescent="0.35">
      <c r="A92" s="66" t="s">
        <v>117</v>
      </c>
      <c r="C92" s="6" t="s">
        <v>63</v>
      </c>
      <c r="E92" s="6">
        <f>VLOOKUP($B$1,'Allocated Expenses'!$B$34:$P$43,4,FALSE)+VLOOKUP($B$1,'Allocated Expenses'!$B$48:$P$57,4,FALSE)</f>
        <v>2153.1975468201326</v>
      </c>
      <c r="F92" s="6">
        <f>VLOOKUP($B$1,'Allocated Expenses'!$B$34:$P$43,5,FALSE)+VLOOKUP($B$1,'Allocated Expenses'!$B$48:$P$57,5,FALSE)</f>
        <v>2153.1975468201326</v>
      </c>
      <c r="G92" s="6">
        <f>VLOOKUP($B$1,'Allocated Expenses'!$B$34:$P$43,6,FALSE)+VLOOKUP($B$1,'Allocated Expenses'!$B$48:$P$57,6,FALSE)</f>
        <v>2153.1975468201326</v>
      </c>
      <c r="H92" s="6">
        <f>VLOOKUP($B$1,'Allocated Expenses'!$B$34:$P$43,7,FALSE)+VLOOKUP($B$1,'Allocated Expenses'!$B$48:$P$57,7,FALSE)</f>
        <v>2153.1975468201326</v>
      </c>
      <c r="I92" s="6">
        <f>VLOOKUP($B$1,'Allocated Expenses'!$B$34:$P$43,8,FALSE)+VLOOKUP($B$1,'Allocated Expenses'!$B$48:$P$57,8,FALSE)</f>
        <v>2153.1975468201326</v>
      </c>
      <c r="J92" s="6">
        <f>VLOOKUP($B$1,'Allocated Expenses'!$B$34:$P$43,9,FALSE)+VLOOKUP($B$1,'Allocated Expenses'!$B$48:$P$57,9,FALSE)</f>
        <v>2153.1975468201326</v>
      </c>
      <c r="K92" s="6">
        <f>VLOOKUP($B$1,'Allocated Expenses'!$B$34:$P$43,10,FALSE)+VLOOKUP($B$1,'Allocated Expenses'!$B$48:$P$57,10,FALSE)</f>
        <v>2153.1975468201326</v>
      </c>
      <c r="L92" s="6">
        <f>VLOOKUP($B$1,'Allocated Expenses'!$B$34:$P$43,11,FALSE)+VLOOKUP($B$1,'Allocated Expenses'!$B$48:$P$57,11,FALSE)</f>
        <v>2153.1975468201326</v>
      </c>
      <c r="M92" s="6">
        <f>VLOOKUP($B$1,'Allocated Expenses'!$B$34:$P$43,12,FALSE)+VLOOKUP($B$1,'Allocated Expenses'!$B$48:$P$57,12,FALSE)</f>
        <v>2153.1975468201326</v>
      </c>
      <c r="N92" s="6">
        <f>VLOOKUP($B$1,'Allocated Expenses'!$B$34:$P$43,13,FALSE)+VLOOKUP($B$1,'Allocated Expenses'!$B$48:$P$57,13,FALSE)</f>
        <v>2153.1975468201326</v>
      </c>
      <c r="O92" s="6">
        <f>VLOOKUP($B$1,'Allocated Expenses'!$B$34:$P$43,14,FALSE)+VLOOKUP($B$1,'Allocated Expenses'!$B$48:$P$57,14,FALSE)</f>
        <v>2153.1975468201326</v>
      </c>
      <c r="P92" s="6">
        <f>VLOOKUP($B$1,'Allocated Expenses'!$B$34:$P$43,15,FALSE)+VLOOKUP($B$1,'Allocated Expenses'!$B$48:$P$57,15,FALSE)</f>
        <v>2153.1975468201326</v>
      </c>
      <c r="Q92" s="101">
        <f>SUM(E92:P92)</f>
        <v>25838.370561841599</v>
      </c>
      <c r="R92" s="184">
        <f t="shared" si="41"/>
        <v>0.31202369986162853</v>
      </c>
      <c r="S92" s="304">
        <v>11339</v>
      </c>
      <c r="T92" s="308">
        <f t="shared" si="52"/>
        <v>1.2787168676110414</v>
      </c>
      <c r="U92" s="233"/>
    </row>
    <row r="93" spans="1:22" x14ac:dyDescent="0.35">
      <c r="A93" s="66"/>
      <c r="Q93" s="101"/>
      <c r="R93" s="184"/>
      <c r="S93" s="304"/>
      <c r="T93" s="308"/>
      <c r="U93" s="233"/>
    </row>
    <row r="94" spans="1:22" x14ac:dyDescent="0.35">
      <c r="A94" s="66" t="s">
        <v>118</v>
      </c>
      <c r="C94" s="6" t="s">
        <v>64</v>
      </c>
      <c r="E94" s="12">
        <v>0</v>
      </c>
      <c r="F94" s="12">
        <v>0</v>
      </c>
      <c r="G94" s="12">
        <v>0</v>
      </c>
      <c r="H94" s="12">
        <f>1.03*32500+40850</f>
        <v>74325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01">
        <f>SUM(E94:P94)</f>
        <v>74325</v>
      </c>
      <c r="R94" s="184">
        <f t="shared" ref="R94" si="53">Q94/$B$4</f>
        <v>0.89754736803970581</v>
      </c>
      <c r="S94" s="55">
        <v>-36167</v>
      </c>
      <c r="T94" s="308">
        <f t="shared" ref="T94" si="54">IFERROR(Q94/S94-1,"")</f>
        <v>-3.0550501838692732</v>
      </c>
      <c r="U94" s="233" t="s">
        <v>283</v>
      </c>
      <c r="V94" s="6" t="s">
        <v>348</v>
      </c>
    </row>
    <row r="95" spans="1:22" x14ac:dyDescent="0.35">
      <c r="A95" s="66"/>
      <c r="Q95" s="101"/>
      <c r="R95" s="184"/>
      <c r="S95" s="304"/>
      <c r="T95" s="308"/>
      <c r="U95" s="233"/>
    </row>
    <row r="96" spans="1:22" x14ac:dyDescent="0.35">
      <c r="A96" s="66" t="s">
        <v>119</v>
      </c>
      <c r="C96" s="6" t="s">
        <v>65</v>
      </c>
      <c r="E96" s="6">
        <f>VLOOKUP($B$1,'Allocated Expenses'!$B$62:$P$71,4,FALSE)</f>
        <v>575.08333333333337</v>
      </c>
      <c r="F96" s="6">
        <f>VLOOKUP($B$1,'Allocated Expenses'!$B$62:$P$71,5,FALSE)</f>
        <v>575.08333333333337</v>
      </c>
      <c r="G96" s="6">
        <f>VLOOKUP($B$1,'Allocated Expenses'!$B$62:$P$71,6,FALSE)</f>
        <v>575.08333333333337</v>
      </c>
      <c r="H96" s="6">
        <f>VLOOKUP($B$1,'Allocated Expenses'!$B$62:$P$71,7,FALSE)</f>
        <v>575.08333333333337</v>
      </c>
      <c r="I96" s="6">
        <f>VLOOKUP($B$1,'Allocated Expenses'!$B$62:$P$71,8,FALSE)</f>
        <v>575.08333333333337</v>
      </c>
      <c r="J96" s="6">
        <f>VLOOKUP($B$1,'Allocated Expenses'!$B$62:$P$71,9,FALSE)</f>
        <v>575.08333333333337</v>
      </c>
      <c r="K96" s="6">
        <f>VLOOKUP($B$1,'Allocated Expenses'!$B$62:$P$71,10,FALSE)</f>
        <v>575.08333333333337</v>
      </c>
      <c r="L96" s="6">
        <f>VLOOKUP($B$1,'Allocated Expenses'!$B$62:$P$71,11,FALSE)</f>
        <v>575.08333333333337</v>
      </c>
      <c r="M96" s="6">
        <f>VLOOKUP($B$1,'Allocated Expenses'!$B$62:$P$71,12,FALSE)</f>
        <v>575.08333333333337</v>
      </c>
      <c r="N96" s="6">
        <f>VLOOKUP($B$1,'Allocated Expenses'!$B$62:$P$71,13,FALSE)</f>
        <v>575.08333333333337</v>
      </c>
      <c r="O96" s="6">
        <f>VLOOKUP($B$1,'Allocated Expenses'!$B$62:$P$71,14,FALSE)</f>
        <v>575.08333333333337</v>
      </c>
      <c r="P96" s="6">
        <f>VLOOKUP($B$1,'Allocated Expenses'!$B$62:$P$71,15,FALSE)</f>
        <v>575.08333333333337</v>
      </c>
      <c r="Q96" s="101">
        <f>SUM(E96:P96)</f>
        <v>6900.9999999999991</v>
      </c>
      <c r="R96" s="184">
        <f t="shared" si="41"/>
        <v>8.3336352328853128E-2</v>
      </c>
      <c r="S96" s="304">
        <v>7876</v>
      </c>
      <c r="T96" s="308">
        <f t="shared" ref="T96" si="55">IFERROR(Q96/S96-1,"")</f>
        <v>-0.12379380396140183</v>
      </c>
      <c r="U96" s="233"/>
    </row>
    <row r="97" spans="1:21" x14ac:dyDescent="0.35">
      <c r="A97" s="66"/>
      <c r="Q97" s="101"/>
      <c r="R97" s="184"/>
      <c r="S97" s="304"/>
      <c r="T97" s="308"/>
      <c r="U97" s="233"/>
    </row>
    <row r="98" spans="1:21" x14ac:dyDescent="0.35">
      <c r="A98" s="66" t="s">
        <v>126</v>
      </c>
      <c r="D98" s="6" t="s">
        <v>66</v>
      </c>
      <c r="E98" s="6">
        <f>VLOOKUP($B$1,'Allocated Expenses'!$B$76:$P$85,4,FALSE)</f>
        <v>0</v>
      </c>
      <c r="F98" s="6">
        <f>VLOOKUP($B$1,'Allocated Expenses'!$B$76:$P$85,5,FALSE)</f>
        <v>0</v>
      </c>
      <c r="G98" s="6">
        <f>VLOOKUP($B$1,'Allocated Expenses'!$B$76:$P$85,6,FALSE)</f>
        <v>0</v>
      </c>
      <c r="H98" s="6">
        <f>VLOOKUP($B$1,'Allocated Expenses'!$B$76:$P$85,7,FALSE)</f>
        <v>0</v>
      </c>
      <c r="I98" s="6">
        <f>VLOOKUP($B$1,'Allocated Expenses'!$B$76:$P$85,8,FALSE)</f>
        <v>0</v>
      </c>
      <c r="J98" s="6">
        <f>VLOOKUP($B$1,'Allocated Expenses'!$B$76:$P$85,9,FALSE)</f>
        <v>0</v>
      </c>
      <c r="K98" s="6">
        <f>VLOOKUP($B$1,'Allocated Expenses'!$B$76:$P$85,10,FALSE)</f>
        <v>0</v>
      </c>
      <c r="L98" s="6">
        <f>VLOOKUP($B$1,'Allocated Expenses'!$B$76:$P$85,11,FALSE)</f>
        <v>0</v>
      </c>
      <c r="M98" s="6">
        <f>VLOOKUP($B$1,'Allocated Expenses'!$B$76:$P$85,12,FALSE)</f>
        <v>0</v>
      </c>
      <c r="N98" s="6">
        <f>VLOOKUP($B$1,'Allocated Expenses'!$B$76:$P$85,13,FALSE)</f>
        <v>0</v>
      </c>
      <c r="O98" s="6">
        <f>VLOOKUP($B$1,'Allocated Expenses'!$B$76:$P$85,14,FALSE)</f>
        <v>0</v>
      </c>
      <c r="P98" s="6">
        <f>VLOOKUP($B$1,'Allocated Expenses'!$B$76:$P$85,15,FALSE)</f>
        <v>0</v>
      </c>
      <c r="Q98" s="101">
        <f>SUM(E98:P98)</f>
        <v>0</v>
      </c>
      <c r="R98" s="184">
        <f t="shared" si="41"/>
        <v>0</v>
      </c>
      <c r="S98" s="304"/>
      <c r="T98" s="308"/>
      <c r="U98" s="233"/>
    </row>
    <row r="99" spans="1:21" x14ac:dyDescent="0.35">
      <c r="A99" s="66" t="s">
        <v>142</v>
      </c>
      <c r="D99" s="6" t="s">
        <v>67</v>
      </c>
      <c r="E99" s="6">
        <f>VLOOKUP($B$1,'Allocated Expenses'!$B$104:$P$113,4,FALSE)</f>
        <v>0</v>
      </c>
      <c r="F99" s="6">
        <f>VLOOKUP($B$1,'Allocated Expenses'!$B$104:$P$113,5,FALSE)</f>
        <v>0</v>
      </c>
      <c r="G99" s="6">
        <f>VLOOKUP($B$1,'Allocated Expenses'!$B$104:$P$113,6,FALSE)</f>
        <v>0</v>
      </c>
      <c r="H99" s="6">
        <f>VLOOKUP($B$1,'Allocated Expenses'!$B$104:$P$113,7,FALSE)</f>
        <v>0</v>
      </c>
      <c r="I99" s="6">
        <f>VLOOKUP($B$1,'Allocated Expenses'!$B$104:$P$113,8,FALSE)</f>
        <v>0</v>
      </c>
      <c r="J99" s="6">
        <f>VLOOKUP($B$1,'Allocated Expenses'!$B$104:$P$113,9,FALSE)</f>
        <v>0</v>
      </c>
      <c r="K99" s="6">
        <f>VLOOKUP($B$1,'Allocated Expenses'!$B$104:$P$113,10,FALSE)</f>
        <v>0</v>
      </c>
      <c r="L99" s="6">
        <f>VLOOKUP($B$1,'Allocated Expenses'!$B$104:$P$113,11,FALSE)</f>
        <v>0</v>
      </c>
      <c r="M99" s="6">
        <f>VLOOKUP($B$1,'Allocated Expenses'!$B$104:$P$113,12,FALSE)</f>
        <v>0</v>
      </c>
      <c r="N99" s="6">
        <f>VLOOKUP($B$1,'Allocated Expenses'!$B$104:$P$113,13,FALSE)</f>
        <v>0</v>
      </c>
      <c r="O99" s="6">
        <f>VLOOKUP($B$1,'Allocated Expenses'!$B$104:$P$113,14,FALSE)</f>
        <v>0</v>
      </c>
      <c r="P99" s="6">
        <f>VLOOKUP($B$1,'Allocated Expenses'!$B$104:$P$113,15,FALSE)</f>
        <v>0</v>
      </c>
      <c r="Q99" s="101">
        <f>SUM(E99:P99)</f>
        <v>0</v>
      </c>
      <c r="R99" s="184">
        <f t="shared" si="41"/>
        <v>0</v>
      </c>
      <c r="S99" s="304"/>
      <c r="T99" s="308"/>
      <c r="U99" s="233"/>
    </row>
    <row r="100" spans="1:21" x14ac:dyDescent="0.35">
      <c r="A100" s="66" t="s">
        <v>143</v>
      </c>
      <c r="D100" s="6" t="s">
        <v>68</v>
      </c>
      <c r="E100" s="6">
        <f>VLOOKUP($B$1,'Allocated Expenses'!$B$90:$P$99,4,FALSE)</f>
        <v>0</v>
      </c>
      <c r="F100" s="6">
        <f>VLOOKUP($B$1,'Allocated Expenses'!$B$90:$P$99,5,FALSE)</f>
        <v>0</v>
      </c>
      <c r="G100" s="6">
        <f>VLOOKUP($B$1,'Allocated Expenses'!$B$90:$P$99,6,FALSE)</f>
        <v>0</v>
      </c>
      <c r="H100" s="6">
        <f>VLOOKUP($B$1,'Allocated Expenses'!$B$90:$P$99,7,FALSE)</f>
        <v>0</v>
      </c>
      <c r="I100" s="6">
        <f>VLOOKUP($B$1,'Allocated Expenses'!$B$90:$P$99,8,FALSE)</f>
        <v>0</v>
      </c>
      <c r="J100" s="6">
        <f>VLOOKUP($B$1,'Allocated Expenses'!$B$90:$P$99,9,FALSE)</f>
        <v>0</v>
      </c>
      <c r="K100" s="6">
        <f>VLOOKUP($B$1,'Allocated Expenses'!$B$90:$P$99,10,FALSE)</f>
        <v>0</v>
      </c>
      <c r="L100" s="6">
        <f>VLOOKUP($B$1,'Allocated Expenses'!$B$90:$P$99,11,FALSE)</f>
        <v>0</v>
      </c>
      <c r="M100" s="6">
        <f>VLOOKUP($B$1,'Allocated Expenses'!$B$90:$P$99,12,FALSE)</f>
        <v>0</v>
      </c>
      <c r="N100" s="6">
        <f>VLOOKUP($B$1,'Allocated Expenses'!$B$90:$P$99,13,FALSE)</f>
        <v>0</v>
      </c>
      <c r="O100" s="6">
        <f>VLOOKUP($B$1,'Allocated Expenses'!$B$90:$P$99,14,FALSE)</f>
        <v>0</v>
      </c>
      <c r="P100" s="6">
        <f>VLOOKUP($B$1,'Allocated Expenses'!$B$90:$P$99,15,FALSE)</f>
        <v>0</v>
      </c>
      <c r="Q100" s="101">
        <f>SUM(E100:P100)</f>
        <v>0</v>
      </c>
      <c r="R100" s="184">
        <f t="shared" si="41"/>
        <v>0</v>
      </c>
      <c r="S100" s="304"/>
      <c r="T100" s="308"/>
      <c r="U100" s="233"/>
    </row>
    <row r="101" spans="1:21" x14ac:dyDescent="0.35">
      <c r="A101" s="66" t="s">
        <v>127</v>
      </c>
      <c r="D101" s="6" t="s">
        <v>69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01">
        <f>SUM(E101:P101)</f>
        <v>0</v>
      </c>
      <c r="R101" s="184">
        <f t="shared" si="41"/>
        <v>0</v>
      </c>
      <c r="S101" s="304"/>
      <c r="T101" s="308"/>
      <c r="U101" s="233"/>
    </row>
    <row r="102" spans="1:21" x14ac:dyDescent="0.35">
      <c r="A102" s="66" t="s">
        <v>120</v>
      </c>
      <c r="D102" s="6" t="s">
        <v>70</v>
      </c>
      <c r="E102" s="15">
        <f>VLOOKUP($B$1,'Allocated Expenses'!$B$118:$P$127,4,FALSE)</f>
        <v>235.18333333333337</v>
      </c>
      <c r="F102" s="15">
        <f>VLOOKUP($B$1,'Allocated Expenses'!$B$118:$P$127,5,FALSE)</f>
        <v>235.18333333333337</v>
      </c>
      <c r="G102" s="15">
        <f>VLOOKUP($B$1,'Allocated Expenses'!$B$118:$P$127,6,FALSE)</f>
        <v>235.18333333333337</v>
      </c>
      <c r="H102" s="15">
        <f>VLOOKUP($B$1,'Allocated Expenses'!$B$118:$P$127,7,FALSE)</f>
        <v>235.18333333333337</v>
      </c>
      <c r="I102" s="15">
        <f>VLOOKUP($B$1,'Allocated Expenses'!$B$118:$P$127,8,FALSE)</f>
        <v>235.18333333333337</v>
      </c>
      <c r="J102" s="15">
        <f>VLOOKUP($B$1,'Allocated Expenses'!$B$118:$P$127,9,FALSE)</f>
        <v>235.18333333333337</v>
      </c>
      <c r="K102" s="15">
        <f>VLOOKUP($B$1,'Allocated Expenses'!$B$118:$P$127,10,FALSE)</f>
        <v>235.18333333333337</v>
      </c>
      <c r="L102" s="15">
        <f>VLOOKUP($B$1,'Allocated Expenses'!$B$118:$P$127,11,FALSE)</f>
        <v>235.18333333333337</v>
      </c>
      <c r="M102" s="15">
        <f>VLOOKUP($B$1,'Allocated Expenses'!$B$118:$P$127,12,FALSE)</f>
        <v>235.18333333333337</v>
      </c>
      <c r="N102" s="15">
        <f>VLOOKUP($B$1,'Allocated Expenses'!$B$118:$P$127,13,FALSE)</f>
        <v>235.18333333333337</v>
      </c>
      <c r="O102" s="15">
        <f>VLOOKUP($B$1,'Allocated Expenses'!$B$118:$P$127,14,FALSE)</f>
        <v>235.18333333333337</v>
      </c>
      <c r="P102" s="15">
        <f>VLOOKUP($B$1,'Allocated Expenses'!$B$118:$P$127,15,FALSE)</f>
        <v>235.18333333333337</v>
      </c>
      <c r="Q102" s="108">
        <f>SUM(E102:P102)</f>
        <v>2822.2000000000003</v>
      </c>
      <c r="R102" s="189">
        <f t="shared" si="41"/>
        <v>3.4080836624038456E-2</v>
      </c>
      <c r="S102" s="304"/>
      <c r="T102" s="308"/>
      <c r="U102" s="233"/>
    </row>
    <row r="103" spans="1:21" x14ac:dyDescent="0.35">
      <c r="A103" s="66"/>
      <c r="C103" s="6" t="s">
        <v>71</v>
      </c>
      <c r="E103" s="15">
        <f t="shared" ref="E103:Q103" si="56">SUM(E98:E102)</f>
        <v>235.18333333333337</v>
      </c>
      <c r="F103" s="15">
        <f t="shared" si="56"/>
        <v>235.18333333333337</v>
      </c>
      <c r="G103" s="15">
        <f t="shared" si="56"/>
        <v>235.18333333333337</v>
      </c>
      <c r="H103" s="15">
        <f t="shared" si="56"/>
        <v>235.18333333333337</v>
      </c>
      <c r="I103" s="15">
        <f t="shared" si="56"/>
        <v>235.18333333333337</v>
      </c>
      <c r="J103" s="15">
        <f t="shared" si="56"/>
        <v>235.18333333333337</v>
      </c>
      <c r="K103" s="15">
        <f t="shared" si="56"/>
        <v>235.18333333333337</v>
      </c>
      <c r="L103" s="15">
        <f t="shared" si="56"/>
        <v>235.18333333333337</v>
      </c>
      <c r="M103" s="15">
        <f t="shared" si="56"/>
        <v>235.18333333333337</v>
      </c>
      <c r="N103" s="15">
        <f t="shared" si="56"/>
        <v>235.18333333333337</v>
      </c>
      <c r="O103" s="15">
        <f t="shared" si="56"/>
        <v>235.18333333333337</v>
      </c>
      <c r="P103" s="15">
        <f t="shared" si="56"/>
        <v>235.18333333333337</v>
      </c>
      <c r="Q103" s="108">
        <f t="shared" si="56"/>
        <v>2822.2000000000003</v>
      </c>
      <c r="R103" s="189">
        <f t="shared" si="41"/>
        <v>3.4080836624038456E-2</v>
      </c>
      <c r="S103" s="309">
        <v>35744</v>
      </c>
      <c r="T103" s="310">
        <f t="shared" ref="T103" si="57">IFERROR(Q103/S103-1,"")</f>
        <v>-0.92104409131602505</v>
      </c>
      <c r="U103" s="233"/>
    </row>
    <row r="104" spans="1:21" x14ac:dyDescent="0.35">
      <c r="A104" s="66"/>
      <c r="Q104" s="101"/>
      <c r="R104" s="184"/>
      <c r="S104" s="304"/>
      <c r="T104" s="308"/>
      <c r="U104" s="233"/>
    </row>
    <row r="105" spans="1:21" ht="18" x14ac:dyDescent="0.35">
      <c r="A105" s="66"/>
      <c r="C105" s="29" t="s">
        <v>72</v>
      </c>
      <c r="D105" s="54"/>
      <c r="E105" s="54">
        <f t="shared" ref="E105:P105" si="58">+E75+E79+E84+E88+E90+E92+E94+E96+E103</f>
        <v>20979.666405579399</v>
      </c>
      <c r="F105" s="54">
        <f t="shared" si="58"/>
        <v>20356.6364055794</v>
      </c>
      <c r="G105" s="54">
        <f t="shared" si="58"/>
        <v>20354.576405579395</v>
      </c>
      <c r="H105" s="54">
        <f t="shared" si="58"/>
        <v>94581.726405579393</v>
      </c>
      <c r="I105" s="54">
        <f t="shared" si="58"/>
        <v>20573.876405579398</v>
      </c>
      <c r="J105" s="54">
        <f t="shared" si="58"/>
        <v>20570.786405579402</v>
      </c>
      <c r="K105" s="54">
        <f t="shared" si="58"/>
        <v>20570.786405579402</v>
      </c>
      <c r="L105" s="54">
        <f t="shared" si="58"/>
        <v>20613.016405579398</v>
      </c>
      <c r="M105" s="54">
        <f t="shared" si="58"/>
        <v>20570.786405579402</v>
      </c>
      <c r="N105" s="54">
        <f t="shared" si="58"/>
        <v>20572.846405579399</v>
      </c>
      <c r="O105" s="54">
        <f t="shared" si="58"/>
        <v>21259.906405579397</v>
      </c>
      <c r="P105" s="54">
        <f t="shared" si="58"/>
        <v>21255.786405579402</v>
      </c>
      <c r="Q105" s="109">
        <f>+Q75+Q79+Q84+Q88+Q90+Q92+Q94+Q96+Q103</f>
        <v>322260.39686695283</v>
      </c>
      <c r="R105" s="190">
        <f t="shared" si="41"/>
        <v>3.8916107774149284</v>
      </c>
      <c r="S105" s="315">
        <f t="shared" ref="S105" si="59">+S75+S79+S84+S88+S90+S92+S94+S96+S103</f>
        <v>241969</v>
      </c>
      <c r="T105" s="310">
        <f t="shared" ref="T105" si="60">IFERROR(Q105/S105-1,"")</f>
        <v>0.33182513820759207</v>
      </c>
      <c r="U105" s="236"/>
    </row>
    <row r="106" spans="1:21" ht="18" x14ac:dyDescent="0.35">
      <c r="A106" s="66"/>
      <c r="Q106" s="103"/>
      <c r="R106" s="185"/>
      <c r="S106" s="311"/>
      <c r="T106" s="312"/>
      <c r="U106" s="234"/>
    </row>
    <row r="107" spans="1:21" ht="16.5" thickBot="1" x14ac:dyDescent="0.4">
      <c r="A107" s="66"/>
      <c r="Q107" s="101"/>
      <c r="R107" s="184"/>
      <c r="S107" s="304"/>
      <c r="T107" s="308"/>
      <c r="U107" s="233"/>
    </row>
    <row r="108" spans="1:21" s="8" customFormat="1" ht="18" thickBot="1" x14ac:dyDescent="0.4">
      <c r="A108" s="218"/>
      <c r="B108" s="219" t="s">
        <v>73</v>
      </c>
      <c r="C108" s="220"/>
      <c r="D108" s="220"/>
      <c r="E108" s="220">
        <f t="shared" ref="E108:Q108" si="61">+E71+E105</f>
        <v>76794.594519883598</v>
      </c>
      <c r="F108" s="220">
        <f t="shared" si="61"/>
        <v>74961.464519883593</v>
      </c>
      <c r="G108" s="220">
        <f t="shared" si="61"/>
        <v>74698.754519883587</v>
      </c>
      <c r="H108" s="220">
        <f t="shared" si="61"/>
        <v>154118.49451988359</v>
      </c>
      <c r="I108" s="220">
        <f t="shared" si="61"/>
        <v>70983.694519883604</v>
      </c>
      <c r="J108" s="220">
        <f t="shared" si="61"/>
        <v>67065.144519883601</v>
      </c>
      <c r="K108" s="220">
        <f t="shared" si="61"/>
        <v>67557.584519883603</v>
      </c>
      <c r="L108" s="220">
        <f t="shared" si="61"/>
        <v>66288.884519883592</v>
      </c>
      <c r="M108" s="220">
        <f t="shared" si="61"/>
        <v>78752.2845198836</v>
      </c>
      <c r="N108" s="220">
        <f t="shared" si="61"/>
        <v>69701.844519883598</v>
      </c>
      <c r="O108" s="220">
        <f t="shared" si="61"/>
        <v>72337.454519883599</v>
      </c>
      <c r="P108" s="220">
        <f t="shared" si="61"/>
        <v>71408.804519883604</v>
      </c>
      <c r="Q108" s="221">
        <f t="shared" si="61"/>
        <v>944669.00423860317</v>
      </c>
      <c r="R108" s="222">
        <f t="shared" si="41"/>
        <v>11.407805966001318</v>
      </c>
      <c r="S108" s="313">
        <f t="shared" ref="S108" si="62">+S71+S105</f>
        <v>852382</v>
      </c>
      <c r="T108" s="314">
        <f>Q108/S108-1</f>
        <v>0.10826953670842787</v>
      </c>
      <c r="U108" s="235"/>
    </row>
    <row r="109" spans="1:21" ht="18" x14ac:dyDescent="0.35">
      <c r="A109" s="66"/>
      <c r="Q109" s="103"/>
      <c r="R109" s="185"/>
      <c r="S109" s="311"/>
      <c r="T109" s="312"/>
      <c r="U109" s="234"/>
    </row>
    <row r="110" spans="1:21" ht="16.5" thickBot="1" x14ac:dyDescent="0.4">
      <c r="A110" s="66"/>
      <c r="Q110" s="101"/>
      <c r="R110" s="184"/>
      <c r="S110" s="304"/>
      <c r="T110" s="308"/>
      <c r="U110" s="233"/>
    </row>
    <row r="111" spans="1:21" s="8" customFormat="1" ht="18" thickBot="1" x14ac:dyDescent="0.4">
      <c r="A111" s="218"/>
      <c r="B111" s="219" t="s">
        <v>74</v>
      </c>
      <c r="C111" s="220"/>
      <c r="D111" s="220"/>
      <c r="E111" s="220">
        <f t="shared" ref="E111:Q111" si="63">+E24-E108</f>
        <v>113393.05268011641</v>
      </c>
      <c r="F111" s="220">
        <f t="shared" si="63"/>
        <v>104861.18268011641</v>
      </c>
      <c r="G111" s="220">
        <f t="shared" si="63"/>
        <v>105123.89268011642</v>
      </c>
      <c r="H111" s="220">
        <f t="shared" si="63"/>
        <v>25704.152680116415</v>
      </c>
      <c r="I111" s="220">
        <f t="shared" si="63"/>
        <v>114038.9526801164</v>
      </c>
      <c r="J111" s="220">
        <f t="shared" si="63"/>
        <v>117957.50268011641</v>
      </c>
      <c r="K111" s="220">
        <f t="shared" si="63"/>
        <v>117465.0626801164</v>
      </c>
      <c r="L111" s="220">
        <f t="shared" si="63"/>
        <v>118733.76268011642</v>
      </c>
      <c r="M111" s="220">
        <f t="shared" si="63"/>
        <v>106270.36268011641</v>
      </c>
      <c r="N111" s="220">
        <f t="shared" si="63"/>
        <v>115320.80268011641</v>
      </c>
      <c r="O111" s="220">
        <f t="shared" si="63"/>
        <v>122371.85268011641</v>
      </c>
      <c r="P111" s="220">
        <f t="shared" si="63"/>
        <v>123300.50268011641</v>
      </c>
      <c r="Q111" s="221">
        <f t="shared" si="63"/>
        <v>1284541.0821613963</v>
      </c>
      <c r="R111" s="222">
        <f t="shared" si="41"/>
        <v>15.512095088231911</v>
      </c>
      <c r="S111" s="313">
        <f t="shared" ref="S111" si="64">+S24-S108</f>
        <v>1207021</v>
      </c>
      <c r="T111" s="314">
        <f>Q111/S111-1</f>
        <v>6.4224302776336284E-2</v>
      </c>
      <c r="U111" s="235"/>
    </row>
    <row r="112" spans="1:21" ht="18" x14ac:dyDescent="0.35">
      <c r="A112" s="66"/>
      <c r="Q112" s="103"/>
      <c r="R112" s="185"/>
      <c r="S112" s="311"/>
      <c r="T112" s="312"/>
      <c r="U112" s="234"/>
    </row>
    <row r="113" spans="1:22" x14ac:dyDescent="0.35">
      <c r="A113" s="66" t="s">
        <v>121</v>
      </c>
      <c r="D113" s="6" t="s">
        <v>75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01">
        <f t="shared" ref="Q113:Q116" si="65">SUM(E113:P113)</f>
        <v>0</v>
      </c>
      <c r="R113" s="184">
        <f t="shared" si="41"/>
        <v>0</v>
      </c>
      <c r="S113" s="304"/>
      <c r="T113" s="308"/>
      <c r="U113" s="233"/>
    </row>
    <row r="114" spans="1:22" x14ac:dyDescent="0.35">
      <c r="A114" s="66" t="s">
        <v>122</v>
      </c>
      <c r="D114" s="6" t="s">
        <v>76</v>
      </c>
      <c r="E114" s="12"/>
      <c r="F114" s="12"/>
      <c r="G114" s="12"/>
      <c r="H114" s="12"/>
      <c r="I114" s="12"/>
      <c r="J114" s="12"/>
      <c r="K114" s="12">
        <f>1.03*250000</f>
        <v>257500</v>
      </c>
      <c r="L114" s="12"/>
      <c r="M114" s="12"/>
      <c r="N114" s="12"/>
      <c r="O114" s="12"/>
      <c r="P114" s="12"/>
      <c r="Q114" s="101">
        <f t="shared" si="65"/>
        <v>257500</v>
      </c>
      <c r="R114" s="184">
        <f t="shared" si="41"/>
        <v>3.1095653854049679</v>
      </c>
      <c r="S114" s="304"/>
      <c r="T114" s="308"/>
      <c r="U114" s="233" t="s">
        <v>283</v>
      </c>
      <c r="V114" s="6" t="s">
        <v>492</v>
      </c>
    </row>
    <row r="115" spans="1:22" x14ac:dyDescent="0.35">
      <c r="A115" s="66" t="s">
        <v>123</v>
      </c>
      <c r="D115" s="6" t="s">
        <v>77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01">
        <f t="shared" si="65"/>
        <v>0</v>
      </c>
      <c r="R115" s="184">
        <f t="shared" si="41"/>
        <v>0</v>
      </c>
      <c r="S115" s="304"/>
      <c r="T115" s="308"/>
      <c r="U115" s="233"/>
    </row>
    <row r="116" spans="1:22" x14ac:dyDescent="0.35">
      <c r="A116" s="66" t="s">
        <v>129</v>
      </c>
      <c r="D116" s="6" t="s">
        <v>78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08">
        <f t="shared" si="65"/>
        <v>0</v>
      </c>
      <c r="R116" s="189">
        <f t="shared" si="41"/>
        <v>0</v>
      </c>
      <c r="S116" s="304"/>
      <c r="T116" s="308"/>
      <c r="U116" s="233"/>
    </row>
    <row r="117" spans="1:22" x14ac:dyDescent="0.35">
      <c r="A117" s="66"/>
      <c r="C117" s="6" t="s">
        <v>78</v>
      </c>
      <c r="E117" s="15">
        <f t="shared" ref="E117:Q117" si="66">SUM(E113:E116)</f>
        <v>0</v>
      </c>
      <c r="F117" s="15">
        <f t="shared" si="66"/>
        <v>0</v>
      </c>
      <c r="G117" s="15">
        <f t="shared" si="66"/>
        <v>0</v>
      </c>
      <c r="H117" s="15">
        <f t="shared" si="66"/>
        <v>0</v>
      </c>
      <c r="I117" s="15">
        <f t="shared" si="66"/>
        <v>0</v>
      </c>
      <c r="J117" s="15">
        <f t="shared" si="66"/>
        <v>0</v>
      </c>
      <c r="K117" s="15">
        <f t="shared" si="66"/>
        <v>257500</v>
      </c>
      <c r="L117" s="15">
        <f t="shared" si="66"/>
        <v>0</v>
      </c>
      <c r="M117" s="15">
        <f t="shared" si="66"/>
        <v>0</v>
      </c>
      <c r="N117" s="15">
        <f t="shared" si="66"/>
        <v>0</v>
      </c>
      <c r="O117" s="15">
        <f t="shared" si="66"/>
        <v>0</v>
      </c>
      <c r="P117" s="15">
        <f t="shared" si="66"/>
        <v>0</v>
      </c>
      <c r="Q117" s="108">
        <f t="shared" si="66"/>
        <v>257500</v>
      </c>
      <c r="R117" s="189">
        <f t="shared" si="41"/>
        <v>3.1095653854049679</v>
      </c>
      <c r="S117" s="309">
        <v>51899</v>
      </c>
      <c r="T117" s="310">
        <f>IFERROR(Q117/S117-1,"")</f>
        <v>3.9615599529856063</v>
      </c>
      <c r="U117" s="233"/>
    </row>
    <row r="118" spans="1:22" x14ac:dyDescent="0.35">
      <c r="A118" s="66"/>
      <c r="Q118" s="101"/>
      <c r="R118" s="184"/>
      <c r="S118" s="304"/>
      <c r="T118" s="308"/>
      <c r="U118" s="233"/>
    </row>
    <row r="119" spans="1:22" x14ac:dyDescent="0.35">
      <c r="A119" s="66" t="s">
        <v>124</v>
      </c>
      <c r="C119" s="6" t="s">
        <v>79</v>
      </c>
      <c r="E119" s="6">
        <f>'Renew &amp; Vac '!AJ77</f>
        <v>0</v>
      </c>
      <c r="F119" s="6">
        <f>'Renew &amp; Vac '!AK77</f>
        <v>0</v>
      </c>
      <c r="G119" s="6">
        <f>'Renew &amp; Vac '!AL77</f>
        <v>0</v>
      </c>
      <c r="H119" s="6">
        <f>'Renew &amp; Vac '!AM77</f>
        <v>0</v>
      </c>
      <c r="I119" s="6">
        <f>'Renew &amp; Vac '!AN77</f>
        <v>0</v>
      </c>
      <c r="J119" s="6">
        <f>'Renew &amp; Vac '!AO77</f>
        <v>0</v>
      </c>
      <c r="K119" s="6">
        <f>'Renew &amp; Vac '!AP77</f>
        <v>0</v>
      </c>
      <c r="L119" s="6">
        <f>'Renew &amp; Vac '!AQ77</f>
        <v>0</v>
      </c>
      <c r="M119" s="6">
        <f>'Renew &amp; Vac '!AR77</f>
        <v>0</v>
      </c>
      <c r="N119" s="6">
        <f>'Renew &amp; Vac '!AS77</f>
        <v>0</v>
      </c>
      <c r="O119" s="6">
        <f>'Renew &amp; Vac '!AT77</f>
        <v>0</v>
      </c>
      <c r="P119" s="6">
        <f>'Renew &amp; Vac '!AU77</f>
        <v>0</v>
      </c>
      <c r="Q119" s="101">
        <f>SUM(E119:P119)</f>
        <v>0</v>
      </c>
      <c r="R119" s="184">
        <f t="shared" si="41"/>
        <v>0</v>
      </c>
      <c r="S119" s="304">
        <v>58375</v>
      </c>
      <c r="T119" s="308">
        <f t="shared" ref="T119" si="67">IFERROR(Q119/S119-1,"")</f>
        <v>-1</v>
      </c>
      <c r="U119" s="233"/>
    </row>
    <row r="120" spans="1:22" ht="18" x14ac:dyDescent="0.35">
      <c r="A120" s="6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11"/>
      <c r="R120" s="192"/>
      <c r="S120" s="317"/>
      <c r="T120" s="318"/>
      <c r="U120" s="236"/>
    </row>
    <row r="121" spans="1:22" ht="18" x14ac:dyDescent="0.35">
      <c r="A121" s="66" t="s">
        <v>125</v>
      </c>
      <c r="D121" s="6" t="s">
        <v>80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03">
        <f>SUM(E121:P121)</f>
        <v>0</v>
      </c>
      <c r="R121" s="185">
        <f t="shared" si="41"/>
        <v>0</v>
      </c>
      <c r="S121" s="311"/>
      <c r="T121" s="312"/>
      <c r="U121" s="234"/>
    </row>
    <row r="122" spans="1:22" x14ac:dyDescent="0.35">
      <c r="A122" s="66" t="s">
        <v>125</v>
      </c>
      <c r="B122" s="8"/>
      <c r="D122" s="6" t="s">
        <v>81</v>
      </c>
      <c r="E122" s="15">
        <f>'Renew &amp; Vac '!AJ78</f>
        <v>0</v>
      </c>
      <c r="F122" s="15">
        <f>'Renew &amp; Vac '!AK78</f>
        <v>0</v>
      </c>
      <c r="G122" s="15">
        <f>'Renew &amp; Vac '!AL78</f>
        <v>0</v>
      </c>
      <c r="H122" s="15">
        <f>'Renew &amp; Vac '!AM78</f>
        <v>0</v>
      </c>
      <c r="I122" s="15">
        <f>'Renew &amp; Vac '!AN78</f>
        <v>0</v>
      </c>
      <c r="J122" s="15">
        <f>'Renew &amp; Vac '!AO78</f>
        <v>0</v>
      </c>
      <c r="K122" s="15">
        <f>'Renew &amp; Vac '!AP78</f>
        <v>0</v>
      </c>
      <c r="L122" s="15">
        <f>'Renew &amp; Vac '!AQ78</f>
        <v>0</v>
      </c>
      <c r="M122" s="15">
        <f>'Renew &amp; Vac '!AR78</f>
        <v>0</v>
      </c>
      <c r="N122" s="15">
        <f>'Renew &amp; Vac '!AS78</f>
        <v>0</v>
      </c>
      <c r="O122" s="15">
        <f>'Renew &amp; Vac '!AT78</f>
        <v>0</v>
      </c>
      <c r="P122" s="15">
        <f>'Renew &amp; Vac '!AU78</f>
        <v>0</v>
      </c>
      <c r="Q122" s="108">
        <f>SUM(E122:P122)</f>
        <v>0</v>
      </c>
      <c r="R122" s="189">
        <f t="shared" si="41"/>
        <v>0</v>
      </c>
      <c r="S122" s="319"/>
      <c r="T122" s="320"/>
      <c r="U122" s="233"/>
    </row>
    <row r="123" spans="1:22" x14ac:dyDescent="0.35">
      <c r="A123" s="66"/>
      <c r="C123" s="6" t="s">
        <v>81</v>
      </c>
      <c r="D123" s="30"/>
      <c r="E123" s="6">
        <f t="shared" ref="E123:P123" si="68">SUM(E121:E122)</f>
        <v>0</v>
      </c>
      <c r="F123" s="6">
        <f t="shared" si="68"/>
        <v>0</v>
      </c>
      <c r="G123" s="6">
        <f>SUM(G121:G122)</f>
        <v>0</v>
      </c>
      <c r="H123" s="6">
        <f t="shared" si="68"/>
        <v>0</v>
      </c>
      <c r="I123" s="6">
        <f t="shared" si="68"/>
        <v>0</v>
      </c>
      <c r="J123" s="6">
        <f t="shared" si="68"/>
        <v>0</v>
      </c>
      <c r="K123" s="6">
        <f t="shared" si="68"/>
        <v>0</v>
      </c>
      <c r="L123" s="6">
        <f t="shared" si="68"/>
        <v>0</v>
      </c>
      <c r="M123" s="6">
        <f t="shared" si="68"/>
        <v>0</v>
      </c>
      <c r="N123" s="6">
        <f t="shared" si="68"/>
        <v>0</v>
      </c>
      <c r="O123" s="6">
        <f t="shared" si="68"/>
        <v>0</v>
      </c>
      <c r="P123" s="6">
        <f t="shared" si="68"/>
        <v>0</v>
      </c>
      <c r="Q123" s="101">
        <f>SUM(E123:P123)</f>
        <v>0</v>
      </c>
      <c r="R123" s="184">
        <f t="shared" ref="R123" si="69">Q123/$B$4</f>
        <v>0</v>
      </c>
      <c r="S123" s="309"/>
      <c r="T123" s="310" t="str">
        <f t="shared" ref="T123" si="70">IFERROR(Q123/S123-1,"")</f>
        <v/>
      </c>
      <c r="U123" s="233"/>
    </row>
    <row r="124" spans="1:22" s="8" customFormat="1" ht="18.5" thickBot="1" x14ac:dyDescent="0.4">
      <c r="A124" s="67"/>
      <c r="Q124" s="113"/>
      <c r="R124" s="194"/>
      <c r="S124" s="321"/>
      <c r="T124" s="322"/>
      <c r="U124" s="237"/>
    </row>
    <row r="125" spans="1:22" s="8" customFormat="1" ht="18" thickBot="1" x14ac:dyDescent="0.4">
      <c r="A125" s="218"/>
      <c r="B125" s="219" t="s">
        <v>82</v>
      </c>
      <c r="C125" s="220"/>
      <c r="D125" s="220"/>
      <c r="E125" s="220">
        <f>+E111-E117-E119-E123</f>
        <v>113393.05268011641</v>
      </c>
      <c r="F125" s="220">
        <f t="shared" ref="F125:R125" si="71">+F111-F117-F119-F123</f>
        <v>104861.18268011641</v>
      </c>
      <c r="G125" s="220">
        <f t="shared" si="71"/>
        <v>105123.89268011642</v>
      </c>
      <c r="H125" s="220">
        <f t="shared" si="71"/>
        <v>25704.152680116415</v>
      </c>
      <c r="I125" s="220">
        <f t="shared" si="71"/>
        <v>114038.9526801164</v>
      </c>
      <c r="J125" s="220">
        <f t="shared" si="71"/>
        <v>117957.50268011641</v>
      </c>
      <c r="K125" s="220">
        <f>+K111-K117-K119-K123</f>
        <v>-140034.93731988361</v>
      </c>
      <c r="L125" s="220">
        <f t="shared" si="71"/>
        <v>118733.76268011642</v>
      </c>
      <c r="M125" s="220">
        <f t="shared" si="71"/>
        <v>106270.36268011641</v>
      </c>
      <c r="N125" s="220">
        <f t="shared" si="71"/>
        <v>115320.80268011641</v>
      </c>
      <c r="O125" s="220">
        <f t="shared" si="71"/>
        <v>122371.85268011641</v>
      </c>
      <c r="P125" s="220">
        <f t="shared" si="71"/>
        <v>123300.50268011641</v>
      </c>
      <c r="Q125" s="220">
        <f>+Q111-Q117-Q119-Q123</f>
        <v>1027041.0821613963</v>
      </c>
      <c r="R125" s="260">
        <f t="shared" si="71"/>
        <v>12.402529702826943</v>
      </c>
      <c r="S125" s="313">
        <f>+S111-S117-S119-S123</f>
        <v>1096747</v>
      </c>
      <c r="T125" s="314">
        <f>Q125/S125-1</f>
        <v>-6.3556971515403071E-2</v>
      </c>
      <c r="U125" s="235"/>
    </row>
    <row r="126" spans="1:22" ht="18" x14ac:dyDescent="0.35">
      <c r="A126" s="66"/>
      <c r="Q126" s="101"/>
      <c r="R126" s="184"/>
      <c r="S126" s="311"/>
      <c r="T126" s="312"/>
      <c r="U126" s="233"/>
    </row>
    <row r="127" spans="1:22" x14ac:dyDescent="0.35">
      <c r="A127" s="66"/>
      <c r="B127" s="6" t="s">
        <v>83</v>
      </c>
      <c r="Q127" s="101"/>
      <c r="R127" s="184"/>
      <c r="S127" s="304"/>
      <c r="T127" s="308"/>
      <c r="U127" s="233"/>
    </row>
    <row r="128" spans="1:22" x14ac:dyDescent="0.35">
      <c r="A128" s="66" t="s">
        <v>128</v>
      </c>
      <c r="C128" s="6" t="s">
        <v>84</v>
      </c>
      <c r="E128" s="6">
        <f>VLOOKUP($B$1,'INS RET DEBT'!$C$98:$Q$107,3,FALSE)</f>
        <v>23652.975074322418</v>
      </c>
      <c r="F128" s="6">
        <f>VLOOKUP($B$1,'INS RET DEBT'!$C$98:$Q$107,4,FALSE)</f>
        <v>23588.942399230935</v>
      </c>
      <c r="G128" s="6">
        <f>VLOOKUP($B$1,'INS RET DEBT'!$C$98:$Q$107,5,FALSE)</f>
        <v>23524.720294142313</v>
      </c>
      <c r="H128" s="6">
        <f>VLOOKUP($B$1,'INS RET DEBT'!$C$98:$Q$107,6,FALSE)</f>
        <v>23460.308198659459</v>
      </c>
      <c r="I128" s="6">
        <f>VLOOKUP($B$1,'INS RET DEBT'!$C$98:$Q$107,7,FALSE)</f>
        <v>23395.705550727471</v>
      </c>
      <c r="J128" s="6">
        <f>VLOOKUP($B$1,'INS RET DEBT'!$C$98:$Q$107,8,FALSE)</f>
        <v>23330.911786628687</v>
      </c>
      <c r="K128" s="6">
        <f>VLOOKUP($B$1,'INS RET DEBT'!$C$98:$Q$107,9,FALSE)</f>
        <v>23265.926340977774</v>
      </c>
      <c r="L128" s="6">
        <f>VLOOKUP($B$1,'INS RET DEBT'!$C$98:$Q$107,10,FALSE)</f>
        <v>23200.748646716816</v>
      </c>
      <c r="M128" s="55">
        <f>VLOOKUP($B$1,'INS RET DEBT'!$C$98:$Q$107,11,FALSE)</f>
        <v>23135.378135110332</v>
      </c>
      <c r="N128" s="55">
        <f>VLOOKUP($B$1,'INS RET DEBT'!$C$98:$Q$107,12,FALSE)</f>
        <v>23069.814235740352</v>
      </c>
      <c r="O128" s="55">
        <f>VLOOKUP($B$1,'INS RET DEBT'!$C$98:$Q$107,13,FALSE)</f>
        <v>23004.05637650139</v>
      </c>
      <c r="P128" s="55">
        <f>VLOOKUP($B$1,'INS RET DEBT'!$C$98:$Q$107,14,FALSE)</f>
        <v>22938.10398359552</v>
      </c>
      <c r="Q128" s="101">
        <f>SUM(E128:P128)</f>
        <v>279567.59102235344</v>
      </c>
      <c r="R128" s="184">
        <f>Q128/$B$4</f>
        <v>3.3760532191229631</v>
      </c>
      <c r="S128" s="304">
        <v>263846</v>
      </c>
      <c r="T128" s="308">
        <f t="shared" ref="T128:T129" si="72">IFERROR(Q128/S128-1,"")</f>
        <v>5.9586239785152761E-2</v>
      </c>
      <c r="U128" s="233"/>
      <c r="V128" s="6" t="s">
        <v>491</v>
      </c>
    </row>
    <row r="129" spans="1:22" x14ac:dyDescent="0.35">
      <c r="A129" s="66" t="s">
        <v>145</v>
      </c>
      <c r="C129" s="6" t="s">
        <v>85</v>
      </c>
      <c r="E129" s="6">
        <f>VLOOKUP($B$1,'INS RET DEBT'!$C$113:$Q$122,3,FALSE)</f>
        <v>21644.847918247906</v>
      </c>
      <c r="F129" s="6">
        <f>VLOOKUP($B$1,'INS RET DEBT'!$C$113:$Q$122,4,FALSE)</f>
        <v>21708.880593339389</v>
      </c>
      <c r="G129" s="6">
        <f>VLOOKUP($B$1,'INS RET DEBT'!$C$113:$Q$122,5,FALSE)</f>
        <v>21773.102698428014</v>
      </c>
      <c r="H129" s="6">
        <f>VLOOKUP($B$1,'INS RET DEBT'!$C$113:$Q$122,6,FALSE)</f>
        <v>21837.514793910861</v>
      </c>
      <c r="I129" s="6">
        <f>VLOOKUP($B$1,'INS RET DEBT'!$C$113:$Q$122,7,FALSE)</f>
        <v>21902.117441842853</v>
      </c>
      <c r="J129" s="6">
        <f>VLOOKUP($B$1,'INS RET DEBT'!$C$113:$Q$122,8,FALSE)</f>
        <v>21966.911205941637</v>
      </c>
      <c r="K129" s="6">
        <f>VLOOKUP($B$1,'INS RET DEBT'!$C$113:$Q$122,9,FALSE)</f>
        <v>22031.896651592549</v>
      </c>
      <c r="L129" s="6">
        <f>VLOOKUP($B$1,'INS RET DEBT'!$C$113:$Q$122,10,FALSE)</f>
        <v>22097.074345853507</v>
      </c>
      <c r="M129" s="55">
        <f>VLOOKUP($B$1,'INS RET DEBT'!$C$113:$Q$122,11,FALSE)</f>
        <v>22162.444857459992</v>
      </c>
      <c r="N129" s="55">
        <f>VLOOKUP($B$1,'INS RET DEBT'!$C$113:$Q$122,12,FALSE)</f>
        <v>22228.008756829975</v>
      </c>
      <c r="O129" s="55">
        <f>VLOOKUP($B$1,'INS RET DEBT'!$C$113:$Q$122,13,FALSE)</f>
        <v>22293.766616068933</v>
      </c>
      <c r="P129" s="55">
        <f>VLOOKUP($B$1,'INS RET DEBT'!$C$113:$Q$122,14,FALSE)</f>
        <v>22359.719008974804</v>
      </c>
      <c r="Q129" s="101">
        <f>SUM(E129:P129)</f>
        <v>264006.28488849039</v>
      </c>
      <c r="R129" s="184">
        <f>Q129/$B$4</f>
        <v>3.188135165120825</v>
      </c>
      <c r="S129" s="304">
        <v>234430</v>
      </c>
      <c r="T129" s="308">
        <f t="shared" si="72"/>
        <v>0.12616254271420213</v>
      </c>
      <c r="U129" s="233"/>
      <c r="V129" s="6" t="s">
        <v>491</v>
      </c>
    </row>
    <row r="130" spans="1:22" ht="18" x14ac:dyDescent="0.35">
      <c r="A130" s="66" t="s">
        <v>146</v>
      </c>
      <c r="C130" s="6" t="s">
        <v>86</v>
      </c>
      <c r="Q130" s="290"/>
      <c r="R130" s="291"/>
      <c r="S130" s="304"/>
      <c r="T130" s="308"/>
      <c r="U130" s="233"/>
    </row>
    <row r="131" spans="1:22" x14ac:dyDescent="0.35">
      <c r="A131" s="66"/>
      <c r="C131" s="6" t="s">
        <v>87</v>
      </c>
      <c r="E131" s="28">
        <f t="shared" ref="E131:O131" si="73">SUM(E128:E130)</f>
        <v>45297.82299257032</v>
      </c>
      <c r="F131" s="28">
        <f t="shared" si="73"/>
        <v>45297.82299257032</v>
      </c>
      <c r="G131" s="28">
        <f t="shared" si="73"/>
        <v>45297.822992570327</v>
      </c>
      <c r="H131" s="28">
        <f t="shared" si="73"/>
        <v>45297.82299257032</v>
      </c>
      <c r="I131" s="28">
        <f t="shared" si="73"/>
        <v>45297.82299257032</v>
      </c>
      <c r="J131" s="28">
        <f t="shared" si="73"/>
        <v>45297.82299257032</v>
      </c>
      <c r="K131" s="28">
        <f t="shared" si="73"/>
        <v>45297.82299257032</v>
      </c>
      <c r="L131" s="28">
        <f t="shared" si="73"/>
        <v>45297.82299257032</v>
      </c>
      <c r="M131" s="28">
        <f t="shared" si="73"/>
        <v>45297.82299257032</v>
      </c>
      <c r="N131" s="28">
        <f t="shared" si="73"/>
        <v>45297.822992570327</v>
      </c>
      <c r="O131" s="28">
        <f t="shared" si="73"/>
        <v>45297.82299257032</v>
      </c>
      <c r="P131" s="28">
        <f>SUM(P128:P130)</f>
        <v>45297.82299257032</v>
      </c>
      <c r="Q131" s="108">
        <f t="shared" ref="Q131:R131" si="74">SUM(Q128:Q130)</f>
        <v>543573.87591084384</v>
      </c>
      <c r="R131" s="189">
        <f t="shared" si="74"/>
        <v>6.5641883842437885</v>
      </c>
      <c r="S131" s="309">
        <f>SUM(S128:S129)</f>
        <v>498276</v>
      </c>
      <c r="T131" s="310">
        <f>IFERROR(Q131/S131-1,"")</f>
        <v>9.0909206766619066E-2</v>
      </c>
      <c r="U131" s="233"/>
    </row>
    <row r="132" spans="1:22" ht="18" x14ac:dyDescent="0.35">
      <c r="A132" s="66"/>
      <c r="Q132" s="101"/>
      <c r="R132" s="184"/>
      <c r="S132" s="311"/>
      <c r="T132" s="312"/>
      <c r="U132" s="233"/>
    </row>
    <row r="133" spans="1:22" ht="18.5" thickBot="1" x14ac:dyDescent="0.4">
      <c r="A133" s="67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12"/>
      <c r="R133" s="193"/>
      <c r="S133" s="311"/>
      <c r="T133" s="312"/>
      <c r="U133" s="234"/>
    </row>
    <row r="134" spans="1:22" s="8" customFormat="1" ht="18" thickBot="1" x14ac:dyDescent="0.4">
      <c r="A134" s="218"/>
      <c r="B134" s="219" t="s">
        <v>88</v>
      </c>
      <c r="C134" s="220"/>
      <c r="D134" s="220"/>
      <c r="E134" s="220">
        <f>+E125-E131</f>
        <v>68095.229687546089</v>
      </c>
      <c r="F134" s="220">
        <f t="shared" ref="F134:R134" si="75">+F125-F131</f>
        <v>59563.359687546093</v>
      </c>
      <c r="G134" s="220">
        <f>+G125-G131</f>
        <v>59826.069687546093</v>
      </c>
      <c r="H134" s="220">
        <f t="shared" si="75"/>
        <v>-19593.670312453905</v>
      </c>
      <c r="I134" s="220">
        <f t="shared" si="75"/>
        <v>68741.129687546083</v>
      </c>
      <c r="J134" s="220">
        <f t="shared" si="75"/>
        <v>72659.679687546086</v>
      </c>
      <c r="K134" s="220">
        <f t="shared" si="75"/>
        <v>-185332.76031245393</v>
      </c>
      <c r="L134" s="220">
        <f t="shared" si="75"/>
        <v>73435.939687546095</v>
      </c>
      <c r="M134" s="220">
        <f t="shared" si="75"/>
        <v>60972.539687546086</v>
      </c>
      <c r="N134" s="220">
        <f t="shared" si="75"/>
        <v>70022.979687546089</v>
      </c>
      <c r="O134" s="220">
        <f t="shared" si="75"/>
        <v>77074.029687546092</v>
      </c>
      <c r="P134" s="220">
        <f t="shared" si="75"/>
        <v>78002.679687546086</v>
      </c>
      <c r="Q134" s="220">
        <f t="shared" si="75"/>
        <v>483467.20625055244</v>
      </c>
      <c r="R134" s="260">
        <f t="shared" si="75"/>
        <v>5.8383413185831543</v>
      </c>
      <c r="S134" s="313">
        <f>+S125-S131</f>
        <v>598471</v>
      </c>
      <c r="T134" s="314">
        <f>Q134/S134-1</f>
        <v>-0.19216268415586979</v>
      </c>
      <c r="U134" s="235"/>
    </row>
    <row r="135" spans="1:22" ht="18" x14ac:dyDescent="0.35">
      <c r="A135" s="68"/>
      <c r="B135" s="8"/>
      <c r="C135" s="32"/>
      <c r="S135" s="328"/>
      <c r="T135" s="329"/>
    </row>
    <row r="136" spans="1:22" s="8" customFormat="1" ht="17.5" x14ac:dyDescent="0.3">
      <c r="A136" s="68"/>
      <c r="C136" s="32"/>
      <c r="D136" s="33"/>
      <c r="S136" s="328"/>
      <c r="T136" s="329"/>
      <c r="U136" s="238"/>
    </row>
    <row r="137" spans="1:22" ht="18" x14ac:dyDescent="0.35">
      <c r="A137" s="66"/>
      <c r="S137" s="328"/>
      <c r="T137" s="329"/>
    </row>
    <row r="138" spans="1:22" x14ac:dyDescent="0.35">
      <c r="A138" s="69"/>
    </row>
    <row r="139" spans="1:22" x14ac:dyDescent="0.35">
      <c r="A139" s="69"/>
      <c r="S139" s="330"/>
    </row>
    <row r="140" spans="1:22" ht="17.5" x14ac:dyDescent="0.35">
      <c r="B140" s="9" t="s">
        <v>530</v>
      </c>
      <c r="E140" s="349"/>
      <c r="F140" s="350"/>
      <c r="G140" s="350"/>
      <c r="H140" s="350"/>
      <c r="I140" s="350"/>
      <c r="J140" s="350"/>
      <c r="K140" s="350"/>
      <c r="L140" s="350"/>
      <c r="M140" s="350"/>
      <c r="N140" s="350"/>
      <c r="O140" s="350"/>
      <c r="P140" s="350"/>
      <c r="T140" s="6"/>
      <c r="U140" s="6"/>
    </row>
    <row r="141" spans="1:22" x14ac:dyDescent="0.35">
      <c r="B141" s="15" t="s">
        <v>503</v>
      </c>
      <c r="C141" s="15"/>
      <c r="D141" s="15" t="s">
        <v>302</v>
      </c>
      <c r="E141" s="338">
        <f>E156</f>
        <v>46023</v>
      </c>
      <c r="F141" s="338">
        <f t="shared" ref="F141:P141" si="76">F156</f>
        <v>46054</v>
      </c>
      <c r="G141" s="338">
        <f t="shared" si="76"/>
        <v>46082</v>
      </c>
      <c r="H141" s="338">
        <f t="shared" si="76"/>
        <v>46113</v>
      </c>
      <c r="I141" s="338">
        <f t="shared" si="76"/>
        <v>46143</v>
      </c>
      <c r="J141" s="338">
        <f t="shared" si="76"/>
        <v>46174</v>
      </c>
      <c r="K141" s="338">
        <f t="shared" si="76"/>
        <v>46204</v>
      </c>
      <c r="L141" s="338">
        <f t="shared" si="76"/>
        <v>46235</v>
      </c>
      <c r="M141" s="338">
        <f t="shared" si="76"/>
        <v>46266</v>
      </c>
      <c r="N141" s="338">
        <f t="shared" si="76"/>
        <v>46296</v>
      </c>
      <c r="O141" s="338">
        <f t="shared" si="76"/>
        <v>46327</v>
      </c>
      <c r="P141" s="338">
        <f t="shared" si="76"/>
        <v>46357</v>
      </c>
      <c r="Q141" s="285" t="s">
        <v>12</v>
      </c>
      <c r="T141" s="6"/>
      <c r="U141" s="6"/>
    </row>
    <row r="142" spans="1:22" x14ac:dyDescent="0.35">
      <c r="B142" s="79" t="str">
        <f t="shared" ref="B142:B151" si="77">B157</f>
        <v>4500-2851</v>
      </c>
      <c r="D142" s="6" t="str">
        <f>IF(D157="None",D172,D157)</f>
        <v>McDonald's Corp #37-1239</v>
      </c>
      <c r="E142" s="6">
        <f>SUMIF($B$157:$B$166,$B142,E$157:E$166)+SUMIF($B$172:$B$181,$B142,E$172:E$181)</f>
        <v>6666.67</v>
      </c>
      <c r="F142" s="6">
        <f t="shared" ref="F142:P151" si="78">SUMIF($B$157:$B$166,$B142,F$157:F$166)+SUMIF($B$172:$B$181,$B142,F$172:F$181)</f>
        <v>6666.67</v>
      </c>
      <c r="G142" s="6">
        <f t="shared" si="78"/>
        <v>6666.67</v>
      </c>
      <c r="H142" s="6">
        <f t="shared" si="78"/>
        <v>6666.67</v>
      </c>
      <c r="I142" s="6">
        <f t="shared" si="78"/>
        <v>6666.67</v>
      </c>
      <c r="J142" s="6">
        <f t="shared" si="78"/>
        <v>6666.67</v>
      </c>
      <c r="K142" s="6">
        <f t="shared" si="78"/>
        <v>6666.67</v>
      </c>
      <c r="L142" s="6">
        <f t="shared" si="78"/>
        <v>6666.67</v>
      </c>
      <c r="M142" s="6">
        <f t="shared" si="78"/>
        <v>6666.67</v>
      </c>
      <c r="N142" s="6">
        <f t="shared" si="78"/>
        <v>6666.67</v>
      </c>
      <c r="O142" s="6">
        <f t="shared" si="78"/>
        <v>6666.67</v>
      </c>
      <c r="P142" s="6">
        <f t="shared" si="78"/>
        <v>6666.67</v>
      </c>
      <c r="Q142" s="87">
        <f>SUM(E142:P142)</f>
        <v>80000.039999999994</v>
      </c>
      <c r="T142" s="6"/>
      <c r="U142" s="6"/>
    </row>
    <row r="143" spans="1:22" x14ac:dyDescent="0.35">
      <c r="B143" s="79" t="str">
        <f t="shared" si="77"/>
        <v>4500-2891</v>
      </c>
      <c r="D143" s="6" t="str">
        <f t="shared" ref="D143:D151" si="79">IF(D158="None",D173,D158)</f>
        <v>JP Morgan Chase</v>
      </c>
      <c r="E143" s="6">
        <f t="shared" ref="E143:E151" si="80">SUMIF($B$157:$B$166,$B143,E$157:E$166)+SUMIF($B$172:$B$181,$B143,E$172:E$181)</f>
        <v>7458</v>
      </c>
      <c r="F143" s="6">
        <f t="shared" si="78"/>
        <v>7458</v>
      </c>
      <c r="G143" s="6">
        <f t="shared" si="78"/>
        <v>7458</v>
      </c>
      <c r="H143" s="6">
        <f t="shared" si="78"/>
        <v>7458</v>
      </c>
      <c r="I143" s="6">
        <f t="shared" si="78"/>
        <v>7458</v>
      </c>
      <c r="J143" s="6">
        <f t="shared" si="78"/>
        <v>7458</v>
      </c>
      <c r="K143" s="6">
        <f t="shared" si="78"/>
        <v>7458</v>
      </c>
      <c r="L143" s="6">
        <f t="shared" si="78"/>
        <v>7458</v>
      </c>
      <c r="M143" s="6">
        <f t="shared" si="78"/>
        <v>7458</v>
      </c>
      <c r="N143" s="6">
        <f t="shared" si="78"/>
        <v>7458</v>
      </c>
      <c r="O143" s="6">
        <f t="shared" si="78"/>
        <v>7458</v>
      </c>
      <c r="P143" s="6">
        <f t="shared" si="78"/>
        <v>7458</v>
      </c>
      <c r="Q143" s="8">
        <f t="shared" ref="Q143:Q151" si="81">SUM(E143:P143)</f>
        <v>89496</v>
      </c>
    </row>
    <row r="144" spans="1:22" x14ac:dyDescent="0.35">
      <c r="B144" s="79" t="str">
        <f t="shared" si="77"/>
        <v>4500-2893</v>
      </c>
      <c r="D144" s="6" t="str">
        <f t="shared" si="79"/>
        <v>Grays Eye Care</v>
      </c>
      <c r="E144" s="6">
        <f t="shared" si="80"/>
        <v>0</v>
      </c>
      <c r="F144" s="6">
        <f t="shared" si="78"/>
        <v>0</v>
      </c>
      <c r="G144" s="6">
        <f t="shared" si="78"/>
        <v>0</v>
      </c>
      <c r="H144" s="6">
        <f t="shared" si="78"/>
        <v>0</v>
      </c>
      <c r="I144" s="6">
        <f t="shared" si="78"/>
        <v>0</v>
      </c>
      <c r="J144" s="6">
        <f t="shared" si="78"/>
        <v>0</v>
      </c>
      <c r="K144" s="6">
        <f t="shared" si="78"/>
        <v>0</v>
      </c>
      <c r="L144" s="6">
        <f t="shared" si="78"/>
        <v>0</v>
      </c>
      <c r="M144" s="6">
        <f t="shared" si="78"/>
        <v>0</v>
      </c>
      <c r="N144" s="6">
        <f t="shared" si="78"/>
        <v>0</v>
      </c>
      <c r="O144" s="6">
        <f t="shared" si="78"/>
        <v>0</v>
      </c>
      <c r="P144" s="6">
        <f t="shared" si="78"/>
        <v>0</v>
      </c>
      <c r="Q144" s="8">
        <f t="shared" si="81"/>
        <v>0</v>
      </c>
    </row>
    <row r="145" spans="2:21" x14ac:dyDescent="0.35">
      <c r="B145" s="79" t="str">
        <f t="shared" si="77"/>
        <v>4500-2895</v>
      </c>
      <c r="D145" s="6" t="str">
        <f t="shared" si="79"/>
        <v>Nail Parlor Salon, LLC</v>
      </c>
      <c r="E145" s="6">
        <f t="shared" si="80"/>
        <v>3600</v>
      </c>
      <c r="F145" s="6">
        <f t="shared" si="78"/>
        <v>3600</v>
      </c>
      <c r="G145" s="6">
        <f t="shared" si="78"/>
        <v>3600</v>
      </c>
      <c r="H145" s="6">
        <f t="shared" si="78"/>
        <v>3600</v>
      </c>
      <c r="I145" s="6">
        <f t="shared" si="78"/>
        <v>3600</v>
      </c>
      <c r="J145" s="6">
        <f t="shared" si="78"/>
        <v>3600</v>
      </c>
      <c r="K145" s="6">
        <f t="shared" si="78"/>
        <v>3600</v>
      </c>
      <c r="L145" s="6">
        <f t="shared" si="78"/>
        <v>3600</v>
      </c>
      <c r="M145" s="6">
        <f t="shared" si="78"/>
        <v>3600</v>
      </c>
      <c r="N145" s="6">
        <f t="shared" si="78"/>
        <v>3600</v>
      </c>
      <c r="O145" s="6">
        <f t="shared" si="78"/>
        <v>3600</v>
      </c>
      <c r="P145" s="6">
        <f t="shared" si="78"/>
        <v>3600</v>
      </c>
      <c r="Q145" s="8">
        <f t="shared" si="81"/>
        <v>43200</v>
      </c>
    </row>
    <row r="146" spans="2:21" x14ac:dyDescent="0.35">
      <c r="B146" s="79" t="str">
        <f t="shared" si="77"/>
        <v>4500-2897</v>
      </c>
      <c r="D146" s="6" t="str">
        <f t="shared" si="79"/>
        <v>Victra, Inc.</v>
      </c>
      <c r="E146" s="6">
        <f t="shared" si="80"/>
        <v>3400</v>
      </c>
      <c r="F146" s="6">
        <f t="shared" si="78"/>
        <v>3400</v>
      </c>
      <c r="G146" s="6">
        <f t="shared" si="78"/>
        <v>3400</v>
      </c>
      <c r="H146" s="6">
        <f t="shared" si="78"/>
        <v>3400</v>
      </c>
      <c r="I146" s="6">
        <f t="shared" si="78"/>
        <v>3400</v>
      </c>
      <c r="J146" s="6">
        <f t="shared" si="78"/>
        <v>3400</v>
      </c>
      <c r="K146" s="6">
        <f t="shared" si="78"/>
        <v>3400</v>
      </c>
      <c r="L146" s="6">
        <f t="shared" si="78"/>
        <v>3400</v>
      </c>
      <c r="M146" s="6">
        <f t="shared" si="78"/>
        <v>3400</v>
      </c>
      <c r="N146" s="6">
        <f t="shared" si="78"/>
        <v>3400</v>
      </c>
      <c r="O146" s="6">
        <f t="shared" si="78"/>
        <v>3400</v>
      </c>
      <c r="P146" s="6">
        <f t="shared" si="78"/>
        <v>3400</v>
      </c>
      <c r="Q146" s="8">
        <f t="shared" si="81"/>
        <v>40800</v>
      </c>
    </row>
    <row r="147" spans="2:21" x14ac:dyDescent="0.35">
      <c r="B147" s="79" t="str">
        <f t="shared" si="77"/>
        <v>4500-2899</v>
      </c>
      <c r="D147" s="6" t="str">
        <f t="shared" si="79"/>
        <v>Curl &amp; Care , Inc.</v>
      </c>
      <c r="E147" s="6">
        <f t="shared" si="80"/>
        <v>3450</v>
      </c>
      <c r="F147" s="6">
        <f t="shared" si="78"/>
        <v>3450</v>
      </c>
      <c r="G147" s="6">
        <f t="shared" si="78"/>
        <v>3450</v>
      </c>
      <c r="H147" s="6">
        <f t="shared" si="78"/>
        <v>3450</v>
      </c>
      <c r="I147" s="6">
        <f t="shared" si="78"/>
        <v>3450</v>
      </c>
      <c r="J147" s="6">
        <f t="shared" si="78"/>
        <v>3450</v>
      </c>
      <c r="K147" s="6">
        <f t="shared" si="78"/>
        <v>3450</v>
      </c>
      <c r="L147" s="6">
        <f t="shared" si="78"/>
        <v>3450</v>
      </c>
      <c r="M147" s="6">
        <f t="shared" si="78"/>
        <v>3450</v>
      </c>
      <c r="N147" s="6">
        <f t="shared" si="78"/>
        <v>3450</v>
      </c>
      <c r="O147" s="6">
        <f t="shared" si="78"/>
        <v>3450</v>
      </c>
      <c r="P147" s="6">
        <f t="shared" si="78"/>
        <v>3450</v>
      </c>
      <c r="Q147" s="8">
        <f t="shared" si="81"/>
        <v>41400</v>
      </c>
    </row>
    <row r="148" spans="2:21" x14ac:dyDescent="0.35">
      <c r="B148" s="79" t="str">
        <f t="shared" si="77"/>
        <v>4500-3001</v>
      </c>
      <c r="D148" s="6" t="str">
        <f t="shared" si="79"/>
        <v>Hilti Power Tools/Fastening</v>
      </c>
      <c r="E148" s="6">
        <f t="shared" si="80"/>
        <v>6933.33</v>
      </c>
      <c r="F148" s="6">
        <f t="shared" si="78"/>
        <v>6933.33</v>
      </c>
      <c r="G148" s="6">
        <f t="shared" si="78"/>
        <v>6933.33</v>
      </c>
      <c r="H148" s="6">
        <f t="shared" si="78"/>
        <v>6933.33</v>
      </c>
      <c r="I148" s="6">
        <f t="shared" si="78"/>
        <v>6933.33</v>
      </c>
      <c r="J148" s="6">
        <f t="shared" si="78"/>
        <v>6933.33</v>
      </c>
      <c r="K148" s="6">
        <f t="shared" si="78"/>
        <v>6933.33</v>
      </c>
      <c r="L148" s="6">
        <f t="shared" si="78"/>
        <v>6933.33</v>
      </c>
      <c r="M148" s="6">
        <f t="shared" si="78"/>
        <v>6933.33</v>
      </c>
      <c r="N148" s="6">
        <f t="shared" si="78"/>
        <v>6933.33</v>
      </c>
      <c r="O148" s="6">
        <f t="shared" si="78"/>
        <v>6933.33</v>
      </c>
      <c r="P148" s="6">
        <f t="shared" si="78"/>
        <v>6933.33</v>
      </c>
      <c r="Q148" s="8">
        <f t="shared" si="81"/>
        <v>83199.960000000006</v>
      </c>
    </row>
    <row r="149" spans="2:21" x14ac:dyDescent="0.35">
      <c r="B149" s="79" t="str">
        <f t="shared" si="77"/>
        <v>4500-3005</v>
      </c>
      <c r="D149" s="6" t="str">
        <f t="shared" si="79"/>
        <v>United States Postal Service</v>
      </c>
      <c r="E149" s="6">
        <f t="shared" si="80"/>
        <v>4666.67</v>
      </c>
      <c r="F149" s="6">
        <f t="shared" si="78"/>
        <v>4666.67</v>
      </c>
      <c r="G149" s="6">
        <f t="shared" si="78"/>
        <v>4666.67</v>
      </c>
      <c r="H149" s="6">
        <f t="shared" si="78"/>
        <v>4666.67</v>
      </c>
      <c r="I149" s="6">
        <f t="shared" si="78"/>
        <v>4666.67</v>
      </c>
      <c r="J149" s="6">
        <f t="shared" si="78"/>
        <v>4666.67</v>
      </c>
      <c r="K149" s="6">
        <f t="shared" si="78"/>
        <v>4666.67</v>
      </c>
      <c r="L149" s="6">
        <f t="shared" si="78"/>
        <v>4666.67</v>
      </c>
      <c r="M149" s="6">
        <f t="shared" si="78"/>
        <v>4666.67</v>
      </c>
      <c r="N149" s="6">
        <f t="shared" si="78"/>
        <v>4666.67</v>
      </c>
      <c r="O149" s="6">
        <f t="shared" si="78"/>
        <v>4666.67</v>
      </c>
      <c r="P149" s="6">
        <f t="shared" si="78"/>
        <v>4666.67</v>
      </c>
      <c r="Q149" s="8">
        <f t="shared" si="81"/>
        <v>56000.039999999986</v>
      </c>
    </row>
    <row r="150" spans="2:21" x14ac:dyDescent="0.35">
      <c r="B150" s="79" t="str">
        <f t="shared" si="77"/>
        <v>4500-3007</v>
      </c>
      <c r="D150" s="6" t="str">
        <f t="shared" si="79"/>
        <v>Pennsylvania LCB</v>
      </c>
      <c r="E150" s="6">
        <f t="shared" si="80"/>
        <v>26056.67</v>
      </c>
      <c r="F150" s="6">
        <f t="shared" si="78"/>
        <v>26056.67</v>
      </c>
      <c r="G150" s="6">
        <f t="shared" si="78"/>
        <v>26056.67</v>
      </c>
      <c r="H150" s="6">
        <f t="shared" si="78"/>
        <v>26056.67</v>
      </c>
      <c r="I150" s="6">
        <f t="shared" si="78"/>
        <v>26056.67</v>
      </c>
      <c r="J150" s="6">
        <f t="shared" si="78"/>
        <v>26056.67</v>
      </c>
      <c r="K150" s="6">
        <f t="shared" si="78"/>
        <v>26056.67</v>
      </c>
      <c r="L150" s="6">
        <f t="shared" si="78"/>
        <v>26056.67</v>
      </c>
      <c r="M150" s="6">
        <f t="shared" si="78"/>
        <v>26056.67</v>
      </c>
      <c r="N150" s="6">
        <f t="shared" si="78"/>
        <v>26056.67</v>
      </c>
      <c r="O150" s="6">
        <f t="shared" si="78"/>
        <v>28662.33</v>
      </c>
      <c r="P150" s="6">
        <f t="shared" si="78"/>
        <v>28662.33</v>
      </c>
      <c r="Q150" s="8">
        <f t="shared" si="81"/>
        <v>317891.36</v>
      </c>
    </row>
    <row r="151" spans="2:21" x14ac:dyDescent="0.35">
      <c r="B151" s="227" t="str">
        <f t="shared" si="77"/>
        <v>4500-3021</v>
      </c>
      <c r="C151" s="15"/>
      <c r="D151" s="15" t="str">
        <f t="shared" si="79"/>
        <v>Wakefern Food Corp</v>
      </c>
      <c r="E151" s="6">
        <f t="shared" si="80"/>
        <v>61368.67</v>
      </c>
      <c r="F151" s="6">
        <f t="shared" si="78"/>
        <v>61368.67</v>
      </c>
      <c r="G151" s="6">
        <f t="shared" si="78"/>
        <v>61368.67</v>
      </c>
      <c r="H151" s="6">
        <f t="shared" si="78"/>
        <v>61368.67</v>
      </c>
      <c r="I151" s="6">
        <f t="shared" si="78"/>
        <v>61368.67</v>
      </c>
      <c r="J151" s="6">
        <f t="shared" si="78"/>
        <v>61368.67</v>
      </c>
      <c r="K151" s="6">
        <f t="shared" si="78"/>
        <v>61368.67</v>
      </c>
      <c r="L151" s="6">
        <f t="shared" si="78"/>
        <v>61368.67</v>
      </c>
      <c r="M151" s="6">
        <f t="shared" si="78"/>
        <v>61368.67</v>
      </c>
      <c r="N151" s="6">
        <f t="shared" si="78"/>
        <v>61368.67</v>
      </c>
      <c r="O151" s="6">
        <f t="shared" si="78"/>
        <v>68449.67</v>
      </c>
      <c r="P151" s="6">
        <f t="shared" si="78"/>
        <v>68449.67</v>
      </c>
      <c r="Q151" s="49">
        <f t="shared" si="81"/>
        <v>750586.04</v>
      </c>
    </row>
    <row r="152" spans="2:21" x14ac:dyDescent="0.35">
      <c r="B152" s="3"/>
      <c r="D152" s="16"/>
      <c r="E152" s="8">
        <f t="shared" ref="E152:Q152" si="82">SUM(E142:E151)</f>
        <v>123600.01</v>
      </c>
      <c r="F152" s="8">
        <f t="shared" si="82"/>
        <v>123600.01</v>
      </c>
      <c r="G152" s="8">
        <f t="shared" si="82"/>
        <v>123600.01</v>
      </c>
      <c r="H152" s="8">
        <f t="shared" si="82"/>
        <v>123600.01</v>
      </c>
      <c r="I152" s="8">
        <f t="shared" si="82"/>
        <v>123600.01</v>
      </c>
      <c r="J152" s="8">
        <f t="shared" si="82"/>
        <v>123600.01</v>
      </c>
      <c r="K152" s="8">
        <f t="shared" si="82"/>
        <v>123600.01</v>
      </c>
      <c r="L152" s="8">
        <f t="shared" si="82"/>
        <v>123600.01</v>
      </c>
      <c r="M152" s="8">
        <f t="shared" si="82"/>
        <v>123600.01</v>
      </c>
      <c r="N152" s="8">
        <f t="shared" si="82"/>
        <v>123600.01</v>
      </c>
      <c r="O152" s="8">
        <f t="shared" si="82"/>
        <v>133286.66999999998</v>
      </c>
      <c r="P152" s="8">
        <f t="shared" si="82"/>
        <v>133286.66999999998</v>
      </c>
      <c r="Q152" s="8">
        <f t="shared" si="82"/>
        <v>1502573.44</v>
      </c>
    </row>
    <row r="153" spans="2:21" x14ac:dyDescent="0.35">
      <c r="B153" s="3"/>
      <c r="E153" s="55">
        <f t="shared" ref="E153:Q153" si="83">(E10+E11)-E152</f>
        <v>0</v>
      </c>
      <c r="F153" s="55">
        <f t="shared" si="83"/>
        <v>0</v>
      </c>
      <c r="G153" s="55">
        <f t="shared" si="83"/>
        <v>0</v>
      </c>
      <c r="H153" s="55">
        <f t="shared" si="83"/>
        <v>0</v>
      </c>
      <c r="I153" s="55">
        <f t="shared" si="83"/>
        <v>5200</v>
      </c>
      <c r="J153" s="55">
        <f t="shared" si="83"/>
        <v>5200</v>
      </c>
      <c r="K153" s="55">
        <f t="shared" si="83"/>
        <v>5200</v>
      </c>
      <c r="L153" s="55">
        <f t="shared" si="83"/>
        <v>5200</v>
      </c>
      <c r="M153" s="55">
        <f t="shared" si="83"/>
        <v>5200</v>
      </c>
      <c r="N153" s="55">
        <f t="shared" si="83"/>
        <v>5200</v>
      </c>
      <c r="O153" s="55">
        <f t="shared" si="83"/>
        <v>5200</v>
      </c>
      <c r="P153" s="55">
        <f t="shared" si="83"/>
        <v>5200</v>
      </c>
      <c r="Q153" s="55">
        <f t="shared" si="83"/>
        <v>41599.999999999767</v>
      </c>
    </row>
    <row r="154" spans="2:21" x14ac:dyDescent="0.35">
      <c r="B154" s="3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</row>
    <row r="155" spans="2:21" ht="17.5" x14ac:dyDescent="0.35">
      <c r="B155" s="352" t="s">
        <v>159</v>
      </c>
      <c r="E155" s="336"/>
      <c r="F155" s="336"/>
      <c r="G155" s="336"/>
      <c r="H155" s="336"/>
      <c r="I155" s="336"/>
      <c r="J155" s="336"/>
      <c r="K155" s="336"/>
      <c r="L155" s="336"/>
      <c r="M155" s="336"/>
      <c r="N155" s="336"/>
      <c r="O155" s="336"/>
      <c r="P155" s="336"/>
      <c r="S155" s="23"/>
      <c r="T155" s="6"/>
      <c r="U155" s="6"/>
    </row>
    <row r="156" spans="2:21" hidden="1" outlineLevel="1" x14ac:dyDescent="0.35">
      <c r="B156" s="15" t="s">
        <v>503</v>
      </c>
      <c r="C156" s="15"/>
      <c r="D156" s="15" t="s">
        <v>302</v>
      </c>
      <c r="E156" s="338">
        <v>46023</v>
      </c>
      <c r="F156" s="338">
        <v>46054</v>
      </c>
      <c r="G156" s="338">
        <v>46082</v>
      </c>
      <c r="H156" s="338">
        <v>46113</v>
      </c>
      <c r="I156" s="338">
        <v>46143</v>
      </c>
      <c r="J156" s="338">
        <v>46174</v>
      </c>
      <c r="K156" s="338">
        <v>46204</v>
      </c>
      <c r="L156" s="338">
        <v>46235</v>
      </c>
      <c r="M156" s="338">
        <v>46266</v>
      </c>
      <c r="N156" s="338">
        <v>46296</v>
      </c>
      <c r="O156" s="338">
        <v>46327</v>
      </c>
      <c r="P156" s="338">
        <v>46357</v>
      </c>
      <c r="Q156" s="285" t="s">
        <v>12</v>
      </c>
      <c r="R156" s="23"/>
      <c r="S156" s="23"/>
      <c r="T156" s="6"/>
      <c r="U156" s="6"/>
    </row>
    <row r="157" spans="2:21" hidden="1" outlineLevel="1" x14ac:dyDescent="0.35">
      <c r="B157" s="339" t="s">
        <v>378</v>
      </c>
      <c r="C157" s="341"/>
      <c r="D157" s="6" t="str">
        <f>IFERROR(VLOOKUP(B157,'In Place Revenue'!$B$2:$H$630,2,FALSE),VLOOKUP(B157,$B$172:$D$181,3,FALSE))</f>
        <v>McDonald's Corp #37-1239</v>
      </c>
      <c r="E157" s="6">
        <f>SUMIFS('In Place Revenue'!$G$2:$G$764,'In Place Revenue'!$B$2:$B$764,$B157,'In Place Revenue'!$D$2:$D$764,E$156)</f>
        <v>6666.67</v>
      </c>
      <c r="F157" s="6">
        <f>SUMIFS('In Place Revenue'!$G$2:$G$764,'In Place Revenue'!$B$2:$B$764,$B157,'In Place Revenue'!$D$2:$D$764,F$156)</f>
        <v>6666.67</v>
      </c>
      <c r="G157" s="6">
        <f>SUMIFS('In Place Revenue'!$G$2:$G$764,'In Place Revenue'!$B$2:$B$764,$B157,'In Place Revenue'!$D$2:$D$764,G$156)</f>
        <v>6666.67</v>
      </c>
      <c r="H157" s="6">
        <f>SUMIFS('In Place Revenue'!$G$2:$G$764,'In Place Revenue'!$B$2:$B$764,$B157,'In Place Revenue'!$D$2:$D$764,H$156)</f>
        <v>6666.67</v>
      </c>
      <c r="I157" s="6">
        <f>SUMIFS('In Place Revenue'!$G$2:$G$764,'In Place Revenue'!$B$2:$B$764,$B157,'In Place Revenue'!$D$2:$D$764,I$156)</f>
        <v>6666.67</v>
      </c>
      <c r="J157" s="6">
        <f>SUMIFS('In Place Revenue'!$G$2:$G$764,'In Place Revenue'!$B$2:$B$764,$B157,'In Place Revenue'!$D$2:$D$764,J$156)</f>
        <v>6666.67</v>
      </c>
      <c r="K157" s="6">
        <f>SUMIFS('In Place Revenue'!$G$2:$G$764,'In Place Revenue'!$B$2:$B$764,$B157,'In Place Revenue'!$D$2:$D$764,K$156)</f>
        <v>6666.67</v>
      </c>
      <c r="L157" s="6">
        <f>SUMIFS('In Place Revenue'!$G$2:$G$764,'In Place Revenue'!$B$2:$B$764,$B157,'In Place Revenue'!$D$2:$D$764,L$156)</f>
        <v>6666.67</v>
      </c>
      <c r="M157" s="6">
        <f>SUMIFS('In Place Revenue'!$G$2:$G$764,'In Place Revenue'!$B$2:$B$764,$B157,'In Place Revenue'!$D$2:$D$764,M$156)</f>
        <v>6666.67</v>
      </c>
      <c r="N157" s="6">
        <f>SUMIFS('In Place Revenue'!$G$2:$G$764,'In Place Revenue'!$B$2:$B$764,$B157,'In Place Revenue'!$D$2:$D$764,N$156)</f>
        <v>6666.67</v>
      </c>
      <c r="O157" s="6">
        <f>SUMIFS('In Place Revenue'!$G$2:$G$764,'In Place Revenue'!$B$2:$B$764,$B157,'In Place Revenue'!$D$2:$D$764,O$156)</f>
        <v>6666.67</v>
      </c>
      <c r="P157" s="6">
        <f>SUMIFS('In Place Revenue'!$G$2:$G$764,'In Place Revenue'!$B$2:$B$764,$B157,'In Place Revenue'!$D$2:$D$764,P$156)</f>
        <v>6666.67</v>
      </c>
      <c r="Q157" s="8">
        <f>SUM(E157:P157)</f>
        <v>80000.039999999994</v>
      </c>
    </row>
    <row r="158" spans="2:21" hidden="1" outlineLevel="1" x14ac:dyDescent="0.35">
      <c r="B158" s="339" t="s">
        <v>380</v>
      </c>
      <c r="C158" s="341"/>
      <c r="D158" s="6" t="str">
        <f>IFERROR(VLOOKUP(B158,'In Place Revenue'!$B$2:$H$630,2,FALSE),VLOOKUP(B158,$B$172:$D$181,3,FALSE))</f>
        <v>JP Morgan Chase</v>
      </c>
      <c r="E158" s="6">
        <f>SUMIFS('In Place Revenue'!$G$2:$G$764,'In Place Revenue'!$B$2:$B$764,$B158,'In Place Revenue'!$D$2:$D$764,E$156)</f>
        <v>7458</v>
      </c>
      <c r="F158" s="6">
        <f>SUMIFS('In Place Revenue'!$G$2:$G$764,'In Place Revenue'!$B$2:$B$764,$B158,'In Place Revenue'!$D$2:$D$764,F$156)</f>
        <v>7458</v>
      </c>
      <c r="G158" s="6">
        <f>SUMIFS('In Place Revenue'!$G$2:$G$764,'In Place Revenue'!$B$2:$B$764,$B158,'In Place Revenue'!$D$2:$D$764,G$156)</f>
        <v>7458</v>
      </c>
      <c r="H158" s="6">
        <f>SUMIFS('In Place Revenue'!$G$2:$G$764,'In Place Revenue'!$B$2:$B$764,$B158,'In Place Revenue'!$D$2:$D$764,H$156)</f>
        <v>7458</v>
      </c>
      <c r="I158" s="6">
        <f>SUMIFS('In Place Revenue'!$G$2:$G$764,'In Place Revenue'!$B$2:$B$764,$B158,'In Place Revenue'!$D$2:$D$764,I$156)</f>
        <v>7458</v>
      </c>
      <c r="J158" s="6">
        <f>SUMIFS('In Place Revenue'!$G$2:$G$764,'In Place Revenue'!$B$2:$B$764,$B158,'In Place Revenue'!$D$2:$D$764,J$156)</f>
        <v>7458</v>
      </c>
      <c r="K158" s="6">
        <f>SUMIFS('In Place Revenue'!$G$2:$G$764,'In Place Revenue'!$B$2:$B$764,$B158,'In Place Revenue'!$D$2:$D$764,K$156)</f>
        <v>7458</v>
      </c>
      <c r="L158" s="6">
        <f>SUMIFS('In Place Revenue'!$G$2:$G$764,'In Place Revenue'!$B$2:$B$764,$B158,'In Place Revenue'!$D$2:$D$764,L$156)</f>
        <v>7458</v>
      </c>
      <c r="M158" s="6">
        <f>SUMIFS('In Place Revenue'!$G$2:$G$764,'In Place Revenue'!$B$2:$B$764,$B158,'In Place Revenue'!$D$2:$D$764,M$156)</f>
        <v>7458</v>
      </c>
      <c r="N158" s="6">
        <f>SUMIFS('In Place Revenue'!$G$2:$G$764,'In Place Revenue'!$B$2:$B$764,$B158,'In Place Revenue'!$D$2:$D$764,N$156)</f>
        <v>7458</v>
      </c>
      <c r="O158" s="6">
        <f>SUMIFS('In Place Revenue'!$G$2:$G$764,'In Place Revenue'!$B$2:$B$764,$B158,'In Place Revenue'!$D$2:$D$764,O$156)</f>
        <v>7458</v>
      </c>
      <c r="P158" s="6">
        <f>SUMIFS('In Place Revenue'!$G$2:$G$764,'In Place Revenue'!$B$2:$B$764,$B158,'In Place Revenue'!$D$2:$D$764,P$156)</f>
        <v>7458</v>
      </c>
      <c r="Q158" s="8">
        <f t="shared" ref="Q158:Q166" si="84">SUM(E158:P158)</f>
        <v>89496</v>
      </c>
    </row>
    <row r="159" spans="2:21" hidden="1" outlineLevel="1" x14ac:dyDescent="0.35">
      <c r="B159" s="339" t="s">
        <v>509</v>
      </c>
      <c r="C159" s="341"/>
      <c r="D159" s="6" t="str">
        <f>IFERROR(VLOOKUP(B159,'In Place Revenue'!$B$2:$H$630,2,FALSE),VLOOKUP(B159,$B$172:$D$181,3,FALSE))</f>
        <v>Grays Eye Care</v>
      </c>
      <c r="E159" s="6">
        <f>SUMIFS('In Place Revenue'!$G$2:$G$764,'In Place Revenue'!$B$2:$B$764,$B159,'In Place Revenue'!$D$2:$D$764,E$156)</f>
        <v>0</v>
      </c>
      <c r="F159" s="6">
        <f>SUMIFS('In Place Revenue'!$G$2:$G$764,'In Place Revenue'!$B$2:$B$764,$B159,'In Place Revenue'!$D$2:$D$764,F$156)</f>
        <v>0</v>
      </c>
      <c r="G159" s="6">
        <f>SUMIFS('In Place Revenue'!$G$2:$G$764,'In Place Revenue'!$B$2:$B$764,$B159,'In Place Revenue'!$D$2:$D$764,G$156)</f>
        <v>0</v>
      </c>
      <c r="H159" s="6">
        <f>SUMIFS('In Place Revenue'!$G$2:$G$764,'In Place Revenue'!$B$2:$B$764,$B159,'In Place Revenue'!$D$2:$D$764,H$156)</f>
        <v>0</v>
      </c>
      <c r="I159" s="6">
        <f>SUMIFS('In Place Revenue'!$G$2:$G$764,'In Place Revenue'!$B$2:$B$764,$B159,'In Place Revenue'!$D$2:$D$764,I$156)</f>
        <v>0</v>
      </c>
      <c r="J159" s="6">
        <f>SUMIFS('In Place Revenue'!$G$2:$G$764,'In Place Revenue'!$B$2:$B$764,$B159,'In Place Revenue'!$D$2:$D$764,J$156)</f>
        <v>0</v>
      </c>
      <c r="K159" s="6">
        <f>SUMIFS('In Place Revenue'!$G$2:$G$764,'In Place Revenue'!$B$2:$B$764,$B159,'In Place Revenue'!$D$2:$D$764,K$156)</f>
        <v>0</v>
      </c>
      <c r="L159" s="6">
        <f>SUMIFS('In Place Revenue'!$G$2:$G$764,'In Place Revenue'!$B$2:$B$764,$B159,'In Place Revenue'!$D$2:$D$764,L$156)</f>
        <v>0</v>
      </c>
      <c r="M159" s="6">
        <f>SUMIFS('In Place Revenue'!$G$2:$G$764,'In Place Revenue'!$B$2:$B$764,$B159,'In Place Revenue'!$D$2:$D$764,M$156)</f>
        <v>0</v>
      </c>
      <c r="N159" s="6">
        <f>SUMIFS('In Place Revenue'!$G$2:$G$764,'In Place Revenue'!$B$2:$B$764,$B159,'In Place Revenue'!$D$2:$D$764,N$156)</f>
        <v>0</v>
      </c>
      <c r="O159" s="6">
        <f>SUMIFS('In Place Revenue'!$G$2:$G$764,'In Place Revenue'!$B$2:$B$764,$B159,'In Place Revenue'!$D$2:$D$764,O$156)</f>
        <v>0</v>
      </c>
      <c r="P159" s="6">
        <f>SUMIFS('In Place Revenue'!$G$2:$G$764,'In Place Revenue'!$B$2:$B$764,$B159,'In Place Revenue'!$D$2:$D$764,P$156)</f>
        <v>0</v>
      </c>
      <c r="Q159" s="8">
        <f t="shared" ref="Q159" si="85">SUM(E159:P159)</f>
        <v>0</v>
      </c>
    </row>
    <row r="160" spans="2:21" hidden="1" outlineLevel="1" x14ac:dyDescent="0.35">
      <c r="B160" s="339" t="s">
        <v>382</v>
      </c>
      <c r="C160" s="341"/>
      <c r="D160" s="6" t="str">
        <f>IFERROR(VLOOKUP(B160,'In Place Revenue'!$B$2:$H$630,2,FALSE),VLOOKUP(B160,$B$172:$D$181,3,FALSE))</f>
        <v>Nail Parlor Salon, LLC</v>
      </c>
      <c r="E160" s="6">
        <f>SUMIFS('In Place Revenue'!$G$2:$G$764,'In Place Revenue'!$B$2:$B$764,$B160,'In Place Revenue'!$D$2:$D$764,E$156)</f>
        <v>3600</v>
      </c>
      <c r="F160" s="6">
        <f>SUMIFS('In Place Revenue'!$G$2:$G$764,'In Place Revenue'!$B$2:$B$764,$B160,'In Place Revenue'!$D$2:$D$764,F$156)</f>
        <v>3600</v>
      </c>
      <c r="G160" s="6">
        <f>SUMIFS('In Place Revenue'!$G$2:$G$764,'In Place Revenue'!$B$2:$B$764,$B160,'In Place Revenue'!$D$2:$D$764,G$156)</f>
        <v>3600</v>
      </c>
      <c r="H160" s="6">
        <f>SUMIFS('In Place Revenue'!$G$2:$G$764,'In Place Revenue'!$B$2:$B$764,$B160,'In Place Revenue'!$D$2:$D$764,H$156)</f>
        <v>3600</v>
      </c>
      <c r="I160" s="6">
        <f>SUMIFS('In Place Revenue'!$G$2:$G$764,'In Place Revenue'!$B$2:$B$764,$B160,'In Place Revenue'!$D$2:$D$764,I$156)</f>
        <v>3600</v>
      </c>
      <c r="J160" s="6">
        <f>SUMIFS('In Place Revenue'!$G$2:$G$764,'In Place Revenue'!$B$2:$B$764,$B160,'In Place Revenue'!$D$2:$D$764,J$156)</f>
        <v>3600</v>
      </c>
      <c r="K160" s="6">
        <f>SUMIFS('In Place Revenue'!$G$2:$G$764,'In Place Revenue'!$B$2:$B$764,$B160,'In Place Revenue'!$D$2:$D$764,K$156)</f>
        <v>3600</v>
      </c>
      <c r="L160" s="6">
        <f>SUMIFS('In Place Revenue'!$G$2:$G$764,'In Place Revenue'!$B$2:$B$764,$B160,'In Place Revenue'!$D$2:$D$764,L$156)</f>
        <v>3600</v>
      </c>
      <c r="M160" s="6">
        <f>SUMIFS('In Place Revenue'!$G$2:$G$764,'In Place Revenue'!$B$2:$B$764,$B160,'In Place Revenue'!$D$2:$D$764,M$156)</f>
        <v>3600</v>
      </c>
      <c r="N160" s="6">
        <f>SUMIFS('In Place Revenue'!$G$2:$G$764,'In Place Revenue'!$B$2:$B$764,$B160,'In Place Revenue'!$D$2:$D$764,N$156)</f>
        <v>3600</v>
      </c>
      <c r="O160" s="6">
        <f>SUMIFS('In Place Revenue'!$G$2:$G$764,'In Place Revenue'!$B$2:$B$764,$B160,'In Place Revenue'!$D$2:$D$764,O$156)</f>
        <v>3600</v>
      </c>
      <c r="P160" s="6">
        <f>SUMIFS('In Place Revenue'!$G$2:$G$764,'In Place Revenue'!$B$2:$B$764,$B160,'In Place Revenue'!$D$2:$D$764,P$156)</f>
        <v>3600</v>
      </c>
      <c r="Q160" s="8">
        <f t="shared" si="84"/>
        <v>43200</v>
      </c>
    </row>
    <row r="161" spans="2:21" hidden="1" outlineLevel="1" x14ac:dyDescent="0.35">
      <c r="B161" s="339" t="s">
        <v>384</v>
      </c>
      <c r="C161" s="341"/>
      <c r="D161" s="6" t="str">
        <f>IFERROR(VLOOKUP(B161,'In Place Revenue'!$B$2:$H$630,2,FALSE),VLOOKUP(B161,$B$172:$D$181,3,FALSE))</f>
        <v>Victra, Inc.</v>
      </c>
      <c r="E161" s="6">
        <f>SUMIFS('In Place Revenue'!$G$2:$G$764,'In Place Revenue'!$B$2:$B$764,$B161,'In Place Revenue'!$D$2:$D$764,E$156)</f>
        <v>3400</v>
      </c>
      <c r="F161" s="6">
        <f>SUMIFS('In Place Revenue'!$G$2:$G$764,'In Place Revenue'!$B$2:$B$764,$B161,'In Place Revenue'!$D$2:$D$764,F$156)</f>
        <v>3400</v>
      </c>
      <c r="G161" s="6">
        <f>SUMIFS('In Place Revenue'!$G$2:$G$764,'In Place Revenue'!$B$2:$B$764,$B161,'In Place Revenue'!$D$2:$D$764,G$156)</f>
        <v>3400</v>
      </c>
      <c r="H161" s="6">
        <f>SUMIFS('In Place Revenue'!$G$2:$G$764,'In Place Revenue'!$B$2:$B$764,$B161,'In Place Revenue'!$D$2:$D$764,H$156)</f>
        <v>3400</v>
      </c>
      <c r="I161" s="6">
        <f>SUMIFS('In Place Revenue'!$G$2:$G$764,'In Place Revenue'!$B$2:$B$764,$B161,'In Place Revenue'!$D$2:$D$764,I$156)</f>
        <v>3400</v>
      </c>
      <c r="J161" s="6">
        <f>SUMIFS('In Place Revenue'!$G$2:$G$764,'In Place Revenue'!$B$2:$B$764,$B161,'In Place Revenue'!$D$2:$D$764,J$156)</f>
        <v>3400</v>
      </c>
      <c r="K161" s="6">
        <f>SUMIFS('In Place Revenue'!$G$2:$G$764,'In Place Revenue'!$B$2:$B$764,$B161,'In Place Revenue'!$D$2:$D$764,K$156)</f>
        <v>3400</v>
      </c>
      <c r="L161" s="6">
        <f>SUMIFS('In Place Revenue'!$G$2:$G$764,'In Place Revenue'!$B$2:$B$764,$B161,'In Place Revenue'!$D$2:$D$764,L$156)</f>
        <v>3400</v>
      </c>
      <c r="M161" s="6">
        <f>SUMIFS('In Place Revenue'!$G$2:$G$764,'In Place Revenue'!$B$2:$B$764,$B161,'In Place Revenue'!$D$2:$D$764,M$156)</f>
        <v>3400</v>
      </c>
      <c r="N161" s="6">
        <f>SUMIFS('In Place Revenue'!$G$2:$G$764,'In Place Revenue'!$B$2:$B$764,$B161,'In Place Revenue'!$D$2:$D$764,N$156)</f>
        <v>3400</v>
      </c>
      <c r="O161" s="6">
        <f>SUMIFS('In Place Revenue'!$G$2:$G$764,'In Place Revenue'!$B$2:$B$764,$B161,'In Place Revenue'!$D$2:$D$764,O$156)</f>
        <v>3400</v>
      </c>
      <c r="P161" s="6">
        <f>SUMIFS('In Place Revenue'!$G$2:$G$764,'In Place Revenue'!$B$2:$B$764,$B161,'In Place Revenue'!$D$2:$D$764,P$156)</f>
        <v>3400</v>
      </c>
      <c r="Q161" s="8">
        <f t="shared" si="84"/>
        <v>40800</v>
      </c>
    </row>
    <row r="162" spans="2:21" hidden="1" outlineLevel="1" x14ac:dyDescent="0.35">
      <c r="B162" s="339" t="s">
        <v>386</v>
      </c>
      <c r="C162" s="341"/>
      <c r="D162" s="6" t="str">
        <f>IFERROR(VLOOKUP(B162,'In Place Revenue'!$B$2:$H$630,2,FALSE),VLOOKUP(B162,$B$172:$D$181,3,FALSE))</f>
        <v>Curl &amp; Care , Inc.</v>
      </c>
      <c r="E162" s="6">
        <f>SUMIFS('In Place Revenue'!$G$2:$G$764,'In Place Revenue'!$B$2:$B$764,$B162,'In Place Revenue'!$D$2:$D$764,E$156)</f>
        <v>3450</v>
      </c>
      <c r="F162" s="6">
        <f>SUMIFS('In Place Revenue'!$G$2:$G$764,'In Place Revenue'!$B$2:$B$764,$B162,'In Place Revenue'!$D$2:$D$764,F$156)</f>
        <v>3450</v>
      </c>
      <c r="G162" s="6">
        <f>SUMIFS('In Place Revenue'!$G$2:$G$764,'In Place Revenue'!$B$2:$B$764,$B162,'In Place Revenue'!$D$2:$D$764,G$156)</f>
        <v>3450</v>
      </c>
      <c r="H162" s="6">
        <f>SUMIFS('In Place Revenue'!$G$2:$G$764,'In Place Revenue'!$B$2:$B$764,$B162,'In Place Revenue'!$D$2:$D$764,H$156)</f>
        <v>3450</v>
      </c>
      <c r="I162" s="6">
        <f>SUMIFS('In Place Revenue'!$G$2:$G$764,'In Place Revenue'!$B$2:$B$764,$B162,'In Place Revenue'!$D$2:$D$764,I$156)</f>
        <v>3450</v>
      </c>
      <c r="J162" s="6">
        <f>SUMIFS('In Place Revenue'!$G$2:$G$764,'In Place Revenue'!$B$2:$B$764,$B162,'In Place Revenue'!$D$2:$D$764,J$156)</f>
        <v>3450</v>
      </c>
      <c r="K162" s="6">
        <f>SUMIFS('In Place Revenue'!$G$2:$G$764,'In Place Revenue'!$B$2:$B$764,$B162,'In Place Revenue'!$D$2:$D$764,K$156)</f>
        <v>3450</v>
      </c>
      <c r="L162" s="6">
        <f>SUMIFS('In Place Revenue'!$G$2:$G$764,'In Place Revenue'!$B$2:$B$764,$B162,'In Place Revenue'!$D$2:$D$764,L$156)</f>
        <v>3450</v>
      </c>
      <c r="M162" s="6">
        <f>SUMIFS('In Place Revenue'!$G$2:$G$764,'In Place Revenue'!$B$2:$B$764,$B162,'In Place Revenue'!$D$2:$D$764,M$156)</f>
        <v>3450</v>
      </c>
      <c r="N162" s="6">
        <f>SUMIFS('In Place Revenue'!$G$2:$G$764,'In Place Revenue'!$B$2:$B$764,$B162,'In Place Revenue'!$D$2:$D$764,N$156)</f>
        <v>3450</v>
      </c>
      <c r="O162" s="6">
        <f>SUMIFS('In Place Revenue'!$G$2:$G$764,'In Place Revenue'!$B$2:$B$764,$B162,'In Place Revenue'!$D$2:$D$764,O$156)</f>
        <v>3450</v>
      </c>
      <c r="P162" s="6">
        <f>SUMIFS('In Place Revenue'!$G$2:$G$764,'In Place Revenue'!$B$2:$B$764,$B162,'In Place Revenue'!$D$2:$D$764,P$156)</f>
        <v>3450</v>
      </c>
      <c r="Q162" s="8">
        <f t="shared" si="84"/>
        <v>41400</v>
      </c>
    </row>
    <row r="163" spans="2:21" hidden="1" outlineLevel="1" x14ac:dyDescent="0.35">
      <c r="B163" s="339" t="s">
        <v>388</v>
      </c>
      <c r="C163" s="341"/>
      <c r="D163" s="6" t="str">
        <f>IFERROR(VLOOKUP(B163,'In Place Revenue'!$B$2:$H$630,2,FALSE),VLOOKUP(B163,$B$172:$D$181,3,FALSE))</f>
        <v>Hilti Power Tools/Fastening</v>
      </c>
      <c r="E163" s="6">
        <f>SUMIFS('In Place Revenue'!$G$2:$G$764,'In Place Revenue'!$B$2:$B$764,$B163,'In Place Revenue'!$D$2:$D$764,E$156)</f>
        <v>6933.33</v>
      </c>
      <c r="F163" s="6">
        <f>SUMIFS('In Place Revenue'!$G$2:$G$764,'In Place Revenue'!$B$2:$B$764,$B163,'In Place Revenue'!$D$2:$D$764,F$156)</f>
        <v>6933.33</v>
      </c>
      <c r="G163" s="6">
        <f>SUMIFS('In Place Revenue'!$G$2:$G$764,'In Place Revenue'!$B$2:$B$764,$B163,'In Place Revenue'!$D$2:$D$764,G$156)</f>
        <v>6933.33</v>
      </c>
      <c r="H163" s="6">
        <f>SUMIFS('In Place Revenue'!$G$2:$G$764,'In Place Revenue'!$B$2:$B$764,$B163,'In Place Revenue'!$D$2:$D$764,H$156)</f>
        <v>6933.33</v>
      </c>
      <c r="I163" s="6">
        <f>SUMIFS('In Place Revenue'!$G$2:$G$764,'In Place Revenue'!$B$2:$B$764,$B163,'In Place Revenue'!$D$2:$D$764,I$156)</f>
        <v>6933.33</v>
      </c>
      <c r="J163" s="6">
        <f>SUMIFS('In Place Revenue'!$G$2:$G$764,'In Place Revenue'!$B$2:$B$764,$B163,'In Place Revenue'!$D$2:$D$764,J$156)</f>
        <v>6933.33</v>
      </c>
      <c r="K163" s="6">
        <f>SUMIFS('In Place Revenue'!$G$2:$G$764,'In Place Revenue'!$B$2:$B$764,$B163,'In Place Revenue'!$D$2:$D$764,K$156)</f>
        <v>6933.33</v>
      </c>
      <c r="L163" s="6">
        <f>SUMIFS('In Place Revenue'!$G$2:$G$764,'In Place Revenue'!$B$2:$B$764,$B163,'In Place Revenue'!$D$2:$D$764,L$156)</f>
        <v>6933.33</v>
      </c>
      <c r="M163" s="6">
        <f>SUMIFS('In Place Revenue'!$G$2:$G$764,'In Place Revenue'!$B$2:$B$764,$B163,'In Place Revenue'!$D$2:$D$764,M$156)</f>
        <v>6933.33</v>
      </c>
      <c r="N163" s="6">
        <f>SUMIFS('In Place Revenue'!$G$2:$G$764,'In Place Revenue'!$B$2:$B$764,$B163,'In Place Revenue'!$D$2:$D$764,N$156)</f>
        <v>6933.33</v>
      </c>
      <c r="O163" s="6">
        <f>SUMIFS('In Place Revenue'!$G$2:$G$764,'In Place Revenue'!$B$2:$B$764,$B163,'In Place Revenue'!$D$2:$D$764,O$156)</f>
        <v>6933.33</v>
      </c>
      <c r="P163" s="6">
        <f>SUMIFS('In Place Revenue'!$G$2:$G$764,'In Place Revenue'!$B$2:$B$764,$B163,'In Place Revenue'!$D$2:$D$764,P$156)</f>
        <v>6933.33</v>
      </c>
      <c r="Q163" s="8">
        <f t="shared" si="84"/>
        <v>83199.960000000006</v>
      </c>
    </row>
    <row r="164" spans="2:21" hidden="1" outlineLevel="1" x14ac:dyDescent="0.35">
      <c r="B164" s="339" t="s">
        <v>390</v>
      </c>
      <c r="C164" s="341"/>
      <c r="D164" s="6" t="str">
        <f>IFERROR(VLOOKUP(B164,'In Place Revenue'!$B$2:$H$630,2,FALSE),VLOOKUP(B164,$B$172:$D$181,3,FALSE))</f>
        <v>United States Postal Service</v>
      </c>
      <c r="E164" s="6">
        <f>SUMIFS('In Place Revenue'!$G$2:$G$764,'In Place Revenue'!$B$2:$B$764,$B164,'In Place Revenue'!$D$2:$D$764,E$156)</f>
        <v>4666.67</v>
      </c>
      <c r="F164" s="6">
        <f>SUMIFS('In Place Revenue'!$G$2:$G$764,'In Place Revenue'!$B$2:$B$764,$B164,'In Place Revenue'!$D$2:$D$764,F$156)</f>
        <v>4666.67</v>
      </c>
      <c r="G164" s="6">
        <f>SUMIFS('In Place Revenue'!$G$2:$G$764,'In Place Revenue'!$B$2:$B$764,$B164,'In Place Revenue'!$D$2:$D$764,G$156)</f>
        <v>4666.67</v>
      </c>
      <c r="H164" s="6">
        <f>SUMIFS('In Place Revenue'!$G$2:$G$764,'In Place Revenue'!$B$2:$B$764,$B164,'In Place Revenue'!$D$2:$D$764,H$156)</f>
        <v>4666.67</v>
      </c>
      <c r="I164" s="6">
        <f>SUMIFS('In Place Revenue'!$G$2:$G$764,'In Place Revenue'!$B$2:$B$764,$B164,'In Place Revenue'!$D$2:$D$764,I$156)</f>
        <v>4666.67</v>
      </c>
      <c r="J164" s="6">
        <f>SUMIFS('In Place Revenue'!$G$2:$G$764,'In Place Revenue'!$B$2:$B$764,$B164,'In Place Revenue'!$D$2:$D$764,J$156)</f>
        <v>4666.67</v>
      </c>
      <c r="K164" s="6">
        <f>SUMIFS('In Place Revenue'!$G$2:$G$764,'In Place Revenue'!$B$2:$B$764,$B164,'In Place Revenue'!$D$2:$D$764,K$156)</f>
        <v>4666.67</v>
      </c>
      <c r="L164" s="6">
        <f>SUMIFS('In Place Revenue'!$G$2:$G$764,'In Place Revenue'!$B$2:$B$764,$B164,'In Place Revenue'!$D$2:$D$764,L$156)</f>
        <v>4666.67</v>
      </c>
      <c r="M164" s="6">
        <f>SUMIFS('In Place Revenue'!$G$2:$G$764,'In Place Revenue'!$B$2:$B$764,$B164,'In Place Revenue'!$D$2:$D$764,M$156)</f>
        <v>4666.67</v>
      </c>
      <c r="N164" s="6">
        <f>SUMIFS('In Place Revenue'!$G$2:$G$764,'In Place Revenue'!$B$2:$B$764,$B164,'In Place Revenue'!$D$2:$D$764,N$156)</f>
        <v>4666.67</v>
      </c>
      <c r="O164" s="6">
        <f>SUMIFS('In Place Revenue'!$G$2:$G$764,'In Place Revenue'!$B$2:$B$764,$B164,'In Place Revenue'!$D$2:$D$764,O$156)</f>
        <v>4666.67</v>
      </c>
      <c r="P164" s="6">
        <f>SUMIFS('In Place Revenue'!$G$2:$G$764,'In Place Revenue'!$B$2:$B$764,$B164,'In Place Revenue'!$D$2:$D$764,P$156)</f>
        <v>4666.67</v>
      </c>
      <c r="Q164" s="8">
        <f t="shared" si="84"/>
        <v>56000.039999999986</v>
      </c>
    </row>
    <row r="165" spans="2:21" hidden="1" outlineLevel="1" x14ac:dyDescent="0.35">
      <c r="B165" s="339" t="s">
        <v>392</v>
      </c>
      <c r="C165" s="341"/>
      <c r="D165" s="6" t="str">
        <f>IFERROR(VLOOKUP(B165,'In Place Revenue'!$B$2:$H$630,2,FALSE),VLOOKUP(B165,$B$172:$D$181,3,FALSE))</f>
        <v>Pennsylvania LCB</v>
      </c>
      <c r="E165" s="6">
        <f>SUMIFS('In Place Revenue'!$G$2:$G$764,'In Place Revenue'!$B$2:$B$764,$B165,'In Place Revenue'!$D$2:$D$764,E$156)</f>
        <v>26056.67</v>
      </c>
      <c r="F165" s="6">
        <f>SUMIFS('In Place Revenue'!$G$2:$G$764,'In Place Revenue'!$B$2:$B$764,$B165,'In Place Revenue'!$D$2:$D$764,F$156)</f>
        <v>26056.67</v>
      </c>
      <c r="G165" s="6">
        <f>SUMIFS('In Place Revenue'!$G$2:$G$764,'In Place Revenue'!$B$2:$B$764,$B165,'In Place Revenue'!$D$2:$D$764,G$156)</f>
        <v>26056.67</v>
      </c>
      <c r="H165" s="6">
        <f>SUMIFS('In Place Revenue'!$G$2:$G$764,'In Place Revenue'!$B$2:$B$764,$B165,'In Place Revenue'!$D$2:$D$764,H$156)</f>
        <v>26056.67</v>
      </c>
      <c r="I165" s="6">
        <f>SUMIFS('In Place Revenue'!$G$2:$G$764,'In Place Revenue'!$B$2:$B$764,$B165,'In Place Revenue'!$D$2:$D$764,I$156)</f>
        <v>26056.67</v>
      </c>
      <c r="J165" s="6">
        <f>SUMIFS('In Place Revenue'!$G$2:$G$764,'In Place Revenue'!$B$2:$B$764,$B165,'In Place Revenue'!$D$2:$D$764,J$156)</f>
        <v>26056.67</v>
      </c>
      <c r="K165" s="6">
        <f>SUMIFS('In Place Revenue'!$G$2:$G$764,'In Place Revenue'!$B$2:$B$764,$B165,'In Place Revenue'!$D$2:$D$764,K$156)</f>
        <v>26056.67</v>
      </c>
      <c r="L165" s="6">
        <f>SUMIFS('In Place Revenue'!$G$2:$G$764,'In Place Revenue'!$B$2:$B$764,$B165,'In Place Revenue'!$D$2:$D$764,L$156)</f>
        <v>26056.67</v>
      </c>
      <c r="M165" s="6">
        <f>SUMIFS('In Place Revenue'!$G$2:$G$764,'In Place Revenue'!$B$2:$B$764,$B165,'In Place Revenue'!$D$2:$D$764,M$156)</f>
        <v>26056.67</v>
      </c>
      <c r="N165" s="6">
        <f>SUMIFS('In Place Revenue'!$G$2:$G$764,'In Place Revenue'!$B$2:$B$764,$B165,'In Place Revenue'!$D$2:$D$764,N$156)</f>
        <v>26056.67</v>
      </c>
      <c r="O165" s="6">
        <f>SUMIFS('In Place Revenue'!$G$2:$G$764,'In Place Revenue'!$B$2:$B$764,$B165,'In Place Revenue'!$D$2:$D$764,O$156)</f>
        <v>28662.33</v>
      </c>
      <c r="P165" s="6">
        <f>SUMIFS('In Place Revenue'!$G$2:$G$764,'In Place Revenue'!$B$2:$B$764,$B165,'In Place Revenue'!$D$2:$D$764,P$156)</f>
        <v>28662.33</v>
      </c>
      <c r="Q165" s="8">
        <f t="shared" si="84"/>
        <v>317891.36</v>
      </c>
    </row>
    <row r="166" spans="2:21" hidden="1" outlineLevel="1" x14ac:dyDescent="0.35">
      <c r="B166" s="340" t="s">
        <v>394</v>
      </c>
      <c r="C166" s="342"/>
      <c r="D166" s="15" t="str">
        <f>IFERROR(VLOOKUP(B166,'In Place Revenue'!$B$2:$H$630,2,FALSE),VLOOKUP(B166,$B$172:$D$181,3,FALSE))</f>
        <v>Wakefern Food Corp</v>
      </c>
      <c r="E166" s="15">
        <f>SUMIFS('In Place Revenue'!$G$2:$G$764,'In Place Revenue'!$B$2:$B$764,$B166,'In Place Revenue'!$D$2:$D$764,E$156)</f>
        <v>61368.67</v>
      </c>
      <c r="F166" s="15">
        <f>SUMIFS('In Place Revenue'!$G$2:$G$764,'In Place Revenue'!$B$2:$B$764,$B166,'In Place Revenue'!$D$2:$D$764,F$156)</f>
        <v>61368.67</v>
      </c>
      <c r="G166" s="15">
        <f>SUMIFS('In Place Revenue'!$G$2:$G$764,'In Place Revenue'!$B$2:$B$764,$B166,'In Place Revenue'!$D$2:$D$764,G$156)</f>
        <v>61368.67</v>
      </c>
      <c r="H166" s="15">
        <f>SUMIFS('In Place Revenue'!$G$2:$G$764,'In Place Revenue'!$B$2:$B$764,$B166,'In Place Revenue'!$D$2:$D$764,H$156)</f>
        <v>61368.67</v>
      </c>
      <c r="I166" s="15">
        <f>SUMIFS('In Place Revenue'!$G$2:$G$764,'In Place Revenue'!$B$2:$B$764,$B166,'In Place Revenue'!$D$2:$D$764,I$156)</f>
        <v>61368.67</v>
      </c>
      <c r="J166" s="15">
        <f>SUMIFS('In Place Revenue'!$G$2:$G$764,'In Place Revenue'!$B$2:$B$764,$B166,'In Place Revenue'!$D$2:$D$764,J$156)</f>
        <v>61368.67</v>
      </c>
      <c r="K166" s="15">
        <f>SUMIFS('In Place Revenue'!$G$2:$G$764,'In Place Revenue'!$B$2:$B$764,$B166,'In Place Revenue'!$D$2:$D$764,K$156)</f>
        <v>61368.67</v>
      </c>
      <c r="L166" s="15">
        <f>SUMIFS('In Place Revenue'!$G$2:$G$764,'In Place Revenue'!$B$2:$B$764,$B166,'In Place Revenue'!$D$2:$D$764,L$156)</f>
        <v>61368.67</v>
      </c>
      <c r="M166" s="15">
        <f>SUMIFS('In Place Revenue'!$G$2:$G$764,'In Place Revenue'!$B$2:$B$764,$B166,'In Place Revenue'!$D$2:$D$764,M$156)</f>
        <v>61368.67</v>
      </c>
      <c r="N166" s="15">
        <f>SUMIFS('In Place Revenue'!$G$2:$G$764,'In Place Revenue'!$B$2:$B$764,$B166,'In Place Revenue'!$D$2:$D$764,N$156)</f>
        <v>61368.67</v>
      </c>
      <c r="O166" s="15">
        <f>SUMIFS('In Place Revenue'!$G$2:$G$764,'In Place Revenue'!$B$2:$B$764,$B166,'In Place Revenue'!$D$2:$D$764,O$156)</f>
        <v>68449.67</v>
      </c>
      <c r="P166" s="15">
        <f>SUMIFS('In Place Revenue'!$G$2:$G$764,'In Place Revenue'!$B$2:$B$764,$B166,'In Place Revenue'!$D$2:$D$764,P$156)</f>
        <v>68449.67</v>
      </c>
      <c r="Q166" s="49">
        <f t="shared" si="84"/>
        <v>750586.04</v>
      </c>
    </row>
    <row r="167" spans="2:21" hidden="1" outlineLevel="1" x14ac:dyDescent="0.35">
      <c r="B167" s="3"/>
      <c r="D167" s="16" t="s">
        <v>12</v>
      </c>
      <c r="E167" s="8">
        <f t="shared" ref="E167:Q167" si="86">SUM(E157:E166)</f>
        <v>123600.01</v>
      </c>
      <c r="F167" s="8">
        <f t="shared" si="86"/>
        <v>123600.01</v>
      </c>
      <c r="G167" s="8">
        <f t="shared" si="86"/>
        <v>123600.01</v>
      </c>
      <c r="H167" s="8">
        <f t="shared" si="86"/>
        <v>123600.01</v>
      </c>
      <c r="I167" s="8">
        <f t="shared" si="86"/>
        <v>123600.01</v>
      </c>
      <c r="J167" s="8">
        <f t="shared" si="86"/>
        <v>123600.01</v>
      </c>
      <c r="K167" s="8">
        <f t="shared" si="86"/>
        <v>123600.01</v>
      </c>
      <c r="L167" s="8">
        <f t="shared" si="86"/>
        <v>123600.01</v>
      </c>
      <c r="M167" s="8">
        <f t="shared" si="86"/>
        <v>123600.01</v>
      </c>
      <c r="N167" s="8">
        <f t="shared" si="86"/>
        <v>123600.01</v>
      </c>
      <c r="O167" s="8">
        <f t="shared" si="86"/>
        <v>133286.66999999998</v>
      </c>
      <c r="P167" s="8">
        <f t="shared" si="86"/>
        <v>133286.66999999998</v>
      </c>
      <c r="Q167" s="8">
        <f t="shared" si="86"/>
        <v>1502573.44</v>
      </c>
    </row>
    <row r="168" spans="2:21" hidden="1" outlineLevel="1" x14ac:dyDescent="0.35">
      <c r="E168" s="55">
        <f t="shared" ref="E168:Q168" si="87">E10-E167</f>
        <v>0</v>
      </c>
      <c r="F168" s="55">
        <f t="shared" si="87"/>
        <v>0</v>
      </c>
      <c r="G168" s="55">
        <f t="shared" si="87"/>
        <v>0</v>
      </c>
      <c r="H168" s="55">
        <f t="shared" si="87"/>
        <v>0</v>
      </c>
      <c r="I168" s="55">
        <f t="shared" si="87"/>
        <v>0</v>
      </c>
      <c r="J168" s="55">
        <f t="shared" si="87"/>
        <v>0</v>
      </c>
      <c r="K168" s="55">
        <f t="shared" si="87"/>
        <v>0</v>
      </c>
      <c r="L168" s="55">
        <f t="shared" si="87"/>
        <v>0</v>
      </c>
      <c r="M168" s="55">
        <f t="shared" si="87"/>
        <v>0</v>
      </c>
      <c r="N168" s="55">
        <f t="shared" si="87"/>
        <v>0</v>
      </c>
      <c r="O168" s="55">
        <f t="shared" si="87"/>
        <v>0</v>
      </c>
      <c r="P168" s="55">
        <f t="shared" si="87"/>
        <v>0</v>
      </c>
      <c r="Q168" s="6">
        <f t="shared" si="87"/>
        <v>0</v>
      </c>
      <c r="T168" s="6"/>
      <c r="U168" s="6"/>
    </row>
    <row r="169" spans="2:21" collapsed="1" x14ac:dyDescent="0.35"/>
    <row r="170" spans="2:21" ht="17.5" x14ac:dyDescent="0.35">
      <c r="B170" s="202" t="s">
        <v>160</v>
      </c>
      <c r="C170" s="55"/>
      <c r="D170" s="55"/>
      <c r="E170" s="353"/>
      <c r="F170" s="354"/>
      <c r="G170" s="354"/>
      <c r="H170" s="354"/>
      <c r="I170" s="354"/>
      <c r="J170" s="354"/>
      <c r="K170" s="354"/>
      <c r="L170" s="354"/>
      <c r="M170" s="354"/>
      <c r="N170" s="354"/>
      <c r="O170" s="354"/>
      <c r="P170" s="354"/>
      <c r="Q170" s="55"/>
      <c r="T170" s="6"/>
      <c r="U170" s="6"/>
    </row>
    <row r="171" spans="2:21" outlineLevel="1" x14ac:dyDescent="0.35">
      <c r="B171" s="391" t="s">
        <v>503</v>
      </c>
      <c r="C171" s="391"/>
      <c r="D171" s="391" t="s">
        <v>302</v>
      </c>
      <c r="E171" s="392">
        <f t="shared" ref="E171:P171" si="88">E156</f>
        <v>46023</v>
      </c>
      <c r="F171" s="392">
        <f t="shared" si="88"/>
        <v>46054</v>
      </c>
      <c r="G171" s="392">
        <f t="shared" si="88"/>
        <v>46082</v>
      </c>
      <c r="H171" s="392">
        <f t="shared" si="88"/>
        <v>46113</v>
      </c>
      <c r="I171" s="392">
        <f t="shared" si="88"/>
        <v>46143</v>
      </c>
      <c r="J171" s="392">
        <f t="shared" si="88"/>
        <v>46174</v>
      </c>
      <c r="K171" s="392">
        <f t="shared" si="88"/>
        <v>46204</v>
      </c>
      <c r="L171" s="392">
        <f t="shared" si="88"/>
        <v>46235</v>
      </c>
      <c r="M171" s="392">
        <f t="shared" si="88"/>
        <v>46266</v>
      </c>
      <c r="N171" s="392">
        <f t="shared" si="88"/>
        <v>46296</v>
      </c>
      <c r="O171" s="392">
        <f t="shared" si="88"/>
        <v>46327</v>
      </c>
      <c r="P171" s="392">
        <f t="shared" si="88"/>
        <v>46357</v>
      </c>
      <c r="Q171" s="393" t="s">
        <v>12</v>
      </c>
      <c r="T171" s="6"/>
      <c r="U171" s="6"/>
    </row>
    <row r="172" spans="2:21" outlineLevel="1" x14ac:dyDescent="0.35">
      <c r="B172" s="373" t="str">
        <f t="shared" ref="B172:B181" si="89">B157</f>
        <v>4500-2851</v>
      </c>
      <c r="C172" s="55"/>
      <c r="D172" s="394" t="str">
        <f>IFERROR(VLOOKUP(B172,'Renew &amp; Vac '!$L$75:$M$89,2,FALSE),IFERROR(VLOOKUP(B172,'Renew &amp; Vac '!$A$75:$B$89,2,FALSE),VLOOKUP(B172,$B$157:$D$166,3,FALSE)))</f>
        <v>McDonald's Corp #37-1239</v>
      </c>
      <c r="E172" s="55">
        <f>SUMIFS('Renew &amp; Vac '!$S$75:$S$89,'Renew &amp; Vac '!$L$75:$L$89,$B172,'Renew &amp; Vac '!$O$75:$O$89,"&lt;="&amp;E$171,'Renew &amp; Vac '!$P$75:$P$89,"&gt;="&amp;E$171)+SUMIFS('Renew &amp; Vac '!$H$75:$H$89,'Renew &amp; Vac '!$A$75:$A$89,$B172,'Renew &amp; Vac '!$D$75:$D$89,"&lt;="&amp;E$171,'Renew &amp; Vac '!$E$75:$E$89,"&gt;="&amp;E$171)</f>
        <v>0</v>
      </c>
      <c r="F172" s="55">
        <f>SUMIFS('Renew &amp; Vac '!$S$75:$S$89,'Renew &amp; Vac '!$L$75:$L$89,$B172,'Renew &amp; Vac '!$O$75:$O$89,"&lt;="&amp;F$171,'Renew &amp; Vac '!$P$75:$P$89,"&gt;="&amp;F$171)+SUMIFS('Renew &amp; Vac '!$H$75:$H$89,'Renew &amp; Vac '!$A$75:$A$89,$B172,'Renew &amp; Vac '!$D$75:$D$89,"&lt;="&amp;F$171,'Renew &amp; Vac '!$E$75:$E$89,"&gt;="&amp;F$171)</f>
        <v>0</v>
      </c>
      <c r="G172" s="55">
        <f>SUMIFS('Renew &amp; Vac '!$S$75:$S$89,'Renew &amp; Vac '!$L$75:$L$89,$B172,'Renew &amp; Vac '!$O$75:$O$89,"&lt;="&amp;G$171,'Renew &amp; Vac '!$P$75:$P$89,"&gt;="&amp;G$171)+SUMIFS('Renew &amp; Vac '!$H$75:$H$89,'Renew &amp; Vac '!$A$75:$A$89,$B172,'Renew &amp; Vac '!$D$75:$D$89,"&lt;="&amp;G$171,'Renew &amp; Vac '!$E$75:$E$89,"&gt;="&amp;G$171)</f>
        <v>0</v>
      </c>
      <c r="H172" s="55">
        <f>SUMIFS('Renew &amp; Vac '!$S$75:$S$89,'Renew &amp; Vac '!$L$75:$L$89,$B172,'Renew &amp; Vac '!$O$75:$O$89,"&lt;="&amp;H$171,'Renew &amp; Vac '!$P$75:$P$89,"&gt;="&amp;H$171)+SUMIFS('Renew &amp; Vac '!$H$75:$H$89,'Renew &amp; Vac '!$A$75:$A$89,$B172,'Renew &amp; Vac '!$D$75:$D$89,"&lt;="&amp;H$171,'Renew &amp; Vac '!$E$75:$E$89,"&gt;="&amp;H$171)</f>
        <v>0</v>
      </c>
      <c r="I172" s="55">
        <f>SUMIFS('Renew &amp; Vac '!$S$75:$S$89,'Renew &amp; Vac '!$L$75:$L$89,$B172,'Renew &amp; Vac '!$O$75:$O$89,"&lt;="&amp;I$171,'Renew &amp; Vac '!$P$75:$P$89,"&gt;="&amp;I$171)+SUMIFS('Renew &amp; Vac '!$H$75:$H$89,'Renew &amp; Vac '!$A$75:$A$89,$B172,'Renew &amp; Vac '!$D$75:$D$89,"&lt;="&amp;I$171,'Renew &amp; Vac '!$E$75:$E$89,"&gt;="&amp;I$171)</f>
        <v>0</v>
      </c>
      <c r="J172" s="55">
        <f>SUMIFS('Renew &amp; Vac '!$S$75:$S$89,'Renew &amp; Vac '!$L$75:$L$89,$B172,'Renew &amp; Vac '!$O$75:$O$89,"&lt;="&amp;J$171,'Renew &amp; Vac '!$P$75:$P$89,"&gt;="&amp;J$171)+SUMIFS('Renew &amp; Vac '!$H$75:$H$89,'Renew &amp; Vac '!$A$75:$A$89,$B172,'Renew &amp; Vac '!$D$75:$D$89,"&lt;="&amp;J$171,'Renew &amp; Vac '!$E$75:$E$89,"&gt;="&amp;J$171)</f>
        <v>0</v>
      </c>
      <c r="K172" s="55">
        <f>SUMIFS('Renew &amp; Vac '!$S$75:$S$89,'Renew &amp; Vac '!$L$75:$L$89,$B172,'Renew &amp; Vac '!$O$75:$O$89,"&lt;="&amp;K$171,'Renew &amp; Vac '!$P$75:$P$89,"&gt;="&amp;K$171)+SUMIFS('Renew &amp; Vac '!$H$75:$H$89,'Renew &amp; Vac '!$A$75:$A$89,$B172,'Renew &amp; Vac '!$D$75:$D$89,"&lt;="&amp;K$171,'Renew &amp; Vac '!$E$75:$E$89,"&gt;="&amp;K$171)</f>
        <v>0</v>
      </c>
      <c r="L172" s="55">
        <f>SUMIFS('Renew &amp; Vac '!$S$75:$S$89,'Renew &amp; Vac '!$L$75:$L$89,$B172,'Renew &amp; Vac '!$O$75:$O$89,"&lt;="&amp;L$171,'Renew &amp; Vac '!$P$75:$P$89,"&gt;="&amp;L$171)+SUMIFS('Renew &amp; Vac '!$H$75:$H$89,'Renew &amp; Vac '!$A$75:$A$89,$B172,'Renew &amp; Vac '!$D$75:$D$89,"&lt;="&amp;L$171,'Renew &amp; Vac '!$E$75:$E$89,"&gt;="&amp;L$171)</f>
        <v>0</v>
      </c>
      <c r="M172" s="55">
        <f>SUMIFS('Renew &amp; Vac '!$S$75:$S$89,'Renew &amp; Vac '!$L$75:$L$89,$B172,'Renew &amp; Vac '!$O$75:$O$89,"&lt;="&amp;M$171,'Renew &amp; Vac '!$P$75:$P$89,"&gt;="&amp;M$171)+SUMIFS('Renew &amp; Vac '!$H$75:$H$89,'Renew &amp; Vac '!$A$75:$A$89,$B172,'Renew &amp; Vac '!$D$75:$D$89,"&lt;="&amp;M$171,'Renew &amp; Vac '!$E$75:$E$89,"&gt;="&amp;M$171)</f>
        <v>0</v>
      </c>
      <c r="N172" s="55">
        <f>SUMIFS('Renew &amp; Vac '!$S$75:$S$89,'Renew &amp; Vac '!$L$75:$L$89,$B172,'Renew &amp; Vac '!$O$75:$O$89,"&lt;="&amp;N$171,'Renew &amp; Vac '!$P$75:$P$89,"&gt;="&amp;N$171)+SUMIFS('Renew &amp; Vac '!$H$75:$H$89,'Renew &amp; Vac '!$A$75:$A$89,$B172,'Renew &amp; Vac '!$D$75:$D$89,"&lt;="&amp;N$171,'Renew &amp; Vac '!$E$75:$E$89,"&gt;="&amp;N$171)</f>
        <v>0</v>
      </c>
      <c r="O172" s="55">
        <f>SUMIFS('Renew &amp; Vac '!$S$75:$S$89,'Renew &amp; Vac '!$L$75:$L$89,$B172,'Renew &amp; Vac '!$O$75:$O$89,"&lt;="&amp;O$171,'Renew &amp; Vac '!$P$75:$P$89,"&gt;="&amp;O$171)+SUMIFS('Renew &amp; Vac '!$H$75:$H$89,'Renew &amp; Vac '!$A$75:$A$89,$B172,'Renew &amp; Vac '!$D$75:$D$89,"&lt;="&amp;O$171,'Renew &amp; Vac '!$E$75:$E$89,"&gt;="&amp;O$171)</f>
        <v>0</v>
      </c>
      <c r="P172" s="55">
        <f>SUMIFS('Renew &amp; Vac '!$S$75:$S$89,'Renew &amp; Vac '!$L$75:$L$89,$B172,'Renew &amp; Vac '!$O$75:$O$89,"&lt;="&amp;P$171,'Renew &amp; Vac '!$P$75:$P$89,"&gt;="&amp;P$171)+SUMIFS('Renew &amp; Vac '!$H$75:$H$89,'Renew &amp; Vac '!$A$75:$A$89,$B172,'Renew &amp; Vac '!$D$75:$D$89,"&lt;="&amp;P$171,'Renew &amp; Vac '!$E$75:$E$89,"&gt;="&amp;P$171)</f>
        <v>0</v>
      </c>
      <c r="Q172" s="395">
        <f>SUM(E172:P172)</f>
        <v>0</v>
      </c>
      <c r="T172" s="6"/>
      <c r="U172" s="6"/>
    </row>
    <row r="173" spans="2:21" outlineLevel="1" x14ac:dyDescent="0.35">
      <c r="B173" s="373" t="str">
        <f t="shared" si="89"/>
        <v>4500-2891</v>
      </c>
      <c r="C173" s="55"/>
      <c r="D173" s="55" t="str">
        <f>IFERROR(VLOOKUP(B173,'Renew &amp; Vac '!$L$75:$M$89,2,FALSE),IFERROR(VLOOKUP(B173,'Renew &amp; Vac '!$A$75:$B$89,2,FALSE),VLOOKUP(B173,$B$157:$D$166,3,FALSE)))</f>
        <v>JP Morgan Chase</v>
      </c>
      <c r="E173" s="55">
        <f>SUMIFS('Renew &amp; Vac '!$S$75:$S$89,'Renew &amp; Vac '!$L$75:$L$89,$B173,'Renew &amp; Vac '!$O$75:$O$89,"&lt;="&amp;E$171,'Renew &amp; Vac '!$P$75:$P$89,"&gt;="&amp;E$171)+SUMIFS('Renew &amp; Vac '!$H$75:$H$89,'Renew &amp; Vac '!$A$75:$A$89,$B173,'Renew &amp; Vac '!$D$75:$D$89,"&lt;="&amp;E$171,'Renew &amp; Vac '!$E$75:$E$89,"&gt;="&amp;E$171)</f>
        <v>0</v>
      </c>
      <c r="F173" s="55">
        <f>SUMIFS('Renew &amp; Vac '!$S$75:$S$89,'Renew &amp; Vac '!$L$75:$L$89,$B173,'Renew &amp; Vac '!$O$75:$O$89,"&lt;="&amp;F$171,'Renew &amp; Vac '!$P$75:$P$89,"&gt;="&amp;F$171)+SUMIFS('Renew &amp; Vac '!$H$75:$H$89,'Renew &amp; Vac '!$A$75:$A$89,$B173,'Renew &amp; Vac '!$D$75:$D$89,"&lt;="&amp;F$171,'Renew &amp; Vac '!$E$75:$E$89,"&gt;="&amp;F$171)</f>
        <v>0</v>
      </c>
      <c r="G173" s="55">
        <f>SUMIFS('Renew &amp; Vac '!$S$75:$S$89,'Renew &amp; Vac '!$L$75:$L$89,$B173,'Renew &amp; Vac '!$O$75:$O$89,"&lt;="&amp;G$171,'Renew &amp; Vac '!$P$75:$P$89,"&gt;="&amp;G$171)+SUMIFS('Renew &amp; Vac '!$H$75:$H$89,'Renew &amp; Vac '!$A$75:$A$89,$B173,'Renew &amp; Vac '!$D$75:$D$89,"&lt;="&amp;G$171,'Renew &amp; Vac '!$E$75:$E$89,"&gt;="&amp;G$171)</f>
        <v>0</v>
      </c>
      <c r="H173" s="55">
        <f>SUMIFS('Renew &amp; Vac '!$S$75:$S$89,'Renew &amp; Vac '!$L$75:$L$89,$B173,'Renew &amp; Vac '!$O$75:$O$89,"&lt;="&amp;H$171,'Renew &amp; Vac '!$P$75:$P$89,"&gt;="&amp;H$171)+SUMIFS('Renew &amp; Vac '!$H$75:$H$89,'Renew &amp; Vac '!$A$75:$A$89,$B173,'Renew &amp; Vac '!$D$75:$D$89,"&lt;="&amp;H$171,'Renew &amp; Vac '!$E$75:$E$89,"&gt;="&amp;H$171)</f>
        <v>0</v>
      </c>
      <c r="I173" s="55">
        <f>SUMIFS('Renew &amp; Vac '!$S$75:$S$89,'Renew &amp; Vac '!$L$75:$L$89,$B173,'Renew &amp; Vac '!$O$75:$O$89,"&lt;="&amp;I$171,'Renew &amp; Vac '!$P$75:$P$89,"&gt;="&amp;I$171)+SUMIFS('Renew &amp; Vac '!$H$75:$H$89,'Renew &amp; Vac '!$A$75:$A$89,$B173,'Renew &amp; Vac '!$D$75:$D$89,"&lt;="&amp;I$171,'Renew &amp; Vac '!$E$75:$E$89,"&gt;="&amp;I$171)</f>
        <v>0</v>
      </c>
      <c r="J173" s="55">
        <f>SUMIFS('Renew &amp; Vac '!$S$75:$S$89,'Renew &amp; Vac '!$L$75:$L$89,$B173,'Renew &amp; Vac '!$O$75:$O$89,"&lt;="&amp;J$171,'Renew &amp; Vac '!$P$75:$P$89,"&gt;="&amp;J$171)+SUMIFS('Renew &amp; Vac '!$H$75:$H$89,'Renew &amp; Vac '!$A$75:$A$89,$B173,'Renew &amp; Vac '!$D$75:$D$89,"&lt;="&amp;J$171,'Renew &amp; Vac '!$E$75:$E$89,"&gt;="&amp;J$171)</f>
        <v>0</v>
      </c>
      <c r="K173" s="55">
        <f>SUMIFS('Renew &amp; Vac '!$S$75:$S$89,'Renew &amp; Vac '!$L$75:$L$89,$B173,'Renew &amp; Vac '!$O$75:$O$89,"&lt;="&amp;K$171,'Renew &amp; Vac '!$P$75:$P$89,"&gt;="&amp;K$171)+SUMIFS('Renew &amp; Vac '!$H$75:$H$89,'Renew &amp; Vac '!$A$75:$A$89,$B173,'Renew &amp; Vac '!$D$75:$D$89,"&lt;="&amp;K$171,'Renew &amp; Vac '!$E$75:$E$89,"&gt;="&amp;K$171)</f>
        <v>0</v>
      </c>
      <c r="L173" s="55">
        <f>SUMIFS('Renew &amp; Vac '!$S$75:$S$89,'Renew &amp; Vac '!$L$75:$L$89,$B173,'Renew &amp; Vac '!$O$75:$O$89,"&lt;="&amp;L$171,'Renew &amp; Vac '!$P$75:$P$89,"&gt;="&amp;L$171)+SUMIFS('Renew &amp; Vac '!$H$75:$H$89,'Renew &amp; Vac '!$A$75:$A$89,$B173,'Renew &amp; Vac '!$D$75:$D$89,"&lt;="&amp;L$171,'Renew &amp; Vac '!$E$75:$E$89,"&gt;="&amp;L$171)</f>
        <v>0</v>
      </c>
      <c r="M173" s="55">
        <f>SUMIFS('Renew &amp; Vac '!$S$75:$S$89,'Renew &amp; Vac '!$L$75:$L$89,$B173,'Renew &amp; Vac '!$O$75:$O$89,"&lt;="&amp;M$171,'Renew &amp; Vac '!$P$75:$P$89,"&gt;="&amp;M$171)+SUMIFS('Renew &amp; Vac '!$H$75:$H$89,'Renew &amp; Vac '!$A$75:$A$89,$B173,'Renew &amp; Vac '!$D$75:$D$89,"&lt;="&amp;M$171,'Renew &amp; Vac '!$E$75:$E$89,"&gt;="&amp;M$171)</f>
        <v>0</v>
      </c>
      <c r="N173" s="55">
        <f>SUMIFS('Renew &amp; Vac '!$S$75:$S$89,'Renew &amp; Vac '!$L$75:$L$89,$B173,'Renew &amp; Vac '!$O$75:$O$89,"&lt;="&amp;N$171,'Renew &amp; Vac '!$P$75:$P$89,"&gt;="&amp;N$171)+SUMIFS('Renew &amp; Vac '!$H$75:$H$89,'Renew &amp; Vac '!$A$75:$A$89,$B173,'Renew &amp; Vac '!$D$75:$D$89,"&lt;="&amp;N$171,'Renew &amp; Vac '!$E$75:$E$89,"&gt;="&amp;N$171)</f>
        <v>0</v>
      </c>
      <c r="O173" s="55">
        <f>SUMIFS('Renew &amp; Vac '!$S$75:$S$89,'Renew &amp; Vac '!$L$75:$L$89,$B173,'Renew &amp; Vac '!$O$75:$O$89,"&lt;="&amp;O$171,'Renew &amp; Vac '!$P$75:$P$89,"&gt;="&amp;O$171)+SUMIFS('Renew &amp; Vac '!$H$75:$H$89,'Renew &amp; Vac '!$A$75:$A$89,$B173,'Renew &amp; Vac '!$D$75:$D$89,"&lt;="&amp;O$171,'Renew &amp; Vac '!$E$75:$E$89,"&gt;="&amp;O$171)</f>
        <v>0</v>
      </c>
      <c r="P173" s="55">
        <f>SUMIFS('Renew &amp; Vac '!$S$75:$S$89,'Renew &amp; Vac '!$L$75:$L$89,$B173,'Renew &amp; Vac '!$O$75:$O$89,"&lt;="&amp;P$171,'Renew &amp; Vac '!$P$75:$P$89,"&gt;="&amp;P$171)+SUMIFS('Renew &amp; Vac '!$H$75:$H$89,'Renew &amp; Vac '!$A$75:$A$89,$B173,'Renew &amp; Vac '!$D$75:$D$89,"&lt;="&amp;P$171,'Renew &amp; Vac '!$E$75:$E$89,"&gt;="&amp;P$171)</f>
        <v>0</v>
      </c>
      <c r="Q173" s="395">
        <f t="shared" ref="Q173:Q181" si="90">SUM(E173:P173)</f>
        <v>0</v>
      </c>
    </row>
    <row r="174" spans="2:21" outlineLevel="1" x14ac:dyDescent="0.35">
      <c r="B174" s="373" t="str">
        <f t="shared" si="89"/>
        <v>4500-2893</v>
      </c>
      <c r="C174" s="55"/>
      <c r="D174" s="55" t="str">
        <f>IFERROR(VLOOKUP(B174,'Renew &amp; Vac '!$L$75:$M$89,2,FALSE),IFERROR(VLOOKUP(B174,'Renew &amp; Vac '!$A$75:$B$89,2,FALSE),VLOOKUP(B174,$B$157:$D$166,3,FALSE)))</f>
        <v>Grays Eye Care</v>
      </c>
      <c r="E174" s="55">
        <f>SUMIFS('Renew &amp; Vac '!$S$75:$S$89,'Renew &amp; Vac '!$L$75:$L$89,$B174,'Renew &amp; Vac '!$O$75:$O$89,"&lt;="&amp;E$171,'Renew &amp; Vac '!$P$75:$P$89,"&gt;="&amp;E$171)+SUMIFS('Renew &amp; Vac '!$H$75:$H$89,'Renew &amp; Vac '!$A$75:$A$89,$B174,'Renew &amp; Vac '!$D$75:$D$89,"&lt;="&amp;E$171,'Renew &amp; Vac '!$E$75:$E$89,"&gt;="&amp;E$171)</f>
        <v>0</v>
      </c>
      <c r="F174" s="55">
        <f>SUMIFS('Renew &amp; Vac '!$S$75:$S$89,'Renew &amp; Vac '!$L$75:$L$89,$B174,'Renew &amp; Vac '!$O$75:$O$89,"&lt;="&amp;F$171,'Renew &amp; Vac '!$P$75:$P$89,"&gt;="&amp;F$171)+SUMIFS('Renew &amp; Vac '!$H$75:$H$89,'Renew &amp; Vac '!$A$75:$A$89,$B174,'Renew &amp; Vac '!$D$75:$D$89,"&lt;="&amp;F$171,'Renew &amp; Vac '!$E$75:$E$89,"&gt;="&amp;F$171)</f>
        <v>0</v>
      </c>
      <c r="G174" s="55">
        <f>SUMIFS('Renew &amp; Vac '!$S$75:$S$89,'Renew &amp; Vac '!$L$75:$L$89,$B174,'Renew &amp; Vac '!$O$75:$O$89,"&lt;="&amp;G$171,'Renew &amp; Vac '!$P$75:$P$89,"&gt;="&amp;G$171)+SUMIFS('Renew &amp; Vac '!$H$75:$H$89,'Renew &amp; Vac '!$A$75:$A$89,$B174,'Renew &amp; Vac '!$D$75:$D$89,"&lt;="&amp;G$171,'Renew &amp; Vac '!$E$75:$E$89,"&gt;="&amp;G$171)</f>
        <v>0</v>
      </c>
      <c r="H174" s="55">
        <f>SUMIFS('Renew &amp; Vac '!$S$75:$S$89,'Renew &amp; Vac '!$L$75:$L$89,$B174,'Renew &amp; Vac '!$O$75:$O$89,"&lt;="&amp;H$171,'Renew &amp; Vac '!$P$75:$P$89,"&gt;="&amp;H$171)+SUMIFS('Renew &amp; Vac '!$H$75:$H$89,'Renew &amp; Vac '!$A$75:$A$89,$B174,'Renew &amp; Vac '!$D$75:$D$89,"&lt;="&amp;H$171,'Renew &amp; Vac '!$E$75:$E$89,"&gt;="&amp;H$171)</f>
        <v>0</v>
      </c>
      <c r="I174" s="55">
        <f>SUMIFS('Renew &amp; Vac '!$S$75:$S$89,'Renew &amp; Vac '!$L$75:$L$89,$B174,'Renew &amp; Vac '!$O$75:$O$89,"&lt;="&amp;I$171,'Renew &amp; Vac '!$P$75:$P$89,"&gt;="&amp;I$171)+SUMIFS('Renew &amp; Vac '!$H$75:$H$89,'Renew &amp; Vac '!$A$75:$A$89,$B174,'Renew &amp; Vac '!$D$75:$D$89,"&lt;="&amp;I$171,'Renew &amp; Vac '!$E$75:$E$89,"&gt;="&amp;I$171)</f>
        <v>0</v>
      </c>
      <c r="J174" s="55">
        <f>SUMIFS('Renew &amp; Vac '!$S$75:$S$89,'Renew &amp; Vac '!$L$75:$L$89,$B174,'Renew &amp; Vac '!$O$75:$O$89,"&lt;="&amp;J$171,'Renew &amp; Vac '!$P$75:$P$89,"&gt;="&amp;J$171)+SUMIFS('Renew &amp; Vac '!$H$75:$H$89,'Renew &amp; Vac '!$A$75:$A$89,$B174,'Renew &amp; Vac '!$D$75:$D$89,"&lt;="&amp;J$171,'Renew &amp; Vac '!$E$75:$E$89,"&gt;="&amp;J$171)</f>
        <v>0</v>
      </c>
      <c r="K174" s="55">
        <f>SUMIFS('Renew &amp; Vac '!$S$75:$S$89,'Renew &amp; Vac '!$L$75:$L$89,$B174,'Renew &amp; Vac '!$O$75:$O$89,"&lt;="&amp;K$171,'Renew &amp; Vac '!$P$75:$P$89,"&gt;="&amp;K$171)+SUMIFS('Renew &amp; Vac '!$H$75:$H$89,'Renew &amp; Vac '!$A$75:$A$89,$B174,'Renew &amp; Vac '!$D$75:$D$89,"&lt;="&amp;K$171,'Renew &amp; Vac '!$E$75:$E$89,"&gt;="&amp;K$171)</f>
        <v>0</v>
      </c>
      <c r="L174" s="55">
        <f>SUMIFS('Renew &amp; Vac '!$S$75:$S$89,'Renew &amp; Vac '!$L$75:$L$89,$B174,'Renew &amp; Vac '!$O$75:$O$89,"&lt;="&amp;L$171,'Renew &amp; Vac '!$P$75:$P$89,"&gt;="&amp;L$171)+SUMIFS('Renew &amp; Vac '!$H$75:$H$89,'Renew &amp; Vac '!$A$75:$A$89,$B174,'Renew &amp; Vac '!$D$75:$D$89,"&lt;="&amp;L$171,'Renew &amp; Vac '!$E$75:$E$89,"&gt;="&amp;L$171)</f>
        <v>0</v>
      </c>
      <c r="M174" s="55">
        <f>SUMIFS('Renew &amp; Vac '!$S$75:$S$89,'Renew &amp; Vac '!$L$75:$L$89,$B174,'Renew &amp; Vac '!$O$75:$O$89,"&lt;="&amp;M$171,'Renew &amp; Vac '!$P$75:$P$89,"&gt;="&amp;M$171)+SUMIFS('Renew &amp; Vac '!$H$75:$H$89,'Renew &amp; Vac '!$A$75:$A$89,$B174,'Renew &amp; Vac '!$D$75:$D$89,"&lt;="&amp;M$171,'Renew &amp; Vac '!$E$75:$E$89,"&gt;="&amp;M$171)</f>
        <v>0</v>
      </c>
      <c r="N174" s="55">
        <f>SUMIFS('Renew &amp; Vac '!$S$75:$S$89,'Renew &amp; Vac '!$L$75:$L$89,$B174,'Renew &amp; Vac '!$O$75:$O$89,"&lt;="&amp;N$171,'Renew &amp; Vac '!$P$75:$P$89,"&gt;="&amp;N$171)+SUMIFS('Renew &amp; Vac '!$H$75:$H$89,'Renew &amp; Vac '!$A$75:$A$89,$B174,'Renew &amp; Vac '!$D$75:$D$89,"&lt;="&amp;N$171,'Renew &amp; Vac '!$E$75:$E$89,"&gt;="&amp;N$171)</f>
        <v>0</v>
      </c>
      <c r="O174" s="55">
        <f>SUMIFS('Renew &amp; Vac '!$S$75:$S$89,'Renew &amp; Vac '!$L$75:$L$89,$B174,'Renew &amp; Vac '!$O$75:$O$89,"&lt;="&amp;O$171,'Renew &amp; Vac '!$P$75:$P$89,"&gt;="&amp;O$171)+SUMIFS('Renew &amp; Vac '!$H$75:$H$89,'Renew &amp; Vac '!$A$75:$A$89,$B174,'Renew &amp; Vac '!$D$75:$D$89,"&lt;="&amp;O$171,'Renew &amp; Vac '!$E$75:$E$89,"&gt;="&amp;O$171)</f>
        <v>0</v>
      </c>
      <c r="P174" s="55">
        <f>SUMIFS('Renew &amp; Vac '!$S$75:$S$89,'Renew &amp; Vac '!$L$75:$L$89,$B174,'Renew &amp; Vac '!$O$75:$O$89,"&lt;="&amp;P$171,'Renew &amp; Vac '!$P$75:$P$89,"&gt;="&amp;P$171)+SUMIFS('Renew &amp; Vac '!$H$75:$H$89,'Renew &amp; Vac '!$A$75:$A$89,$B174,'Renew &amp; Vac '!$D$75:$D$89,"&lt;="&amp;P$171,'Renew &amp; Vac '!$E$75:$E$89,"&gt;="&amp;P$171)</f>
        <v>0</v>
      </c>
      <c r="Q174" s="395">
        <f t="shared" si="90"/>
        <v>0</v>
      </c>
    </row>
    <row r="175" spans="2:21" outlineLevel="1" x14ac:dyDescent="0.35">
      <c r="B175" s="373" t="str">
        <f t="shared" si="89"/>
        <v>4500-2895</v>
      </c>
      <c r="C175" s="55"/>
      <c r="D175" s="55" t="str">
        <f>IFERROR(VLOOKUP(B175,'Renew &amp; Vac '!$L$75:$M$89,2,FALSE),IFERROR(VLOOKUP(B175,'Renew &amp; Vac '!$A$75:$B$89,2,FALSE),VLOOKUP(B175,$B$157:$D$166,3,FALSE)))</f>
        <v>Nail Parlor Salon, LLC</v>
      </c>
      <c r="E175" s="55">
        <f>SUMIFS('Renew &amp; Vac '!$S$75:$S$89,'Renew &amp; Vac '!$L$75:$L$89,$B175,'Renew &amp; Vac '!$O$75:$O$89,"&lt;="&amp;E$171,'Renew &amp; Vac '!$P$75:$P$89,"&gt;="&amp;E$171)+SUMIFS('Renew &amp; Vac '!$H$75:$H$89,'Renew &amp; Vac '!$A$75:$A$89,$B175,'Renew &amp; Vac '!$D$75:$D$89,"&lt;="&amp;E$171,'Renew &amp; Vac '!$E$75:$E$89,"&gt;="&amp;E$171)</f>
        <v>0</v>
      </c>
      <c r="F175" s="55">
        <f>SUMIFS('Renew &amp; Vac '!$S$75:$S$89,'Renew &amp; Vac '!$L$75:$L$89,$B175,'Renew &amp; Vac '!$O$75:$O$89,"&lt;="&amp;F$171,'Renew &amp; Vac '!$P$75:$P$89,"&gt;="&amp;F$171)+SUMIFS('Renew &amp; Vac '!$H$75:$H$89,'Renew &amp; Vac '!$A$75:$A$89,$B175,'Renew &amp; Vac '!$D$75:$D$89,"&lt;="&amp;F$171,'Renew &amp; Vac '!$E$75:$E$89,"&gt;="&amp;F$171)</f>
        <v>0</v>
      </c>
      <c r="G175" s="55">
        <f>SUMIFS('Renew &amp; Vac '!$S$75:$S$89,'Renew &amp; Vac '!$L$75:$L$89,$B175,'Renew &amp; Vac '!$O$75:$O$89,"&lt;="&amp;G$171,'Renew &amp; Vac '!$P$75:$P$89,"&gt;="&amp;G$171)+SUMIFS('Renew &amp; Vac '!$H$75:$H$89,'Renew &amp; Vac '!$A$75:$A$89,$B175,'Renew &amp; Vac '!$D$75:$D$89,"&lt;="&amp;G$171,'Renew &amp; Vac '!$E$75:$E$89,"&gt;="&amp;G$171)</f>
        <v>0</v>
      </c>
      <c r="H175" s="55">
        <f>SUMIFS('Renew &amp; Vac '!$S$75:$S$89,'Renew &amp; Vac '!$L$75:$L$89,$B175,'Renew &amp; Vac '!$O$75:$O$89,"&lt;="&amp;H$171,'Renew &amp; Vac '!$P$75:$P$89,"&gt;="&amp;H$171)+SUMIFS('Renew &amp; Vac '!$H$75:$H$89,'Renew &amp; Vac '!$A$75:$A$89,$B175,'Renew &amp; Vac '!$D$75:$D$89,"&lt;="&amp;H$171,'Renew &amp; Vac '!$E$75:$E$89,"&gt;="&amp;H$171)</f>
        <v>0</v>
      </c>
      <c r="I175" s="55">
        <f>SUMIFS('Renew &amp; Vac '!$S$75:$S$89,'Renew &amp; Vac '!$L$75:$L$89,$B175,'Renew &amp; Vac '!$O$75:$O$89,"&lt;="&amp;I$171,'Renew &amp; Vac '!$P$75:$P$89,"&gt;="&amp;I$171)+SUMIFS('Renew &amp; Vac '!$H$75:$H$89,'Renew &amp; Vac '!$A$75:$A$89,$B175,'Renew &amp; Vac '!$D$75:$D$89,"&lt;="&amp;I$171,'Renew &amp; Vac '!$E$75:$E$89,"&gt;="&amp;I$171)</f>
        <v>0</v>
      </c>
      <c r="J175" s="55">
        <f>SUMIFS('Renew &amp; Vac '!$S$75:$S$89,'Renew &amp; Vac '!$L$75:$L$89,$B175,'Renew &amp; Vac '!$O$75:$O$89,"&lt;="&amp;J$171,'Renew &amp; Vac '!$P$75:$P$89,"&gt;="&amp;J$171)+SUMIFS('Renew &amp; Vac '!$H$75:$H$89,'Renew &amp; Vac '!$A$75:$A$89,$B175,'Renew &amp; Vac '!$D$75:$D$89,"&lt;="&amp;J$171,'Renew &amp; Vac '!$E$75:$E$89,"&gt;="&amp;J$171)</f>
        <v>0</v>
      </c>
      <c r="K175" s="55">
        <f>SUMIFS('Renew &amp; Vac '!$S$75:$S$89,'Renew &amp; Vac '!$L$75:$L$89,$B175,'Renew &amp; Vac '!$O$75:$O$89,"&lt;="&amp;K$171,'Renew &amp; Vac '!$P$75:$P$89,"&gt;="&amp;K$171)+SUMIFS('Renew &amp; Vac '!$H$75:$H$89,'Renew &amp; Vac '!$A$75:$A$89,$B175,'Renew &amp; Vac '!$D$75:$D$89,"&lt;="&amp;K$171,'Renew &amp; Vac '!$E$75:$E$89,"&gt;="&amp;K$171)</f>
        <v>0</v>
      </c>
      <c r="L175" s="55">
        <f>SUMIFS('Renew &amp; Vac '!$S$75:$S$89,'Renew &amp; Vac '!$L$75:$L$89,$B175,'Renew &amp; Vac '!$O$75:$O$89,"&lt;="&amp;L$171,'Renew &amp; Vac '!$P$75:$P$89,"&gt;="&amp;L$171)+SUMIFS('Renew &amp; Vac '!$H$75:$H$89,'Renew &amp; Vac '!$A$75:$A$89,$B175,'Renew &amp; Vac '!$D$75:$D$89,"&lt;="&amp;L$171,'Renew &amp; Vac '!$E$75:$E$89,"&gt;="&amp;L$171)</f>
        <v>0</v>
      </c>
      <c r="M175" s="55">
        <f>SUMIFS('Renew &amp; Vac '!$S$75:$S$89,'Renew &amp; Vac '!$L$75:$L$89,$B175,'Renew &amp; Vac '!$O$75:$O$89,"&lt;="&amp;M$171,'Renew &amp; Vac '!$P$75:$P$89,"&gt;="&amp;M$171)+SUMIFS('Renew &amp; Vac '!$H$75:$H$89,'Renew &amp; Vac '!$A$75:$A$89,$B175,'Renew &amp; Vac '!$D$75:$D$89,"&lt;="&amp;M$171,'Renew &amp; Vac '!$E$75:$E$89,"&gt;="&amp;M$171)</f>
        <v>0</v>
      </c>
      <c r="N175" s="55">
        <f>SUMIFS('Renew &amp; Vac '!$S$75:$S$89,'Renew &amp; Vac '!$L$75:$L$89,$B175,'Renew &amp; Vac '!$O$75:$O$89,"&lt;="&amp;N$171,'Renew &amp; Vac '!$P$75:$P$89,"&gt;="&amp;N$171)+SUMIFS('Renew &amp; Vac '!$H$75:$H$89,'Renew &amp; Vac '!$A$75:$A$89,$B175,'Renew &amp; Vac '!$D$75:$D$89,"&lt;="&amp;N$171,'Renew &amp; Vac '!$E$75:$E$89,"&gt;="&amp;N$171)</f>
        <v>0</v>
      </c>
      <c r="O175" s="55">
        <f>SUMIFS('Renew &amp; Vac '!$S$75:$S$89,'Renew &amp; Vac '!$L$75:$L$89,$B175,'Renew &amp; Vac '!$O$75:$O$89,"&lt;="&amp;O$171,'Renew &amp; Vac '!$P$75:$P$89,"&gt;="&amp;O$171)+SUMIFS('Renew &amp; Vac '!$H$75:$H$89,'Renew &amp; Vac '!$A$75:$A$89,$B175,'Renew &amp; Vac '!$D$75:$D$89,"&lt;="&amp;O$171,'Renew &amp; Vac '!$E$75:$E$89,"&gt;="&amp;O$171)</f>
        <v>0</v>
      </c>
      <c r="P175" s="55">
        <f>SUMIFS('Renew &amp; Vac '!$S$75:$S$89,'Renew &amp; Vac '!$L$75:$L$89,$B175,'Renew &amp; Vac '!$O$75:$O$89,"&lt;="&amp;P$171,'Renew &amp; Vac '!$P$75:$P$89,"&gt;="&amp;P$171)+SUMIFS('Renew &amp; Vac '!$H$75:$H$89,'Renew &amp; Vac '!$A$75:$A$89,$B175,'Renew &amp; Vac '!$D$75:$D$89,"&lt;="&amp;P$171,'Renew &amp; Vac '!$E$75:$E$89,"&gt;="&amp;P$171)</f>
        <v>0</v>
      </c>
      <c r="Q175" s="395">
        <f t="shared" si="90"/>
        <v>0</v>
      </c>
    </row>
    <row r="176" spans="2:21" outlineLevel="1" x14ac:dyDescent="0.35">
      <c r="B176" s="373" t="str">
        <f t="shared" si="89"/>
        <v>4500-2897</v>
      </c>
      <c r="C176" s="55"/>
      <c r="D176" s="55" t="str">
        <f>IFERROR(VLOOKUP(B176,'Renew &amp; Vac '!$L$75:$M$89,2,FALSE),IFERROR(VLOOKUP(B176,'Renew &amp; Vac '!$A$75:$B$89,2,FALSE),VLOOKUP(B176,$B$157:$D$166,3,FALSE)))</f>
        <v>Victra, Inc.</v>
      </c>
      <c r="E176" s="55">
        <f>SUMIFS('Renew &amp; Vac '!$S$75:$S$89,'Renew &amp; Vac '!$L$75:$L$89,$B176,'Renew &amp; Vac '!$O$75:$O$89,"&lt;="&amp;E$171,'Renew &amp; Vac '!$P$75:$P$89,"&gt;="&amp;E$171)+SUMIFS('Renew &amp; Vac '!$H$75:$H$89,'Renew &amp; Vac '!$A$75:$A$89,$B176,'Renew &amp; Vac '!$D$75:$D$89,"&lt;="&amp;E$171,'Renew &amp; Vac '!$E$75:$E$89,"&gt;="&amp;E$171)</f>
        <v>0</v>
      </c>
      <c r="F176" s="55">
        <f>SUMIFS('Renew &amp; Vac '!$S$75:$S$89,'Renew &amp; Vac '!$L$75:$L$89,$B176,'Renew &amp; Vac '!$O$75:$O$89,"&lt;="&amp;F$171,'Renew &amp; Vac '!$P$75:$P$89,"&gt;="&amp;F$171)+SUMIFS('Renew &amp; Vac '!$H$75:$H$89,'Renew &amp; Vac '!$A$75:$A$89,$B176,'Renew &amp; Vac '!$D$75:$D$89,"&lt;="&amp;F$171,'Renew &amp; Vac '!$E$75:$E$89,"&gt;="&amp;F$171)</f>
        <v>0</v>
      </c>
      <c r="G176" s="55">
        <f>SUMIFS('Renew &amp; Vac '!$S$75:$S$89,'Renew &amp; Vac '!$L$75:$L$89,$B176,'Renew &amp; Vac '!$O$75:$O$89,"&lt;="&amp;G$171,'Renew &amp; Vac '!$P$75:$P$89,"&gt;="&amp;G$171)+SUMIFS('Renew &amp; Vac '!$H$75:$H$89,'Renew &amp; Vac '!$A$75:$A$89,$B176,'Renew &amp; Vac '!$D$75:$D$89,"&lt;="&amp;G$171,'Renew &amp; Vac '!$E$75:$E$89,"&gt;="&amp;G$171)</f>
        <v>0</v>
      </c>
      <c r="H176" s="55">
        <f>SUMIFS('Renew &amp; Vac '!$S$75:$S$89,'Renew &amp; Vac '!$L$75:$L$89,$B176,'Renew &amp; Vac '!$O$75:$O$89,"&lt;="&amp;H$171,'Renew &amp; Vac '!$P$75:$P$89,"&gt;="&amp;H$171)+SUMIFS('Renew &amp; Vac '!$H$75:$H$89,'Renew &amp; Vac '!$A$75:$A$89,$B176,'Renew &amp; Vac '!$D$75:$D$89,"&lt;="&amp;H$171,'Renew &amp; Vac '!$E$75:$E$89,"&gt;="&amp;H$171)</f>
        <v>0</v>
      </c>
      <c r="I176" s="55">
        <f>SUMIFS('Renew &amp; Vac '!$S$75:$S$89,'Renew &amp; Vac '!$L$75:$L$89,$B176,'Renew &amp; Vac '!$O$75:$O$89,"&lt;="&amp;I$171,'Renew &amp; Vac '!$P$75:$P$89,"&gt;="&amp;I$171)+SUMIFS('Renew &amp; Vac '!$H$75:$H$89,'Renew &amp; Vac '!$A$75:$A$89,$B176,'Renew &amp; Vac '!$D$75:$D$89,"&lt;="&amp;I$171,'Renew &amp; Vac '!$E$75:$E$89,"&gt;="&amp;I$171)</f>
        <v>0</v>
      </c>
      <c r="J176" s="55">
        <f>SUMIFS('Renew &amp; Vac '!$S$75:$S$89,'Renew &amp; Vac '!$L$75:$L$89,$B176,'Renew &amp; Vac '!$O$75:$O$89,"&lt;="&amp;J$171,'Renew &amp; Vac '!$P$75:$P$89,"&gt;="&amp;J$171)+SUMIFS('Renew &amp; Vac '!$H$75:$H$89,'Renew &amp; Vac '!$A$75:$A$89,$B176,'Renew &amp; Vac '!$D$75:$D$89,"&lt;="&amp;J$171,'Renew &amp; Vac '!$E$75:$E$89,"&gt;="&amp;J$171)</f>
        <v>0</v>
      </c>
      <c r="K176" s="55">
        <f>SUMIFS('Renew &amp; Vac '!$S$75:$S$89,'Renew &amp; Vac '!$L$75:$L$89,$B176,'Renew &amp; Vac '!$O$75:$O$89,"&lt;="&amp;K$171,'Renew &amp; Vac '!$P$75:$P$89,"&gt;="&amp;K$171)+SUMIFS('Renew &amp; Vac '!$H$75:$H$89,'Renew &amp; Vac '!$A$75:$A$89,$B176,'Renew &amp; Vac '!$D$75:$D$89,"&lt;="&amp;K$171,'Renew &amp; Vac '!$E$75:$E$89,"&gt;="&amp;K$171)</f>
        <v>0</v>
      </c>
      <c r="L176" s="55">
        <f>SUMIFS('Renew &amp; Vac '!$S$75:$S$89,'Renew &amp; Vac '!$L$75:$L$89,$B176,'Renew &amp; Vac '!$O$75:$O$89,"&lt;="&amp;L$171,'Renew &amp; Vac '!$P$75:$P$89,"&gt;="&amp;L$171)+SUMIFS('Renew &amp; Vac '!$H$75:$H$89,'Renew &amp; Vac '!$A$75:$A$89,$B176,'Renew &amp; Vac '!$D$75:$D$89,"&lt;="&amp;L$171,'Renew &amp; Vac '!$E$75:$E$89,"&gt;="&amp;L$171)</f>
        <v>0</v>
      </c>
      <c r="M176" s="55">
        <f>SUMIFS('Renew &amp; Vac '!$S$75:$S$89,'Renew &amp; Vac '!$L$75:$L$89,$B176,'Renew &amp; Vac '!$O$75:$O$89,"&lt;="&amp;M$171,'Renew &amp; Vac '!$P$75:$P$89,"&gt;="&amp;M$171)+SUMIFS('Renew &amp; Vac '!$H$75:$H$89,'Renew &amp; Vac '!$A$75:$A$89,$B176,'Renew &amp; Vac '!$D$75:$D$89,"&lt;="&amp;M$171,'Renew &amp; Vac '!$E$75:$E$89,"&gt;="&amp;M$171)</f>
        <v>0</v>
      </c>
      <c r="N176" s="55">
        <f>SUMIFS('Renew &amp; Vac '!$S$75:$S$89,'Renew &amp; Vac '!$L$75:$L$89,$B176,'Renew &amp; Vac '!$O$75:$O$89,"&lt;="&amp;N$171,'Renew &amp; Vac '!$P$75:$P$89,"&gt;="&amp;N$171)+SUMIFS('Renew &amp; Vac '!$H$75:$H$89,'Renew &amp; Vac '!$A$75:$A$89,$B176,'Renew &amp; Vac '!$D$75:$D$89,"&lt;="&amp;N$171,'Renew &amp; Vac '!$E$75:$E$89,"&gt;="&amp;N$171)</f>
        <v>0</v>
      </c>
      <c r="O176" s="55">
        <f>SUMIFS('Renew &amp; Vac '!$S$75:$S$89,'Renew &amp; Vac '!$L$75:$L$89,$B176,'Renew &amp; Vac '!$O$75:$O$89,"&lt;="&amp;O$171,'Renew &amp; Vac '!$P$75:$P$89,"&gt;="&amp;O$171)+SUMIFS('Renew &amp; Vac '!$H$75:$H$89,'Renew &amp; Vac '!$A$75:$A$89,$B176,'Renew &amp; Vac '!$D$75:$D$89,"&lt;="&amp;O$171,'Renew &amp; Vac '!$E$75:$E$89,"&gt;="&amp;O$171)</f>
        <v>0</v>
      </c>
      <c r="P176" s="55">
        <f>SUMIFS('Renew &amp; Vac '!$S$75:$S$89,'Renew &amp; Vac '!$L$75:$L$89,$B176,'Renew &amp; Vac '!$O$75:$O$89,"&lt;="&amp;P$171,'Renew &amp; Vac '!$P$75:$P$89,"&gt;="&amp;P$171)+SUMIFS('Renew &amp; Vac '!$H$75:$H$89,'Renew &amp; Vac '!$A$75:$A$89,$B176,'Renew &amp; Vac '!$D$75:$D$89,"&lt;="&amp;P$171,'Renew &amp; Vac '!$E$75:$E$89,"&gt;="&amp;P$171)</f>
        <v>0</v>
      </c>
      <c r="Q176" s="395">
        <f t="shared" si="90"/>
        <v>0</v>
      </c>
    </row>
    <row r="177" spans="1:20" outlineLevel="1" x14ac:dyDescent="0.35">
      <c r="B177" s="373" t="str">
        <f t="shared" si="89"/>
        <v>4500-2899</v>
      </c>
      <c r="C177" s="55"/>
      <c r="D177" s="55" t="str">
        <f>IFERROR(VLOOKUP(B177,'Renew &amp; Vac '!$L$75:$M$89,2,FALSE),IFERROR(VLOOKUP(B177,'Renew &amp; Vac '!$A$75:$B$89,2,FALSE),VLOOKUP(B177,$B$157:$D$166,3,FALSE)))</f>
        <v>Curl &amp; Care , Inc.</v>
      </c>
      <c r="E177" s="55">
        <f>SUMIFS('Renew &amp; Vac '!$S$75:$S$89,'Renew &amp; Vac '!$L$75:$L$89,$B177,'Renew &amp; Vac '!$O$75:$O$89,"&lt;="&amp;E$171,'Renew &amp; Vac '!$P$75:$P$89,"&gt;="&amp;E$171)+SUMIFS('Renew &amp; Vac '!$H$75:$H$89,'Renew &amp; Vac '!$A$75:$A$89,$B177,'Renew &amp; Vac '!$D$75:$D$89,"&lt;="&amp;E$171,'Renew &amp; Vac '!$E$75:$E$89,"&gt;="&amp;E$171)</f>
        <v>0</v>
      </c>
      <c r="F177" s="55">
        <f>SUMIFS('Renew &amp; Vac '!$S$75:$S$89,'Renew &amp; Vac '!$L$75:$L$89,$B177,'Renew &amp; Vac '!$O$75:$O$89,"&lt;="&amp;F$171,'Renew &amp; Vac '!$P$75:$P$89,"&gt;="&amp;F$171)+SUMIFS('Renew &amp; Vac '!$H$75:$H$89,'Renew &amp; Vac '!$A$75:$A$89,$B177,'Renew &amp; Vac '!$D$75:$D$89,"&lt;="&amp;F$171,'Renew &amp; Vac '!$E$75:$E$89,"&gt;="&amp;F$171)</f>
        <v>0</v>
      </c>
      <c r="G177" s="55">
        <f>SUMIFS('Renew &amp; Vac '!$S$75:$S$89,'Renew &amp; Vac '!$L$75:$L$89,$B177,'Renew &amp; Vac '!$O$75:$O$89,"&lt;="&amp;G$171,'Renew &amp; Vac '!$P$75:$P$89,"&gt;="&amp;G$171)+SUMIFS('Renew &amp; Vac '!$H$75:$H$89,'Renew &amp; Vac '!$A$75:$A$89,$B177,'Renew &amp; Vac '!$D$75:$D$89,"&lt;="&amp;G$171,'Renew &amp; Vac '!$E$75:$E$89,"&gt;="&amp;G$171)</f>
        <v>0</v>
      </c>
      <c r="H177" s="55">
        <f>SUMIFS('Renew &amp; Vac '!$S$75:$S$89,'Renew &amp; Vac '!$L$75:$L$89,$B177,'Renew &amp; Vac '!$O$75:$O$89,"&lt;="&amp;H$171,'Renew &amp; Vac '!$P$75:$P$89,"&gt;="&amp;H$171)+SUMIFS('Renew &amp; Vac '!$H$75:$H$89,'Renew &amp; Vac '!$A$75:$A$89,$B177,'Renew &amp; Vac '!$D$75:$D$89,"&lt;="&amp;H$171,'Renew &amp; Vac '!$E$75:$E$89,"&gt;="&amp;H$171)</f>
        <v>0</v>
      </c>
      <c r="I177" s="55">
        <f>SUMIFS('Renew &amp; Vac '!$S$75:$S$89,'Renew &amp; Vac '!$L$75:$L$89,$B177,'Renew &amp; Vac '!$O$75:$O$89,"&lt;="&amp;I$171,'Renew &amp; Vac '!$P$75:$P$89,"&gt;="&amp;I$171)+SUMIFS('Renew &amp; Vac '!$H$75:$H$89,'Renew &amp; Vac '!$A$75:$A$89,$B177,'Renew &amp; Vac '!$D$75:$D$89,"&lt;="&amp;I$171,'Renew &amp; Vac '!$E$75:$E$89,"&gt;="&amp;I$171)</f>
        <v>0</v>
      </c>
      <c r="J177" s="55">
        <f>SUMIFS('Renew &amp; Vac '!$S$75:$S$89,'Renew &amp; Vac '!$L$75:$L$89,$B177,'Renew &amp; Vac '!$O$75:$O$89,"&lt;="&amp;J$171,'Renew &amp; Vac '!$P$75:$P$89,"&gt;="&amp;J$171)+SUMIFS('Renew &amp; Vac '!$H$75:$H$89,'Renew &amp; Vac '!$A$75:$A$89,$B177,'Renew &amp; Vac '!$D$75:$D$89,"&lt;="&amp;J$171,'Renew &amp; Vac '!$E$75:$E$89,"&gt;="&amp;J$171)</f>
        <v>0</v>
      </c>
      <c r="K177" s="55">
        <f>SUMIFS('Renew &amp; Vac '!$S$75:$S$89,'Renew &amp; Vac '!$L$75:$L$89,$B177,'Renew &amp; Vac '!$O$75:$O$89,"&lt;="&amp;K$171,'Renew &amp; Vac '!$P$75:$P$89,"&gt;="&amp;K$171)+SUMIFS('Renew &amp; Vac '!$H$75:$H$89,'Renew &amp; Vac '!$A$75:$A$89,$B177,'Renew &amp; Vac '!$D$75:$D$89,"&lt;="&amp;K$171,'Renew &amp; Vac '!$E$75:$E$89,"&gt;="&amp;K$171)</f>
        <v>0</v>
      </c>
      <c r="L177" s="55">
        <f>SUMIFS('Renew &amp; Vac '!$S$75:$S$89,'Renew &amp; Vac '!$L$75:$L$89,$B177,'Renew &amp; Vac '!$O$75:$O$89,"&lt;="&amp;L$171,'Renew &amp; Vac '!$P$75:$P$89,"&gt;="&amp;L$171)+SUMIFS('Renew &amp; Vac '!$H$75:$H$89,'Renew &amp; Vac '!$A$75:$A$89,$B177,'Renew &amp; Vac '!$D$75:$D$89,"&lt;="&amp;L$171,'Renew &amp; Vac '!$E$75:$E$89,"&gt;="&amp;L$171)</f>
        <v>0</v>
      </c>
      <c r="M177" s="55">
        <f>SUMIFS('Renew &amp; Vac '!$S$75:$S$89,'Renew &amp; Vac '!$L$75:$L$89,$B177,'Renew &amp; Vac '!$O$75:$O$89,"&lt;="&amp;M$171,'Renew &amp; Vac '!$P$75:$P$89,"&gt;="&amp;M$171)+SUMIFS('Renew &amp; Vac '!$H$75:$H$89,'Renew &amp; Vac '!$A$75:$A$89,$B177,'Renew &amp; Vac '!$D$75:$D$89,"&lt;="&amp;M$171,'Renew &amp; Vac '!$E$75:$E$89,"&gt;="&amp;M$171)</f>
        <v>0</v>
      </c>
      <c r="N177" s="55">
        <f>SUMIFS('Renew &amp; Vac '!$S$75:$S$89,'Renew &amp; Vac '!$L$75:$L$89,$B177,'Renew &amp; Vac '!$O$75:$O$89,"&lt;="&amp;N$171,'Renew &amp; Vac '!$P$75:$P$89,"&gt;="&amp;N$171)+SUMIFS('Renew &amp; Vac '!$H$75:$H$89,'Renew &amp; Vac '!$A$75:$A$89,$B177,'Renew &amp; Vac '!$D$75:$D$89,"&lt;="&amp;N$171,'Renew &amp; Vac '!$E$75:$E$89,"&gt;="&amp;N$171)</f>
        <v>0</v>
      </c>
      <c r="O177" s="55">
        <f>SUMIFS('Renew &amp; Vac '!$S$75:$S$89,'Renew &amp; Vac '!$L$75:$L$89,$B177,'Renew &amp; Vac '!$O$75:$O$89,"&lt;="&amp;O$171,'Renew &amp; Vac '!$P$75:$P$89,"&gt;="&amp;O$171)+SUMIFS('Renew &amp; Vac '!$H$75:$H$89,'Renew &amp; Vac '!$A$75:$A$89,$B177,'Renew &amp; Vac '!$D$75:$D$89,"&lt;="&amp;O$171,'Renew &amp; Vac '!$E$75:$E$89,"&gt;="&amp;O$171)</f>
        <v>0</v>
      </c>
      <c r="P177" s="55">
        <f>SUMIFS('Renew &amp; Vac '!$S$75:$S$89,'Renew &amp; Vac '!$L$75:$L$89,$B177,'Renew &amp; Vac '!$O$75:$O$89,"&lt;="&amp;P$171,'Renew &amp; Vac '!$P$75:$P$89,"&gt;="&amp;P$171)+SUMIFS('Renew &amp; Vac '!$H$75:$H$89,'Renew &amp; Vac '!$A$75:$A$89,$B177,'Renew &amp; Vac '!$D$75:$D$89,"&lt;="&amp;P$171,'Renew &amp; Vac '!$E$75:$E$89,"&gt;="&amp;P$171)</f>
        <v>0</v>
      </c>
      <c r="Q177" s="395">
        <f t="shared" si="90"/>
        <v>0</v>
      </c>
    </row>
    <row r="178" spans="1:20" outlineLevel="1" x14ac:dyDescent="0.35">
      <c r="B178" s="373" t="str">
        <f t="shared" si="89"/>
        <v>4500-3001</v>
      </c>
      <c r="C178" s="55"/>
      <c r="D178" s="55" t="str">
        <f>IFERROR(VLOOKUP(B178,'Renew &amp; Vac '!$L$75:$M$89,2,FALSE),IFERROR(VLOOKUP(B178,'Renew &amp; Vac '!$A$75:$B$89,2,FALSE),VLOOKUP(B178,$B$157:$D$166,3,FALSE)))</f>
        <v>Hilti Power Tools/Fastening</v>
      </c>
      <c r="E178" s="55">
        <f>SUMIFS('Renew &amp; Vac '!$S$75:$S$89,'Renew &amp; Vac '!$L$75:$L$89,$B178,'Renew &amp; Vac '!$O$75:$O$89,"&lt;="&amp;E$171,'Renew &amp; Vac '!$P$75:$P$89,"&gt;="&amp;E$171)+SUMIFS('Renew &amp; Vac '!$H$75:$H$89,'Renew &amp; Vac '!$A$75:$A$89,$B178,'Renew &amp; Vac '!$D$75:$D$89,"&lt;="&amp;E$171,'Renew &amp; Vac '!$E$75:$E$89,"&gt;="&amp;E$171)</f>
        <v>0</v>
      </c>
      <c r="F178" s="55">
        <f>SUMIFS('Renew &amp; Vac '!$S$75:$S$89,'Renew &amp; Vac '!$L$75:$L$89,$B178,'Renew &amp; Vac '!$O$75:$O$89,"&lt;="&amp;F$171,'Renew &amp; Vac '!$P$75:$P$89,"&gt;="&amp;F$171)+SUMIFS('Renew &amp; Vac '!$H$75:$H$89,'Renew &amp; Vac '!$A$75:$A$89,$B178,'Renew &amp; Vac '!$D$75:$D$89,"&lt;="&amp;F$171,'Renew &amp; Vac '!$E$75:$E$89,"&gt;="&amp;F$171)</f>
        <v>0</v>
      </c>
      <c r="G178" s="55">
        <f>SUMIFS('Renew &amp; Vac '!$S$75:$S$89,'Renew &amp; Vac '!$L$75:$L$89,$B178,'Renew &amp; Vac '!$O$75:$O$89,"&lt;="&amp;G$171,'Renew &amp; Vac '!$P$75:$P$89,"&gt;="&amp;G$171)+SUMIFS('Renew &amp; Vac '!$H$75:$H$89,'Renew &amp; Vac '!$A$75:$A$89,$B178,'Renew &amp; Vac '!$D$75:$D$89,"&lt;="&amp;G$171,'Renew &amp; Vac '!$E$75:$E$89,"&gt;="&amp;G$171)</f>
        <v>0</v>
      </c>
      <c r="H178" s="55">
        <f>SUMIFS('Renew &amp; Vac '!$S$75:$S$89,'Renew &amp; Vac '!$L$75:$L$89,$B178,'Renew &amp; Vac '!$O$75:$O$89,"&lt;="&amp;H$171,'Renew &amp; Vac '!$P$75:$P$89,"&gt;="&amp;H$171)+SUMIFS('Renew &amp; Vac '!$H$75:$H$89,'Renew &amp; Vac '!$A$75:$A$89,$B178,'Renew &amp; Vac '!$D$75:$D$89,"&lt;="&amp;H$171,'Renew &amp; Vac '!$E$75:$E$89,"&gt;="&amp;H$171)</f>
        <v>0</v>
      </c>
      <c r="I178" s="55">
        <f>SUMIFS('Renew &amp; Vac '!$S$75:$S$89,'Renew &amp; Vac '!$L$75:$L$89,$B178,'Renew &amp; Vac '!$O$75:$O$89,"&lt;="&amp;I$171,'Renew &amp; Vac '!$P$75:$P$89,"&gt;="&amp;I$171)+SUMIFS('Renew &amp; Vac '!$H$75:$H$89,'Renew &amp; Vac '!$A$75:$A$89,$B178,'Renew &amp; Vac '!$D$75:$D$89,"&lt;="&amp;I$171,'Renew &amp; Vac '!$E$75:$E$89,"&gt;="&amp;I$171)</f>
        <v>0</v>
      </c>
      <c r="J178" s="55">
        <f>SUMIFS('Renew &amp; Vac '!$S$75:$S$89,'Renew &amp; Vac '!$L$75:$L$89,$B178,'Renew &amp; Vac '!$O$75:$O$89,"&lt;="&amp;J$171,'Renew &amp; Vac '!$P$75:$P$89,"&gt;="&amp;J$171)+SUMIFS('Renew &amp; Vac '!$H$75:$H$89,'Renew &amp; Vac '!$A$75:$A$89,$B178,'Renew &amp; Vac '!$D$75:$D$89,"&lt;="&amp;J$171,'Renew &amp; Vac '!$E$75:$E$89,"&gt;="&amp;J$171)</f>
        <v>0</v>
      </c>
      <c r="K178" s="55">
        <f>SUMIFS('Renew &amp; Vac '!$S$75:$S$89,'Renew &amp; Vac '!$L$75:$L$89,$B178,'Renew &amp; Vac '!$O$75:$O$89,"&lt;="&amp;K$171,'Renew &amp; Vac '!$P$75:$P$89,"&gt;="&amp;K$171)+SUMIFS('Renew &amp; Vac '!$H$75:$H$89,'Renew &amp; Vac '!$A$75:$A$89,$B178,'Renew &amp; Vac '!$D$75:$D$89,"&lt;="&amp;K$171,'Renew &amp; Vac '!$E$75:$E$89,"&gt;="&amp;K$171)</f>
        <v>0</v>
      </c>
      <c r="L178" s="55">
        <f>SUMIFS('Renew &amp; Vac '!$S$75:$S$89,'Renew &amp; Vac '!$L$75:$L$89,$B178,'Renew &amp; Vac '!$O$75:$O$89,"&lt;="&amp;L$171,'Renew &amp; Vac '!$P$75:$P$89,"&gt;="&amp;L$171)+SUMIFS('Renew &amp; Vac '!$H$75:$H$89,'Renew &amp; Vac '!$A$75:$A$89,$B178,'Renew &amp; Vac '!$D$75:$D$89,"&lt;="&amp;L$171,'Renew &amp; Vac '!$E$75:$E$89,"&gt;="&amp;L$171)</f>
        <v>0</v>
      </c>
      <c r="M178" s="55">
        <f>SUMIFS('Renew &amp; Vac '!$S$75:$S$89,'Renew &amp; Vac '!$L$75:$L$89,$B178,'Renew &amp; Vac '!$O$75:$O$89,"&lt;="&amp;M$171,'Renew &amp; Vac '!$P$75:$P$89,"&gt;="&amp;M$171)+SUMIFS('Renew &amp; Vac '!$H$75:$H$89,'Renew &amp; Vac '!$A$75:$A$89,$B178,'Renew &amp; Vac '!$D$75:$D$89,"&lt;="&amp;M$171,'Renew &amp; Vac '!$E$75:$E$89,"&gt;="&amp;M$171)</f>
        <v>0</v>
      </c>
      <c r="N178" s="55">
        <f>SUMIFS('Renew &amp; Vac '!$S$75:$S$89,'Renew &amp; Vac '!$L$75:$L$89,$B178,'Renew &amp; Vac '!$O$75:$O$89,"&lt;="&amp;N$171,'Renew &amp; Vac '!$P$75:$P$89,"&gt;="&amp;N$171)+SUMIFS('Renew &amp; Vac '!$H$75:$H$89,'Renew &amp; Vac '!$A$75:$A$89,$B178,'Renew &amp; Vac '!$D$75:$D$89,"&lt;="&amp;N$171,'Renew &amp; Vac '!$E$75:$E$89,"&gt;="&amp;N$171)</f>
        <v>0</v>
      </c>
      <c r="O178" s="55">
        <f>SUMIFS('Renew &amp; Vac '!$S$75:$S$89,'Renew &amp; Vac '!$L$75:$L$89,$B178,'Renew &amp; Vac '!$O$75:$O$89,"&lt;="&amp;O$171,'Renew &amp; Vac '!$P$75:$P$89,"&gt;="&amp;O$171)+SUMIFS('Renew &amp; Vac '!$H$75:$H$89,'Renew &amp; Vac '!$A$75:$A$89,$B178,'Renew &amp; Vac '!$D$75:$D$89,"&lt;="&amp;O$171,'Renew &amp; Vac '!$E$75:$E$89,"&gt;="&amp;O$171)</f>
        <v>0</v>
      </c>
      <c r="P178" s="55">
        <f>SUMIFS('Renew &amp; Vac '!$S$75:$S$89,'Renew &amp; Vac '!$L$75:$L$89,$B178,'Renew &amp; Vac '!$O$75:$O$89,"&lt;="&amp;P$171,'Renew &amp; Vac '!$P$75:$P$89,"&gt;="&amp;P$171)+SUMIFS('Renew &amp; Vac '!$H$75:$H$89,'Renew &amp; Vac '!$A$75:$A$89,$B178,'Renew &amp; Vac '!$D$75:$D$89,"&lt;="&amp;P$171,'Renew &amp; Vac '!$E$75:$E$89,"&gt;="&amp;P$171)</f>
        <v>0</v>
      </c>
      <c r="Q178" s="395">
        <f t="shared" si="90"/>
        <v>0</v>
      </c>
    </row>
    <row r="179" spans="1:20" outlineLevel="1" x14ac:dyDescent="0.35">
      <c r="B179" s="373" t="str">
        <f t="shared" si="89"/>
        <v>4500-3005</v>
      </c>
      <c r="C179" s="55"/>
      <c r="D179" s="55" t="str">
        <f>IFERROR(VLOOKUP(B179,'Renew &amp; Vac '!$L$75:$M$89,2,FALSE),IFERROR(VLOOKUP(B179,'Renew &amp; Vac '!$A$75:$B$89,2,FALSE),VLOOKUP(B179,$B$157:$D$166,3,FALSE)))</f>
        <v>United States Postal Service</v>
      </c>
      <c r="E179" s="55">
        <f>SUMIFS('Renew &amp; Vac '!$S$75:$S$89,'Renew &amp; Vac '!$L$75:$L$89,$B179,'Renew &amp; Vac '!$O$75:$O$89,"&lt;="&amp;E$171,'Renew &amp; Vac '!$P$75:$P$89,"&gt;="&amp;E$171)+SUMIFS('Renew &amp; Vac '!$H$75:$H$89,'Renew &amp; Vac '!$A$75:$A$89,$B179,'Renew &amp; Vac '!$D$75:$D$89,"&lt;="&amp;E$171,'Renew &amp; Vac '!$E$75:$E$89,"&gt;="&amp;E$171)</f>
        <v>0</v>
      </c>
      <c r="F179" s="55">
        <f>SUMIFS('Renew &amp; Vac '!$S$75:$S$89,'Renew &amp; Vac '!$L$75:$L$89,$B179,'Renew &amp; Vac '!$O$75:$O$89,"&lt;="&amp;F$171,'Renew &amp; Vac '!$P$75:$P$89,"&gt;="&amp;F$171)+SUMIFS('Renew &amp; Vac '!$H$75:$H$89,'Renew &amp; Vac '!$A$75:$A$89,$B179,'Renew &amp; Vac '!$D$75:$D$89,"&lt;="&amp;F$171,'Renew &amp; Vac '!$E$75:$E$89,"&gt;="&amp;F$171)</f>
        <v>0</v>
      </c>
      <c r="G179" s="55">
        <f>SUMIFS('Renew &amp; Vac '!$S$75:$S$89,'Renew &amp; Vac '!$L$75:$L$89,$B179,'Renew &amp; Vac '!$O$75:$O$89,"&lt;="&amp;G$171,'Renew &amp; Vac '!$P$75:$P$89,"&gt;="&amp;G$171)+SUMIFS('Renew &amp; Vac '!$H$75:$H$89,'Renew &amp; Vac '!$A$75:$A$89,$B179,'Renew &amp; Vac '!$D$75:$D$89,"&lt;="&amp;G$171,'Renew &amp; Vac '!$E$75:$E$89,"&gt;="&amp;G$171)</f>
        <v>0</v>
      </c>
      <c r="H179" s="55">
        <f>SUMIFS('Renew &amp; Vac '!$S$75:$S$89,'Renew &amp; Vac '!$L$75:$L$89,$B179,'Renew &amp; Vac '!$O$75:$O$89,"&lt;="&amp;H$171,'Renew &amp; Vac '!$P$75:$P$89,"&gt;="&amp;H$171)+SUMIFS('Renew &amp; Vac '!$H$75:$H$89,'Renew &amp; Vac '!$A$75:$A$89,$B179,'Renew &amp; Vac '!$D$75:$D$89,"&lt;="&amp;H$171,'Renew &amp; Vac '!$E$75:$E$89,"&gt;="&amp;H$171)</f>
        <v>0</v>
      </c>
      <c r="I179" s="55">
        <f>SUMIFS('Renew &amp; Vac '!$S$75:$S$89,'Renew &amp; Vac '!$L$75:$L$89,$B179,'Renew &amp; Vac '!$O$75:$O$89,"&lt;="&amp;I$171,'Renew &amp; Vac '!$P$75:$P$89,"&gt;="&amp;I$171)+SUMIFS('Renew &amp; Vac '!$H$75:$H$89,'Renew &amp; Vac '!$A$75:$A$89,$B179,'Renew &amp; Vac '!$D$75:$D$89,"&lt;="&amp;I$171,'Renew &amp; Vac '!$E$75:$E$89,"&gt;="&amp;I$171)</f>
        <v>0</v>
      </c>
      <c r="J179" s="55">
        <f>SUMIFS('Renew &amp; Vac '!$S$75:$S$89,'Renew &amp; Vac '!$L$75:$L$89,$B179,'Renew &amp; Vac '!$O$75:$O$89,"&lt;="&amp;J$171,'Renew &amp; Vac '!$P$75:$P$89,"&gt;="&amp;J$171)+SUMIFS('Renew &amp; Vac '!$H$75:$H$89,'Renew &amp; Vac '!$A$75:$A$89,$B179,'Renew &amp; Vac '!$D$75:$D$89,"&lt;="&amp;J$171,'Renew &amp; Vac '!$E$75:$E$89,"&gt;="&amp;J$171)</f>
        <v>0</v>
      </c>
      <c r="K179" s="55">
        <f>SUMIFS('Renew &amp; Vac '!$S$75:$S$89,'Renew &amp; Vac '!$L$75:$L$89,$B179,'Renew &amp; Vac '!$O$75:$O$89,"&lt;="&amp;K$171,'Renew &amp; Vac '!$P$75:$P$89,"&gt;="&amp;K$171)+SUMIFS('Renew &amp; Vac '!$H$75:$H$89,'Renew &amp; Vac '!$A$75:$A$89,$B179,'Renew &amp; Vac '!$D$75:$D$89,"&lt;="&amp;K$171,'Renew &amp; Vac '!$E$75:$E$89,"&gt;="&amp;K$171)</f>
        <v>0</v>
      </c>
      <c r="L179" s="55">
        <f>SUMIFS('Renew &amp; Vac '!$S$75:$S$89,'Renew &amp; Vac '!$L$75:$L$89,$B179,'Renew &amp; Vac '!$O$75:$O$89,"&lt;="&amp;L$171,'Renew &amp; Vac '!$P$75:$P$89,"&gt;="&amp;L$171)+SUMIFS('Renew &amp; Vac '!$H$75:$H$89,'Renew &amp; Vac '!$A$75:$A$89,$B179,'Renew &amp; Vac '!$D$75:$D$89,"&lt;="&amp;L$171,'Renew &amp; Vac '!$E$75:$E$89,"&gt;="&amp;L$171)</f>
        <v>0</v>
      </c>
      <c r="M179" s="55">
        <f>SUMIFS('Renew &amp; Vac '!$S$75:$S$89,'Renew &amp; Vac '!$L$75:$L$89,$B179,'Renew &amp; Vac '!$O$75:$O$89,"&lt;="&amp;M$171,'Renew &amp; Vac '!$P$75:$P$89,"&gt;="&amp;M$171)+SUMIFS('Renew &amp; Vac '!$H$75:$H$89,'Renew &amp; Vac '!$A$75:$A$89,$B179,'Renew &amp; Vac '!$D$75:$D$89,"&lt;="&amp;M$171,'Renew &amp; Vac '!$E$75:$E$89,"&gt;="&amp;M$171)</f>
        <v>0</v>
      </c>
      <c r="N179" s="55">
        <f>SUMIFS('Renew &amp; Vac '!$S$75:$S$89,'Renew &amp; Vac '!$L$75:$L$89,$B179,'Renew &amp; Vac '!$O$75:$O$89,"&lt;="&amp;N$171,'Renew &amp; Vac '!$P$75:$P$89,"&gt;="&amp;N$171)+SUMIFS('Renew &amp; Vac '!$H$75:$H$89,'Renew &amp; Vac '!$A$75:$A$89,$B179,'Renew &amp; Vac '!$D$75:$D$89,"&lt;="&amp;N$171,'Renew &amp; Vac '!$E$75:$E$89,"&gt;="&amp;N$171)</f>
        <v>0</v>
      </c>
      <c r="O179" s="55">
        <f>SUMIFS('Renew &amp; Vac '!$S$75:$S$89,'Renew &amp; Vac '!$L$75:$L$89,$B179,'Renew &amp; Vac '!$O$75:$O$89,"&lt;="&amp;O$171,'Renew &amp; Vac '!$P$75:$P$89,"&gt;="&amp;O$171)+SUMIFS('Renew &amp; Vac '!$H$75:$H$89,'Renew &amp; Vac '!$A$75:$A$89,$B179,'Renew &amp; Vac '!$D$75:$D$89,"&lt;="&amp;O$171,'Renew &amp; Vac '!$E$75:$E$89,"&gt;="&amp;O$171)</f>
        <v>0</v>
      </c>
      <c r="P179" s="55">
        <f>SUMIFS('Renew &amp; Vac '!$S$75:$S$89,'Renew &amp; Vac '!$L$75:$L$89,$B179,'Renew &amp; Vac '!$O$75:$O$89,"&lt;="&amp;P$171,'Renew &amp; Vac '!$P$75:$P$89,"&gt;="&amp;P$171)+SUMIFS('Renew &amp; Vac '!$H$75:$H$89,'Renew &amp; Vac '!$A$75:$A$89,$B179,'Renew &amp; Vac '!$D$75:$D$89,"&lt;="&amp;P$171,'Renew &amp; Vac '!$E$75:$E$89,"&gt;="&amp;P$171)</f>
        <v>0</v>
      </c>
      <c r="Q179" s="395">
        <f t="shared" si="90"/>
        <v>0</v>
      </c>
    </row>
    <row r="180" spans="1:20" outlineLevel="1" x14ac:dyDescent="0.35">
      <c r="B180" s="373" t="str">
        <f t="shared" si="89"/>
        <v>4500-3007</v>
      </c>
      <c r="C180" s="55"/>
      <c r="D180" s="55" t="str">
        <f>IFERROR(VLOOKUP(B180,'Renew &amp; Vac '!$L$75:$M$89,2,FALSE),IFERROR(VLOOKUP(B180,'Renew &amp; Vac '!$A$75:$B$89,2,FALSE),VLOOKUP(B180,$B$157:$D$166,3,FALSE)))</f>
        <v>Pennsylvania LCB</v>
      </c>
      <c r="E180" s="55">
        <f>SUMIFS('Renew &amp; Vac '!$S$75:$S$89,'Renew &amp; Vac '!$L$75:$L$89,$B180,'Renew &amp; Vac '!$O$75:$O$89,"&lt;="&amp;E$171,'Renew &amp; Vac '!$P$75:$P$89,"&gt;="&amp;E$171)+SUMIFS('Renew &amp; Vac '!$H$75:$H$89,'Renew &amp; Vac '!$A$75:$A$89,$B180,'Renew &amp; Vac '!$D$75:$D$89,"&lt;="&amp;E$171,'Renew &amp; Vac '!$E$75:$E$89,"&gt;="&amp;E$171)</f>
        <v>0</v>
      </c>
      <c r="F180" s="55">
        <f>SUMIFS('Renew &amp; Vac '!$S$75:$S$89,'Renew &amp; Vac '!$L$75:$L$89,$B180,'Renew &amp; Vac '!$O$75:$O$89,"&lt;="&amp;F$171,'Renew &amp; Vac '!$P$75:$P$89,"&gt;="&amp;F$171)+SUMIFS('Renew &amp; Vac '!$H$75:$H$89,'Renew &amp; Vac '!$A$75:$A$89,$B180,'Renew &amp; Vac '!$D$75:$D$89,"&lt;="&amp;F$171,'Renew &amp; Vac '!$E$75:$E$89,"&gt;="&amp;F$171)</f>
        <v>0</v>
      </c>
      <c r="G180" s="55">
        <f>SUMIFS('Renew &amp; Vac '!$S$75:$S$89,'Renew &amp; Vac '!$L$75:$L$89,$B180,'Renew &amp; Vac '!$O$75:$O$89,"&lt;="&amp;G$171,'Renew &amp; Vac '!$P$75:$P$89,"&gt;="&amp;G$171)+SUMIFS('Renew &amp; Vac '!$H$75:$H$89,'Renew &amp; Vac '!$A$75:$A$89,$B180,'Renew &amp; Vac '!$D$75:$D$89,"&lt;="&amp;G$171,'Renew &amp; Vac '!$E$75:$E$89,"&gt;="&amp;G$171)</f>
        <v>0</v>
      </c>
      <c r="H180" s="55">
        <f>SUMIFS('Renew &amp; Vac '!$S$75:$S$89,'Renew &amp; Vac '!$L$75:$L$89,$B180,'Renew &amp; Vac '!$O$75:$O$89,"&lt;="&amp;H$171,'Renew &amp; Vac '!$P$75:$P$89,"&gt;="&amp;H$171)+SUMIFS('Renew &amp; Vac '!$H$75:$H$89,'Renew &amp; Vac '!$A$75:$A$89,$B180,'Renew &amp; Vac '!$D$75:$D$89,"&lt;="&amp;H$171,'Renew &amp; Vac '!$E$75:$E$89,"&gt;="&amp;H$171)</f>
        <v>0</v>
      </c>
      <c r="I180" s="55">
        <f>SUMIFS('Renew &amp; Vac '!$S$75:$S$89,'Renew &amp; Vac '!$L$75:$L$89,$B180,'Renew &amp; Vac '!$O$75:$O$89,"&lt;="&amp;I$171,'Renew &amp; Vac '!$P$75:$P$89,"&gt;="&amp;I$171)+SUMIFS('Renew &amp; Vac '!$H$75:$H$89,'Renew &amp; Vac '!$A$75:$A$89,$B180,'Renew &amp; Vac '!$D$75:$D$89,"&lt;="&amp;I$171,'Renew &amp; Vac '!$E$75:$E$89,"&gt;="&amp;I$171)</f>
        <v>0</v>
      </c>
      <c r="J180" s="55">
        <f>SUMIFS('Renew &amp; Vac '!$S$75:$S$89,'Renew &amp; Vac '!$L$75:$L$89,$B180,'Renew &amp; Vac '!$O$75:$O$89,"&lt;="&amp;J$171,'Renew &amp; Vac '!$P$75:$P$89,"&gt;="&amp;J$171)+SUMIFS('Renew &amp; Vac '!$H$75:$H$89,'Renew &amp; Vac '!$A$75:$A$89,$B180,'Renew &amp; Vac '!$D$75:$D$89,"&lt;="&amp;J$171,'Renew &amp; Vac '!$E$75:$E$89,"&gt;="&amp;J$171)</f>
        <v>0</v>
      </c>
      <c r="K180" s="55">
        <f>SUMIFS('Renew &amp; Vac '!$S$75:$S$89,'Renew &amp; Vac '!$L$75:$L$89,$B180,'Renew &amp; Vac '!$O$75:$O$89,"&lt;="&amp;K$171,'Renew &amp; Vac '!$P$75:$P$89,"&gt;="&amp;K$171)+SUMIFS('Renew &amp; Vac '!$H$75:$H$89,'Renew &amp; Vac '!$A$75:$A$89,$B180,'Renew &amp; Vac '!$D$75:$D$89,"&lt;="&amp;K$171,'Renew &amp; Vac '!$E$75:$E$89,"&gt;="&amp;K$171)</f>
        <v>0</v>
      </c>
      <c r="L180" s="55">
        <f>SUMIFS('Renew &amp; Vac '!$S$75:$S$89,'Renew &amp; Vac '!$L$75:$L$89,$B180,'Renew &amp; Vac '!$O$75:$O$89,"&lt;="&amp;L$171,'Renew &amp; Vac '!$P$75:$P$89,"&gt;="&amp;L$171)+SUMIFS('Renew &amp; Vac '!$H$75:$H$89,'Renew &amp; Vac '!$A$75:$A$89,$B180,'Renew &amp; Vac '!$D$75:$D$89,"&lt;="&amp;L$171,'Renew &amp; Vac '!$E$75:$E$89,"&gt;="&amp;L$171)</f>
        <v>0</v>
      </c>
      <c r="M180" s="55">
        <f>SUMIFS('Renew &amp; Vac '!$S$75:$S$89,'Renew &amp; Vac '!$L$75:$L$89,$B180,'Renew &amp; Vac '!$O$75:$O$89,"&lt;="&amp;M$171,'Renew &amp; Vac '!$P$75:$P$89,"&gt;="&amp;M$171)+SUMIFS('Renew &amp; Vac '!$H$75:$H$89,'Renew &amp; Vac '!$A$75:$A$89,$B180,'Renew &amp; Vac '!$D$75:$D$89,"&lt;="&amp;M$171,'Renew &amp; Vac '!$E$75:$E$89,"&gt;="&amp;M$171)</f>
        <v>0</v>
      </c>
      <c r="N180" s="55">
        <f>SUMIFS('Renew &amp; Vac '!$S$75:$S$89,'Renew &amp; Vac '!$L$75:$L$89,$B180,'Renew &amp; Vac '!$O$75:$O$89,"&lt;="&amp;N$171,'Renew &amp; Vac '!$P$75:$P$89,"&gt;="&amp;N$171)+SUMIFS('Renew &amp; Vac '!$H$75:$H$89,'Renew &amp; Vac '!$A$75:$A$89,$B180,'Renew &amp; Vac '!$D$75:$D$89,"&lt;="&amp;N$171,'Renew &amp; Vac '!$E$75:$E$89,"&gt;="&amp;N$171)</f>
        <v>0</v>
      </c>
      <c r="O180" s="55">
        <f>SUMIFS('Renew &amp; Vac '!$S$75:$S$89,'Renew &amp; Vac '!$L$75:$L$89,$B180,'Renew &amp; Vac '!$O$75:$O$89,"&lt;="&amp;O$171,'Renew &amp; Vac '!$P$75:$P$89,"&gt;="&amp;O$171)+SUMIFS('Renew &amp; Vac '!$H$75:$H$89,'Renew &amp; Vac '!$A$75:$A$89,$B180,'Renew &amp; Vac '!$D$75:$D$89,"&lt;="&amp;O$171,'Renew &amp; Vac '!$E$75:$E$89,"&gt;="&amp;O$171)</f>
        <v>0</v>
      </c>
      <c r="P180" s="55">
        <f>SUMIFS('Renew &amp; Vac '!$S$75:$S$89,'Renew &amp; Vac '!$L$75:$L$89,$B180,'Renew &amp; Vac '!$O$75:$O$89,"&lt;="&amp;P$171,'Renew &amp; Vac '!$P$75:$P$89,"&gt;="&amp;P$171)+SUMIFS('Renew &amp; Vac '!$H$75:$H$89,'Renew &amp; Vac '!$A$75:$A$89,$B180,'Renew &amp; Vac '!$D$75:$D$89,"&lt;="&amp;P$171,'Renew &amp; Vac '!$E$75:$E$89,"&gt;="&amp;P$171)</f>
        <v>0</v>
      </c>
      <c r="Q180" s="395">
        <f t="shared" si="90"/>
        <v>0</v>
      </c>
    </row>
    <row r="181" spans="1:20" outlineLevel="1" x14ac:dyDescent="0.35">
      <c r="B181" s="396" t="str">
        <f t="shared" si="89"/>
        <v>4500-3021</v>
      </c>
      <c r="C181" s="391"/>
      <c r="D181" s="391" t="str">
        <f>IFERROR(VLOOKUP(B181,'Renew &amp; Vac '!$L$75:$M$89,2,FALSE),IFERROR(VLOOKUP(B181,'Renew &amp; Vac '!$A$75:$B$89,2,FALSE),VLOOKUP(B181,$B$157:$D$166,3,FALSE)))</f>
        <v>Wakefern Food Corp</v>
      </c>
      <c r="E181" s="391">
        <f>SUMIFS('Renew &amp; Vac '!$S$75:$S$89,'Renew &amp; Vac '!$L$75:$L$89,$B181,'Renew &amp; Vac '!$O$75:$O$89,"&lt;="&amp;E$171,'Renew &amp; Vac '!$P$75:$P$89,"&gt;="&amp;E$171)+SUMIFS('Renew &amp; Vac '!$H$75:$H$89,'Renew &amp; Vac '!$A$75:$A$89,$B181,'Renew &amp; Vac '!$D$75:$D$89,"&lt;="&amp;E$171,'Renew &amp; Vac '!$E$75:$E$89,"&gt;="&amp;E$171)</f>
        <v>0</v>
      </c>
      <c r="F181" s="391">
        <f>SUMIFS('Renew &amp; Vac '!$S$75:$S$89,'Renew &amp; Vac '!$L$75:$L$89,$B181,'Renew &amp; Vac '!$O$75:$O$89,"&lt;="&amp;F$171,'Renew &amp; Vac '!$P$75:$P$89,"&gt;="&amp;F$171)+SUMIFS('Renew &amp; Vac '!$H$75:$H$89,'Renew &amp; Vac '!$A$75:$A$89,$B181,'Renew &amp; Vac '!$D$75:$D$89,"&lt;="&amp;F$171,'Renew &amp; Vac '!$E$75:$E$89,"&gt;="&amp;F$171)</f>
        <v>0</v>
      </c>
      <c r="G181" s="391">
        <f>SUMIFS('Renew &amp; Vac '!$S$75:$S$89,'Renew &amp; Vac '!$L$75:$L$89,$B181,'Renew &amp; Vac '!$O$75:$O$89,"&lt;="&amp;G$171,'Renew &amp; Vac '!$P$75:$P$89,"&gt;="&amp;G$171)+SUMIFS('Renew &amp; Vac '!$H$75:$H$89,'Renew &amp; Vac '!$A$75:$A$89,$B181,'Renew &amp; Vac '!$D$75:$D$89,"&lt;="&amp;G$171,'Renew &amp; Vac '!$E$75:$E$89,"&gt;="&amp;G$171)</f>
        <v>0</v>
      </c>
      <c r="H181" s="391">
        <f>SUMIFS('Renew &amp; Vac '!$S$75:$S$89,'Renew &amp; Vac '!$L$75:$L$89,$B181,'Renew &amp; Vac '!$O$75:$O$89,"&lt;="&amp;H$171,'Renew &amp; Vac '!$P$75:$P$89,"&gt;="&amp;H$171)+SUMIFS('Renew &amp; Vac '!$H$75:$H$89,'Renew &amp; Vac '!$A$75:$A$89,$B181,'Renew &amp; Vac '!$D$75:$D$89,"&lt;="&amp;H$171,'Renew &amp; Vac '!$E$75:$E$89,"&gt;="&amp;H$171)</f>
        <v>0</v>
      </c>
      <c r="I181" s="391">
        <f>SUMIFS('Renew &amp; Vac '!$S$75:$S$89,'Renew &amp; Vac '!$L$75:$L$89,$B181,'Renew &amp; Vac '!$O$75:$O$89,"&lt;="&amp;I$171,'Renew &amp; Vac '!$P$75:$P$89,"&gt;="&amp;I$171)+SUMIFS('Renew &amp; Vac '!$H$75:$H$89,'Renew &amp; Vac '!$A$75:$A$89,$B181,'Renew &amp; Vac '!$D$75:$D$89,"&lt;="&amp;I$171,'Renew &amp; Vac '!$E$75:$E$89,"&gt;="&amp;I$171)</f>
        <v>0</v>
      </c>
      <c r="J181" s="391">
        <f>SUMIFS('Renew &amp; Vac '!$S$75:$S$89,'Renew &amp; Vac '!$L$75:$L$89,$B181,'Renew &amp; Vac '!$O$75:$O$89,"&lt;="&amp;J$171,'Renew &amp; Vac '!$P$75:$P$89,"&gt;="&amp;J$171)+SUMIFS('Renew &amp; Vac '!$H$75:$H$89,'Renew &amp; Vac '!$A$75:$A$89,$B181,'Renew &amp; Vac '!$D$75:$D$89,"&lt;="&amp;J$171,'Renew &amp; Vac '!$E$75:$E$89,"&gt;="&amp;J$171)</f>
        <v>0</v>
      </c>
      <c r="K181" s="391">
        <f>SUMIFS('Renew &amp; Vac '!$S$75:$S$89,'Renew &amp; Vac '!$L$75:$L$89,$B181,'Renew &amp; Vac '!$O$75:$O$89,"&lt;="&amp;K$171,'Renew &amp; Vac '!$P$75:$P$89,"&gt;="&amp;K$171)+SUMIFS('Renew &amp; Vac '!$H$75:$H$89,'Renew &amp; Vac '!$A$75:$A$89,$B181,'Renew &amp; Vac '!$D$75:$D$89,"&lt;="&amp;K$171,'Renew &amp; Vac '!$E$75:$E$89,"&gt;="&amp;K$171)</f>
        <v>0</v>
      </c>
      <c r="L181" s="391">
        <f>SUMIFS('Renew &amp; Vac '!$S$75:$S$89,'Renew &amp; Vac '!$L$75:$L$89,$B181,'Renew &amp; Vac '!$O$75:$O$89,"&lt;="&amp;L$171,'Renew &amp; Vac '!$P$75:$P$89,"&gt;="&amp;L$171)+SUMIFS('Renew &amp; Vac '!$H$75:$H$89,'Renew &amp; Vac '!$A$75:$A$89,$B181,'Renew &amp; Vac '!$D$75:$D$89,"&lt;="&amp;L$171,'Renew &amp; Vac '!$E$75:$E$89,"&gt;="&amp;L$171)</f>
        <v>0</v>
      </c>
      <c r="M181" s="391">
        <f>SUMIFS('Renew &amp; Vac '!$S$75:$S$89,'Renew &amp; Vac '!$L$75:$L$89,$B181,'Renew &amp; Vac '!$O$75:$O$89,"&lt;="&amp;M$171,'Renew &amp; Vac '!$P$75:$P$89,"&gt;="&amp;M$171)+SUMIFS('Renew &amp; Vac '!$H$75:$H$89,'Renew &amp; Vac '!$A$75:$A$89,$B181,'Renew &amp; Vac '!$D$75:$D$89,"&lt;="&amp;M$171,'Renew &amp; Vac '!$E$75:$E$89,"&gt;="&amp;M$171)</f>
        <v>0</v>
      </c>
      <c r="N181" s="391">
        <f>SUMIFS('Renew &amp; Vac '!$S$75:$S$89,'Renew &amp; Vac '!$L$75:$L$89,$B181,'Renew &amp; Vac '!$O$75:$O$89,"&lt;="&amp;N$171,'Renew &amp; Vac '!$P$75:$P$89,"&gt;="&amp;N$171)+SUMIFS('Renew &amp; Vac '!$H$75:$H$89,'Renew &amp; Vac '!$A$75:$A$89,$B181,'Renew &amp; Vac '!$D$75:$D$89,"&lt;="&amp;N$171,'Renew &amp; Vac '!$E$75:$E$89,"&gt;="&amp;N$171)</f>
        <v>0</v>
      </c>
      <c r="O181" s="391">
        <f>SUMIFS('Renew &amp; Vac '!$S$75:$S$89,'Renew &amp; Vac '!$L$75:$L$89,$B181,'Renew &amp; Vac '!$O$75:$O$89,"&lt;="&amp;O$171,'Renew &amp; Vac '!$P$75:$P$89,"&gt;="&amp;O$171)+SUMIFS('Renew &amp; Vac '!$H$75:$H$89,'Renew &amp; Vac '!$A$75:$A$89,$B181,'Renew &amp; Vac '!$D$75:$D$89,"&lt;="&amp;O$171,'Renew &amp; Vac '!$E$75:$E$89,"&gt;="&amp;O$171)</f>
        <v>0</v>
      </c>
      <c r="P181" s="391">
        <f>SUMIFS('Renew &amp; Vac '!$S$75:$S$89,'Renew &amp; Vac '!$L$75:$L$89,$B181,'Renew &amp; Vac '!$O$75:$O$89,"&lt;="&amp;P$171,'Renew &amp; Vac '!$P$75:$P$89,"&gt;="&amp;P$171)+SUMIFS('Renew &amp; Vac '!$H$75:$H$89,'Renew &amp; Vac '!$A$75:$A$89,$B181,'Renew &amp; Vac '!$D$75:$D$89,"&lt;="&amp;P$171,'Renew &amp; Vac '!$E$75:$E$89,"&gt;="&amp;P$171)</f>
        <v>0</v>
      </c>
      <c r="Q181" s="397">
        <f t="shared" si="90"/>
        <v>0</v>
      </c>
    </row>
    <row r="182" spans="1:20" outlineLevel="1" x14ac:dyDescent="0.35">
      <c r="B182" s="398"/>
      <c r="C182" s="55"/>
      <c r="D182" s="399"/>
      <c r="E182" s="395">
        <f t="shared" ref="E182:Q182" si="91">SUM(E172:E181)</f>
        <v>0</v>
      </c>
      <c r="F182" s="395">
        <f t="shared" si="91"/>
        <v>0</v>
      </c>
      <c r="G182" s="395">
        <f t="shared" si="91"/>
        <v>0</v>
      </c>
      <c r="H182" s="395">
        <f t="shared" si="91"/>
        <v>0</v>
      </c>
      <c r="I182" s="395">
        <f t="shared" si="91"/>
        <v>0</v>
      </c>
      <c r="J182" s="395">
        <f t="shared" si="91"/>
        <v>0</v>
      </c>
      <c r="K182" s="395">
        <f t="shared" si="91"/>
        <v>0</v>
      </c>
      <c r="L182" s="395">
        <f t="shared" si="91"/>
        <v>0</v>
      </c>
      <c r="M182" s="395">
        <f t="shared" si="91"/>
        <v>0</v>
      </c>
      <c r="N182" s="395">
        <f t="shared" si="91"/>
        <v>0</v>
      </c>
      <c r="O182" s="395">
        <f t="shared" si="91"/>
        <v>0</v>
      </c>
      <c r="P182" s="395">
        <f t="shared" si="91"/>
        <v>0</v>
      </c>
      <c r="Q182" s="395">
        <f t="shared" si="91"/>
        <v>0</v>
      </c>
    </row>
    <row r="183" spans="1:20" outlineLevel="1" x14ac:dyDescent="0.35">
      <c r="B183" s="398"/>
      <c r="C183" s="55"/>
      <c r="D183" s="55"/>
      <c r="E183" s="55">
        <f t="shared" ref="E183:Q183" si="92">E11-E182</f>
        <v>0</v>
      </c>
      <c r="F183" s="55">
        <f t="shared" si="92"/>
        <v>0</v>
      </c>
      <c r="G183" s="55">
        <f t="shared" si="92"/>
        <v>0</v>
      </c>
      <c r="H183" s="55">
        <f t="shared" si="92"/>
        <v>0</v>
      </c>
      <c r="I183" s="55">
        <f t="shared" si="92"/>
        <v>5200</v>
      </c>
      <c r="J183" s="55">
        <f t="shared" si="92"/>
        <v>5200</v>
      </c>
      <c r="K183" s="55">
        <f t="shared" si="92"/>
        <v>5200</v>
      </c>
      <c r="L183" s="55">
        <f t="shared" si="92"/>
        <v>5200</v>
      </c>
      <c r="M183" s="55">
        <f t="shared" si="92"/>
        <v>5200</v>
      </c>
      <c r="N183" s="55">
        <f t="shared" si="92"/>
        <v>5200</v>
      </c>
      <c r="O183" s="55">
        <f t="shared" si="92"/>
        <v>5200</v>
      </c>
      <c r="P183" s="55">
        <f t="shared" si="92"/>
        <v>5200</v>
      </c>
      <c r="Q183" s="55">
        <f t="shared" si="92"/>
        <v>41600</v>
      </c>
    </row>
    <row r="184" spans="1:20" x14ac:dyDescent="0.35">
      <c r="B184" s="3"/>
    </row>
    <row r="185" spans="1:20" ht="17.5" x14ac:dyDescent="0.35">
      <c r="A185" s="47"/>
      <c r="B185" s="352" t="str">
        <f>"Budget Import - "&amp;B1</f>
        <v>Budget Import - 4500</v>
      </c>
      <c r="E185" s="389">
        <v>5</v>
      </c>
      <c r="F185" s="390">
        <f>E185+1</f>
        <v>6</v>
      </c>
      <c r="G185" s="390">
        <f t="shared" ref="G185:P185" si="93">F185+1</f>
        <v>7</v>
      </c>
      <c r="H185" s="390">
        <f t="shared" si="93"/>
        <v>8</v>
      </c>
      <c r="I185" s="390">
        <f t="shared" si="93"/>
        <v>9</v>
      </c>
      <c r="J185" s="390">
        <f t="shared" si="93"/>
        <v>10</v>
      </c>
      <c r="K185" s="390">
        <f t="shared" si="93"/>
        <v>11</v>
      </c>
      <c r="L185" s="390">
        <f t="shared" si="93"/>
        <v>12</v>
      </c>
      <c r="M185" s="390">
        <f t="shared" si="93"/>
        <v>13</v>
      </c>
      <c r="N185" s="390">
        <f t="shared" si="93"/>
        <v>14</v>
      </c>
      <c r="O185" s="390">
        <f t="shared" si="93"/>
        <v>15</v>
      </c>
      <c r="P185" s="390">
        <f t="shared" si="93"/>
        <v>16</v>
      </c>
      <c r="Q185" s="390" t="s">
        <v>566</v>
      </c>
    </row>
    <row r="186" spans="1:20" ht="16.5" outlineLevel="1" thickBot="1" x14ac:dyDescent="0.4">
      <c r="A186" s="47"/>
      <c r="D186" s="6" t="s">
        <v>96</v>
      </c>
      <c r="E186" s="6">
        <v>1</v>
      </c>
      <c r="F186" s="6">
        <v>2</v>
      </c>
      <c r="G186" s="6">
        <v>3</v>
      </c>
      <c r="H186" s="6">
        <v>4</v>
      </c>
      <c r="I186" s="6">
        <v>5</v>
      </c>
      <c r="J186" s="6">
        <v>6</v>
      </c>
      <c r="K186" s="6">
        <v>7</v>
      </c>
      <c r="L186" s="6">
        <v>8</v>
      </c>
      <c r="M186" s="6">
        <v>9</v>
      </c>
      <c r="N186" s="6">
        <v>10</v>
      </c>
      <c r="O186" s="6">
        <v>11</v>
      </c>
      <c r="P186" s="6">
        <v>12</v>
      </c>
      <c r="Q186" s="13" t="s">
        <v>12</v>
      </c>
    </row>
    <row r="187" spans="1:20" outlineLevel="1" x14ac:dyDescent="0.35">
      <c r="A187" s="294" t="str">
        <f t="shared" ref="A187:A207" si="94">VLOOKUP($D187,$A$10:$D$130,3,FALSE)</f>
        <v>Rental Income - In Place</v>
      </c>
      <c r="D187" s="57" t="s">
        <v>132</v>
      </c>
      <c r="E187" s="58">
        <f>-(VLOOKUP($D187,$A$10:$P$134,E$185,FALSE)+E11)</f>
        <v>-123600.01</v>
      </c>
      <c r="F187" s="58">
        <f t="shared" ref="F187:P187" si="95">-(VLOOKUP($D187,$A$10:$P$134,F$185,FALSE)+F11)</f>
        <v>-123600.01</v>
      </c>
      <c r="G187" s="58">
        <f t="shared" si="95"/>
        <v>-123600.01</v>
      </c>
      <c r="H187" s="58">
        <f t="shared" si="95"/>
        <v>-123600.01</v>
      </c>
      <c r="I187" s="58">
        <f t="shared" si="95"/>
        <v>-128800.01</v>
      </c>
      <c r="J187" s="58">
        <f t="shared" si="95"/>
        <v>-128800.01</v>
      </c>
      <c r="K187" s="58">
        <f t="shared" si="95"/>
        <v>-128800.01</v>
      </c>
      <c r="L187" s="58">
        <f t="shared" si="95"/>
        <v>-128800.01</v>
      </c>
      <c r="M187" s="58">
        <f t="shared" si="95"/>
        <v>-128800.01</v>
      </c>
      <c r="N187" s="58">
        <f t="shared" si="95"/>
        <v>-128800.01</v>
      </c>
      <c r="O187" s="58">
        <f t="shared" si="95"/>
        <v>-138486.66999999998</v>
      </c>
      <c r="P187" s="59">
        <f t="shared" si="95"/>
        <v>-138486.66999999998</v>
      </c>
      <c r="Q187" s="13">
        <f t="shared" ref="Q187:Q226" si="96">SUM(E187:P187)</f>
        <v>-1544173.4399999997</v>
      </c>
      <c r="R187" s="13"/>
    </row>
    <row r="188" spans="1:20" outlineLevel="1" x14ac:dyDescent="0.35">
      <c r="A188" s="294" t="str">
        <f t="shared" si="94"/>
        <v>Miscellaneous</v>
      </c>
      <c r="D188" s="60" t="s">
        <v>133</v>
      </c>
      <c r="E188" s="61">
        <f t="shared" ref="E188:P192" si="97">-VLOOKUP($D188,$A$10:$P$134,E$185,FALSE)</f>
        <v>-10530.967199999999</v>
      </c>
      <c r="F188" s="61">
        <f t="shared" si="97"/>
        <v>-10530.967199999999</v>
      </c>
      <c r="G188" s="61">
        <f t="shared" si="97"/>
        <v>-10530.967199999999</v>
      </c>
      <c r="H188" s="61">
        <f t="shared" si="97"/>
        <v>-10530.967199999999</v>
      </c>
      <c r="I188" s="61">
        <f t="shared" si="97"/>
        <v>-10530.967199999999</v>
      </c>
      <c r="J188" s="61">
        <f t="shared" si="97"/>
        <v>-10530.967199999999</v>
      </c>
      <c r="K188" s="61">
        <f t="shared" si="97"/>
        <v>-10530.967199999999</v>
      </c>
      <c r="L188" s="61">
        <f t="shared" si="97"/>
        <v>-10530.967199999999</v>
      </c>
      <c r="M188" s="61">
        <f t="shared" si="97"/>
        <v>-10530.967199999999</v>
      </c>
      <c r="N188" s="61">
        <f t="shared" si="97"/>
        <v>-10530.967199999999</v>
      </c>
      <c r="O188" s="61">
        <f t="shared" si="97"/>
        <v>-10530.967199999999</v>
      </c>
      <c r="P188" s="62">
        <f t="shared" si="97"/>
        <v>-10530.967199999999</v>
      </c>
      <c r="Q188" s="13">
        <f t="shared" si="96"/>
        <v>-126371.60639999999</v>
      </c>
      <c r="R188" s="13"/>
    </row>
    <row r="189" spans="1:20" outlineLevel="1" x14ac:dyDescent="0.35">
      <c r="A189" s="294" t="str">
        <f t="shared" si="94"/>
        <v>Interest Income</v>
      </c>
      <c r="D189" s="60" t="s">
        <v>134</v>
      </c>
      <c r="E189" s="61">
        <f t="shared" si="97"/>
        <v>-91.67</v>
      </c>
      <c r="F189" s="61">
        <f t="shared" si="97"/>
        <v>-91.67</v>
      </c>
      <c r="G189" s="61">
        <f t="shared" si="97"/>
        <v>-91.67</v>
      </c>
      <c r="H189" s="61">
        <f t="shared" si="97"/>
        <v>-91.67</v>
      </c>
      <c r="I189" s="61">
        <f t="shared" si="97"/>
        <v>-91.67</v>
      </c>
      <c r="J189" s="61">
        <f t="shared" si="97"/>
        <v>-91.67</v>
      </c>
      <c r="K189" s="61">
        <f t="shared" si="97"/>
        <v>-91.67</v>
      </c>
      <c r="L189" s="61">
        <f t="shared" si="97"/>
        <v>-91.67</v>
      </c>
      <c r="M189" s="61">
        <f t="shared" si="97"/>
        <v>-91.67</v>
      </c>
      <c r="N189" s="61">
        <f t="shared" si="97"/>
        <v>-91.67</v>
      </c>
      <c r="O189" s="61">
        <f t="shared" si="97"/>
        <v>-91.67</v>
      </c>
      <c r="P189" s="62">
        <f t="shared" si="97"/>
        <v>-91.67</v>
      </c>
      <c r="Q189" s="13">
        <f t="shared" si="96"/>
        <v>-1100.0399999999997</v>
      </c>
      <c r="R189" s="13"/>
    </row>
    <row r="190" spans="1:20" outlineLevel="1" x14ac:dyDescent="0.35">
      <c r="A190" s="294" t="str">
        <f t="shared" si="94"/>
        <v>Electric</v>
      </c>
      <c r="D190" s="60" t="s">
        <v>98</v>
      </c>
      <c r="E190" s="61">
        <f t="shared" si="97"/>
        <v>0</v>
      </c>
      <c r="F190" s="61">
        <f t="shared" si="97"/>
        <v>0</v>
      </c>
      <c r="G190" s="61">
        <f t="shared" si="97"/>
        <v>0</v>
      </c>
      <c r="H190" s="61">
        <f t="shared" si="97"/>
        <v>0</v>
      </c>
      <c r="I190" s="61">
        <f t="shared" si="97"/>
        <v>0</v>
      </c>
      <c r="J190" s="61">
        <f t="shared" si="97"/>
        <v>0</v>
      </c>
      <c r="K190" s="61">
        <f t="shared" si="97"/>
        <v>0</v>
      </c>
      <c r="L190" s="61">
        <f t="shared" si="97"/>
        <v>0</v>
      </c>
      <c r="M190" s="61">
        <f t="shared" si="97"/>
        <v>0</v>
      </c>
      <c r="N190" s="61">
        <f t="shared" si="97"/>
        <v>0</v>
      </c>
      <c r="O190" s="61">
        <f t="shared" si="97"/>
        <v>0</v>
      </c>
      <c r="P190" s="62">
        <f t="shared" si="97"/>
        <v>0</v>
      </c>
      <c r="Q190" s="13">
        <f t="shared" si="96"/>
        <v>0</v>
      </c>
      <c r="R190" s="13"/>
    </row>
    <row r="191" spans="1:20" ht="18" outlineLevel="1" x14ac:dyDescent="0.35">
      <c r="A191" s="294" t="str">
        <f t="shared" si="94"/>
        <v>Common Area Maintenance</v>
      </c>
      <c r="D191" s="60" t="s">
        <v>99</v>
      </c>
      <c r="E191" s="61">
        <f t="shared" si="97"/>
        <v>-30500</v>
      </c>
      <c r="F191" s="61">
        <f t="shared" si="97"/>
        <v>-30500</v>
      </c>
      <c r="G191" s="61">
        <f t="shared" si="97"/>
        <v>-30500</v>
      </c>
      <c r="H191" s="61">
        <f t="shared" si="97"/>
        <v>-30500</v>
      </c>
      <c r="I191" s="61">
        <f t="shared" si="97"/>
        <v>-30500</v>
      </c>
      <c r="J191" s="61">
        <f t="shared" si="97"/>
        <v>-30500</v>
      </c>
      <c r="K191" s="61">
        <f t="shared" si="97"/>
        <v>-30500</v>
      </c>
      <c r="L191" s="61">
        <f t="shared" si="97"/>
        <v>-30500</v>
      </c>
      <c r="M191" s="61">
        <f t="shared" si="97"/>
        <v>-30500</v>
      </c>
      <c r="N191" s="61">
        <f t="shared" si="97"/>
        <v>-30500</v>
      </c>
      <c r="O191" s="61">
        <f t="shared" si="97"/>
        <v>-30500</v>
      </c>
      <c r="P191" s="62">
        <f t="shared" si="97"/>
        <v>-30500</v>
      </c>
      <c r="Q191" s="13">
        <f t="shared" si="96"/>
        <v>-366000</v>
      </c>
      <c r="R191" s="13"/>
      <c r="S191" s="328"/>
      <c r="T191" s="329"/>
    </row>
    <row r="192" spans="1:20" outlineLevel="1" x14ac:dyDescent="0.35">
      <c r="A192" s="294" t="str">
        <f t="shared" si="94"/>
        <v>Real Estate Taxes</v>
      </c>
      <c r="D192" s="60" t="s">
        <v>100</v>
      </c>
      <c r="E192" s="61">
        <f t="shared" si="97"/>
        <v>-15100</v>
      </c>
      <c r="F192" s="61">
        <f t="shared" si="97"/>
        <v>-15100</v>
      </c>
      <c r="G192" s="61">
        <f t="shared" si="97"/>
        <v>-15100</v>
      </c>
      <c r="H192" s="61">
        <f t="shared" si="97"/>
        <v>-15100</v>
      </c>
      <c r="I192" s="61">
        <f t="shared" si="97"/>
        <v>-15100</v>
      </c>
      <c r="J192" s="61">
        <f t="shared" si="97"/>
        <v>-15100</v>
      </c>
      <c r="K192" s="61">
        <f t="shared" si="97"/>
        <v>-15100</v>
      </c>
      <c r="L192" s="61">
        <f t="shared" si="97"/>
        <v>-15100</v>
      </c>
      <c r="M192" s="61">
        <f t="shared" si="97"/>
        <v>-15100</v>
      </c>
      <c r="N192" s="61">
        <f t="shared" si="97"/>
        <v>-15100</v>
      </c>
      <c r="O192" s="61">
        <f t="shared" si="97"/>
        <v>-15100</v>
      </c>
      <c r="P192" s="62">
        <f t="shared" si="97"/>
        <v>-15100</v>
      </c>
      <c r="Q192" s="13">
        <f t="shared" si="96"/>
        <v>-181200</v>
      </c>
      <c r="R192" s="13"/>
    </row>
    <row r="193" spans="1:20" outlineLevel="1" x14ac:dyDescent="0.35">
      <c r="A193" s="294" t="str">
        <f t="shared" si="94"/>
        <v>Insurance</v>
      </c>
      <c r="D193" s="60" t="s">
        <v>135</v>
      </c>
      <c r="E193" s="61">
        <f>-VLOOKUP($D193,$A$10:$P$134,E$185,FALSE)</f>
        <v>-10365</v>
      </c>
      <c r="F193" s="61">
        <f t="shared" ref="F193:P193" si="98">-VLOOKUP($D193,$A$10:$P$134,F$185,FALSE)</f>
        <v>0</v>
      </c>
      <c r="G193" s="61">
        <f t="shared" si="98"/>
        <v>0</v>
      </c>
      <c r="H193" s="61">
        <f t="shared" si="98"/>
        <v>0</v>
      </c>
      <c r="I193" s="61">
        <f t="shared" si="98"/>
        <v>0</v>
      </c>
      <c r="J193" s="61">
        <f t="shared" si="98"/>
        <v>0</v>
      </c>
      <c r="K193" s="61">
        <f t="shared" si="98"/>
        <v>0</v>
      </c>
      <c r="L193" s="61">
        <f t="shared" si="98"/>
        <v>0</v>
      </c>
      <c r="M193" s="61">
        <f t="shared" si="98"/>
        <v>0</v>
      </c>
      <c r="N193" s="61">
        <f t="shared" si="98"/>
        <v>0</v>
      </c>
      <c r="O193" s="61">
        <f t="shared" si="98"/>
        <v>0</v>
      </c>
      <c r="P193" s="62">
        <f t="shared" si="98"/>
        <v>0</v>
      </c>
      <c r="Q193" s="13">
        <f t="shared" si="96"/>
        <v>-10365</v>
      </c>
      <c r="R193" s="13"/>
    </row>
    <row r="194" spans="1:20" outlineLevel="1" x14ac:dyDescent="0.35">
      <c r="A194" s="294" t="str">
        <f t="shared" si="94"/>
        <v>Maintenance Salaries</v>
      </c>
      <c r="D194" s="60" t="s">
        <v>101</v>
      </c>
      <c r="E194" s="61">
        <f t="shared" ref="E194:P218" si="99">VLOOKUP($D194,$A$10:$P$134,E$185,FALSE)</f>
        <v>2549.948114304198</v>
      </c>
      <c r="F194" s="61">
        <f t="shared" si="99"/>
        <v>2549.948114304198</v>
      </c>
      <c r="G194" s="61">
        <f t="shared" si="99"/>
        <v>2549.948114304198</v>
      </c>
      <c r="H194" s="61">
        <f t="shared" si="99"/>
        <v>2549.948114304198</v>
      </c>
      <c r="I194" s="61">
        <f t="shared" si="99"/>
        <v>2549.948114304198</v>
      </c>
      <c r="J194" s="61">
        <f t="shared" si="99"/>
        <v>2549.948114304198</v>
      </c>
      <c r="K194" s="61">
        <f t="shared" si="99"/>
        <v>2549.948114304198</v>
      </c>
      <c r="L194" s="61">
        <f t="shared" si="99"/>
        <v>2549.948114304198</v>
      </c>
      <c r="M194" s="61">
        <f t="shared" si="99"/>
        <v>2549.948114304198</v>
      </c>
      <c r="N194" s="61">
        <f t="shared" si="99"/>
        <v>2549.948114304198</v>
      </c>
      <c r="O194" s="61">
        <f t="shared" si="99"/>
        <v>2549.948114304198</v>
      </c>
      <c r="P194" s="62">
        <f t="shared" si="99"/>
        <v>2549.948114304198</v>
      </c>
      <c r="Q194" s="13">
        <f t="shared" si="96"/>
        <v>30599.377371650382</v>
      </c>
      <c r="R194" s="13"/>
      <c r="S194" s="8"/>
      <c r="T194" s="323"/>
    </row>
    <row r="195" spans="1:20" outlineLevel="1" x14ac:dyDescent="0.35">
      <c r="A195" s="294" t="str">
        <f t="shared" si="94"/>
        <v>Electric</v>
      </c>
      <c r="D195" s="60" t="s">
        <v>102</v>
      </c>
      <c r="E195" s="61">
        <f t="shared" si="99"/>
        <v>835.33</v>
      </c>
      <c r="F195" s="61">
        <f t="shared" si="99"/>
        <v>948.63</v>
      </c>
      <c r="G195" s="61">
        <f t="shared" si="99"/>
        <v>696.28</v>
      </c>
      <c r="H195" s="61">
        <f t="shared" si="99"/>
        <v>668.47</v>
      </c>
      <c r="I195" s="61">
        <f t="shared" si="99"/>
        <v>529.41999999999996</v>
      </c>
      <c r="J195" s="61">
        <f t="shared" si="99"/>
        <v>496.46000000000004</v>
      </c>
      <c r="K195" s="61">
        <f t="shared" si="99"/>
        <v>524.27</v>
      </c>
      <c r="L195" s="61">
        <f t="shared" si="99"/>
        <v>565.47</v>
      </c>
      <c r="M195" s="61">
        <f t="shared" si="99"/>
        <v>638.6</v>
      </c>
      <c r="N195" s="61">
        <f t="shared" si="99"/>
        <v>710.7</v>
      </c>
      <c r="O195" s="61">
        <f t="shared" si="99"/>
        <v>769.41</v>
      </c>
      <c r="P195" s="62">
        <f t="shared" si="99"/>
        <v>974.38</v>
      </c>
      <c r="Q195" s="13">
        <f t="shared" si="96"/>
        <v>8357.42</v>
      </c>
      <c r="R195" s="13"/>
    </row>
    <row r="196" spans="1:20" outlineLevel="1" x14ac:dyDescent="0.35">
      <c r="A196" s="294" t="str">
        <f t="shared" si="94"/>
        <v>Water &amp; Sewer</v>
      </c>
      <c r="D196" s="60" t="s">
        <v>103</v>
      </c>
      <c r="E196" s="61">
        <f t="shared" si="99"/>
        <v>185.4</v>
      </c>
      <c r="F196" s="61">
        <f t="shared" si="99"/>
        <v>185.4</v>
      </c>
      <c r="G196" s="61">
        <f t="shared" si="99"/>
        <v>185.4</v>
      </c>
      <c r="H196" s="61">
        <f t="shared" si="99"/>
        <v>185.4</v>
      </c>
      <c r="I196" s="61">
        <f t="shared" si="99"/>
        <v>185.4</v>
      </c>
      <c r="J196" s="61">
        <f t="shared" si="99"/>
        <v>185.4</v>
      </c>
      <c r="K196" s="61">
        <f t="shared" si="99"/>
        <v>185.4</v>
      </c>
      <c r="L196" s="61">
        <f t="shared" si="99"/>
        <v>185.4</v>
      </c>
      <c r="M196" s="61">
        <f t="shared" si="99"/>
        <v>185.4</v>
      </c>
      <c r="N196" s="61">
        <f t="shared" si="99"/>
        <v>185.4</v>
      </c>
      <c r="O196" s="61">
        <f t="shared" si="99"/>
        <v>185.4</v>
      </c>
      <c r="P196" s="62">
        <f t="shared" si="99"/>
        <v>185.4</v>
      </c>
      <c r="Q196" s="13">
        <f t="shared" si="96"/>
        <v>2224.8000000000006</v>
      </c>
      <c r="R196" s="13"/>
    </row>
    <row r="197" spans="1:20" outlineLevel="1" x14ac:dyDescent="0.35">
      <c r="A197" s="294" t="str">
        <f t="shared" si="94"/>
        <v>Building Maintenance</v>
      </c>
      <c r="D197" s="60" t="s">
        <v>104</v>
      </c>
      <c r="E197" s="61">
        <f t="shared" si="99"/>
        <v>1800</v>
      </c>
      <c r="F197" s="61">
        <f t="shared" si="99"/>
        <v>1750</v>
      </c>
      <c r="G197" s="61">
        <f t="shared" si="99"/>
        <v>3400</v>
      </c>
      <c r="H197" s="61">
        <f t="shared" si="99"/>
        <v>2600</v>
      </c>
      <c r="I197" s="61">
        <f t="shared" si="99"/>
        <v>1950</v>
      </c>
      <c r="J197" s="61">
        <f t="shared" si="99"/>
        <v>900</v>
      </c>
      <c r="K197" s="61">
        <f t="shared" si="99"/>
        <v>1800</v>
      </c>
      <c r="L197" s="61">
        <f t="shared" si="99"/>
        <v>1300</v>
      </c>
      <c r="M197" s="61">
        <f t="shared" si="99"/>
        <v>900</v>
      </c>
      <c r="N197" s="61">
        <f t="shared" si="99"/>
        <v>2150</v>
      </c>
      <c r="O197" s="61">
        <f t="shared" si="99"/>
        <v>4450</v>
      </c>
      <c r="P197" s="62">
        <f t="shared" si="99"/>
        <v>900</v>
      </c>
      <c r="Q197" s="13">
        <f t="shared" si="96"/>
        <v>23900</v>
      </c>
      <c r="R197" s="13"/>
    </row>
    <row r="198" spans="1:20" outlineLevel="1" x14ac:dyDescent="0.35">
      <c r="A198" s="294" t="str">
        <f t="shared" si="94"/>
        <v>Parking Lot Cleaning</v>
      </c>
      <c r="D198" s="60" t="s">
        <v>136</v>
      </c>
      <c r="E198" s="61">
        <f t="shared" si="99"/>
        <v>3738.9</v>
      </c>
      <c r="F198" s="61">
        <f t="shared" si="99"/>
        <v>4326</v>
      </c>
      <c r="G198" s="61">
        <f t="shared" si="99"/>
        <v>3738.9</v>
      </c>
      <c r="H198" s="61">
        <f t="shared" si="99"/>
        <v>3738.9</v>
      </c>
      <c r="I198" s="61">
        <f t="shared" si="99"/>
        <v>4326</v>
      </c>
      <c r="J198" s="61">
        <f t="shared" si="99"/>
        <v>3738.9</v>
      </c>
      <c r="K198" s="61">
        <f t="shared" si="99"/>
        <v>3738.9</v>
      </c>
      <c r="L198" s="61">
        <f t="shared" si="99"/>
        <v>4326</v>
      </c>
      <c r="M198" s="61">
        <f t="shared" si="99"/>
        <v>3738.9</v>
      </c>
      <c r="N198" s="61">
        <f t="shared" si="99"/>
        <v>3738.9</v>
      </c>
      <c r="O198" s="61">
        <f t="shared" si="99"/>
        <v>4326</v>
      </c>
      <c r="P198" s="62">
        <f t="shared" si="99"/>
        <v>3738.9</v>
      </c>
      <c r="Q198" s="13">
        <f t="shared" si="96"/>
        <v>47215.200000000004</v>
      </c>
      <c r="R198" s="13"/>
    </row>
    <row r="199" spans="1:20" outlineLevel="1" x14ac:dyDescent="0.35">
      <c r="A199" s="294" t="str">
        <f t="shared" si="94"/>
        <v>Parking Lot Maintenance</v>
      </c>
      <c r="D199" s="60" t="s">
        <v>105</v>
      </c>
      <c r="E199" s="61">
        <f t="shared" si="99"/>
        <v>942.45</v>
      </c>
      <c r="F199" s="61">
        <f t="shared" si="99"/>
        <v>581.95000000000005</v>
      </c>
      <c r="G199" s="61">
        <f t="shared" si="99"/>
        <v>2456.5500000000002</v>
      </c>
      <c r="H199" s="61">
        <f t="shared" si="99"/>
        <v>12126.95</v>
      </c>
      <c r="I199" s="61">
        <f t="shared" si="99"/>
        <v>581.95000000000005</v>
      </c>
      <c r="J199" s="61">
        <f t="shared" si="99"/>
        <v>2456.5500000000002</v>
      </c>
      <c r="K199" s="61">
        <f t="shared" si="99"/>
        <v>521.18000000000006</v>
      </c>
      <c r="L199" s="61">
        <f t="shared" si="99"/>
        <v>581.95000000000005</v>
      </c>
      <c r="M199" s="61">
        <f t="shared" si="99"/>
        <v>12456.55</v>
      </c>
      <c r="N199" s="61">
        <f t="shared" si="99"/>
        <v>2126.9500000000003</v>
      </c>
      <c r="O199" s="61">
        <f t="shared" si="99"/>
        <v>581.95000000000005</v>
      </c>
      <c r="P199" s="62">
        <f t="shared" si="99"/>
        <v>2559.5500000000002</v>
      </c>
      <c r="Q199" s="13">
        <f t="shared" si="96"/>
        <v>37974.53</v>
      </c>
      <c r="R199" s="13"/>
    </row>
    <row r="200" spans="1:20" outlineLevel="1" x14ac:dyDescent="0.35">
      <c r="A200" s="294" t="str">
        <f t="shared" si="94"/>
        <v>Snow Removal</v>
      </c>
      <c r="D200" s="60" t="s">
        <v>106</v>
      </c>
      <c r="E200" s="61">
        <f t="shared" si="99"/>
        <v>10300</v>
      </c>
      <c r="F200" s="61">
        <f t="shared" si="99"/>
        <v>10300</v>
      </c>
      <c r="G200" s="61">
        <f t="shared" si="99"/>
        <v>5150</v>
      </c>
      <c r="H200" s="61">
        <f t="shared" si="99"/>
        <v>0</v>
      </c>
      <c r="I200" s="61">
        <f t="shared" si="99"/>
        <v>0</v>
      </c>
      <c r="J200" s="61">
        <f t="shared" si="99"/>
        <v>0</v>
      </c>
      <c r="K200" s="61">
        <f t="shared" si="99"/>
        <v>0</v>
      </c>
      <c r="L200" s="61">
        <f t="shared" si="99"/>
        <v>0</v>
      </c>
      <c r="M200" s="61">
        <f t="shared" si="99"/>
        <v>0</v>
      </c>
      <c r="N200" s="61">
        <f t="shared" si="99"/>
        <v>0</v>
      </c>
      <c r="O200" s="61">
        <f t="shared" si="99"/>
        <v>1545</v>
      </c>
      <c r="P200" s="62">
        <f t="shared" si="99"/>
        <v>5150</v>
      </c>
      <c r="Q200" s="13">
        <f t="shared" si="96"/>
        <v>32445</v>
      </c>
      <c r="R200" s="13"/>
    </row>
    <row r="201" spans="1:20" outlineLevel="1" x14ac:dyDescent="0.35">
      <c r="A201" s="294" t="str">
        <f t="shared" si="94"/>
        <v>Landscaping</v>
      </c>
      <c r="D201" s="60" t="s">
        <v>107</v>
      </c>
      <c r="E201" s="61">
        <f t="shared" si="99"/>
        <v>0</v>
      </c>
      <c r="F201" s="61">
        <f t="shared" si="99"/>
        <v>0</v>
      </c>
      <c r="G201" s="61">
        <f t="shared" si="99"/>
        <v>2204.1999999999998</v>
      </c>
      <c r="H201" s="61">
        <f t="shared" si="99"/>
        <v>2204.1999999999998</v>
      </c>
      <c r="I201" s="61">
        <f t="shared" si="99"/>
        <v>3749.2</v>
      </c>
      <c r="J201" s="61">
        <f t="shared" si="99"/>
        <v>2204.1999999999998</v>
      </c>
      <c r="K201" s="61">
        <f t="shared" si="99"/>
        <v>2204.1999999999998</v>
      </c>
      <c r="L201" s="61">
        <f t="shared" si="99"/>
        <v>2204.1999999999998</v>
      </c>
      <c r="M201" s="61">
        <f t="shared" si="99"/>
        <v>3749.2</v>
      </c>
      <c r="N201" s="61">
        <f t="shared" si="99"/>
        <v>2204.1999999999998</v>
      </c>
      <c r="O201" s="61">
        <f t="shared" si="99"/>
        <v>0</v>
      </c>
      <c r="P201" s="62">
        <f t="shared" si="99"/>
        <v>0</v>
      </c>
      <c r="Q201" s="13">
        <f t="shared" si="96"/>
        <v>20723.600000000002</v>
      </c>
      <c r="R201" s="13"/>
    </row>
    <row r="202" spans="1:20" outlineLevel="1" x14ac:dyDescent="0.35">
      <c r="A202" s="294" t="str">
        <f t="shared" si="94"/>
        <v>Security</v>
      </c>
      <c r="D202" s="60" t="s">
        <v>108</v>
      </c>
      <c r="E202" s="61">
        <f t="shared" si="99"/>
        <v>10300</v>
      </c>
      <c r="F202" s="61">
        <f t="shared" si="99"/>
        <v>10300</v>
      </c>
      <c r="G202" s="61">
        <f t="shared" si="99"/>
        <v>10300</v>
      </c>
      <c r="H202" s="61">
        <f t="shared" si="99"/>
        <v>10300</v>
      </c>
      <c r="I202" s="61">
        <f t="shared" si="99"/>
        <v>12875</v>
      </c>
      <c r="J202" s="61">
        <f t="shared" si="99"/>
        <v>10300</v>
      </c>
      <c r="K202" s="61">
        <f t="shared" si="99"/>
        <v>10300</v>
      </c>
      <c r="L202" s="61">
        <f t="shared" si="99"/>
        <v>10300</v>
      </c>
      <c r="M202" s="61">
        <f t="shared" si="99"/>
        <v>10300</v>
      </c>
      <c r="N202" s="61">
        <f t="shared" si="99"/>
        <v>10300</v>
      </c>
      <c r="O202" s="61">
        <f t="shared" si="99"/>
        <v>12875</v>
      </c>
      <c r="P202" s="62">
        <f t="shared" si="99"/>
        <v>10300</v>
      </c>
      <c r="Q202" s="13">
        <f t="shared" si="96"/>
        <v>128750</v>
      </c>
      <c r="R202" s="13"/>
    </row>
    <row r="203" spans="1:20" outlineLevel="1" x14ac:dyDescent="0.35">
      <c r="A203" s="294" t="str">
        <f t="shared" si="94"/>
        <v>Management fee</v>
      </c>
      <c r="D203" s="60" t="s">
        <v>141</v>
      </c>
      <c r="E203" s="61">
        <f t="shared" si="99"/>
        <v>11411</v>
      </c>
      <c r="F203" s="61">
        <f t="shared" si="99"/>
        <v>10789</v>
      </c>
      <c r="G203" s="61">
        <f t="shared" si="99"/>
        <v>10789</v>
      </c>
      <c r="H203" s="61">
        <f t="shared" si="99"/>
        <v>10789</v>
      </c>
      <c r="I203" s="61">
        <f t="shared" si="99"/>
        <v>11101</v>
      </c>
      <c r="J203" s="61">
        <f t="shared" si="99"/>
        <v>11101</v>
      </c>
      <c r="K203" s="61">
        <f t="shared" si="99"/>
        <v>11101</v>
      </c>
      <c r="L203" s="61">
        <f t="shared" si="99"/>
        <v>11101</v>
      </c>
      <c r="M203" s="61">
        <f t="shared" si="99"/>
        <v>11101</v>
      </c>
      <c r="N203" s="61">
        <f t="shared" si="99"/>
        <v>11101</v>
      </c>
      <c r="O203" s="61">
        <f t="shared" si="99"/>
        <v>11683</v>
      </c>
      <c r="P203" s="62">
        <f t="shared" si="99"/>
        <v>11683</v>
      </c>
      <c r="Q203" s="13">
        <f t="shared" si="96"/>
        <v>133750</v>
      </c>
      <c r="R203" s="13"/>
    </row>
    <row r="204" spans="1:20" outlineLevel="1" x14ac:dyDescent="0.35">
      <c r="A204" s="294" t="str">
        <f t="shared" si="94"/>
        <v>Trash Removal</v>
      </c>
      <c r="D204" s="60" t="s">
        <v>110</v>
      </c>
      <c r="E204" s="61">
        <f t="shared" si="99"/>
        <v>2736</v>
      </c>
      <c r="F204" s="61">
        <f t="shared" si="99"/>
        <v>1236</v>
      </c>
      <c r="G204" s="61">
        <f t="shared" si="99"/>
        <v>1236</v>
      </c>
      <c r="H204" s="61">
        <f t="shared" si="99"/>
        <v>2736</v>
      </c>
      <c r="I204" s="61">
        <f t="shared" si="99"/>
        <v>1236</v>
      </c>
      <c r="J204" s="61">
        <f t="shared" si="99"/>
        <v>1236</v>
      </c>
      <c r="K204" s="61">
        <f t="shared" si="99"/>
        <v>2736</v>
      </c>
      <c r="L204" s="61">
        <f t="shared" si="99"/>
        <v>1236</v>
      </c>
      <c r="M204" s="61">
        <f t="shared" si="99"/>
        <v>1236</v>
      </c>
      <c r="N204" s="61">
        <f t="shared" si="99"/>
        <v>2736</v>
      </c>
      <c r="O204" s="61">
        <f t="shared" si="99"/>
        <v>1236</v>
      </c>
      <c r="P204" s="62">
        <f t="shared" si="99"/>
        <v>1236</v>
      </c>
      <c r="Q204" s="13">
        <f t="shared" si="96"/>
        <v>20832</v>
      </c>
      <c r="R204" s="13"/>
    </row>
    <row r="205" spans="1:20" outlineLevel="1" x14ac:dyDescent="0.35">
      <c r="A205" s="294" t="str">
        <f t="shared" si="94"/>
        <v>Real Estate Taxes</v>
      </c>
      <c r="D205" s="60" t="s">
        <v>111</v>
      </c>
      <c r="E205" s="61">
        <f t="shared" si="99"/>
        <v>15829.9</v>
      </c>
      <c r="F205" s="61">
        <f t="shared" si="99"/>
        <v>15829.9</v>
      </c>
      <c r="G205" s="61">
        <f t="shared" si="99"/>
        <v>15829.9</v>
      </c>
      <c r="H205" s="61">
        <f t="shared" si="99"/>
        <v>15829.9</v>
      </c>
      <c r="I205" s="61">
        <f t="shared" si="99"/>
        <v>15829.9</v>
      </c>
      <c r="J205" s="61">
        <f t="shared" si="99"/>
        <v>15829.9</v>
      </c>
      <c r="K205" s="61">
        <f t="shared" si="99"/>
        <v>15829.9</v>
      </c>
      <c r="L205" s="61">
        <f t="shared" si="99"/>
        <v>15829.9</v>
      </c>
      <c r="M205" s="61">
        <f t="shared" si="99"/>
        <v>15829.9</v>
      </c>
      <c r="N205" s="61">
        <f t="shared" si="99"/>
        <v>15829.9</v>
      </c>
      <c r="O205" s="61">
        <f t="shared" si="99"/>
        <v>15829.9</v>
      </c>
      <c r="P205" s="62">
        <f t="shared" si="99"/>
        <v>15829.9</v>
      </c>
      <c r="Q205" s="13">
        <f t="shared" si="96"/>
        <v>189958.79999999996</v>
      </c>
      <c r="R205" s="13"/>
    </row>
    <row r="206" spans="1:20" outlineLevel="1" x14ac:dyDescent="0.35">
      <c r="A206" s="294" t="str">
        <f t="shared" si="94"/>
        <v>Insurance</v>
      </c>
      <c r="D206" s="60" t="s">
        <v>112</v>
      </c>
      <c r="E206" s="61">
        <f t="shared" si="99"/>
        <v>6597</v>
      </c>
      <c r="F206" s="61">
        <f t="shared" si="99"/>
        <v>6597</v>
      </c>
      <c r="G206" s="61">
        <f t="shared" si="99"/>
        <v>6597</v>
      </c>
      <c r="H206" s="61">
        <f t="shared" si="99"/>
        <v>6597</v>
      </c>
      <c r="I206" s="61">
        <f t="shared" si="99"/>
        <v>6597</v>
      </c>
      <c r="J206" s="61">
        <f t="shared" si="99"/>
        <v>6597</v>
      </c>
      <c r="K206" s="61">
        <f t="shared" si="99"/>
        <v>6597</v>
      </c>
      <c r="L206" s="61">
        <f t="shared" si="99"/>
        <v>6597</v>
      </c>
      <c r="M206" s="61">
        <f t="shared" si="99"/>
        <v>6597</v>
      </c>
      <c r="N206" s="61">
        <f t="shared" si="99"/>
        <v>6597</v>
      </c>
      <c r="O206" s="61">
        <f t="shared" si="99"/>
        <v>6728.94</v>
      </c>
      <c r="P206" s="62">
        <f t="shared" si="99"/>
        <v>6728.94</v>
      </c>
      <c r="Q206" s="13">
        <f t="shared" si="96"/>
        <v>79427.88</v>
      </c>
      <c r="R206" s="13"/>
    </row>
    <row r="207" spans="1:20" outlineLevel="1" x14ac:dyDescent="0.35">
      <c r="A207" s="294" t="str">
        <f t="shared" si="94"/>
        <v>Cleaning &amp; Supplies</v>
      </c>
      <c r="D207" s="60" t="s">
        <v>113</v>
      </c>
      <c r="E207" s="61">
        <f t="shared" si="99"/>
        <v>0</v>
      </c>
      <c r="F207" s="61">
        <f t="shared" si="99"/>
        <v>0</v>
      </c>
      <c r="G207" s="61">
        <f t="shared" si="99"/>
        <v>0</v>
      </c>
      <c r="H207" s="61">
        <f t="shared" si="99"/>
        <v>0</v>
      </c>
      <c r="I207" s="61">
        <f t="shared" si="99"/>
        <v>0</v>
      </c>
      <c r="J207" s="61">
        <f t="shared" si="99"/>
        <v>0</v>
      </c>
      <c r="K207" s="61">
        <f t="shared" si="99"/>
        <v>0</v>
      </c>
      <c r="L207" s="61">
        <f t="shared" si="99"/>
        <v>0</v>
      </c>
      <c r="M207" s="61">
        <f t="shared" si="99"/>
        <v>0</v>
      </c>
      <c r="N207" s="61">
        <f t="shared" si="99"/>
        <v>0</v>
      </c>
      <c r="O207" s="61">
        <f t="shared" si="99"/>
        <v>0</v>
      </c>
      <c r="P207" s="62">
        <f t="shared" si="99"/>
        <v>0</v>
      </c>
      <c r="Q207" s="13">
        <f t="shared" si="96"/>
        <v>0</v>
      </c>
      <c r="R207" s="13"/>
    </row>
    <row r="208" spans="1:20" outlineLevel="1" x14ac:dyDescent="0.35">
      <c r="A208" s="294" t="str">
        <f>VLOOKUP($D208,$A$10:$D$130,4,FALSE)</f>
        <v>Salaries &amp; Wages</v>
      </c>
      <c r="D208" s="60" t="s">
        <v>114</v>
      </c>
      <c r="E208" s="61">
        <f t="shared" si="99"/>
        <v>6158.1821920925986</v>
      </c>
      <c r="F208" s="61">
        <f t="shared" si="99"/>
        <v>6158.1821920925986</v>
      </c>
      <c r="G208" s="61">
        <f t="shared" si="99"/>
        <v>6158.1821920925986</v>
      </c>
      <c r="H208" s="61">
        <f t="shared" si="99"/>
        <v>6158.1821920925986</v>
      </c>
      <c r="I208" s="61">
        <f t="shared" si="99"/>
        <v>6158.1821920925986</v>
      </c>
      <c r="J208" s="61">
        <f t="shared" si="99"/>
        <v>6158.1821920925986</v>
      </c>
      <c r="K208" s="61">
        <f t="shared" si="99"/>
        <v>6158.1821920925986</v>
      </c>
      <c r="L208" s="61">
        <f t="shared" si="99"/>
        <v>6158.1821920925986</v>
      </c>
      <c r="M208" s="61">
        <f t="shared" si="99"/>
        <v>6158.1821920925986</v>
      </c>
      <c r="N208" s="61">
        <f t="shared" si="99"/>
        <v>6158.1821920925986</v>
      </c>
      <c r="O208" s="61">
        <f t="shared" si="99"/>
        <v>6158.1821920925986</v>
      </c>
      <c r="P208" s="62">
        <f t="shared" si="99"/>
        <v>6158.1821920925986</v>
      </c>
      <c r="Q208" s="13">
        <f t="shared" si="96"/>
        <v>73898.186305111201</v>
      </c>
      <c r="R208" s="13"/>
    </row>
    <row r="209" spans="1:18" outlineLevel="1" x14ac:dyDescent="0.35">
      <c r="A209" s="294" t="str">
        <f t="shared" ref="A209:A211" si="100">VLOOKUP($D209,$A$10:$D$130,4,FALSE)</f>
        <v>Gas</v>
      </c>
      <c r="D209" s="60" t="s">
        <v>138</v>
      </c>
      <c r="E209" s="61">
        <f t="shared" ref="E209:P211" si="101">VLOOKUP($D209,$A$10:$P$134,E$185,FALSE)</f>
        <v>208.06</v>
      </c>
      <c r="F209" s="61">
        <f t="shared" si="101"/>
        <v>208.06</v>
      </c>
      <c r="G209" s="61">
        <f t="shared" si="101"/>
        <v>208.06</v>
      </c>
      <c r="H209" s="61">
        <f t="shared" si="101"/>
        <v>104.03</v>
      </c>
      <c r="I209" s="61">
        <f t="shared" si="101"/>
        <v>104.03</v>
      </c>
      <c r="J209" s="61">
        <f t="shared" si="101"/>
        <v>104.03</v>
      </c>
      <c r="K209" s="61">
        <f t="shared" si="101"/>
        <v>104.03</v>
      </c>
      <c r="L209" s="61">
        <f t="shared" si="101"/>
        <v>104.03</v>
      </c>
      <c r="M209" s="61">
        <f t="shared" si="101"/>
        <v>104.03</v>
      </c>
      <c r="N209" s="61">
        <f t="shared" si="101"/>
        <v>104.03</v>
      </c>
      <c r="O209" s="61">
        <f t="shared" si="101"/>
        <v>206</v>
      </c>
      <c r="P209" s="62">
        <f t="shared" si="101"/>
        <v>206</v>
      </c>
      <c r="Q209" s="13">
        <f t="shared" si="96"/>
        <v>1764.3899999999999</v>
      </c>
      <c r="R209" s="13"/>
    </row>
    <row r="210" spans="1:18" outlineLevel="1" x14ac:dyDescent="0.35">
      <c r="A210" s="294" t="str">
        <f t="shared" si="100"/>
        <v>Electric</v>
      </c>
      <c r="D210" s="60" t="s">
        <v>139</v>
      </c>
      <c r="E210" s="61">
        <f t="shared" si="101"/>
        <v>197.76</v>
      </c>
      <c r="F210" s="61">
        <f t="shared" si="101"/>
        <v>196.73000000000002</v>
      </c>
      <c r="G210" s="61">
        <f t="shared" si="101"/>
        <v>194.67000000000002</v>
      </c>
      <c r="H210" s="61">
        <f t="shared" si="101"/>
        <v>200.85</v>
      </c>
      <c r="I210" s="61">
        <f t="shared" si="101"/>
        <v>206</v>
      </c>
      <c r="J210" s="61">
        <f t="shared" si="101"/>
        <v>202.91</v>
      </c>
      <c r="K210" s="61">
        <f t="shared" si="101"/>
        <v>202.91</v>
      </c>
      <c r="L210" s="61">
        <f t="shared" si="101"/>
        <v>245.14000000000001</v>
      </c>
      <c r="M210" s="61">
        <f t="shared" si="101"/>
        <v>202.91</v>
      </c>
      <c r="N210" s="61">
        <f t="shared" si="101"/>
        <v>204.97</v>
      </c>
      <c r="O210" s="61">
        <f t="shared" si="101"/>
        <v>208.06</v>
      </c>
      <c r="P210" s="62">
        <f t="shared" si="101"/>
        <v>203.94</v>
      </c>
      <c r="Q210" s="13">
        <f t="shared" si="96"/>
        <v>2466.8500000000004</v>
      </c>
      <c r="R210" s="13"/>
    </row>
    <row r="211" spans="1:18" outlineLevel="1" x14ac:dyDescent="0.35">
      <c r="A211" s="294" t="str">
        <f t="shared" si="100"/>
        <v>Water &amp; Sewer</v>
      </c>
      <c r="D211" s="60" t="s">
        <v>140</v>
      </c>
      <c r="E211" s="61">
        <f t="shared" si="101"/>
        <v>41.2</v>
      </c>
      <c r="F211" s="61">
        <f t="shared" si="101"/>
        <v>41.2</v>
      </c>
      <c r="G211" s="61">
        <f t="shared" si="101"/>
        <v>41.2</v>
      </c>
      <c r="H211" s="61">
        <f t="shared" si="101"/>
        <v>41.2</v>
      </c>
      <c r="I211" s="61">
        <f t="shared" si="101"/>
        <v>41.2</v>
      </c>
      <c r="J211" s="61">
        <f t="shared" si="101"/>
        <v>41.2</v>
      </c>
      <c r="K211" s="61">
        <f t="shared" si="101"/>
        <v>41.2</v>
      </c>
      <c r="L211" s="61">
        <f t="shared" si="101"/>
        <v>41.2</v>
      </c>
      <c r="M211" s="61">
        <f t="shared" si="101"/>
        <v>41.2</v>
      </c>
      <c r="N211" s="61">
        <f t="shared" si="101"/>
        <v>41.2</v>
      </c>
      <c r="O211" s="61">
        <f t="shared" si="101"/>
        <v>41.2</v>
      </c>
      <c r="P211" s="62">
        <f t="shared" si="101"/>
        <v>41.2</v>
      </c>
      <c r="Q211" s="13">
        <f t="shared" si="96"/>
        <v>494.39999999999992</v>
      </c>
      <c r="R211" s="13"/>
    </row>
    <row r="212" spans="1:18" outlineLevel="1" x14ac:dyDescent="0.35">
      <c r="A212" s="294" t="str">
        <f>VLOOKUP($D212,$A$10:$D$130,4,FALSE)</f>
        <v>Commissions-Internal Broker</v>
      </c>
      <c r="D212" s="60" t="s">
        <v>115</v>
      </c>
      <c r="E212" s="61">
        <f t="shared" si="99"/>
        <v>0</v>
      </c>
      <c r="F212" s="61">
        <f t="shared" si="99"/>
        <v>0</v>
      </c>
      <c r="G212" s="61">
        <f t="shared" si="99"/>
        <v>0</v>
      </c>
      <c r="H212" s="61">
        <f t="shared" si="99"/>
        <v>0</v>
      </c>
      <c r="I212" s="61">
        <f t="shared" si="99"/>
        <v>0</v>
      </c>
      <c r="J212" s="61">
        <f t="shared" si="99"/>
        <v>0</v>
      </c>
      <c r="K212" s="61">
        <f t="shared" si="99"/>
        <v>0</v>
      </c>
      <c r="L212" s="61">
        <f t="shared" si="99"/>
        <v>0</v>
      </c>
      <c r="M212" s="61">
        <f t="shared" si="99"/>
        <v>0</v>
      </c>
      <c r="N212" s="61">
        <f t="shared" si="99"/>
        <v>0</v>
      </c>
      <c r="O212" s="61">
        <f t="shared" si="99"/>
        <v>0</v>
      </c>
      <c r="P212" s="62">
        <f t="shared" si="99"/>
        <v>0</v>
      </c>
      <c r="Q212" s="13">
        <f t="shared" si="96"/>
        <v>0</v>
      </c>
      <c r="R212" s="13"/>
    </row>
    <row r="213" spans="1:18" outlineLevel="1" x14ac:dyDescent="0.35">
      <c r="A213" s="294" t="str">
        <f>VLOOKUP($D213,$A$10:$D$130,3,FALSE)</f>
        <v>Building Maintenance</v>
      </c>
      <c r="D213" s="60" t="s">
        <v>116</v>
      </c>
      <c r="E213" s="61">
        <f t="shared" si="99"/>
        <v>0</v>
      </c>
      <c r="F213" s="61">
        <f t="shared" si="99"/>
        <v>0</v>
      </c>
      <c r="G213" s="61">
        <f t="shared" si="99"/>
        <v>0</v>
      </c>
      <c r="H213" s="61">
        <f t="shared" si="99"/>
        <v>0</v>
      </c>
      <c r="I213" s="61">
        <f t="shared" si="99"/>
        <v>0</v>
      </c>
      <c r="J213" s="61">
        <f t="shared" si="99"/>
        <v>0</v>
      </c>
      <c r="K213" s="61">
        <f t="shared" si="99"/>
        <v>0</v>
      </c>
      <c r="L213" s="61">
        <f t="shared" si="99"/>
        <v>0</v>
      </c>
      <c r="M213" s="61">
        <f t="shared" si="99"/>
        <v>0</v>
      </c>
      <c r="N213" s="61">
        <f t="shared" si="99"/>
        <v>0</v>
      </c>
      <c r="O213" s="61">
        <f t="shared" si="99"/>
        <v>0</v>
      </c>
      <c r="P213" s="62">
        <f t="shared" si="99"/>
        <v>0</v>
      </c>
      <c r="Q213" s="13">
        <f t="shared" si="96"/>
        <v>0</v>
      </c>
      <c r="R213" s="13"/>
    </row>
    <row r="214" spans="1:18" outlineLevel="1" x14ac:dyDescent="0.35">
      <c r="A214" s="294" t="str">
        <f>VLOOKUP($D214,$A$10:$D$130,3,FALSE)</f>
        <v>Marketing</v>
      </c>
      <c r="D214" s="60" t="s">
        <v>117</v>
      </c>
      <c r="E214" s="61">
        <f t="shared" si="99"/>
        <v>2153.1975468201326</v>
      </c>
      <c r="F214" s="61">
        <f t="shared" si="99"/>
        <v>2153.1975468201326</v>
      </c>
      <c r="G214" s="61">
        <f t="shared" si="99"/>
        <v>2153.1975468201326</v>
      </c>
      <c r="H214" s="61">
        <f t="shared" si="99"/>
        <v>2153.1975468201326</v>
      </c>
      <c r="I214" s="61">
        <f t="shared" si="99"/>
        <v>2153.1975468201326</v>
      </c>
      <c r="J214" s="61">
        <f t="shared" si="99"/>
        <v>2153.1975468201326</v>
      </c>
      <c r="K214" s="61">
        <f t="shared" si="99"/>
        <v>2153.1975468201326</v>
      </c>
      <c r="L214" s="61">
        <f t="shared" si="99"/>
        <v>2153.1975468201326</v>
      </c>
      <c r="M214" s="61">
        <f t="shared" si="99"/>
        <v>2153.1975468201326</v>
      </c>
      <c r="N214" s="61">
        <f t="shared" si="99"/>
        <v>2153.1975468201326</v>
      </c>
      <c r="O214" s="61">
        <f t="shared" si="99"/>
        <v>2153.1975468201326</v>
      </c>
      <c r="P214" s="62">
        <f t="shared" si="99"/>
        <v>2153.1975468201326</v>
      </c>
      <c r="Q214" s="13">
        <f t="shared" si="96"/>
        <v>25838.370561841599</v>
      </c>
      <c r="R214" s="13"/>
    </row>
    <row r="215" spans="1:18" outlineLevel="1" x14ac:dyDescent="0.35">
      <c r="A215" s="294" t="str">
        <f>VLOOKUP($D215,$A$10:$D$130,3,FALSE)</f>
        <v>Business Taxes</v>
      </c>
      <c r="D215" s="60" t="s">
        <v>118</v>
      </c>
      <c r="E215" s="61">
        <f t="shared" si="99"/>
        <v>0</v>
      </c>
      <c r="F215" s="61">
        <f t="shared" si="99"/>
        <v>0</v>
      </c>
      <c r="G215" s="61">
        <f t="shared" si="99"/>
        <v>0</v>
      </c>
      <c r="H215" s="61">
        <f t="shared" si="99"/>
        <v>74325</v>
      </c>
      <c r="I215" s="61">
        <f t="shared" si="99"/>
        <v>0</v>
      </c>
      <c r="J215" s="61">
        <f t="shared" si="99"/>
        <v>0</v>
      </c>
      <c r="K215" s="61">
        <f t="shared" si="99"/>
        <v>0</v>
      </c>
      <c r="L215" s="61">
        <f t="shared" si="99"/>
        <v>0</v>
      </c>
      <c r="M215" s="61">
        <f t="shared" si="99"/>
        <v>0</v>
      </c>
      <c r="N215" s="61">
        <f t="shared" si="99"/>
        <v>0</v>
      </c>
      <c r="O215" s="61">
        <f t="shared" si="99"/>
        <v>0</v>
      </c>
      <c r="P215" s="62">
        <f t="shared" si="99"/>
        <v>0</v>
      </c>
      <c r="Q215" s="13">
        <f t="shared" si="96"/>
        <v>74325</v>
      </c>
      <c r="R215" s="13"/>
    </row>
    <row r="216" spans="1:18" outlineLevel="1" x14ac:dyDescent="0.35">
      <c r="A216" s="294" t="str">
        <f>VLOOKUP($D216,$A$10:$D$130,3,FALSE)</f>
        <v>Legal &amp; Accounting</v>
      </c>
      <c r="D216" s="60" t="s">
        <v>119</v>
      </c>
      <c r="E216" s="61">
        <f t="shared" si="99"/>
        <v>575.08333333333337</v>
      </c>
      <c r="F216" s="61">
        <f t="shared" si="99"/>
        <v>575.08333333333337</v>
      </c>
      <c r="G216" s="61">
        <f t="shared" si="99"/>
        <v>575.08333333333337</v>
      </c>
      <c r="H216" s="61">
        <f t="shared" si="99"/>
        <v>575.08333333333337</v>
      </c>
      <c r="I216" s="61">
        <f t="shared" si="99"/>
        <v>575.08333333333337</v>
      </c>
      <c r="J216" s="61">
        <f t="shared" si="99"/>
        <v>575.08333333333337</v>
      </c>
      <c r="K216" s="61">
        <f t="shared" si="99"/>
        <v>575.08333333333337</v>
      </c>
      <c r="L216" s="61">
        <f t="shared" si="99"/>
        <v>575.08333333333337</v>
      </c>
      <c r="M216" s="61">
        <f t="shared" si="99"/>
        <v>575.08333333333337</v>
      </c>
      <c r="N216" s="61">
        <f t="shared" si="99"/>
        <v>575.08333333333337</v>
      </c>
      <c r="O216" s="61">
        <f t="shared" si="99"/>
        <v>575.08333333333337</v>
      </c>
      <c r="P216" s="62">
        <f t="shared" si="99"/>
        <v>575.08333333333337</v>
      </c>
      <c r="Q216" s="13">
        <f t="shared" si="96"/>
        <v>6900.9999999999991</v>
      </c>
      <c r="R216" s="13"/>
    </row>
    <row r="217" spans="1:18" outlineLevel="1" x14ac:dyDescent="0.35">
      <c r="A217" s="294" t="str">
        <f t="shared" ref="A217:A222" si="102">VLOOKUP($D217,$A$10:$D$130,4,FALSE)</f>
        <v>Bank Fees</v>
      </c>
      <c r="D217" s="60" t="s">
        <v>126</v>
      </c>
      <c r="E217" s="61">
        <f t="shared" si="99"/>
        <v>0</v>
      </c>
      <c r="F217" s="61">
        <f t="shared" si="99"/>
        <v>0</v>
      </c>
      <c r="G217" s="61">
        <f t="shared" si="99"/>
        <v>0</v>
      </c>
      <c r="H217" s="61">
        <f t="shared" si="99"/>
        <v>0</v>
      </c>
      <c r="I217" s="61">
        <f t="shared" si="99"/>
        <v>0</v>
      </c>
      <c r="J217" s="61">
        <f t="shared" si="99"/>
        <v>0</v>
      </c>
      <c r="K217" s="61">
        <f t="shared" si="99"/>
        <v>0</v>
      </c>
      <c r="L217" s="61">
        <f t="shared" si="99"/>
        <v>0</v>
      </c>
      <c r="M217" s="61">
        <f t="shared" si="99"/>
        <v>0</v>
      </c>
      <c r="N217" s="61">
        <f t="shared" si="99"/>
        <v>0</v>
      </c>
      <c r="O217" s="61">
        <f t="shared" si="99"/>
        <v>0</v>
      </c>
      <c r="P217" s="62">
        <f t="shared" si="99"/>
        <v>0</v>
      </c>
      <c r="Q217" s="13">
        <f t="shared" si="96"/>
        <v>0</v>
      </c>
      <c r="R217" s="13"/>
    </row>
    <row r="218" spans="1:18" outlineLevel="1" x14ac:dyDescent="0.35">
      <c r="A218" s="294" t="str">
        <f t="shared" si="102"/>
        <v>Other G&amp;A Expense</v>
      </c>
      <c r="D218" s="60" t="s">
        <v>127</v>
      </c>
      <c r="E218" s="61">
        <f t="shared" si="99"/>
        <v>0</v>
      </c>
      <c r="F218" s="61">
        <f t="shared" si="99"/>
        <v>0</v>
      </c>
      <c r="G218" s="61">
        <f t="shared" si="99"/>
        <v>0</v>
      </c>
      <c r="H218" s="61">
        <f t="shared" ref="F218:P225" si="103">VLOOKUP($D218,$A$10:$P$134,H$185,FALSE)</f>
        <v>0</v>
      </c>
      <c r="I218" s="61">
        <f t="shared" si="103"/>
        <v>0</v>
      </c>
      <c r="J218" s="61">
        <f t="shared" si="103"/>
        <v>0</v>
      </c>
      <c r="K218" s="61">
        <f t="shared" si="103"/>
        <v>0</v>
      </c>
      <c r="L218" s="61">
        <f t="shared" si="103"/>
        <v>0</v>
      </c>
      <c r="M218" s="61">
        <f t="shared" si="103"/>
        <v>0</v>
      </c>
      <c r="N218" s="61">
        <f t="shared" si="103"/>
        <v>0</v>
      </c>
      <c r="O218" s="61">
        <f t="shared" si="103"/>
        <v>0</v>
      </c>
      <c r="P218" s="62">
        <f t="shared" si="103"/>
        <v>0</v>
      </c>
      <c r="Q218" s="13">
        <f t="shared" si="96"/>
        <v>0</v>
      </c>
      <c r="R218" s="13"/>
    </row>
    <row r="219" spans="1:18" outlineLevel="1" x14ac:dyDescent="0.35">
      <c r="A219" s="294" t="str">
        <f t="shared" si="102"/>
        <v>Other G&amp;A-allocated from LIK</v>
      </c>
      <c r="D219" s="60" t="s">
        <v>120</v>
      </c>
      <c r="E219" s="61">
        <f t="shared" ref="E219:E225" si="104">VLOOKUP($D219,$A$10:$P$134,E$185,FALSE)</f>
        <v>235.18333333333337</v>
      </c>
      <c r="F219" s="61">
        <f t="shared" si="103"/>
        <v>235.18333333333337</v>
      </c>
      <c r="G219" s="61">
        <f t="shared" si="103"/>
        <v>235.18333333333337</v>
      </c>
      <c r="H219" s="61">
        <f t="shared" si="103"/>
        <v>235.18333333333337</v>
      </c>
      <c r="I219" s="61">
        <f t="shared" si="103"/>
        <v>235.18333333333337</v>
      </c>
      <c r="J219" s="61">
        <f t="shared" si="103"/>
        <v>235.18333333333337</v>
      </c>
      <c r="K219" s="61">
        <f t="shared" si="103"/>
        <v>235.18333333333337</v>
      </c>
      <c r="L219" s="61">
        <f t="shared" si="103"/>
        <v>235.18333333333337</v>
      </c>
      <c r="M219" s="61">
        <f t="shared" si="103"/>
        <v>235.18333333333337</v>
      </c>
      <c r="N219" s="61">
        <f t="shared" si="103"/>
        <v>235.18333333333337</v>
      </c>
      <c r="O219" s="61">
        <f t="shared" si="103"/>
        <v>235.18333333333337</v>
      </c>
      <c r="P219" s="62">
        <f t="shared" si="103"/>
        <v>235.18333333333337</v>
      </c>
      <c r="Q219" s="13">
        <f t="shared" si="96"/>
        <v>2822.2000000000003</v>
      </c>
      <c r="R219" s="13"/>
    </row>
    <row r="220" spans="1:18" outlineLevel="1" x14ac:dyDescent="0.35">
      <c r="A220" s="294" t="str">
        <f t="shared" si="102"/>
        <v>Land Improvements</v>
      </c>
      <c r="D220" s="60" t="s">
        <v>121</v>
      </c>
      <c r="E220" s="61">
        <f t="shared" si="104"/>
        <v>0</v>
      </c>
      <c r="F220" s="61">
        <f t="shared" si="103"/>
        <v>0</v>
      </c>
      <c r="G220" s="61">
        <f t="shared" si="103"/>
        <v>0</v>
      </c>
      <c r="H220" s="61">
        <f t="shared" si="103"/>
        <v>0</v>
      </c>
      <c r="I220" s="61">
        <f t="shared" si="103"/>
        <v>0</v>
      </c>
      <c r="J220" s="61">
        <f t="shared" si="103"/>
        <v>0</v>
      </c>
      <c r="K220" s="61">
        <f t="shared" si="103"/>
        <v>0</v>
      </c>
      <c r="L220" s="61">
        <f t="shared" si="103"/>
        <v>0</v>
      </c>
      <c r="M220" s="61">
        <f t="shared" si="103"/>
        <v>0</v>
      </c>
      <c r="N220" s="61">
        <f t="shared" si="103"/>
        <v>0</v>
      </c>
      <c r="O220" s="61">
        <f t="shared" si="103"/>
        <v>0</v>
      </c>
      <c r="P220" s="62">
        <f t="shared" si="103"/>
        <v>0</v>
      </c>
      <c r="Q220" s="13">
        <f t="shared" si="96"/>
        <v>0</v>
      </c>
      <c r="R220" s="13"/>
    </row>
    <row r="221" spans="1:18" outlineLevel="1" x14ac:dyDescent="0.35">
      <c r="A221" s="294" t="str">
        <f t="shared" si="102"/>
        <v>Buildings</v>
      </c>
      <c r="D221" s="60" t="s">
        <v>122</v>
      </c>
      <c r="E221" s="61">
        <f t="shared" si="104"/>
        <v>0</v>
      </c>
      <c r="F221" s="61">
        <f t="shared" si="103"/>
        <v>0</v>
      </c>
      <c r="G221" s="61">
        <f t="shared" si="103"/>
        <v>0</v>
      </c>
      <c r="H221" s="61">
        <f t="shared" si="103"/>
        <v>0</v>
      </c>
      <c r="I221" s="61">
        <f t="shared" si="103"/>
        <v>0</v>
      </c>
      <c r="J221" s="61">
        <f t="shared" si="103"/>
        <v>0</v>
      </c>
      <c r="K221" s="61">
        <f t="shared" si="103"/>
        <v>257500</v>
      </c>
      <c r="L221" s="61">
        <f t="shared" si="103"/>
        <v>0</v>
      </c>
      <c r="M221" s="61">
        <f t="shared" si="103"/>
        <v>0</v>
      </c>
      <c r="N221" s="61">
        <f t="shared" si="103"/>
        <v>0</v>
      </c>
      <c r="O221" s="61">
        <f t="shared" si="103"/>
        <v>0</v>
      </c>
      <c r="P221" s="62">
        <f t="shared" si="103"/>
        <v>0</v>
      </c>
      <c r="Q221" s="13">
        <f t="shared" si="96"/>
        <v>257500</v>
      </c>
      <c r="R221" s="13"/>
    </row>
    <row r="222" spans="1:18" outlineLevel="1" x14ac:dyDescent="0.35">
      <c r="A222" s="294" t="str">
        <f t="shared" si="102"/>
        <v>Equipment</v>
      </c>
      <c r="D222" s="60" t="s">
        <v>123</v>
      </c>
      <c r="E222" s="61">
        <f t="shared" si="104"/>
        <v>0</v>
      </c>
      <c r="F222" s="61">
        <f t="shared" si="103"/>
        <v>0</v>
      </c>
      <c r="G222" s="61">
        <f t="shared" si="103"/>
        <v>0</v>
      </c>
      <c r="H222" s="61">
        <f t="shared" si="103"/>
        <v>0</v>
      </c>
      <c r="I222" s="61">
        <f t="shared" si="103"/>
        <v>0</v>
      </c>
      <c r="J222" s="61">
        <f t="shared" si="103"/>
        <v>0</v>
      </c>
      <c r="K222" s="61">
        <f t="shared" si="103"/>
        <v>0</v>
      </c>
      <c r="L222" s="61">
        <f t="shared" si="103"/>
        <v>0</v>
      </c>
      <c r="M222" s="61">
        <f t="shared" si="103"/>
        <v>0</v>
      </c>
      <c r="N222" s="61">
        <f t="shared" si="103"/>
        <v>0</v>
      </c>
      <c r="O222" s="61">
        <f t="shared" si="103"/>
        <v>0</v>
      </c>
      <c r="P222" s="62">
        <f t="shared" si="103"/>
        <v>0</v>
      </c>
      <c r="Q222" s="13">
        <f t="shared" si="96"/>
        <v>0</v>
      </c>
      <c r="R222" s="13"/>
    </row>
    <row r="223" spans="1:18" outlineLevel="1" x14ac:dyDescent="0.35">
      <c r="A223" s="294" t="str">
        <f>VLOOKUP($D223,$A$10:$D$130,3,FALSE)</f>
        <v>Tenant Improvements</v>
      </c>
      <c r="D223" s="60" t="s">
        <v>124</v>
      </c>
      <c r="E223" s="61">
        <f t="shared" si="104"/>
        <v>0</v>
      </c>
      <c r="F223" s="61">
        <f t="shared" si="103"/>
        <v>0</v>
      </c>
      <c r="G223" s="61">
        <f t="shared" si="103"/>
        <v>0</v>
      </c>
      <c r="H223" s="61">
        <f t="shared" si="103"/>
        <v>0</v>
      </c>
      <c r="I223" s="61">
        <f t="shared" si="103"/>
        <v>0</v>
      </c>
      <c r="J223" s="61">
        <f t="shared" si="103"/>
        <v>0</v>
      </c>
      <c r="K223" s="61">
        <f t="shared" si="103"/>
        <v>0</v>
      </c>
      <c r="L223" s="61">
        <f t="shared" si="103"/>
        <v>0</v>
      </c>
      <c r="M223" s="61">
        <f t="shared" si="103"/>
        <v>0</v>
      </c>
      <c r="N223" s="61">
        <f t="shared" si="103"/>
        <v>0</v>
      </c>
      <c r="O223" s="61">
        <f t="shared" si="103"/>
        <v>0</v>
      </c>
      <c r="P223" s="62">
        <f t="shared" si="103"/>
        <v>0</v>
      </c>
      <c r="Q223" s="13">
        <f t="shared" si="96"/>
        <v>0</v>
      </c>
      <c r="R223" s="13"/>
    </row>
    <row r="224" spans="1:18" outlineLevel="1" x14ac:dyDescent="0.35">
      <c r="A224" s="294" t="str">
        <f>VLOOKUP($D224,$A$10:$D$130,4,FALSE)</f>
        <v>Deferred Marketing</v>
      </c>
      <c r="D224" s="60" t="s">
        <v>125</v>
      </c>
      <c r="E224" s="61">
        <f t="shared" si="104"/>
        <v>0</v>
      </c>
      <c r="F224" s="61">
        <f t="shared" si="103"/>
        <v>0</v>
      </c>
      <c r="G224" s="61">
        <f t="shared" si="103"/>
        <v>0</v>
      </c>
      <c r="H224" s="61">
        <f t="shared" si="103"/>
        <v>0</v>
      </c>
      <c r="I224" s="61">
        <f t="shared" si="103"/>
        <v>0</v>
      </c>
      <c r="J224" s="61">
        <f t="shared" si="103"/>
        <v>0</v>
      </c>
      <c r="K224" s="61">
        <f t="shared" si="103"/>
        <v>0</v>
      </c>
      <c r="L224" s="61">
        <f t="shared" si="103"/>
        <v>0</v>
      </c>
      <c r="M224" s="61">
        <f t="shared" si="103"/>
        <v>0</v>
      </c>
      <c r="N224" s="61">
        <f t="shared" si="103"/>
        <v>0</v>
      </c>
      <c r="O224" s="61">
        <f t="shared" si="103"/>
        <v>0</v>
      </c>
      <c r="P224" s="62">
        <f t="shared" si="103"/>
        <v>0</v>
      </c>
      <c r="Q224" s="13">
        <f t="shared" si="96"/>
        <v>0</v>
      </c>
      <c r="R224" s="13"/>
    </row>
    <row r="225" spans="1:21" outlineLevel="1" x14ac:dyDescent="0.35">
      <c r="A225" s="294" t="str">
        <f>VLOOKUP($D225,$A$10:$D$130,3,FALSE)</f>
        <v>Interest</v>
      </c>
      <c r="D225" s="60" t="s">
        <v>128</v>
      </c>
      <c r="E225" s="61">
        <f t="shared" si="104"/>
        <v>23652.975074322418</v>
      </c>
      <c r="F225" s="61">
        <f t="shared" si="103"/>
        <v>23588.942399230935</v>
      </c>
      <c r="G225" s="61">
        <f t="shared" si="103"/>
        <v>23524.720294142313</v>
      </c>
      <c r="H225" s="61">
        <f t="shared" si="103"/>
        <v>23460.308198659459</v>
      </c>
      <c r="I225" s="61">
        <f t="shared" si="103"/>
        <v>23395.705550727471</v>
      </c>
      <c r="J225" s="61">
        <f t="shared" si="103"/>
        <v>23330.911786628687</v>
      </c>
      <c r="K225" s="61">
        <f t="shared" si="103"/>
        <v>23265.926340977774</v>
      </c>
      <c r="L225" s="61">
        <f t="shared" si="103"/>
        <v>23200.748646716816</v>
      </c>
      <c r="M225" s="61">
        <f t="shared" si="103"/>
        <v>23135.378135110332</v>
      </c>
      <c r="N225" s="61">
        <f t="shared" si="103"/>
        <v>23069.814235740352</v>
      </c>
      <c r="O225" s="61">
        <f t="shared" si="103"/>
        <v>23004.05637650139</v>
      </c>
      <c r="P225" s="62">
        <f t="shared" si="103"/>
        <v>22938.10398359552</v>
      </c>
      <c r="Q225" s="13">
        <f t="shared" si="96"/>
        <v>279567.59102235344</v>
      </c>
      <c r="R225" s="13"/>
    </row>
    <row r="226" spans="1:21" ht="16.5" outlineLevel="1" thickBot="1" x14ac:dyDescent="0.4">
      <c r="A226" s="294" t="str">
        <f>VLOOKUP($D226,$A$10:$D$130,3,FALSE)</f>
        <v>Mortgage Amortization</v>
      </c>
      <c r="D226" s="63" t="s">
        <v>145</v>
      </c>
      <c r="E226" s="64">
        <f>VLOOKUP($D226,$A$10:$P$134,E$185,FALSE)</f>
        <v>21644.847918247906</v>
      </c>
      <c r="F226" s="64">
        <f t="shared" ref="F226:P226" si="105">VLOOKUP($D226,$A$10:$P$134,F$185,FALSE)</f>
        <v>21708.880593339389</v>
      </c>
      <c r="G226" s="64">
        <f t="shared" si="105"/>
        <v>21773.102698428014</v>
      </c>
      <c r="H226" s="64">
        <f t="shared" si="105"/>
        <v>21837.514793910861</v>
      </c>
      <c r="I226" s="64">
        <f t="shared" si="105"/>
        <v>21902.117441842853</v>
      </c>
      <c r="J226" s="64">
        <f t="shared" si="105"/>
        <v>21966.911205941637</v>
      </c>
      <c r="K226" s="64">
        <f t="shared" si="105"/>
        <v>22031.896651592549</v>
      </c>
      <c r="L226" s="64">
        <f t="shared" si="105"/>
        <v>22097.074345853507</v>
      </c>
      <c r="M226" s="64">
        <f t="shared" si="105"/>
        <v>22162.444857459992</v>
      </c>
      <c r="N226" s="64">
        <f t="shared" si="105"/>
        <v>22228.008756829975</v>
      </c>
      <c r="O226" s="64">
        <f t="shared" si="105"/>
        <v>22293.766616068933</v>
      </c>
      <c r="P226" s="65">
        <f t="shared" si="105"/>
        <v>22359.719008974804</v>
      </c>
      <c r="Q226" s="13">
        <f t="shared" si="96"/>
        <v>264006.28488849039</v>
      </c>
      <c r="R226" s="13"/>
    </row>
    <row r="227" spans="1:21" outlineLevel="1" x14ac:dyDescent="0.35">
      <c r="D227" s="6" t="s">
        <v>12</v>
      </c>
      <c r="E227" s="6">
        <f t="shared" ref="E227:Q227" si="106">SUM(E187:E226)</f>
        <v>-68095.229687546132</v>
      </c>
      <c r="F227" s="6">
        <f t="shared" si="106"/>
        <v>-59563.359687546108</v>
      </c>
      <c r="G227" s="6">
        <f t="shared" si="106"/>
        <v>-59826.069687546114</v>
      </c>
      <c r="H227" s="6">
        <f t="shared" si="106"/>
        <v>19593.670312453909</v>
      </c>
      <c r="I227" s="6">
        <f t="shared" si="106"/>
        <v>-68741.129687546083</v>
      </c>
      <c r="J227" s="6">
        <f t="shared" si="106"/>
        <v>-72659.67968754613</v>
      </c>
      <c r="K227" s="6">
        <f t="shared" si="106"/>
        <v>185332.76031245387</v>
      </c>
      <c r="L227" s="6">
        <f t="shared" si="106"/>
        <v>-73435.939687546081</v>
      </c>
      <c r="M227" s="6">
        <f t="shared" si="106"/>
        <v>-60972.539687546101</v>
      </c>
      <c r="N227" s="6">
        <f t="shared" si="106"/>
        <v>-70022.979687546074</v>
      </c>
      <c r="O227" s="6">
        <f t="shared" si="106"/>
        <v>-77074.029687546106</v>
      </c>
      <c r="P227" s="6">
        <f t="shared" si="106"/>
        <v>-78002.67968754613</v>
      </c>
      <c r="Q227" s="6">
        <f t="shared" si="106"/>
        <v>-483467.20625055273</v>
      </c>
    </row>
    <row r="228" spans="1:21" outlineLevel="1" x14ac:dyDescent="0.35">
      <c r="E228" s="31">
        <f>E134+E227</f>
        <v>0</v>
      </c>
      <c r="F228" s="31">
        <f t="shared" ref="F228:Q228" si="107">F134+F227</f>
        <v>0</v>
      </c>
      <c r="G228" s="31">
        <f t="shared" si="107"/>
        <v>0</v>
      </c>
      <c r="H228" s="31">
        <f t="shared" si="107"/>
        <v>0</v>
      </c>
      <c r="I228" s="31">
        <f t="shared" si="107"/>
        <v>0</v>
      </c>
      <c r="J228" s="31">
        <f t="shared" si="107"/>
        <v>0</v>
      </c>
      <c r="K228" s="31">
        <f t="shared" si="107"/>
        <v>0</v>
      </c>
      <c r="L228" s="31">
        <f t="shared" si="107"/>
        <v>0</v>
      </c>
      <c r="M228" s="31">
        <f t="shared" si="107"/>
        <v>0</v>
      </c>
      <c r="N228" s="31">
        <f t="shared" si="107"/>
        <v>0</v>
      </c>
      <c r="O228" s="31">
        <f t="shared" si="107"/>
        <v>0</v>
      </c>
      <c r="P228" s="31">
        <f t="shared" si="107"/>
        <v>0</v>
      </c>
      <c r="Q228" s="31">
        <f t="shared" si="107"/>
        <v>0</v>
      </c>
    </row>
    <row r="230" spans="1:21" ht="17.5" x14ac:dyDescent="0.5">
      <c r="D230" s="35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R230" s="10"/>
      <c r="U230" s="239"/>
    </row>
    <row r="231" spans="1:21" x14ac:dyDescent="0.35">
      <c r="B231" s="3"/>
    </row>
    <row r="232" spans="1:21" x14ac:dyDescent="0.35">
      <c r="B232" s="3"/>
    </row>
    <row r="233" spans="1:21" x14ac:dyDescent="0.35">
      <c r="B233" s="3"/>
    </row>
    <row r="234" spans="1:21" x14ac:dyDescent="0.35">
      <c r="B234" s="3"/>
    </row>
    <row r="235" spans="1:21" x14ac:dyDescent="0.35">
      <c r="B235" s="3"/>
    </row>
    <row r="236" spans="1:21" x14ac:dyDescent="0.35">
      <c r="B236" s="3"/>
    </row>
    <row r="237" spans="1:21" x14ac:dyDescent="0.35">
      <c r="B237" s="3"/>
    </row>
    <row r="238" spans="1:21" x14ac:dyDescent="0.35">
      <c r="B238" s="3"/>
    </row>
    <row r="239" spans="1:21" x14ac:dyDescent="0.35">
      <c r="B239" s="3"/>
    </row>
    <row r="240" spans="1:21" x14ac:dyDescent="0.35">
      <c r="B240" s="3"/>
    </row>
    <row r="241" spans="2:2" x14ac:dyDescent="0.35">
      <c r="B241" s="3"/>
    </row>
    <row r="242" spans="2:2" x14ac:dyDescent="0.35">
      <c r="B242" s="3"/>
    </row>
    <row r="243" spans="2:2" x14ac:dyDescent="0.35">
      <c r="B243" s="3"/>
    </row>
    <row r="244" spans="2:2" x14ac:dyDescent="0.35">
      <c r="B244" s="3"/>
    </row>
    <row r="245" spans="2:2" x14ac:dyDescent="0.35">
      <c r="B245" s="3"/>
    </row>
    <row r="246" spans="2:2" x14ac:dyDescent="0.35">
      <c r="B246" s="3"/>
    </row>
    <row r="247" spans="2:2" x14ac:dyDescent="0.35">
      <c r="B247" s="3"/>
    </row>
    <row r="248" spans="2:2" x14ac:dyDescent="0.35">
      <c r="B248" s="3"/>
    </row>
    <row r="249" spans="2:2" x14ac:dyDescent="0.35">
      <c r="B249" s="3"/>
    </row>
    <row r="250" spans="2:2" x14ac:dyDescent="0.35">
      <c r="B250" s="3"/>
    </row>
    <row r="251" spans="2:2" x14ac:dyDescent="0.35">
      <c r="B251" s="3"/>
    </row>
    <row r="252" spans="2:2" x14ac:dyDescent="0.35">
      <c r="B252" s="3"/>
    </row>
    <row r="253" spans="2:2" x14ac:dyDescent="0.35">
      <c r="B253" s="3"/>
    </row>
    <row r="254" spans="2:2" x14ac:dyDescent="0.35">
      <c r="B254" s="3"/>
    </row>
    <row r="255" spans="2:2" x14ac:dyDescent="0.35">
      <c r="B255" s="3"/>
    </row>
    <row r="256" spans="2:2" x14ac:dyDescent="0.35">
      <c r="B256" s="3"/>
    </row>
    <row r="257" spans="2:2" x14ac:dyDescent="0.35">
      <c r="B257" s="3"/>
    </row>
    <row r="258" spans="2:2" x14ac:dyDescent="0.35">
      <c r="B258" s="3"/>
    </row>
    <row r="259" spans="2:2" x14ac:dyDescent="0.35">
      <c r="B259" s="3"/>
    </row>
    <row r="260" spans="2:2" x14ac:dyDescent="0.35">
      <c r="B260" s="3"/>
    </row>
    <row r="261" spans="2:2" x14ac:dyDescent="0.35">
      <c r="B261" s="3"/>
    </row>
    <row r="262" spans="2:2" x14ac:dyDescent="0.35">
      <c r="B262" s="3"/>
    </row>
    <row r="263" spans="2:2" x14ac:dyDescent="0.35">
      <c r="B263" s="3"/>
    </row>
    <row r="264" spans="2:2" x14ac:dyDescent="0.35">
      <c r="B264" s="3"/>
    </row>
    <row r="265" spans="2:2" x14ac:dyDescent="0.35">
      <c r="B265" s="3"/>
    </row>
    <row r="266" spans="2:2" x14ac:dyDescent="0.35">
      <c r="B266" s="3"/>
    </row>
    <row r="267" spans="2:2" x14ac:dyDescent="0.35">
      <c r="B267" s="3"/>
    </row>
    <row r="268" spans="2:2" x14ac:dyDescent="0.35">
      <c r="B268" s="3"/>
    </row>
    <row r="269" spans="2:2" x14ac:dyDescent="0.35">
      <c r="B269" s="3"/>
    </row>
    <row r="270" spans="2:2" x14ac:dyDescent="0.35">
      <c r="B270" s="3"/>
    </row>
    <row r="271" spans="2:2" x14ac:dyDescent="0.35">
      <c r="B271" s="3"/>
    </row>
    <row r="272" spans="2:2" x14ac:dyDescent="0.35">
      <c r="B272" s="3"/>
    </row>
    <row r="273" spans="2:20" x14ac:dyDescent="0.35">
      <c r="B273" s="3"/>
    </row>
    <row r="274" spans="2:20" x14ac:dyDescent="0.35">
      <c r="B274" s="3"/>
    </row>
    <row r="275" spans="2:20" x14ac:dyDescent="0.35">
      <c r="B275" s="3"/>
    </row>
    <row r="276" spans="2:20" x14ac:dyDescent="0.35">
      <c r="B276" s="3"/>
    </row>
    <row r="277" spans="2:20" x14ac:dyDescent="0.35">
      <c r="B277" s="3"/>
    </row>
    <row r="278" spans="2:20" x14ac:dyDescent="0.35">
      <c r="B278" s="3"/>
    </row>
    <row r="279" spans="2:20" x14ac:dyDescent="0.35">
      <c r="B279" s="3"/>
    </row>
    <row r="280" spans="2:20" x14ac:dyDescent="0.35">
      <c r="B280" s="3"/>
    </row>
    <row r="281" spans="2:20" x14ac:dyDescent="0.35">
      <c r="B281" s="3"/>
    </row>
    <row r="282" spans="2:20" x14ac:dyDescent="0.35">
      <c r="B282" s="3"/>
    </row>
    <row r="283" spans="2:20" x14ac:dyDescent="0.35">
      <c r="B283" s="3"/>
      <c r="S283" s="10"/>
      <c r="T283" s="324"/>
    </row>
    <row r="284" spans="2:20" x14ac:dyDescent="0.35">
      <c r="B284" s="3"/>
      <c r="S284" s="10"/>
      <c r="T284" s="324"/>
    </row>
    <row r="285" spans="2:20" x14ac:dyDescent="0.35">
      <c r="B285" s="3"/>
      <c r="S285" s="10"/>
      <c r="T285" s="324"/>
    </row>
    <row r="286" spans="2:20" x14ac:dyDescent="0.35">
      <c r="B286" s="3"/>
      <c r="S286" s="10"/>
      <c r="T286" s="324"/>
    </row>
    <row r="287" spans="2:20" x14ac:dyDescent="0.35">
      <c r="B287" s="3"/>
      <c r="S287" s="10"/>
      <c r="T287" s="324"/>
    </row>
    <row r="288" spans="2:20" x14ac:dyDescent="0.35">
      <c r="B288" s="3"/>
      <c r="S288" s="10"/>
      <c r="T288" s="324"/>
    </row>
    <row r="289" spans="2:20" x14ac:dyDescent="0.35">
      <c r="B289" s="3"/>
      <c r="S289" s="10"/>
      <c r="T289" s="324"/>
    </row>
    <row r="290" spans="2:20" x14ac:dyDescent="0.35">
      <c r="B290" s="3"/>
      <c r="S290" s="10"/>
      <c r="T290" s="324"/>
    </row>
    <row r="291" spans="2:20" x14ac:dyDescent="0.35">
      <c r="B291" s="3"/>
      <c r="S291" s="10"/>
      <c r="T291" s="324"/>
    </row>
    <row r="292" spans="2:20" x14ac:dyDescent="0.35">
      <c r="B292" s="3"/>
      <c r="S292" s="10"/>
      <c r="T292" s="324"/>
    </row>
    <row r="293" spans="2:20" x14ac:dyDescent="0.35">
      <c r="B293" s="3"/>
      <c r="S293" s="10"/>
      <c r="T293" s="324"/>
    </row>
    <row r="294" spans="2:20" x14ac:dyDescent="0.35">
      <c r="B294" s="3"/>
      <c r="S294" s="10"/>
      <c r="T294" s="324"/>
    </row>
    <row r="295" spans="2:20" x14ac:dyDescent="0.35">
      <c r="B295" s="3"/>
      <c r="S295" s="10"/>
      <c r="T295" s="324"/>
    </row>
    <row r="296" spans="2:20" x14ac:dyDescent="0.35">
      <c r="B296" s="3"/>
      <c r="S296" s="10"/>
      <c r="T296" s="324"/>
    </row>
    <row r="297" spans="2:20" x14ac:dyDescent="0.35">
      <c r="B297" s="3"/>
      <c r="S297" s="10"/>
      <c r="T297" s="324"/>
    </row>
    <row r="298" spans="2:20" x14ac:dyDescent="0.35">
      <c r="B298" s="3"/>
      <c r="S298" s="10"/>
      <c r="T298" s="324"/>
    </row>
    <row r="299" spans="2:20" x14ac:dyDescent="0.35">
      <c r="B299" s="3"/>
      <c r="S299" s="10"/>
      <c r="T299" s="324"/>
    </row>
    <row r="300" spans="2:20" x14ac:dyDescent="0.35">
      <c r="B300" s="3"/>
      <c r="S300" s="10"/>
      <c r="T300" s="324"/>
    </row>
    <row r="301" spans="2:20" x14ac:dyDescent="0.35">
      <c r="B301" s="3"/>
      <c r="S301" s="10"/>
      <c r="T301" s="324"/>
    </row>
    <row r="302" spans="2:20" x14ac:dyDescent="0.35">
      <c r="B302" s="3"/>
      <c r="S302" s="10"/>
      <c r="T302" s="324"/>
    </row>
    <row r="303" spans="2:20" x14ac:dyDescent="0.35">
      <c r="B303" s="3"/>
      <c r="S303" s="10"/>
      <c r="T303" s="324"/>
    </row>
    <row r="304" spans="2:20" x14ac:dyDescent="0.35">
      <c r="B304" s="3"/>
      <c r="S304" s="10"/>
      <c r="T304" s="324"/>
    </row>
    <row r="305" spans="2:20" x14ac:dyDescent="0.35">
      <c r="B305" s="3"/>
      <c r="S305" s="10"/>
      <c r="T305" s="324"/>
    </row>
    <row r="306" spans="2:20" x14ac:dyDescent="0.35">
      <c r="B306" s="3"/>
      <c r="S306" s="10"/>
      <c r="T306" s="324"/>
    </row>
    <row r="307" spans="2:20" x14ac:dyDescent="0.35">
      <c r="B307" s="3"/>
      <c r="S307" s="10"/>
      <c r="T307" s="324"/>
    </row>
    <row r="308" spans="2:20" x14ac:dyDescent="0.35">
      <c r="B308" s="3"/>
      <c r="S308" s="10"/>
      <c r="T308" s="324"/>
    </row>
    <row r="309" spans="2:20" x14ac:dyDescent="0.35">
      <c r="B309" s="3"/>
      <c r="S309" s="10"/>
      <c r="T309" s="324"/>
    </row>
    <row r="310" spans="2:20" x14ac:dyDescent="0.35">
      <c r="B310" s="3"/>
      <c r="S310" s="10"/>
      <c r="T310" s="324"/>
    </row>
    <row r="311" spans="2:20" x14ac:dyDescent="0.35">
      <c r="B311" s="3"/>
      <c r="S311" s="10"/>
      <c r="T311" s="324"/>
    </row>
    <row r="312" spans="2:20" x14ac:dyDescent="0.35">
      <c r="B312" s="3"/>
      <c r="S312" s="10"/>
      <c r="T312" s="324"/>
    </row>
    <row r="313" spans="2:20" x14ac:dyDescent="0.35">
      <c r="B313" s="3"/>
      <c r="S313" s="10"/>
      <c r="T313" s="324"/>
    </row>
    <row r="314" spans="2:20" x14ac:dyDescent="0.35">
      <c r="B314" s="3"/>
      <c r="S314" s="10"/>
      <c r="T314" s="324"/>
    </row>
    <row r="315" spans="2:20" x14ac:dyDescent="0.35">
      <c r="B315" s="3"/>
      <c r="S315" s="10"/>
      <c r="T315" s="324"/>
    </row>
    <row r="316" spans="2:20" x14ac:dyDescent="0.35">
      <c r="B316" s="3"/>
      <c r="S316" s="10"/>
      <c r="T316" s="324"/>
    </row>
    <row r="317" spans="2:20" x14ac:dyDescent="0.35">
      <c r="B317" s="3"/>
      <c r="S317" s="10"/>
      <c r="T317" s="324"/>
    </row>
    <row r="318" spans="2:20" x14ac:dyDescent="0.35">
      <c r="B318" s="3"/>
      <c r="S318" s="10"/>
      <c r="T318" s="324"/>
    </row>
    <row r="319" spans="2:20" x14ac:dyDescent="0.35">
      <c r="B319" s="3"/>
      <c r="S319" s="10"/>
      <c r="T319" s="324"/>
    </row>
    <row r="320" spans="2:20" x14ac:dyDescent="0.35">
      <c r="B320" s="3"/>
      <c r="S320" s="10"/>
      <c r="T320" s="324"/>
    </row>
    <row r="321" spans="2:20" x14ac:dyDescent="0.35">
      <c r="B321" s="3"/>
      <c r="S321" s="10"/>
      <c r="T321" s="324"/>
    </row>
    <row r="322" spans="2:20" x14ac:dyDescent="0.35">
      <c r="B322" s="3"/>
      <c r="S322" s="10"/>
      <c r="T322" s="324"/>
    </row>
    <row r="323" spans="2:20" x14ac:dyDescent="0.35">
      <c r="B323" s="3"/>
      <c r="S323" s="10"/>
      <c r="T323" s="324"/>
    </row>
    <row r="324" spans="2:20" x14ac:dyDescent="0.35">
      <c r="B324" s="3"/>
      <c r="S324" s="10"/>
      <c r="T324" s="324"/>
    </row>
    <row r="325" spans="2:20" x14ac:dyDescent="0.35">
      <c r="B325" s="3"/>
      <c r="S325" s="10"/>
      <c r="T325" s="324"/>
    </row>
    <row r="326" spans="2:20" x14ac:dyDescent="0.35">
      <c r="B326" s="3"/>
      <c r="S326" s="10"/>
      <c r="T326" s="324"/>
    </row>
    <row r="327" spans="2:20" x14ac:dyDescent="0.35">
      <c r="S327" s="10"/>
      <c r="T327" s="324"/>
    </row>
    <row r="328" spans="2:20" x14ac:dyDescent="0.35">
      <c r="S328" s="10"/>
      <c r="T328" s="324"/>
    </row>
    <row r="329" spans="2:20" x14ac:dyDescent="0.35">
      <c r="S329" s="10"/>
      <c r="T329" s="324"/>
    </row>
    <row r="330" spans="2:20" x14ac:dyDescent="0.35">
      <c r="S330" s="10"/>
      <c r="T330" s="324"/>
    </row>
    <row r="331" spans="2:20" x14ac:dyDescent="0.35">
      <c r="S331" s="10"/>
      <c r="T331" s="324"/>
    </row>
    <row r="332" spans="2:20" x14ac:dyDescent="0.35">
      <c r="S332" s="10"/>
      <c r="T332" s="324"/>
    </row>
    <row r="333" spans="2:20" x14ac:dyDescent="0.35">
      <c r="S333" s="10"/>
      <c r="T333" s="324"/>
    </row>
    <row r="334" spans="2:20" x14ac:dyDescent="0.35">
      <c r="S334" s="10"/>
      <c r="T334" s="324"/>
    </row>
    <row r="345" spans="19:20" x14ac:dyDescent="0.35">
      <c r="S345" s="10"/>
      <c r="T345" s="324"/>
    </row>
    <row r="346" spans="19:20" x14ac:dyDescent="0.35">
      <c r="S346" s="10"/>
      <c r="T346" s="324"/>
    </row>
    <row r="347" spans="19:20" x14ac:dyDescent="0.35">
      <c r="S347" s="10"/>
      <c r="T347" s="324"/>
    </row>
    <row r="348" spans="19:20" x14ac:dyDescent="0.35">
      <c r="S348" s="44"/>
      <c r="T348" s="325"/>
    </row>
    <row r="349" spans="19:20" x14ac:dyDescent="0.35">
      <c r="S349" s="42"/>
      <c r="T349" s="326"/>
    </row>
    <row r="350" spans="19:20" x14ac:dyDescent="0.35">
      <c r="S350" s="10"/>
      <c r="T350" s="324"/>
    </row>
    <row r="351" spans="19:20" x14ac:dyDescent="0.35">
      <c r="S351" s="10"/>
      <c r="T351" s="324"/>
    </row>
    <row r="352" spans="19:20" x14ac:dyDescent="0.35">
      <c r="S352" s="10"/>
      <c r="T352" s="324"/>
    </row>
    <row r="353" spans="19:20" x14ac:dyDescent="0.35">
      <c r="S353" s="10"/>
      <c r="T353" s="324"/>
    </row>
    <row r="354" spans="19:20" x14ac:dyDescent="0.35">
      <c r="S354" s="10"/>
      <c r="T354" s="324"/>
    </row>
    <row r="355" spans="19:20" x14ac:dyDescent="0.35">
      <c r="S355" s="10"/>
      <c r="T355" s="324"/>
    </row>
    <row r="356" spans="19:20" x14ac:dyDescent="0.35">
      <c r="S356" s="10"/>
      <c r="T356" s="324"/>
    </row>
    <row r="357" spans="19:20" x14ac:dyDescent="0.35">
      <c r="S357" s="10"/>
      <c r="T357" s="324"/>
    </row>
    <row r="358" spans="19:20" x14ac:dyDescent="0.35">
      <c r="S358" s="10"/>
      <c r="T358" s="324"/>
    </row>
    <row r="359" spans="19:20" x14ac:dyDescent="0.35">
      <c r="S359" s="10"/>
      <c r="T359" s="324"/>
    </row>
    <row r="360" spans="19:20" x14ac:dyDescent="0.35">
      <c r="S360" s="10"/>
      <c r="T360" s="324"/>
    </row>
    <row r="361" spans="19:20" x14ac:dyDescent="0.35">
      <c r="S361" s="10"/>
      <c r="T361" s="324"/>
    </row>
    <row r="362" spans="19:20" x14ac:dyDescent="0.35">
      <c r="S362" s="10"/>
      <c r="T362" s="324"/>
    </row>
    <row r="363" spans="19:20" x14ac:dyDescent="0.35">
      <c r="S363" s="10"/>
      <c r="T363" s="324"/>
    </row>
    <row r="364" spans="19:20" x14ac:dyDescent="0.35">
      <c r="S364" s="10"/>
      <c r="T364" s="324"/>
    </row>
    <row r="365" spans="19:20" x14ac:dyDescent="0.35">
      <c r="S365" s="10"/>
      <c r="T365" s="324"/>
    </row>
    <row r="366" spans="19:20" x14ac:dyDescent="0.35">
      <c r="S366" s="10"/>
      <c r="T366" s="324"/>
    </row>
    <row r="367" spans="19:20" x14ac:dyDescent="0.35">
      <c r="S367" s="10"/>
      <c r="T367" s="324"/>
    </row>
    <row r="368" spans="19:20" x14ac:dyDescent="0.35">
      <c r="S368" s="10"/>
      <c r="T368" s="324"/>
    </row>
    <row r="369" spans="19:20" x14ac:dyDescent="0.35">
      <c r="S369" s="10"/>
      <c r="T369" s="324"/>
    </row>
    <row r="370" spans="19:20" x14ac:dyDescent="0.35">
      <c r="S370" s="10"/>
      <c r="T370" s="324"/>
    </row>
    <row r="371" spans="19:20" x14ac:dyDescent="0.35">
      <c r="S371" s="10"/>
      <c r="T371" s="324"/>
    </row>
    <row r="372" spans="19:20" x14ac:dyDescent="0.35">
      <c r="S372" s="10"/>
      <c r="T372" s="324"/>
    </row>
    <row r="373" spans="19:20" x14ac:dyDescent="0.35">
      <c r="S373" s="10"/>
      <c r="T373" s="324"/>
    </row>
    <row r="374" spans="19:20" x14ac:dyDescent="0.35">
      <c r="S374" s="10"/>
      <c r="T374" s="324"/>
    </row>
    <row r="375" spans="19:20" x14ac:dyDescent="0.35">
      <c r="S375" s="10"/>
      <c r="T375" s="324"/>
    </row>
    <row r="376" spans="19:20" x14ac:dyDescent="0.35">
      <c r="S376" s="10"/>
      <c r="T376" s="324"/>
    </row>
    <row r="377" spans="19:20" x14ac:dyDescent="0.35">
      <c r="S377" s="10"/>
      <c r="T377" s="324"/>
    </row>
    <row r="378" spans="19:20" x14ac:dyDescent="0.35">
      <c r="S378" s="10"/>
      <c r="T378" s="324"/>
    </row>
    <row r="379" spans="19:20" x14ac:dyDescent="0.35">
      <c r="S379" s="10"/>
      <c r="T379" s="324"/>
    </row>
    <row r="380" spans="19:20" x14ac:dyDescent="0.35">
      <c r="S380" s="10"/>
      <c r="T380" s="324"/>
    </row>
    <row r="381" spans="19:20" x14ac:dyDescent="0.35">
      <c r="S381" s="10"/>
      <c r="T381" s="324"/>
    </row>
    <row r="382" spans="19:20" x14ac:dyDescent="0.35">
      <c r="S382" s="10"/>
      <c r="T382" s="324"/>
    </row>
    <row r="383" spans="19:20" x14ac:dyDescent="0.35">
      <c r="S383" s="10"/>
      <c r="T383" s="324"/>
    </row>
    <row r="385" spans="19:20" x14ac:dyDescent="0.35">
      <c r="S385" s="46"/>
      <c r="T385" s="327"/>
    </row>
    <row r="388" spans="19:20" x14ac:dyDescent="0.35">
      <c r="S388" s="10"/>
      <c r="T388" s="324"/>
    </row>
    <row r="389" spans="19:20" x14ac:dyDescent="0.35">
      <c r="S389" s="10"/>
      <c r="T389" s="324"/>
    </row>
  </sheetData>
  <sheetProtection selectLockedCells="1"/>
  <phoneticPr fontId="0" type="noConversion"/>
  <conditionalFormatting sqref="E142:P151">
    <cfRule type="expression" dxfId="106" priority="3">
      <formula>E172&gt;0</formula>
    </cfRule>
    <cfRule type="expression" dxfId="105" priority="4">
      <formula>E157&gt;0</formula>
    </cfRule>
  </conditionalFormatting>
  <conditionalFormatting sqref="E153:Q154">
    <cfRule type="expression" dxfId="104" priority="2">
      <formula>ABS(E153)&lt;1</formula>
    </cfRule>
  </conditionalFormatting>
  <conditionalFormatting sqref="E168:Q168">
    <cfRule type="expression" dxfId="103" priority="6">
      <formula>ABS(E168)&lt;1</formula>
    </cfRule>
  </conditionalFormatting>
  <conditionalFormatting sqref="E183:Q183">
    <cfRule type="expression" dxfId="102" priority="5">
      <formula>ABS(E183)&lt;1</formula>
    </cfRule>
  </conditionalFormatting>
  <conditionalFormatting sqref="E228:Q228">
    <cfRule type="cellIs" dxfId="101" priority="1" operator="between">
      <formula>-1</formula>
      <formula>1</formula>
    </cfRule>
  </conditionalFormatting>
  <dataValidations disablePrompts="1" count="1">
    <dataValidation operator="notEqual" showInputMessage="1" showErrorMessage="1" sqref="E18:P18" xr:uid="{00000000-0002-0000-0500-000000000000}"/>
  </dataValidations>
  <pageMargins left="0" right="0" top="0" bottom="0" header="0.05" footer="0"/>
  <pageSetup scale="52" fitToWidth="0" fitToHeight="0" orientation="landscape" cellComments="asDisplayed" r:id="rId1"/>
  <headerFooter alignWithMargins="0">
    <oddFooter>&amp;L&amp;Z&amp;F\&amp;A&amp;R&amp;D;&amp;T</oddFooter>
  </headerFooter>
  <ignoredErrors>
    <ignoredError sqref="B175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>
    <tabColor theme="0"/>
  </sheetPr>
  <dimension ref="A1:V385"/>
  <sheetViews>
    <sheetView topLeftCell="A133" zoomScale="115" zoomScaleNormal="115" workbookViewId="0">
      <selection activeCell="E145" sqref="E145:Q145"/>
    </sheetView>
  </sheetViews>
  <sheetFormatPr defaultColWidth="10.81640625" defaultRowHeight="16" outlineLevelCol="1" x14ac:dyDescent="0.35"/>
  <cols>
    <col min="1" max="1" width="15.54296875" style="6" bestFit="1" customWidth="1"/>
    <col min="2" max="2" width="9.1796875" style="6" customWidth="1"/>
    <col min="3" max="3" width="2.81640625" style="6" customWidth="1"/>
    <col min="4" max="4" width="37.81640625" style="6" customWidth="1"/>
    <col min="5" max="5" width="14" style="6" bestFit="1" customWidth="1"/>
    <col min="6" max="6" width="12.81640625" style="6" bestFit="1" customWidth="1"/>
    <col min="7" max="8" width="9.54296875" style="6" bestFit="1" customWidth="1"/>
    <col min="9" max="9" width="13.81640625" style="6" customWidth="1"/>
    <col min="10" max="10" width="13.1796875" style="6" customWidth="1"/>
    <col min="11" max="16" width="12.81640625" style="6" bestFit="1" customWidth="1"/>
    <col min="17" max="18" width="15.1796875" style="6" bestFit="1" customWidth="1"/>
    <col min="19" max="19" width="17.26953125" style="6" customWidth="1" outlineLevel="1"/>
    <col min="20" max="20" width="14.26953125" style="273" customWidth="1" outlineLevel="1"/>
    <col min="21" max="21" width="9.453125" style="23" customWidth="1"/>
    <col min="22" max="22" width="8.81640625" style="6" bestFit="1" customWidth="1"/>
    <col min="23" max="16384" width="10.81640625" style="6"/>
  </cols>
  <sheetData>
    <row r="1" spans="1:22" s="20" customFormat="1" ht="29" x14ac:dyDescent="0.25">
      <c r="B1" s="214">
        <v>5600</v>
      </c>
      <c r="C1" s="388" t="s">
        <v>560</v>
      </c>
      <c r="J1" s="21" t="str">
        <f>+'4500'!J1</f>
        <v>Operating Budget</v>
      </c>
      <c r="Q1" s="22">
        <f>'All Shopping Centers'!Q1</f>
        <v>46023</v>
      </c>
      <c r="R1" s="22"/>
      <c r="S1" s="22"/>
      <c r="T1" s="299"/>
      <c r="U1" s="240"/>
    </row>
    <row r="2" spans="1:22" ht="18" x14ac:dyDescent="0.35">
      <c r="J2" s="73" t="str">
        <f>'All Shopping Centers'!J2&amp;" - "&amp;B1</f>
        <v>Shopping Centers - 5600</v>
      </c>
    </row>
    <row r="3" spans="1:22" ht="18" x14ac:dyDescent="0.35">
      <c r="S3" s="300" t="s">
        <v>496</v>
      </c>
      <c r="T3" s="301"/>
    </row>
    <row r="4" spans="1:22" s="11" customFormat="1" ht="18" x14ac:dyDescent="0.35">
      <c r="B4" s="253">
        <v>1326</v>
      </c>
      <c r="C4" s="215"/>
      <c r="D4" s="13"/>
      <c r="E4" s="24" t="s">
        <v>0</v>
      </c>
      <c r="F4" s="24" t="s">
        <v>1</v>
      </c>
      <c r="G4" s="24" t="s">
        <v>2</v>
      </c>
      <c r="H4" s="24" t="s">
        <v>3</v>
      </c>
      <c r="I4" s="24" t="s">
        <v>4</v>
      </c>
      <c r="J4" s="24" t="s">
        <v>5</v>
      </c>
      <c r="K4" s="24" t="s">
        <v>6</v>
      </c>
      <c r="L4" s="24" t="s">
        <v>7</v>
      </c>
      <c r="M4" s="24" t="s">
        <v>8</v>
      </c>
      <c r="N4" s="24" t="s">
        <v>9</v>
      </c>
      <c r="O4" s="24" t="s">
        <v>10</v>
      </c>
      <c r="P4" s="24" t="s">
        <v>11</v>
      </c>
      <c r="Q4" s="100" t="s">
        <v>12</v>
      </c>
      <c r="R4" s="100" t="s">
        <v>317</v>
      </c>
      <c r="S4" s="302" t="s">
        <v>12</v>
      </c>
      <c r="T4" s="303" t="s">
        <v>495</v>
      </c>
      <c r="U4" s="231" t="s">
        <v>349</v>
      </c>
      <c r="V4" s="227" t="s">
        <v>282</v>
      </c>
    </row>
    <row r="5" spans="1:22" x14ac:dyDescent="0.35">
      <c r="Q5" s="101"/>
      <c r="R5" s="101"/>
      <c r="S5" s="304"/>
      <c r="T5" s="305"/>
    </row>
    <row r="6" spans="1:22" s="25" customFormat="1" x14ac:dyDescent="0.35">
      <c r="B6" s="26"/>
      <c r="D6" s="211" t="s">
        <v>13</v>
      </c>
      <c r="E6" s="212">
        <f>'Renew &amp; Vac '!AJ97</f>
        <v>1</v>
      </c>
      <c r="F6" s="212">
        <f>'Renew &amp; Vac '!AK97</f>
        <v>1</v>
      </c>
      <c r="G6" s="212">
        <f>'Renew &amp; Vac '!AL97</f>
        <v>1</v>
      </c>
      <c r="H6" s="212">
        <f>'Renew &amp; Vac '!AM97</f>
        <v>1</v>
      </c>
      <c r="I6" s="212">
        <f>'Renew &amp; Vac '!AN97</f>
        <v>1</v>
      </c>
      <c r="J6" s="212">
        <f>'Renew &amp; Vac '!AO97</f>
        <v>1</v>
      </c>
      <c r="K6" s="212">
        <f>'Renew &amp; Vac '!AP97</f>
        <v>1</v>
      </c>
      <c r="L6" s="212">
        <f>'Renew &amp; Vac '!AQ97</f>
        <v>1</v>
      </c>
      <c r="M6" s="212">
        <f>'Renew &amp; Vac '!AR97</f>
        <v>1</v>
      </c>
      <c r="N6" s="212">
        <f>'Renew &amp; Vac '!AS97</f>
        <v>1</v>
      </c>
      <c r="O6" s="212">
        <f>'Renew &amp; Vac '!AT97</f>
        <v>1</v>
      </c>
      <c r="P6" s="212">
        <f>'Renew &amp; Vac '!AU97</f>
        <v>1</v>
      </c>
      <c r="Q6" s="102"/>
      <c r="R6" s="102"/>
      <c r="S6" s="306"/>
      <c r="T6" s="307"/>
      <c r="U6" s="232"/>
    </row>
    <row r="7" spans="1:22" s="25" customFormat="1" x14ac:dyDescent="0.35">
      <c r="B7" s="26"/>
      <c r="D7" s="211" t="s">
        <v>323</v>
      </c>
      <c r="E7" s="213">
        <f>$B$4*E6</f>
        <v>1326</v>
      </c>
      <c r="F7" s="213">
        <f t="shared" ref="F7:P7" si="0">$B$4*F6</f>
        <v>1326</v>
      </c>
      <c r="G7" s="213">
        <f t="shared" si="0"/>
        <v>1326</v>
      </c>
      <c r="H7" s="213">
        <f t="shared" si="0"/>
        <v>1326</v>
      </c>
      <c r="I7" s="213">
        <f t="shared" si="0"/>
        <v>1326</v>
      </c>
      <c r="J7" s="213">
        <f t="shared" si="0"/>
        <v>1326</v>
      </c>
      <c r="K7" s="213">
        <f t="shared" si="0"/>
        <v>1326</v>
      </c>
      <c r="L7" s="213">
        <f t="shared" si="0"/>
        <v>1326</v>
      </c>
      <c r="M7" s="213">
        <f t="shared" si="0"/>
        <v>1326</v>
      </c>
      <c r="N7" s="213">
        <f t="shared" si="0"/>
        <v>1326</v>
      </c>
      <c r="O7" s="213">
        <f t="shared" si="0"/>
        <v>1326</v>
      </c>
      <c r="P7" s="213">
        <f t="shared" si="0"/>
        <v>1326</v>
      </c>
      <c r="Q7" s="102"/>
      <c r="R7" s="102"/>
      <c r="S7" s="306"/>
      <c r="T7" s="307"/>
      <c r="U7" s="232"/>
    </row>
    <row r="8" spans="1:22" ht="18" x14ac:dyDescent="0.35">
      <c r="B8" s="7" t="s">
        <v>14</v>
      </c>
      <c r="Q8" s="101"/>
      <c r="R8" s="101"/>
      <c r="S8" s="304"/>
      <c r="T8" s="305"/>
    </row>
    <row r="9" spans="1:22" x14ac:dyDescent="0.35">
      <c r="A9" s="66"/>
      <c r="Q9" s="101"/>
      <c r="R9" s="101"/>
      <c r="S9" s="304"/>
      <c r="T9" s="305"/>
    </row>
    <row r="10" spans="1:22" x14ac:dyDescent="0.35">
      <c r="A10" s="66" t="s">
        <v>132</v>
      </c>
      <c r="C10" s="6" t="s">
        <v>159</v>
      </c>
      <c r="E10" s="6">
        <f>SUMIFS('In Place Revenue'!$G:$G,'In Place Revenue'!$A:$A,$B$1,'In Place Revenue'!$H:$H,1)</f>
        <v>2082.92</v>
      </c>
      <c r="F10" s="6">
        <f>SUMIFS('In Place Revenue'!$G:$G,'In Place Revenue'!$A:$A,$B$1,'In Place Revenue'!$H:$H,2)</f>
        <v>2082.92</v>
      </c>
      <c r="G10" s="6">
        <f>SUMIFS('In Place Revenue'!$G:$G,'In Place Revenue'!$A:$A,$B$1,'In Place Revenue'!$H:$H,3)</f>
        <v>2082.92</v>
      </c>
      <c r="H10" s="6">
        <f>SUMIFS('In Place Revenue'!$G:$G,'In Place Revenue'!$A:$A,$B$1,'In Place Revenue'!$H:$H,4)</f>
        <v>2082.92</v>
      </c>
      <c r="I10" s="6">
        <f>SUMIFS('In Place Revenue'!$G:$G,'In Place Revenue'!$A:$A,$B$1,'In Place Revenue'!$H:$H,5)</f>
        <v>2082.92</v>
      </c>
      <c r="J10" s="6">
        <f>SUMIFS('In Place Revenue'!$G:$G,'In Place Revenue'!$A:$A,$B$1,'In Place Revenue'!$H:$H,6)</f>
        <v>2082.92</v>
      </c>
      <c r="K10" s="6">
        <f>SUMIFS('In Place Revenue'!$G:$G,'In Place Revenue'!$A:$A,$B$1,'In Place Revenue'!$H:$H,7)</f>
        <v>2082.92</v>
      </c>
      <c r="L10" s="6">
        <f>SUMIFS('In Place Revenue'!$G:$G,'In Place Revenue'!$A:$A,$B$1,'In Place Revenue'!$H:$H,8)</f>
        <v>2082.92</v>
      </c>
      <c r="M10" s="6">
        <f>SUMIFS('In Place Revenue'!$G:$G,'In Place Revenue'!$A:$A,$B$1,'In Place Revenue'!$H:$H,9)</f>
        <v>2082.92</v>
      </c>
      <c r="N10" s="6">
        <f>SUMIFS('In Place Revenue'!$G:$G,'In Place Revenue'!$A:$A,$B$1,'In Place Revenue'!$H:$H,10)</f>
        <v>2082.92</v>
      </c>
      <c r="O10" s="6">
        <f>SUMIFS('In Place Revenue'!$G:$G,'In Place Revenue'!$A:$A,$B$1,'In Place Revenue'!$H:$H,11)</f>
        <v>2082.92</v>
      </c>
      <c r="P10" s="6">
        <f>SUMIFS('In Place Revenue'!$G:$G,'In Place Revenue'!$A:$A,$B$1,'In Place Revenue'!$H:$H,12)</f>
        <v>2082.92</v>
      </c>
      <c r="Q10" s="101">
        <f>SUM(E10:P10)</f>
        <v>24995.039999999994</v>
      </c>
      <c r="R10" s="184">
        <f>Q10/$B$4</f>
        <v>18.849954751131218</v>
      </c>
      <c r="S10" s="304">
        <v>23459</v>
      </c>
      <c r="T10" s="308">
        <f>(Q10+Q11)/S10-1</f>
        <v>6.5477641843215473E-2</v>
      </c>
    </row>
    <row r="11" spans="1:22" x14ac:dyDescent="0.35">
      <c r="A11" s="66" t="s">
        <v>132</v>
      </c>
      <c r="C11" s="6" t="s">
        <v>160</v>
      </c>
      <c r="E11" s="6">
        <f>'Renew &amp; Vac '!AJ98</f>
        <v>0</v>
      </c>
      <c r="F11" s="6">
        <f>'Renew &amp; Vac '!AK98</f>
        <v>0</v>
      </c>
      <c r="G11" s="6">
        <f>'Renew &amp; Vac '!AL98</f>
        <v>0</v>
      </c>
      <c r="H11" s="6">
        <f>'Renew &amp; Vac '!AM98</f>
        <v>0</v>
      </c>
      <c r="I11" s="6">
        <f>'Renew &amp; Vac '!AN98</f>
        <v>0</v>
      </c>
      <c r="J11" s="6">
        <f>'Renew &amp; Vac '!AO98</f>
        <v>0</v>
      </c>
      <c r="K11" s="6">
        <f>'Renew &amp; Vac '!AP98</f>
        <v>0</v>
      </c>
      <c r="L11" s="6">
        <f>'Renew &amp; Vac '!AQ98</f>
        <v>0</v>
      </c>
      <c r="M11" s="6">
        <f>'Renew &amp; Vac '!AR98</f>
        <v>0</v>
      </c>
      <c r="N11" s="6">
        <f>'Renew &amp; Vac '!AS98</f>
        <v>0</v>
      </c>
      <c r="O11" s="6">
        <f>'Renew &amp; Vac '!AT98</f>
        <v>0</v>
      </c>
      <c r="P11" s="6">
        <f>'Renew &amp; Vac '!AU98</f>
        <v>0</v>
      </c>
      <c r="Q11" s="101">
        <f>SUM(E11:P11)</f>
        <v>0</v>
      </c>
      <c r="R11" s="184">
        <f t="shared" ref="R11:R71" si="1">Q11/$B$4</f>
        <v>0</v>
      </c>
      <c r="S11" s="304"/>
      <c r="T11" s="308"/>
    </row>
    <row r="12" spans="1:22" x14ac:dyDescent="0.35">
      <c r="A12" s="66" t="s">
        <v>97</v>
      </c>
      <c r="C12" s="6" t="s">
        <v>15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01">
        <f>SUM(E12:P12)</f>
        <v>0</v>
      </c>
      <c r="R12" s="184">
        <f t="shared" si="1"/>
        <v>0</v>
      </c>
      <c r="S12" s="304">
        <v>0</v>
      </c>
      <c r="T12" s="308" t="str">
        <f>IFERROR(Q12/S12-1,"")</f>
        <v/>
      </c>
    </row>
    <row r="13" spans="1:22" x14ac:dyDescent="0.35">
      <c r="A13" s="66" t="s">
        <v>133</v>
      </c>
      <c r="C13" s="6" t="s">
        <v>16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01">
        <f>SUM(E13:P13)</f>
        <v>0</v>
      </c>
      <c r="R13" s="184">
        <f t="shared" si="1"/>
        <v>0</v>
      </c>
      <c r="S13" s="304">
        <v>0</v>
      </c>
      <c r="T13" s="308" t="str">
        <f t="shared" ref="T13:T14" si="2">IFERROR(Q13/S13-1,"")</f>
        <v/>
      </c>
    </row>
    <row r="14" spans="1:22" x14ac:dyDescent="0.35">
      <c r="A14" s="66" t="s">
        <v>134</v>
      </c>
      <c r="C14" s="6" t="s">
        <v>17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01">
        <f>SUM(E14:P14)</f>
        <v>0</v>
      </c>
      <c r="R14" s="184">
        <f t="shared" si="1"/>
        <v>0</v>
      </c>
      <c r="S14" s="304">
        <v>0</v>
      </c>
      <c r="T14" s="320" t="str">
        <f t="shared" si="2"/>
        <v/>
      </c>
    </row>
    <row r="15" spans="1:22" x14ac:dyDescent="0.35">
      <c r="A15" s="66"/>
      <c r="C15" s="6" t="s">
        <v>18</v>
      </c>
      <c r="D15" s="16"/>
      <c r="E15" s="28">
        <f t="shared" ref="E15:Q15" si="3">SUM(E10:E14)</f>
        <v>2082.92</v>
      </c>
      <c r="F15" s="28">
        <f t="shared" si="3"/>
        <v>2082.92</v>
      </c>
      <c r="G15" s="28">
        <f t="shared" si="3"/>
        <v>2082.92</v>
      </c>
      <c r="H15" s="28">
        <f t="shared" si="3"/>
        <v>2082.92</v>
      </c>
      <c r="I15" s="28">
        <f t="shared" si="3"/>
        <v>2082.92</v>
      </c>
      <c r="J15" s="28">
        <f t="shared" si="3"/>
        <v>2082.92</v>
      </c>
      <c r="K15" s="28">
        <f t="shared" si="3"/>
        <v>2082.92</v>
      </c>
      <c r="L15" s="28">
        <f t="shared" si="3"/>
        <v>2082.92</v>
      </c>
      <c r="M15" s="28">
        <f t="shared" si="3"/>
        <v>2082.92</v>
      </c>
      <c r="N15" s="28">
        <f t="shared" si="3"/>
        <v>2082.92</v>
      </c>
      <c r="O15" s="28">
        <f t="shared" si="3"/>
        <v>2082.92</v>
      </c>
      <c r="P15" s="28">
        <f t="shared" si="3"/>
        <v>2082.92</v>
      </c>
      <c r="Q15" s="110">
        <f t="shared" si="3"/>
        <v>24995.039999999994</v>
      </c>
      <c r="R15" s="191">
        <f t="shared" si="1"/>
        <v>18.849954751131218</v>
      </c>
      <c r="S15" s="309">
        <f>SUM(S10:S14)</f>
        <v>23459</v>
      </c>
      <c r="T15" s="310">
        <f>Q15/S15-1</f>
        <v>6.5477641843215473E-2</v>
      </c>
    </row>
    <row r="16" spans="1:22" ht="18" x14ac:dyDescent="0.35">
      <c r="A16" s="66"/>
      <c r="Q16" s="103"/>
      <c r="R16" s="185"/>
      <c r="S16" s="311"/>
      <c r="T16" s="312"/>
    </row>
    <row r="17" spans="1:21" ht="18" x14ac:dyDescent="0.35">
      <c r="A17" s="66"/>
      <c r="B17" s="7" t="s">
        <v>19</v>
      </c>
      <c r="Q17" s="101"/>
      <c r="R17" s="184"/>
      <c r="S17" s="304"/>
      <c r="T17" s="308"/>
    </row>
    <row r="18" spans="1:21" x14ac:dyDescent="0.35">
      <c r="A18" s="66" t="s">
        <v>98</v>
      </c>
      <c r="C18" s="6" t="s">
        <v>20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01">
        <f>SUM(E18:P18)</f>
        <v>0</v>
      </c>
      <c r="R18" s="184">
        <f t="shared" ref="R18" si="4">Q18/$B$4</f>
        <v>0</v>
      </c>
      <c r="S18" s="304">
        <v>0</v>
      </c>
      <c r="T18" s="308" t="str">
        <f t="shared" ref="T18:T20" si="5">IFERROR(Q18/S18-1,"")</f>
        <v/>
      </c>
    </row>
    <row r="19" spans="1:21" x14ac:dyDescent="0.35">
      <c r="A19" s="66" t="s">
        <v>99</v>
      </c>
      <c r="C19" s="6" t="s">
        <v>21</v>
      </c>
      <c r="E19" s="6">
        <f>+'Tenant Recoveries'!I26</f>
        <v>0</v>
      </c>
      <c r="F19" s="6">
        <f>+E19</f>
        <v>0</v>
      </c>
      <c r="G19" s="6">
        <f t="shared" ref="G19:P20" si="6">+F19</f>
        <v>0</v>
      </c>
      <c r="H19" s="6">
        <f t="shared" si="6"/>
        <v>0</v>
      </c>
      <c r="I19" s="6">
        <f t="shared" si="6"/>
        <v>0</v>
      </c>
      <c r="J19" s="6">
        <f t="shared" si="6"/>
        <v>0</v>
      </c>
      <c r="K19" s="6">
        <f t="shared" si="6"/>
        <v>0</v>
      </c>
      <c r="L19" s="6">
        <f t="shared" si="6"/>
        <v>0</v>
      </c>
      <c r="M19" s="6">
        <f t="shared" si="6"/>
        <v>0</v>
      </c>
      <c r="N19" s="6">
        <f t="shared" si="6"/>
        <v>0</v>
      </c>
      <c r="O19" s="6">
        <f t="shared" si="6"/>
        <v>0</v>
      </c>
      <c r="P19" s="6">
        <f t="shared" si="6"/>
        <v>0</v>
      </c>
      <c r="Q19" s="101">
        <f>SUM(E19:P19)</f>
        <v>0</v>
      </c>
      <c r="R19" s="184">
        <f t="shared" si="1"/>
        <v>0</v>
      </c>
      <c r="S19" s="304">
        <v>0</v>
      </c>
      <c r="T19" s="308" t="str">
        <f t="shared" si="5"/>
        <v/>
      </c>
    </row>
    <row r="20" spans="1:21" x14ac:dyDescent="0.35">
      <c r="A20" s="66" t="s">
        <v>100</v>
      </c>
      <c r="C20" s="6" t="s">
        <v>22</v>
      </c>
      <c r="E20" s="6">
        <f>+'Tenant Recoveries'!I27</f>
        <v>0</v>
      </c>
      <c r="F20" s="6">
        <f>+E20</f>
        <v>0</v>
      </c>
      <c r="G20" s="6">
        <f t="shared" si="6"/>
        <v>0</v>
      </c>
      <c r="H20" s="6">
        <f t="shared" si="6"/>
        <v>0</v>
      </c>
      <c r="I20" s="6">
        <f t="shared" si="6"/>
        <v>0</v>
      </c>
      <c r="J20" s="6">
        <f t="shared" si="6"/>
        <v>0</v>
      </c>
      <c r="K20" s="6">
        <f t="shared" si="6"/>
        <v>0</v>
      </c>
      <c r="L20" s="6">
        <f t="shared" si="6"/>
        <v>0</v>
      </c>
      <c r="M20" s="6">
        <f t="shared" si="6"/>
        <v>0</v>
      </c>
      <c r="N20" s="6">
        <f t="shared" si="6"/>
        <v>0</v>
      </c>
      <c r="O20" s="6">
        <f t="shared" si="6"/>
        <v>0</v>
      </c>
      <c r="P20" s="6">
        <f t="shared" si="6"/>
        <v>0</v>
      </c>
      <c r="Q20" s="101">
        <f>SUM(E20:P20)</f>
        <v>0</v>
      </c>
      <c r="R20" s="184">
        <f t="shared" si="1"/>
        <v>0</v>
      </c>
      <c r="S20" s="304">
        <v>3005</v>
      </c>
      <c r="T20" s="308">
        <f t="shared" si="5"/>
        <v>-1</v>
      </c>
    </row>
    <row r="21" spans="1:21" x14ac:dyDescent="0.35">
      <c r="A21" s="66" t="s">
        <v>135</v>
      </c>
      <c r="C21" s="6" t="s">
        <v>23</v>
      </c>
      <c r="Q21" s="101">
        <f>SUM(E21:P21)</f>
        <v>0</v>
      </c>
      <c r="R21" s="184">
        <f t="shared" si="1"/>
        <v>0</v>
      </c>
      <c r="S21" s="304">
        <v>0</v>
      </c>
      <c r="T21" s="308" t="str">
        <f>IFERROR(Q21/S21-1,"")</f>
        <v/>
      </c>
    </row>
    <row r="22" spans="1:21" x14ac:dyDescent="0.35">
      <c r="A22" s="66"/>
      <c r="C22" s="6" t="s">
        <v>24</v>
      </c>
      <c r="D22" s="16"/>
      <c r="E22" s="28">
        <f t="shared" ref="E22:Q22" si="7">SUM(E18:E21)</f>
        <v>0</v>
      </c>
      <c r="F22" s="28">
        <f t="shared" si="7"/>
        <v>0</v>
      </c>
      <c r="G22" s="28">
        <f t="shared" si="7"/>
        <v>0</v>
      </c>
      <c r="H22" s="28">
        <f t="shared" si="7"/>
        <v>0</v>
      </c>
      <c r="I22" s="28">
        <f t="shared" si="7"/>
        <v>0</v>
      </c>
      <c r="J22" s="28">
        <f t="shared" si="7"/>
        <v>0</v>
      </c>
      <c r="K22" s="28">
        <f t="shared" si="7"/>
        <v>0</v>
      </c>
      <c r="L22" s="28">
        <f t="shared" si="7"/>
        <v>0</v>
      </c>
      <c r="M22" s="28">
        <f t="shared" si="7"/>
        <v>0</v>
      </c>
      <c r="N22" s="28">
        <f t="shared" si="7"/>
        <v>0</v>
      </c>
      <c r="O22" s="28">
        <f t="shared" si="7"/>
        <v>0</v>
      </c>
      <c r="P22" s="28">
        <f t="shared" si="7"/>
        <v>0</v>
      </c>
      <c r="Q22" s="110">
        <f t="shared" si="7"/>
        <v>0</v>
      </c>
      <c r="R22" s="191">
        <f t="shared" si="1"/>
        <v>0</v>
      </c>
      <c r="S22" s="309">
        <f t="shared" ref="S22" si="8">SUM(S18:S21)</f>
        <v>3005</v>
      </c>
      <c r="T22" s="310">
        <f>Q22/S22-1</f>
        <v>-1</v>
      </c>
    </row>
    <row r="23" spans="1:21" ht="16.5" thickBot="1" x14ac:dyDescent="0.4">
      <c r="A23" s="66"/>
      <c r="Q23" s="101"/>
      <c r="R23" s="184">
        <f t="shared" si="1"/>
        <v>0</v>
      </c>
      <c r="S23" s="304"/>
      <c r="T23" s="308"/>
    </row>
    <row r="24" spans="1:21" s="9" customFormat="1" ht="18" thickBot="1" x14ac:dyDescent="0.4">
      <c r="A24" s="218"/>
      <c r="B24" s="219" t="s">
        <v>25</v>
      </c>
      <c r="C24" s="220"/>
      <c r="D24" s="220"/>
      <c r="E24" s="220">
        <f t="shared" ref="E24:Q24" si="9">+E15+E22</f>
        <v>2082.92</v>
      </c>
      <c r="F24" s="220">
        <f t="shared" si="9"/>
        <v>2082.92</v>
      </c>
      <c r="G24" s="220">
        <f t="shared" si="9"/>
        <v>2082.92</v>
      </c>
      <c r="H24" s="220">
        <f t="shared" si="9"/>
        <v>2082.92</v>
      </c>
      <c r="I24" s="220">
        <f t="shared" si="9"/>
        <v>2082.92</v>
      </c>
      <c r="J24" s="220">
        <f t="shared" si="9"/>
        <v>2082.92</v>
      </c>
      <c r="K24" s="220">
        <f t="shared" si="9"/>
        <v>2082.92</v>
      </c>
      <c r="L24" s="220">
        <f t="shared" si="9"/>
        <v>2082.92</v>
      </c>
      <c r="M24" s="220">
        <f t="shared" si="9"/>
        <v>2082.92</v>
      </c>
      <c r="N24" s="220">
        <f t="shared" si="9"/>
        <v>2082.92</v>
      </c>
      <c r="O24" s="220">
        <f t="shared" si="9"/>
        <v>2082.92</v>
      </c>
      <c r="P24" s="220">
        <f t="shared" si="9"/>
        <v>2082.92</v>
      </c>
      <c r="Q24" s="221">
        <f t="shared" si="9"/>
        <v>24995.039999999994</v>
      </c>
      <c r="R24" s="222">
        <f t="shared" si="1"/>
        <v>18.849954751131218</v>
      </c>
      <c r="S24" s="313">
        <f t="shared" ref="S24" si="10">+S15+S22</f>
        <v>26464</v>
      </c>
      <c r="T24" s="314">
        <f>Q24/S24-1</f>
        <v>-5.5507859733978426E-2</v>
      </c>
      <c r="U24" s="241"/>
    </row>
    <row r="25" spans="1:21" ht="18" x14ac:dyDescent="0.35">
      <c r="A25" s="66"/>
      <c r="Q25" s="103"/>
      <c r="R25" s="185"/>
      <c r="S25" s="311"/>
      <c r="T25" s="312"/>
    </row>
    <row r="26" spans="1:21" ht="18" x14ac:dyDescent="0.35">
      <c r="A26" s="66"/>
      <c r="B26" s="7" t="s">
        <v>26</v>
      </c>
      <c r="Q26" s="101"/>
      <c r="R26" s="184"/>
      <c r="S26" s="304"/>
      <c r="T26" s="308"/>
    </row>
    <row r="27" spans="1:21" x14ac:dyDescent="0.35">
      <c r="A27" s="66" t="s">
        <v>101</v>
      </c>
      <c r="C27" s="6" t="s">
        <v>27</v>
      </c>
      <c r="E27" s="6">
        <f>VLOOKUP($B$1,'Allocated Expenses'!$B$6:$P$15,4,FALSE)</f>
        <v>40.831687371751464</v>
      </c>
      <c r="F27" s="6">
        <f>VLOOKUP($B$1,'Allocated Expenses'!$B$6:$P$15,5,FALSE)</f>
        <v>40.831687371751464</v>
      </c>
      <c r="G27" s="6">
        <f>VLOOKUP($B$1,'Allocated Expenses'!$B$6:$P$15,6,FALSE)</f>
        <v>40.831687371751464</v>
      </c>
      <c r="H27" s="6">
        <f>VLOOKUP($B$1,'Allocated Expenses'!$B$6:$P$15,7,FALSE)</f>
        <v>40.831687371751464</v>
      </c>
      <c r="I27" s="6">
        <f>VLOOKUP($B$1,'Allocated Expenses'!$B$6:$P$15,8,FALSE)</f>
        <v>40.831687371751464</v>
      </c>
      <c r="J27" s="6">
        <f>VLOOKUP($B$1,'Allocated Expenses'!$B$6:$P$15,9,FALSE)</f>
        <v>40.831687371751464</v>
      </c>
      <c r="K27" s="6">
        <f>VLOOKUP($B$1,'Allocated Expenses'!$B$6:$P$15,10,FALSE)</f>
        <v>40.831687371751464</v>
      </c>
      <c r="L27" s="6">
        <f>VLOOKUP($B$1,'Allocated Expenses'!$B$6:$P$15,11,FALSE)</f>
        <v>40.831687371751464</v>
      </c>
      <c r="M27" s="6">
        <f>VLOOKUP($B$1,'Allocated Expenses'!$B$6:$P$15,12,FALSE)</f>
        <v>40.831687371751464</v>
      </c>
      <c r="N27" s="6">
        <f>VLOOKUP($B$1,'Allocated Expenses'!$B$6:$P$15,13,FALSE)</f>
        <v>40.831687371751464</v>
      </c>
      <c r="O27" s="6">
        <f>VLOOKUP($B$1,'Allocated Expenses'!$B$6:$P$15,14,FALSE)</f>
        <v>40.831687371751464</v>
      </c>
      <c r="P27" s="6">
        <f>VLOOKUP($B$1,'Allocated Expenses'!$B$6:$P$15,15,FALSE)</f>
        <v>40.831687371751464</v>
      </c>
      <c r="Q27" s="101">
        <f>SUM(E27:P27)</f>
        <v>489.98024846101754</v>
      </c>
      <c r="R27" s="184">
        <f t="shared" si="1"/>
        <v>0.36951753277603133</v>
      </c>
      <c r="S27" s="304">
        <v>480</v>
      </c>
      <c r="T27" s="308">
        <f t="shared" ref="T27" si="11">IFERROR(Q27/S27-1,"")</f>
        <v>2.0792184293786597E-2</v>
      </c>
    </row>
    <row r="28" spans="1:21" x14ac:dyDescent="0.35">
      <c r="A28" s="66"/>
      <c r="Q28" s="101"/>
      <c r="R28" s="184"/>
      <c r="S28" s="304"/>
      <c r="T28" s="308"/>
    </row>
    <row r="29" spans="1:21" x14ac:dyDescent="0.35">
      <c r="A29" s="66" t="s">
        <v>102</v>
      </c>
      <c r="C29" s="6" t="s">
        <v>20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01">
        <f>SUM(E29:P29)</f>
        <v>0</v>
      </c>
      <c r="R29" s="184">
        <f t="shared" si="1"/>
        <v>0</v>
      </c>
      <c r="S29" s="304">
        <v>0</v>
      </c>
      <c r="T29" s="308" t="str">
        <f t="shared" ref="T29" si="12">IFERROR(Q29/S29-1,"")</f>
        <v/>
      </c>
    </row>
    <row r="30" spans="1:21" x14ac:dyDescent="0.35">
      <c r="A30" s="66"/>
      <c r="Q30" s="101"/>
      <c r="R30" s="184"/>
      <c r="S30" s="304"/>
      <c r="T30" s="308"/>
    </row>
    <row r="31" spans="1:21" x14ac:dyDescent="0.35">
      <c r="A31" s="66" t="s">
        <v>103</v>
      </c>
      <c r="C31" s="6" t="s">
        <v>28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01">
        <f>SUM(E31:P31)</f>
        <v>0</v>
      </c>
      <c r="R31" s="184">
        <f t="shared" si="1"/>
        <v>0</v>
      </c>
      <c r="S31" s="304">
        <v>0</v>
      </c>
      <c r="T31" s="308" t="str">
        <f t="shared" ref="T31" si="13">IFERROR(Q31/S31-1,"")</f>
        <v/>
      </c>
    </row>
    <row r="32" spans="1:21" x14ac:dyDescent="0.35">
      <c r="A32" s="66"/>
      <c r="Q32" s="101"/>
      <c r="R32" s="184"/>
      <c r="S32" s="304"/>
      <c r="T32" s="308"/>
    </row>
    <row r="33" spans="1:20" x14ac:dyDescent="0.35">
      <c r="A33" s="66"/>
      <c r="D33" s="50" t="s">
        <v>29</v>
      </c>
      <c r="E33" s="45">
        <f>'Building Maint'!C24</f>
        <v>0</v>
      </c>
      <c r="F33" s="45">
        <f>'Building Maint'!D24</f>
        <v>0</v>
      </c>
      <c r="G33" s="45">
        <f>'Building Maint'!E24</f>
        <v>0</v>
      </c>
      <c r="H33" s="45">
        <f>'Building Maint'!F24</f>
        <v>0</v>
      </c>
      <c r="I33" s="45">
        <f>'Building Maint'!G24</f>
        <v>0</v>
      </c>
      <c r="J33" s="45">
        <f>'Building Maint'!H24</f>
        <v>0</v>
      </c>
      <c r="K33" s="45">
        <f>'Building Maint'!I24</f>
        <v>0</v>
      </c>
      <c r="L33" s="45">
        <f>'Building Maint'!J24</f>
        <v>0</v>
      </c>
      <c r="M33" s="45">
        <f>'Building Maint'!K24</f>
        <v>0</v>
      </c>
      <c r="N33" s="45">
        <f>'Building Maint'!L24</f>
        <v>0</v>
      </c>
      <c r="O33" s="45">
        <f>'Building Maint'!M24</f>
        <v>0</v>
      </c>
      <c r="P33" s="45">
        <f>'Building Maint'!N24</f>
        <v>0</v>
      </c>
      <c r="Q33" s="195">
        <f>SUM(E33:P33)</f>
        <v>0</v>
      </c>
      <c r="R33" s="186">
        <f t="shared" si="1"/>
        <v>0</v>
      </c>
      <c r="S33" s="304"/>
      <c r="T33" s="308"/>
    </row>
    <row r="34" spans="1:20" x14ac:dyDescent="0.35">
      <c r="A34" s="66"/>
      <c r="D34" s="51" t="s">
        <v>30</v>
      </c>
      <c r="E34" s="6">
        <f>'Building Maint'!C10</f>
        <v>0</v>
      </c>
      <c r="F34" s="6">
        <f>'Building Maint'!D10</f>
        <v>0</v>
      </c>
      <c r="G34" s="6">
        <f>'Building Maint'!E10</f>
        <v>0</v>
      </c>
      <c r="H34" s="6">
        <f>'Building Maint'!F10</f>
        <v>0</v>
      </c>
      <c r="I34" s="6">
        <f>'Building Maint'!G10</f>
        <v>0</v>
      </c>
      <c r="J34" s="6">
        <f>'Building Maint'!H10</f>
        <v>0</v>
      </c>
      <c r="K34" s="6">
        <f>'Building Maint'!I10</f>
        <v>0</v>
      </c>
      <c r="L34" s="6">
        <f>'Building Maint'!J10</f>
        <v>0</v>
      </c>
      <c r="M34" s="6">
        <f>'Building Maint'!K10</f>
        <v>0</v>
      </c>
      <c r="N34" s="6">
        <f>'Building Maint'!L10</f>
        <v>0</v>
      </c>
      <c r="O34" s="6">
        <f>'Building Maint'!M10</f>
        <v>0</v>
      </c>
      <c r="P34" s="6">
        <f>'Building Maint'!N10</f>
        <v>0</v>
      </c>
      <c r="Q34" s="196">
        <f>SUM(E34:P34)</f>
        <v>0</v>
      </c>
      <c r="R34" s="187">
        <f t="shared" si="1"/>
        <v>0</v>
      </c>
      <c r="S34" s="304"/>
      <c r="T34" s="308"/>
    </row>
    <row r="35" spans="1:20" x14ac:dyDescent="0.35">
      <c r="A35" s="66"/>
      <c r="D35" s="52" t="s">
        <v>31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97">
        <f>SUM(E35:P35)</f>
        <v>0</v>
      </c>
      <c r="R35" s="188">
        <f t="shared" si="1"/>
        <v>0</v>
      </c>
      <c r="S35" s="304"/>
      <c r="T35" s="308"/>
    </row>
    <row r="36" spans="1:20" x14ac:dyDescent="0.35">
      <c r="A36" s="66" t="s">
        <v>104</v>
      </c>
      <c r="C36" s="6" t="s">
        <v>32</v>
      </c>
      <c r="E36" s="15">
        <f t="shared" ref="E36:Q36" si="14">SUM(E33:E35)</f>
        <v>0</v>
      </c>
      <c r="F36" s="15">
        <f t="shared" si="14"/>
        <v>0</v>
      </c>
      <c r="G36" s="15">
        <f t="shared" si="14"/>
        <v>0</v>
      </c>
      <c r="H36" s="15">
        <f t="shared" si="14"/>
        <v>0</v>
      </c>
      <c r="I36" s="15">
        <f t="shared" si="14"/>
        <v>0</v>
      </c>
      <c r="J36" s="15">
        <f t="shared" si="14"/>
        <v>0</v>
      </c>
      <c r="K36" s="15">
        <f>SUM(K33:K35)</f>
        <v>0</v>
      </c>
      <c r="L36" s="15">
        <f>SUM(L33:L35)</f>
        <v>0</v>
      </c>
      <c r="M36" s="15">
        <f>SUM(M33:M35)</f>
        <v>0</v>
      </c>
      <c r="N36" s="15">
        <f t="shared" si="14"/>
        <v>0</v>
      </c>
      <c r="O36" s="15">
        <f t="shared" si="14"/>
        <v>0</v>
      </c>
      <c r="P36" s="15">
        <f t="shared" si="14"/>
        <v>0</v>
      </c>
      <c r="Q36" s="108">
        <f t="shared" si="14"/>
        <v>0</v>
      </c>
      <c r="R36" s="189">
        <f t="shared" si="1"/>
        <v>0</v>
      </c>
      <c r="S36" s="309">
        <v>0</v>
      </c>
      <c r="T36" s="310" t="str">
        <f>IFERROR(Q36/S36-1,"")</f>
        <v/>
      </c>
    </row>
    <row r="37" spans="1:20" x14ac:dyDescent="0.35">
      <c r="A37" s="66"/>
      <c r="Q37" s="101"/>
      <c r="R37" s="184"/>
      <c r="S37" s="304"/>
      <c r="T37" s="308"/>
    </row>
    <row r="38" spans="1:20" x14ac:dyDescent="0.35">
      <c r="A38" s="66" t="s">
        <v>136</v>
      </c>
      <c r="B38" s="6" t="s">
        <v>33</v>
      </c>
      <c r="C38" s="6" t="s">
        <v>34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01">
        <f>SUM(E38:P38)</f>
        <v>0</v>
      </c>
      <c r="R38" s="184">
        <f t="shared" si="1"/>
        <v>0</v>
      </c>
      <c r="S38" s="304">
        <v>0</v>
      </c>
      <c r="T38" s="308" t="str">
        <f t="shared" ref="T38" si="15">IFERROR(Q38/S38-1,"")</f>
        <v/>
      </c>
    </row>
    <row r="39" spans="1:20" x14ac:dyDescent="0.35">
      <c r="A39" s="66"/>
      <c r="Q39" s="101"/>
      <c r="R39" s="184"/>
      <c r="S39" s="304"/>
      <c r="T39" s="308"/>
    </row>
    <row r="40" spans="1:20" x14ac:dyDescent="0.35">
      <c r="A40" s="66"/>
      <c r="D40" s="50" t="s">
        <v>35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195">
        <f>SUM(E40:P40)</f>
        <v>0</v>
      </c>
      <c r="R40" s="186">
        <f t="shared" si="1"/>
        <v>0</v>
      </c>
      <c r="S40" s="304"/>
      <c r="T40" s="308"/>
    </row>
    <row r="41" spans="1:20" x14ac:dyDescent="0.35">
      <c r="A41" s="66"/>
      <c r="D41" s="51" t="s">
        <v>36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96">
        <f>SUM(E41:P41)</f>
        <v>0</v>
      </c>
      <c r="R41" s="187">
        <f t="shared" si="1"/>
        <v>0</v>
      </c>
      <c r="S41" s="304"/>
      <c r="T41" s="308"/>
    </row>
    <row r="42" spans="1:20" x14ac:dyDescent="0.35">
      <c r="A42" s="66"/>
      <c r="D42" s="52" t="s">
        <v>37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97">
        <f>SUM(E42:P42)</f>
        <v>0</v>
      </c>
      <c r="R42" s="188">
        <f t="shared" si="1"/>
        <v>0</v>
      </c>
      <c r="S42" s="304"/>
      <c r="T42" s="308"/>
    </row>
    <row r="43" spans="1:20" x14ac:dyDescent="0.35">
      <c r="A43" s="66" t="s">
        <v>105</v>
      </c>
      <c r="C43" s="6" t="s">
        <v>38</v>
      </c>
      <c r="E43" s="15">
        <f t="shared" ref="E43:Q43" si="16">SUM(E40:E42)</f>
        <v>0</v>
      </c>
      <c r="F43" s="15">
        <f t="shared" si="16"/>
        <v>0</v>
      </c>
      <c r="G43" s="15">
        <f t="shared" si="16"/>
        <v>0</v>
      </c>
      <c r="H43" s="15">
        <f t="shared" si="16"/>
        <v>0</v>
      </c>
      <c r="I43" s="15">
        <f t="shared" si="16"/>
        <v>0</v>
      </c>
      <c r="J43" s="15">
        <f t="shared" si="16"/>
        <v>0</v>
      </c>
      <c r="K43" s="15">
        <f t="shared" si="16"/>
        <v>0</v>
      </c>
      <c r="L43" s="15">
        <f t="shared" si="16"/>
        <v>0</v>
      </c>
      <c r="M43" s="15">
        <f t="shared" si="16"/>
        <v>0</v>
      </c>
      <c r="N43" s="15">
        <f t="shared" si="16"/>
        <v>0</v>
      </c>
      <c r="O43" s="15">
        <f t="shared" si="16"/>
        <v>0</v>
      </c>
      <c r="P43" s="15">
        <f t="shared" si="16"/>
        <v>0</v>
      </c>
      <c r="Q43" s="108">
        <f t="shared" si="16"/>
        <v>0</v>
      </c>
      <c r="R43" s="189">
        <f t="shared" si="1"/>
        <v>0</v>
      </c>
      <c r="S43" s="309">
        <v>0</v>
      </c>
      <c r="T43" s="310" t="str">
        <f t="shared" ref="T43" si="17">IFERROR(Q43/S43-1,"")</f>
        <v/>
      </c>
    </row>
    <row r="44" spans="1:20" x14ac:dyDescent="0.35">
      <c r="A44" s="66"/>
      <c r="Q44" s="101"/>
      <c r="R44" s="184"/>
      <c r="S44" s="304"/>
      <c r="T44" s="308"/>
    </row>
    <row r="45" spans="1:20" x14ac:dyDescent="0.35">
      <c r="A45" s="66" t="s">
        <v>106</v>
      </c>
      <c r="C45" s="6" t="s">
        <v>39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01">
        <f>SUM(E45:P45)</f>
        <v>0</v>
      </c>
      <c r="R45" s="184">
        <f t="shared" si="1"/>
        <v>0</v>
      </c>
      <c r="S45" s="304">
        <v>0</v>
      </c>
      <c r="T45" s="308" t="str">
        <f t="shared" ref="T45" si="18">IFERROR(Q45/S45-1,"")</f>
        <v/>
      </c>
    </row>
    <row r="46" spans="1:20" x14ac:dyDescent="0.35">
      <c r="A46" s="66"/>
      <c r="Q46" s="101"/>
      <c r="R46" s="184"/>
      <c r="S46" s="304"/>
      <c r="T46" s="308"/>
    </row>
    <row r="47" spans="1:20" x14ac:dyDescent="0.35">
      <c r="A47" s="66"/>
      <c r="D47" s="50" t="s">
        <v>40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195">
        <f>SUM(E47:P47)</f>
        <v>0</v>
      </c>
      <c r="R47" s="186">
        <f t="shared" si="1"/>
        <v>0</v>
      </c>
      <c r="S47" s="304"/>
      <c r="T47" s="308"/>
    </row>
    <row r="48" spans="1:20" x14ac:dyDescent="0.35">
      <c r="A48" s="66"/>
      <c r="D48" s="51" t="s">
        <v>41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96">
        <f>SUM(E48:P48)</f>
        <v>0</v>
      </c>
      <c r="R48" s="187">
        <f t="shared" si="1"/>
        <v>0</v>
      </c>
      <c r="S48" s="304"/>
      <c r="T48" s="308"/>
    </row>
    <row r="49" spans="1:20" x14ac:dyDescent="0.35">
      <c r="A49" s="66"/>
      <c r="D49" s="52" t="s">
        <v>42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97">
        <f>SUM(E49:P49)</f>
        <v>0</v>
      </c>
      <c r="R49" s="188">
        <f t="shared" si="1"/>
        <v>0</v>
      </c>
      <c r="S49" s="304"/>
      <c r="T49" s="308"/>
    </row>
    <row r="50" spans="1:20" x14ac:dyDescent="0.35">
      <c r="A50" s="66" t="s">
        <v>107</v>
      </c>
      <c r="C50" s="6" t="s">
        <v>43</v>
      </c>
      <c r="E50" s="15">
        <f t="shared" ref="E50:Q50" si="19">SUM(E47:E49)</f>
        <v>0</v>
      </c>
      <c r="F50" s="15">
        <f t="shared" si="19"/>
        <v>0</v>
      </c>
      <c r="G50" s="15">
        <f t="shared" si="19"/>
        <v>0</v>
      </c>
      <c r="H50" s="15">
        <f>SUM(H47:H49)</f>
        <v>0</v>
      </c>
      <c r="I50" s="15">
        <f t="shared" si="19"/>
        <v>0</v>
      </c>
      <c r="J50" s="15">
        <f t="shared" si="19"/>
        <v>0</v>
      </c>
      <c r="K50" s="15">
        <f t="shared" si="19"/>
        <v>0</v>
      </c>
      <c r="L50" s="15">
        <f t="shared" si="19"/>
        <v>0</v>
      </c>
      <c r="M50" s="15">
        <f t="shared" si="19"/>
        <v>0</v>
      </c>
      <c r="N50" s="15">
        <f t="shared" si="19"/>
        <v>0</v>
      </c>
      <c r="O50" s="15">
        <f t="shared" si="19"/>
        <v>0</v>
      </c>
      <c r="P50" s="15">
        <f t="shared" si="19"/>
        <v>0</v>
      </c>
      <c r="Q50" s="108">
        <f t="shared" si="19"/>
        <v>0</v>
      </c>
      <c r="R50" s="189">
        <f t="shared" si="1"/>
        <v>0</v>
      </c>
      <c r="S50" s="309">
        <v>0</v>
      </c>
      <c r="T50" s="310" t="str">
        <f t="shared" ref="T50" si="20">IFERROR(Q50/S50-1,"")</f>
        <v/>
      </c>
    </row>
    <row r="51" spans="1:20" x14ac:dyDescent="0.35">
      <c r="A51" s="66"/>
      <c r="Q51" s="101"/>
      <c r="R51" s="184"/>
      <c r="S51" s="304"/>
      <c r="T51" s="308"/>
    </row>
    <row r="52" spans="1:20" x14ac:dyDescent="0.35">
      <c r="A52" s="66" t="s">
        <v>108</v>
      </c>
      <c r="C52" s="6" t="s">
        <v>44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01">
        <f>SUM(E52:P52)</f>
        <v>0</v>
      </c>
      <c r="R52" s="184">
        <f t="shared" si="1"/>
        <v>0</v>
      </c>
      <c r="S52" s="304">
        <v>0</v>
      </c>
      <c r="T52" s="308" t="str">
        <f t="shared" ref="T52" si="21">IFERROR(Q52/S52-1,"")</f>
        <v/>
      </c>
    </row>
    <row r="53" spans="1:20" x14ac:dyDescent="0.35">
      <c r="A53" s="66"/>
      <c r="Q53" s="101"/>
      <c r="R53" s="184"/>
      <c r="S53" s="304"/>
      <c r="T53" s="308"/>
    </row>
    <row r="54" spans="1:20" hidden="1" x14ac:dyDescent="0.35">
      <c r="A54" s="66" t="s">
        <v>109</v>
      </c>
      <c r="B54" s="6" t="s">
        <v>45</v>
      </c>
      <c r="C54" s="6" t="s">
        <v>46</v>
      </c>
      <c r="Q54" s="101">
        <f>SUM(E54:P54)</f>
        <v>0</v>
      </c>
      <c r="R54" s="184">
        <f t="shared" si="1"/>
        <v>0</v>
      </c>
      <c r="S54" s="304"/>
      <c r="T54" s="308" t="e">
        <f t="shared" ref="T54" si="22">R54/S54-1</f>
        <v>#DIV/0!</v>
      </c>
    </row>
    <row r="55" spans="1:20" hidden="1" x14ac:dyDescent="0.35">
      <c r="A55" s="66"/>
      <c r="Q55" s="101"/>
      <c r="R55" s="184"/>
      <c r="S55" s="304"/>
      <c r="T55" s="308"/>
    </row>
    <row r="56" spans="1:20" x14ac:dyDescent="0.35">
      <c r="A56" s="66" t="s">
        <v>110</v>
      </c>
      <c r="C56" s="6" t="s">
        <v>47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01">
        <f>SUM(E56:P56)</f>
        <v>0</v>
      </c>
      <c r="R56" s="184">
        <f t="shared" si="1"/>
        <v>0</v>
      </c>
      <c r="S56" s="304">
        <v>0</v>
      </c>
      <c r="T56" s="308" t="str">
        <f t="shared" ref="T56" si="23">IFERROR(Q56/S56-1,"")</f>
        <v/>
      </c>
    </row>
    <row r="57" spans="1:20" x14ac:dyDescent="0.35">
      <c r="A57" s="66"/>
      <c r="Q57" s="101"/>
      <c r="R57" s="184"/>
      <c r="S57" s="304"/>
      <c r="T57" s="308"/>
    </row>
    <row r="58" spans="1:20" x14ac:dyDescent="0.35">
      <c r="A58" s="66" t="s">
        <v>111</v>
      </c>
      <c r="C58" s="6" t="s">
        <v>22</v>
      </c>
      <c r="E58" s="6">
        <f>+'INS RET DEBT'!E86</f>
        <v>257.96092500000003</v>
      </c>
      <c r="F58" s="6">
        <f>+'INS RET DEBT'!F86</f>
        <v>257.96092500000003</v>
      </c>
      <c r="G58" s="6">
        <f>+'INS RET DEBT'!G86</f>
        <v>257.96092500000003</v>
      </c>
      <c r="H58" s="6">
        <f>+'INS RET DEBT'!H86</f>
        <v>257.96092500000003</v>
      </c>
      <c r="I58" s="6">
        <f>+'INS RET DEBT'!I86</f>
        <v>257.96092500000003</v>
      </c>
      <c r="J58" s="6">
        <f>+'INS RET DEBT'!J86</f>
        <v>257.96092500000003</v>
      </c>
      <c r="K58" s="6">
        <f>+'INS RET DEBT'!K86</f>
        <v>257.96092500000003</v>
      </c>
      <c r="L58" s="6">
        <f>+'INS RET DEBT'!L86</f>
        <v>257.96092500000003</v>
      </c>
      <c r="M58" s="6">
        <f>+'INS RET DEBT'!M86</f>
        <v>257.96092500000003</v>
      </c>
      <c r="N58" s="6">
        <f>+'INS RET DEBT'!N86</f>
        <v>257.96092500000003</v>
      </c>
      <c r="O58" s="6">
        <f>+'INS RET DEBT'!O86</f>
        <v>257.96092500000003</v>
      </c>
      <c r="P58" s="6">
        <f>+'INS RET DEBT'!P86</f>
        <v>257.96092500000003</v>
      </c>
      <c r="Q58" s="101">
        <f>SUM(E58:P58)</f>
        <v>3095.5310999999997</v>
      </c>
      <c r="R58" s="184">
        <f t="shared" si="1"/>
        <v>2.3344880090497737</v>
      </c>
      <c r="S58" s="304">
        <v>6281</v>
      </c>
      <c r="T58" s="308">
        <f t="shared" ref="T58" si="24">IFERROR(Q58/S58-1,"")</f>
        <v>-0.50715951281643057</v>
      </c>
    </row>
    <row r="59" spans="1:20" x14ac:dyDescent="0.35">
      <c r="A59" s="66"/>
      <c r="Q59" s="101"/>
      <c r="R59" s="184"/>
      <c r="S59" s="304"/>
      <c r="T59" s="308"/>
    </row>
    <row r="60" spans="1:20" x14ac:dyDescent="0.35">
      <c r="A60" s="66"/>
      <c r="D60" s="50" t="s">
        <v>48</v>
      </c>
      <c r="E60" s="45">
        <f>+'INS RET DEBT'!E34+'INS RET DEBT'!E35</f>
        <v>30</v>
      </c>
      <c r="F60" s="45">
        <f>+'INS RET DEBT'!F34+'INS RET DEBT'!F35</f>
        <v>30</v>
      </c>
      <c r="G60" s="45">
        <f>+'INS RET DEBT'!G34+'INS RET DEBT'!G35</f>
        <v>30</v>
      </c>
      <c r="H60" s="45">
        <f>+'INS RET DEBT'!H34+'INS RET DEBT'!H35</f>
        <v>30</v>
      </c>
      <c r="I60" s="45">
        <f>+'INS RET DEBT'!I34+'INS RET DEBT'!I35</f>
        <v>30</v>
      </c>
      <c r="J60" s="45">
        <f>+'INS RET DEBT'!J34+'INS RET DEBT'!J35</f>
        <v>30</v>
      </c>
      <c r="K60" s="45">
        <f>+'INS RET DEBT'!K34+'INS RET DEBT'!K35</f>
        <v>30</v>
      </c>
      <c r="L60" s="45">
        <f>+'INS RET DEBT'!L34+'INS RET DEBT'!L35</f>
        <v>30</v>
      </c>
      <c r="M60" s="45">
        <f>+'INS RET DEBT'!M34+'INS RET DEBT'!M35</f>
        <v>30</v>
      </c>
      <c r="N60" s="45">
        <f>+'INS RET DEBT'!N34+'INS RET DEBT'!N35</f>
        <v>30</v>
      </c>
      <c r="O60" s="45">
        <f>+'INS RET DEBT'!O34+'INS RET DEBT'!O35</f>
        <v>30.6</v>
      </c>
      <c r="P60" s="45">
        <f>+'INS RET DEBT'!P34+'INS RET DEBT'!P35</f>
        <v>30.6</v>
      </c>
      <c r="Q60" s="195">
        <f>SUM(E60:P60)</f>
        <v>361.20000000000005</v>
      </c>
      <c r="R60" s="186">
        <f t="shared" si="1"/>
        <v>0.2723981900452489</v>
      </c>
      <c r="S60" s="304"/>
      <c r="T60" s="308"/>
    </row>
    <row r="61" spans="1:20" x14ac:dyDescent="0.35">
      <c r="A61" s="66"/>
      <c r="D61" s="51" t="s">
        <v>89</v>
      </c>
      <c r="E61" s="6">
        <f>+'INS RET DEBT'!E37</f>
        <v>14</v>
      </c>
      <c r="F61" s="6">
        <f>+'INS RET DEBT'!F37</f>
        <v>14</v>
      </c>
      <c r="G61" s="6">
        <f>+'INS RET DEBT'!G37</f>
        <v>14</v>
      </c>
      <c r="H61" s="6">
        <f>+'INS RET DEBT'!H37</f>
        <v>14</v>
      </c>
      <c r="I61" s="6">
        <f>+'INS RET DEBT'!I37</f>
        <v>14</v>
      </c>
      <c r="J61" s="6">
        <f>+'INS RET DEBT'!J37</f>
        <v>14</v>
      </c>
      <c r="K61" s="6">
        <f>+'INS RET DEBT'!K37</f>
        <v>14</v>
      </c>
      <c r="L61" s="6">
        <f>+'INS RET DEBT'!L37</f>
        <v>14</v>
      </c>
      <c r="M61" s="6">
        <f>+'INS RET DEBT'!M37</f>
        <v>14</v>
      </c>
      <c r="N61" s="6">
        <f>+'INS RET DEBT'!N37</f>
        <v>14</v>
      </c>
      <c r="O61" s="6">
        <f>+'INS RET DEBT'!O37</f>
        <v>14.280000000000001</v>
      </c>
      <c r="P61" s="6">
        <f>+'INS RET DEBT'!P37</f>
        <v>14.280000000000001</v>
      </c>
      <c r="Q61" s="196">
        <f>SUM(E61:P61)</f>
        <v>168.56</v>
      </c>
      <c r="R61" s="187">
        <f t="shared" si="1"/>
        <v>0.12711915535444948</v>
      </c>
      <c r="S61" s="304"/>
      <c r="T61" s="308"/>
    </row>
    <row r="62" spans="1:20" x14ac:dyDescent="0.35">
      <c r="A62" s="66"/>
      <c r="D62" s="52" t="s">
        <v>50</v>
      </c>
      <c r="E62" s="15">
        <f>+'INS RET DEBT'!E38</f>
        <v>0</v>
      </c>
      <c r="F62" s="15">
        <f>+'INS RET DEBT'!F38</f>
        <v>0</v>
      </c>
      <c r="G62" s="15">
        <f>+'INS RET DEBT'!G38</f>
        <v>0</v>
      </c>
      <c r="H62" s="15">
        <f>+'INS RET DEBT'!H38</f>
        <v>0</v>
      </c>
      <c r="I62" s="15">
        <f>+'INS RET DEBT'!I38</f>
        <v>0</v>
      </c>
      <c r="J62" s="15">
        <f>+'INS RET DEBT'!J38</f>
        <v>0</v>
      </c>
      <c r="K62" s="15">
        <f>+'INS RET DEBT'!K38</f>
        <v>0</v>
      </c>
      <c r="L62" s="15">
        <f>+'INS RET DEBT'!L38</f>
        <v>0</v>
      </c>
      <c r="M62" s="15">
        <f>+'INS RET DEBT'!M38</f>
        <v>0</v>
      </c>
      <c r="N62" s="15">
        <f>+'INS RET DEBT'!N38</f>
        <v>0</v>
      </c>
      <c r="O62" s="15">
        <f>+'INS RET DEBT'!O38</f>
        <v>0</v>
      </c>
      <c r="P62" s="15">
        <f>+'INS RET DEBT'!P38</f>
        <v>0</v>
      </c>
      <c r="Q62" s="197">
        <f>SUM(E62:P62)</f>
        <v>0</v>
      </c>
      <c r="R62" s="188">
        <f t="shared" si="1"/>
        <v>0</v>
      </c>
      <c r="S62" s="304"/>
      <c r="T62" s="308"/>
    </row>
    <row r="63" spans="1:20" x14ac:dyDescent="0.35">
      <c r="A63" s="66" t="s">
        <v>112</v>
      </c>
      <c r="C63" s="6" t="s">
        <v>23</v>
      </c>
      <c r="E63" s="15">
        <f t="shared" ref="E63:Q63" si="25">SUM(E60:E62)</f>
        <v>44</v>
      </c>
      <c r="F63" s="15">
        <f t="shared" si="25"/>
        <v>44</v>
      </c>
      <c r="G63" s="15">
        <f t="shared" si="25"/>
        <v>44</v>
      </c>
      <c r="H63" s="15">
        <f t="shared" si="25"/>
        <v>44</v>
      </c>
      <c r="I63" s="15">
        <f t="shared" si="25"/>
        <v>44</v>
      </c>
      <c r="J63" s="15">
        <f t="shared" si="25"/>
        <v>44</v>
      </c>
      <c r="K63" s="15">
        <f t="shared" si="25"/>
        <v>44</v>
      </c>
      <c r="L63" s="15">
        <f t="shared" si="25"/>
        <v>44</v>
      </c>
      <c r="M63" s="15">
        <f t="shared" si="25"/>
        <v>44</v>
      </c>
      <c r="N63" s="15">
        <f t="shared" si="25"/>
        <v>44</v>
      </c>
      <c r="O63" s="15">
        <f t="shared" si="25"/>
        <v>44.88</v>
      </c>
      <c r="P63" s="15">
        <f t="shared" si="25"/>
        <v>44.88</v>
      </c>
      <c r="Q63" s="108">
        <f t="shared" si="25"/>
        <v>529.76</v>
      </c>
      <c r="R63" s="189">
        <f t="shared" si="1"/>
        <v>0.39951734539969835</v>
      </c>
      <c r="S63" s="309">
        <v>580</v>
      </c>
      <c r="T63" s="310">
        <f t="shared" ref="T63" si="26">IFERROR(Q63/S63-1,"")</f>
        <v>-8.6620689655172445E-2</v>
      </c>
    </row>
    <row r="64" spans="1:20" x14ac:dyDescent="0.35">
      <c r="A64" s="66"/>
      <c r="Q64" s="101"/>
      <c r="R64" s="184"/>
      <c r="S64" s="304"/>
      <c r="T64" s="308"/>
    </row>
    <row r="65" spans="1:20" x14ac:dyDescent="0.35">
      <c r="A65" s="66"/>
      <c r="D65" s="50" t="s">
        <v>51</v>
      </c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198">
        <f>SUM(E65:P65)</f>
        <v>0</v>
      </c>
      <c r="R65" s="186">
        <f t="shared" si="1"/>
        <v>0</v>
      </c>
      <c r="S65" s="304"/>
      <c r="T65" s="308"/>
    </row>
    <row r="66" spans="1:20" x14ac:dyDescent="0.35">
      <c r="A66" s="66"/>
      <c r="D66" s="52" t="s">
        <v>52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08">
        <f>SUM(E66:P66)</f>
        <v>0</v>
      </c>
      <c r="R66" s="188">
        <f t="shared" si="1"/>
        <v>0</v>
      </c>
      <c r="S66" s="304"/>
      <c r="T66" s="308"/>
    </row>
    <row r="67" spans="1:20" x14ac:dyDescent="0.35">
      <c r="A67" s="66" t="s">
        <v>113</v>
      </c>
      <c r="B67" s="6" t="s">
        <v>45</v>
      </c>
      <c r="C67" s="6" t="s">
        <v>51</v>
      </c>
      <c r="E67" s="15">
        <f>SUM(E65:E66)</f>
        <v>0</v>
      </c>
      <c r="F67" s="15">
        <f>SUM(F65:F66)</f>
        <v>0</v>
      </c>
      <c r="G67" s="15">
        <f t="shared" ref="G67:P67" si="27">SUM(G65:G65)</f>
        <v>0</v>
      </c>
      <c r="H67" s="15">
        <f t="shared" si="27"/>
        <v>0</v>
      </c>
      <c r="I67" s="15">
        <f t="shared" si="27"/>
        <v>0</v>
      </c>
      <c r="J67" s="15">
        <f t="shared" si="27"/>
        <v>0</v>
      </c>
      <c r="K67" s="15">
        <f t="shared" si="27"/>
        <v>0</v>
      </c>
      <c r="L67" s="15">
        <f t="shared" si="27"/>
        <v>0</v>
      </c>
      <c r="M67" s="15">
        <f t="shared" si="27"/>
        <v>0</v>
      </c>
      <c r="N67" s="15">
        <f t="shared" si="27"/>
        <v>0</v>
      </c>
      <c r="O67" s="15">
        <f t="shared" si="27"/>
        <v>0</v>
      </c>
      <c r="P67" s="15">
        <f t="shared" si="27"/>
        <v>0</v>
      </c>
      <c r="Q67" s="108">
        <f>SUM(Q65:Q66)</f>
        <v>0</v>
      </c>
      <c r="R67" s="189">
        <f t="shared" si="1"/>
        <v>0</v>
      </c>
      <c r="S67" s="309">
        <v>0</v>
      </c>
      <c r="T67" s="310" t="str">
        <f t="shared" ref="T67" si="28">IFERROR(Q67/S67-1,"")</f>
        <v/>
      </c>
    </row>
    <row r="68" spans="1:20" x14ac:dyDescent="0.35">
      <c r="A68" s="66"/>
      <c r="Q68" s="101"/>
      <c r="R68" s="184"/>
      <c r="S68" s="304"/>
      <c r="T68" s="308"/>
    </row>
    <row r="69" spans="1:20" x14ac:dyDescent="0.35">
      <c r="A69" s="66"/>
      <c r="B69" s="6" t="s">
        <v>33</v>
      </c>
      <c r="C69" s="6" t="s">
        <v>53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01">
        <f>SUM(E69:P69)</f>
        <v>0</v>
      </c>
      <c r="R69" s="184">
        <f t="shared" si="1"/>
        <v>0</v>
      </c>
      <c r="S69" s="304"/>
      <c r="T69" s="308" t="str">
        <f t="shared" ref="T69" si="29">IFERROR(Q69/S69-1,"")</f>
        <v/>
      </c>
    </row>
    <row r="70" spans="1:20" x14ac:dyDescent="0.35">
      <c r="A70" s="66"/>
      <c r="Q70" s="101"/>
      <c r="R70" s="184"/>
      <c r="S70" s="304"/>
      <c r="T70" s="308"/>
    </row>
    <row r="71" spans="1:20" ht="18" x14ac:dyDescent="0.35">
      <c r="A71" s="66"/>
      <c r="C71" s="53" t="s">
        <v>54</v>
      </c>
      <c r="D71" s="54"/>
      <c r="E71" s="54">
        <f t="shared" ref="E71:P71" si="30">+E27+E29+E31+E36+E38+E43+E45+E50+E52+E54+E56+E58+E63+E67+E69</f>
        <v>342.79261237175149</v>
      </c>
      <c r="F71" s="54">
        <f t="shared" si="30"/>
        <v>342.79261237175149</v>
      </c>
      <c r="G71" s="54">
        <f t="shared" si="30"/>
        <v>342.79261237175149</v>
      </c>
      <c r="H71" s="54">
        <f t="shared" si="30"/>
        <v>342.79261237175149</v>
      </c>
      <c r="I71" s="54">
        <f t="shared" si="30"/>
        <v>342.79261237175149</v>
      </c>
      <c r="J71" s="54">
        <f t="shared" si="30"/>
        <v>342.79261237175149</v>
      </c>
      <c r="K71" s="54">
        <f t="shared" si="30"/>
        <v>342.79261237175149</v>
      </c>
      <c r="L71" s="54">
        <f t="shared" si="30"/>
        <v>342.79261237175149</v>
      </c>
      <c r="M71" s="54">
        <f t="shared" si="30"/>
        <v>342.79261237175149</v>
      </c>
      <c r="N71" s="54">
        <f t="shared" si="30"/>
        <v>342.79261237175149</v>
      </c>
      <c r="O71" s="54">
        <f t="shared" si="30"/>
        <v>343.67261237175148</v>
      </c>
      <c r="P71" s="54">
        <f t="shared" si="30"/>
        <v>343.67261237175148</v>
      </c>
      <c r="Q71" s="109">
        <f>+Q27+Q29+Q31+Q36+Q38+Q43+Q45+Q50+Q52+Q54+Q56+Q58+Q63+Q67+Q69</f>
        <v>4115.2713484610176</v>
      </c>
      <c r="R71" s="190">
        <f t="shared" si="1"/>
        <v>3.1035228872255036</v>
      </c>
      <c r="S71" s="315">
        <f>+S27+S29+S31+S36+S38+S43+S45+S50+S52+S54+S56+S58+S63+S67+S69</f>
        <v>7341</v>
      </c>
      <c r="T71" s="316">
        <f>Q71/S71-1</f>
        <v>-0.4394127028387117</v>
      </c>
    </row>
    <row r="72" spans="1:20" ht="18" x14ac:dyDescent="0.35">
      <c r="A72" s="66"/>
      <c r="G72" s="6" t="s">
        <v>90</v>
      </c>
      <c r="Q72" s="103"/>
      <c r="R72" s="185"/>
      <c r="S72" s="311"/>
      <c r="T72" s="312"/>
    </row>
    <row r="73" spans="1:20" ht="18" x14ac:dyDescent="0.35">
      <c r="A73" s="66"/>
      <c r="B73" s="7" t="s">
        <v>55</v>
      </c>
      <c r="Q73" s="101"/>
      <c r="R73" s="184"/>
      <c r="S73" s="304"/>
      <c r="T73" s="308"/>
    </row>
    <row r="74" spans="1:20" x14ac:dyDescent="0.35">
      <c r="A74" s="66"/>
      <c r="Q74" s="101"/>
      <c r="R74" s="184"/>
      <c r="S74" s="304"/>
      <c r="T74" s="308"/>
    </row>
    <row r="75" spans="1:20" x14ac:dyDescent="0.35">
      <c r="A75" s="66" t="s">
        <v>137</v>
      </c>
      <c r="C75" s="6" t="s">
        <v>56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01">
        <f>SUM(E75:P75)</f>
        <v>0</v>
      </c>
      <c r="R75" s="184">
        <f t="shared" ref="R75:R134" si="31">Q75/$B$4</f>
        <v>0</v>
      </c>
      <c r="S75" s="304">
        <v>0</v>
      </c>
      <c r="T75" s="308" t="str">
        <f t="shared" ref="T75" si="32">IFERROR(Q75/S75-1,"")</f>
        <v/>
      </c>
    </row>
    <row r="76" spans="1:20" x14ac:dyDescent="0.35">
      <c r="A76" s="66"/>
      <c r="Q76" s="101"/>
      <c r="R76" s="184"/>
      <c r="S76" s="304"/>
      <c r="T76" s="308"/>
    </row>
    <row r="77" spans="1:20" x14ac:dyDescent="0.35">
      <c r="A77" s="66" t="s">
        <v>114</v>
      </c>
      <c r="D77" s="6" t="s">
        <v>57</v>
      </c>
      <c r="E77" s="6">
        <f>VLOOKUP($B$1,'Allocated Expenses'!$B$20:$P$29,4,FALSE)</f>
        <v>98.609445672750397</v>
      </c>
      <c r="F77" s="6">
        <f>VLOOKUP($B$1,'Allocated Expenses'!$B$20:$P$29,5,FALSE)</f>
        <v>98.609445672750397</v>
      </c>
      <c r="G77" s="6">
        <f>VLOOKUP($B$1,'Allocated Expenses'!$B$20:$P$29,6,FALSE)</f>
        <v>98.609445672750397</v>
      </c>
      <c r="H77" s="6">
        <f>VLOOKUP($B$1,'Allocated Expenses'!$B$20:$P$29,7,FALSE)</f>
        <v>98.609445672750397</v>
      </c>
      <c r="I77" s="6">
        <f>VLOOKUP($B$1,'Allocated Expenses'!$B$20:$P$29,8,FALSE)</f>
        <v>98.609445672750397</v>
      </c>
      <c r="J77" s="6">
        <f>VLOOKUP($B$1,'Allocated Expenses'!$B$20:$P$29,9,FALSE)</f>
        <v>98.609445672750397</v>
      </c>
      <c r="K77" s="6">
        <f>VLOOKUP($B$1,'Allocated Expenses'!$B$20:$P$29,10,FALSE)</f>
        <v>98.609445672750397</v>
      </c>
      <c r="L77" s="6">
        <f>VLOOKUP($B$1,'Allocated Expenses'!$B$20:$P$29,11,FALSE)</f>
        <v>98.609445672750397</v>
      </c>
      <c r="M77" s="6">
        <f>VLOOKUP($B$1,'Allocated Expenses'!$B$20:$P$29,12,FALSE)</f>
        <v>98.609445672750397</v>
      </c>
      <c r="N77" s="6">
        <f>VLOOKUP($B$1,'Allocated Expenses'!$B$20:$P$29,13,FALSE)</f>
        <v>98.609445672750397</v>
      </c>
      <c r="O77" s="6">
        <f>VLOOKUP($B$1,'Allocated Expenses'!$B$20:$P$29,14,FALSE)</f>
        <v>98.609445672750397</v>
      </c>
      <c r="P77" s="6">
        <f>VLOOKUP($B$1,'Allocated Expenses'!$B$20:$P$29,15,FALSE)</f>
        <v>98.609445672750397</v>
      </c>
      <c r="Q77" s="101">
        <f>SUM(E77:P77)</f>
        <v>1183.3133480730048</v>
      </c>
      <c r="R77" s="184">
        <f t="shared" si="31"/>
        <v>0.89239317350905345</v>
      </c>
      <c r="S77" s="304"/>
      <c r="T77" s="308"/>
    </row>
    <row r="78" spans="1:20" x14ac:dyDescent="0.35">
      <c r="A78" s="66" t="s">
        <v>115</v>
      </c>
      <c r="D78" s="6" t="s">
        <v>58</v>
      </c>
      <c r="E78" s="15">
        <f>VLOOKUP($B$1,'Allocated Expenses'!$B$132:$P$141,4,FALSE)</f>
        <v>0</v>
      </c>
      <c r="F78" s="15">
        <f>VLOOKUP($B$1,'Allocated Expenses'!$B$132:$P$141,5,FALSE)</f>
        <v>0</v>
      </c>
      <c r="G78" s="15">
        <f>VLOOKUP($B$1,'Allocated Expenses'!$B$132:$P$141,6,FALSE)</f>
        <v>0</v>
      </c>
      <c r="H78" s="15">
        <f>VLOOKUP($B$1,'Allocated Expenses'!$B$132:$P$141,7,FALSE)</f>
        <v>0</v>
      </c>
      <c r="I78" s="15">
        <f>VLOOKUP($B$1,'Allocated Expenses'!$B$132:$P$141,8,FALSE)</f>
        <v>0</v>
      </c>
      <c r="J78" s="15">
        <f>VLOOKUP($B$1,'Allocated Expenses'!$B$132:$P$141,9,FALSE)</f>
        <v>0</v>
      </c>
      <c r="K78" s="15">
        <f>VLOOKUP($B$1,'Allocated Expenses'!$B$132:$P$141,10,FALSE)</f>
        <v>0</v>
      </c>
      <c r="L78" s="15">
        <f>VLOOKUP($B$1,'Allocated Expenses'!$B$132:$P$141,11,FALSE)</f>
        <v>0</v>
      </c>
      <c r="M78" s="15">
        <f>VLOOKUP($B$1,'Allocated Expenses'!$B$132:$P$141,12,FALSE)</f>
        <v>0</v>
      </c>
      <c r="N78" s="15">
        <f>VLOOKUP($B$1,'Allocated Expenses'!$B$132:$P$141,13,FALSE)</f>
        <v>0</v>
      </c>
      <c r="O78" s="15">
        <f>VLOOKUP($B$1,'Allocated Expenses'!$B$132:$P$141,14,FALSE)</f>
        <v>0</v>
      </c>
      <c r="P78" s="15">
        <f>VLOOKUP($B$1,'Allocated Expenses'!$B$132:$P$141,15,FALSE)</f>
        <v>0</v>
      </c>
      <c r="Q78" s="108">
        <f>SUM(E78:P78)</f>
        <v>0</v>
      </c>
      <c r="R78" s="189">
        <f t="shared" si="31"/>
        <v>0</v>
      </c>
      <c r="S78" s="304"/>
      <c r="T78" s="308"/>
    </row>
    <row r="79" spans="1:20" x14ac:dyDescent="0.35">
      <c r="A79" s="66"/>
      <c r="C79" s="6" t="s">
        <v>59</v>
      </c>
      <c r="E79" s="15">
        <f t="shared" ref="E79:Q79" si="33">SUM(E77:E78)</f>
        <v>98.609445672750397</v>
      </c>
      <c r="F79" s="15">
        <f t="shared" si="33"/>
        <v>98.609445672750397</v>
      </c>
      <c r="G79" s="15">
        <f t="shared" si="33"/>
        <v>98.609445672750397</v>
      </c>
      <c r="H79" s="15">
        <f t="shared" si="33"/>
        <v>98.609445672750397</v>
      </c>
      <c r="I79" s="15">
        <f t="shared" si="33"/>
        <v>98.609445672750397</v>
      </c>
      <c r="J79" s="15">
        <f t="shared" si="33"/>
        <v>98.609445672750397</v>
      </c>
      <c r="K79" s="15">
        <f t="shared" si="33"/>
        <v>98.609445672750397</v>
      </c>
      <c r="L79" s="15">
        <f t="shared" si="33"/>
        <v>98.609445672750397</v>
      </c>
      <c r="M79" s="15">
        <f t="shared" si="33"/>
        <v>98.609445672750397</v>
      </c>
      <c r="N79" s="15">
        <f t="shared" si="33"/>
        <v>98.609445672750397</v>
      </c>
      <c r="O79" s="15">
        <f t="shared" si="33"/>
        <v>98.609445672750397</v>
      </c>
      <c r="P79" s="15">
        <f t="shared" si="33"/>
        <v>98.609445672750397</v>
      </c>
      <c r="Q79" s="108">
        <f t="shared" si="33"/>
        <v>1183.3133480730048</v>
      </c>
      <c r="R79" s="189">
        <f t="shared" si="31"/>
        <v>0.89239317350905345</v>
      </c>
      <c r="S79" s="309">
        <v>1440</v>
      </c>
      <c r="T79" s="310">
        <f t="shared" ref="T79" si="34">IFERROR(Q79/S79-1,"")</f>
        <v>-0.17825461939374665</v>
      </c>
    </row>
    <row r="80" spans="1:20" x14ac:dyDescent="0.35">
      <c r="A80" s="66"/>
      <c r="Q80" s="101"/>
      <c r="R80" s="184"/>
      <c r="S80" s="304"/>
      <c r="T80" s="308"/>
    </row>
    <row r="81" spans="1:22" x14ac:dyDescent="0.35">
      <c r="A81" s="66" t="s">
        <v>138</v>
      </c>
      <c r="D81" s="6" t="s">
        <v>60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01">
        <f>SUM(E81:P81)</f>
        <v>0</v>
      </c>
      <c r="R81" s="184">
        <f t="shared" si="31"/>
        <v>0</v>
      </c>
      <c r="S81" s="304"/>
      <c r="T81" s="308"/>
    </row>
    <row r="82" spans="1:22" x14ac:dyDescent="0.35">
      <c r="A82" s="66" t="s">
        <v>139</v>
      </c>
      <c r="D82" s="6" t="s">
        <v>20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01">
        <f>SUM(E82:P82)</f>
        <v>0</v>
      </c>
      <c r="R82" s="184">
        <f t="shared" si="31"/>
        <v>0</v>
      </c>
      <c r="S82" s="304"/>
      <c r="T82" s="308"/>
    </row>
    <row r="83" spans="1:22" x14ac:dyDescent="0.35">
      <c r="A83" s="66" t="s">
        <v>140</v>
      </c>
      <c r="D83" s="6" t="s">
        <v>28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08">
        <f>SUM(E83:P83)</f>
        <v>0</v>
      </c>
      <c r="R83" s="189">
        <f t="shared" si="31"/>
        <v>0</v>
      </c>
      <c r="S83" s="304"/>
      <c r="T83" s="308"/>
    </row>
    <row r="84" spans="1:22" x14ac:dyDescent="0.35">
      <c r="A84" s="66"/>
      <c r="C84" s="6" t="s">
        <v>61</v>
      </c>
      <c r="E84" s="15">
        <f t="shared" ref="E84:Q84" si="35">SUM(E81:E83)</f>
        <v>0</v>
      </c>
      <c r="F84" s="15">
        <f t="shared" si="35"/>
        <v>0</v>
      </c>
      <c r="G84" s="15">
        <f t="shared" si="35"/>
        <v>0</v>
      </c>
      <c r="H84" s="15">
        <f t="shared" si="35"/>
        <v>0</v>
      </c>
      <c r="I84" s="15">
        <f t="shared" si="35"/>
        <v>0</v>
      </c>
      <c r="J84" s="15">
        <f t="shared" si="35"/>
        <v>0</v>
      </c>
      <c r="K84" s="15">
        <f t="shared" si="35"/>
        <v>0</v>
      </c>
      <c r="L84" s="15">
        <f t="shared" si="35"/>
        <v>0</v>
      </c>
      <c r="M84" s="15">
        <f t="shared" si="35"/>
        <v>0</v>
      </c>
      <c r="N84" s="15">
        <f t="shared" si="35"/>
        <v>0</v>
      </c>
      <c r="O84" s="15">
        <f t="shared" si="35"/>
        <v>0</v>
      </c>
      <c r="P84" s="15">
        <f t="shared" si="35"/>
        <v>0</v>
      </c>
      <c r="Q84" s="108">
        <f t="shared" si="35"/>
        <v>0</v>
      </c>
      <c r="R84" s="189">
        <f t="shared" si="31"/>
        <v>0</v>
      </c>
      <c r="S84" s="309">
        <v>0</v>
      </c>
      <c r="T84" s="310" t="str">
        <f>IFERROR(Q84/S84-1,"")</f>
        <v/>
      </c>
    </row>
    <row r="85" spans="1:22" x14ac:dyDescent="0.35">
      <c r="A85" s="66"/>
      <c r="Q85" s="101"/>
      <c r="R85" s="184"/>
      <c r="S85" s="304"/>
      <c r="T85" s="308"/>
    </row>
    <row r="86" spans="1:22" x14ac:dyDescent="0.35">
      <c r="A86" s="66"/>
      <c r="D86" s="50" t="s">
        <v>30</v>
      </c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198">
        <f>SUM(E86:P86)</f>
        <v>0</v>
      </c>
      <c r="R86" s="186">
        <f t="shared" si="31"/>
        <v>0</v>
      </c>
      <c r="S86" s="304"/>
      <c r="T86" s="308"/>
    </row>
    <row r="87" spans="1:22" x14ac:dyDescent="0.35">
      <c r="A87" s="66"/>
      <c r="D87" s="52" t="s">
        <v>31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08">
        <f>SUM(E87:P87)</f>
        <v>0</v>
      </c>
      <c r="R87" s="188">
        <f t="shared" si="31"/>
        <v>0</v>
      </c>
      <c r="S87" s="304"/>
      <c r="T87" s="308"/>
    </row>
    <row r="88" spans="1:22" x14ac:dyDescent="0.35">
      <c r="A88" s="66" t="s">
        <v>116</v>
      </c>
      <c r="C88" s="6" t="s">
        <v>32</v>
      </c>
      <c r="E88" s="15">
        <f t="shared" ref="E88:Q88" si="36">SUM(E86:E87)</f>
        <v>0</v>
      </c>
      <c r="F88" s="15">
        <f t="shared" si="36"/>
        <v>0</v>
      </c>
      <c r="G88" s="15">
        <f t="shared" si="36"/>
        <v>0</v>
      </c>
      <c r="H88" s="15">
        <f t="shared" si="36"/>
        <v>0</v>
      </c>
      <c r="I88" s="15">
        <f t="shared" si="36"/>
        <v>0</v>
      </c>
      <c r="J88" s="15">
        <f t="shared" si="36"/>
        <v>0</v>
      </c>
      <c r="K88" s="15">
        <f t="shared" si="36"/>
        <v>0</v>
      </c>
      <c r="L88" s="15">
        <f t="shared" si="36"/>
        <v>0</v>
      </c>
      <c r="M88" s="15">
        <f t="shared" si="36"/>
        <v>0</v>
      </c>
      <c r="N88" s="15">
        <f t="shared" si="36"/>
        <v>0</v>
      </c>
      <c r="O88" s="15">
        <f t="shared" si="36"/>
        <v>0</v>
      </c>
      <c r="P88" s="15">
        <f t="shared" si="36"/>
        <v>0</v>
      </c>
      <c r="Q88" s="108">
        <f t="shared" si="36"/>
        <v>0</v>
      </c>
      <c r="R88" s="189">
        <f t="shared" si="31"/>
        <v>0</v>
      </c>
      <c r="S88" s="309">
        <v>3750</v>
      </c>
      <c r="T88" s="310">
        <f t="shared" ref="T88" si="37">IFERROR(Q88/S88-1,"")</f>
        <v>-1</v>
      </c>
    </row>
    <row r="89" spans="1:22" x14ac:dyDescent="0.35">
      <c r="A89" s="66"/>
      <c r="Q89" s="101"/>
      <c r="R89" s="184"/>
      <c r="S89" s="304"/>
      <c r="T89" s="308"/>
    </row>
    <row r="90" spans="1:22" x14ac:dyDescent="0.35">
      <c r="A90" s="66" t="s">
        <v>141</v>
      </c>
      <c r="B90" s="6" t="s">
        <v>33</v>
      </c>
      <c r="C90" s="6" t="s">
        <v>62</v>
      </c>
      <c r="E90" s="6">
        <f>ROUND(E$24*0.06,0)</f>
        <v>125</v>
      </c>
      <c r="F90" s="6">
        <f t="shared" ref="F90:P90" si="38">ROUND(F$24*0.06,0)</f>
        <v>125</v>
      </c>
      <c r="G90" s="6">
        <f t="shared" si="38"/>
        <v>125</v>
      </c>
      <c r="H90" s="6">
        <f t="shared" si="38"/>
        <v>125</v>
      </c>
      <c r="I90" s="6">
        <f t="shared" si="38"/>
        <v>125</v>
      </c>
      <c r="J90" s="6">
        <f t="shared" si="38"/>
        <v>125</v>
      </c>
      <c r="K90" s="6">
        <f t="shared" si="38"/>
        <v>125</v>
      </c>
      <c r="L90" s="6">
        <f t="shared" si="38"/>
        <v>125</v>
      </c>
      <c r="M90" s="6">
        <f t="shared" si="38"/>
        <v>125</v>
      </c>
      <c r="N90" s="6">
        <f t="shared" si="38"/>
        <v>125</v>
      </c>
      <c r="O90" s="6">
        <f t="shared" si="38"/>
        <v>125</v>
      </c>
      <c r="P90" s="6">
        <f t="shared" si="38"/>
        <v>125</v>
      </c>
      <c r="Q90" s="101">
        <f>SUM(E90:P90)</f>
        <v>1500</v>
      </c>
      <c r="R90" s="184">
        <f t="shared" ref="R90" si="39">Q90/$B$4</f>
        <v>1.1312217194570136</v>
      </c>
      <c r="S90" s="304">
        <v>1623</v>
      </c>
      <c r="T90" s="308">
        <f t="shared" ref="T90:T92" si="40">IFERROR(Q90/S90-1,"")</f>
        <v>-7.5785582255083139E-2</v>
      </c>
      <c r="U90" s="233"/>
    </row>
    <row r="91" spans="1:22" x14ac:dyDescent="0.35">
      <c r="A91" s="66"/>
      <c r="Q91" s="101"/>
      <c r="R91" s="184"/>
      <c r="S91" s="304"/>
      <c r="T91" s="308" t="str">
        <f t="shared" si="40"/>
        <v/>
      </c>
    </row>
    <row r="92" spans="1:22" x14ac:dyDescent="0.35">
      <c r="A92" s="66" t="s">
        <v>117</v>
      </c>
      <c r="C92" s="6" t="s">
        <v>63</v>
      </c>
      <c r="E92" s="6">
        <f>VLOOKUP($B$1,'Allocated Expenses'!$B$34:$P$43,4,FALSE)+VLOOKUP($B$1,'Allocated Expenses'!$B$48:$P$57,4,FALSE)</f>
        <v>35.320533662808344</v>
      </c>
      <c r="F92" s="6">
        <f>VLOOKUP($B$1,'Allocated Expenses'!$B$34:$P$43,5,FALSE)+VLOOKUP($B$1,'Allocated Expenses'!$B$48:$P$57,5,FALSE)</f>
        <v>35.320533662808344</v>
      </c>
      <c r="G92" s="6">
        <f>VLOOKUP($B$1,'Allocated Expenses'!$B$34:$P$43,6,FALSE)+VLOOKUP($B$1,'Allocated Expenses'!$B$48:$P$57,6,FALSE)</f>
        <v>35.320533662808344</v>
      </c>
      <c r="H92" s="6">
        <f>VLOOKUP($B$1,'Allocated Expenses'!$B$34:$P$43,7,FALSE)+VLOOKUP($B$1,'Allocated Expenses'!$B$48:$P$57,7,FALSE)</f>
        <v>35.320533662808344</v>
      </c>
      <c r="I92" s="6">
        <f>VLOOKUP($B$1,'Allocated Expenses'!$B$34:$P$43,8,FALSE)+VLOOKUP($B$1,'Allocated Expenses'!$B$48:$P$57,8,FALSE)</f>
        <v>35.320533662808344</v>
      </c>
      <c r="J92" s="6">
        <f>VLOOKUP($B$1,'Allocated Expenses'!$B$34:$P$43,9,FALSE)+VLOOKUP($B$1,'Allocated Expenses'!$B$48:$P$57,9,FALSE)</f>
        <v>35.320533662808344</v>
      </c>
      <c r="K92" s="6">
        <f>VLOOKUP($B$1,'Allocated Expenses'!$B$34:$P$43,10,FALSE)+VLOOKUP($B$1,'Allocated Expenses'!$B$48:$P$57,10,FALSE)</f>
        <v>35.320533662808344</v>
      </c>
      <c r="L92" s="6">
        <f>VLOOKUP($B$1,'Allocated Expenses'!$B$34:$P$43,11,FALSE)+VLOOKUP($B$1,'Allocated Expenses'!$B$48:$P$57,11,FALSE)</f>
        <v>35.320533662808344</v>
      </c>
      <c r="M92" s="6">
        <f>VLOOKUP($B$1,'Allocated Expenses'!$B$34:$P$43,12,FALSE)+VLOOKUP($B$1,'Allocated Expenses'!$B$48:$P$57,12,FALSE)</f>
        <v>35.320533662808344</v>
      </c>
      <c r="N92" s="6">
        <f>VLOOKUP($B$1,'Allocated Expenses'!$B$34:$P$43,13,FALSE)+VLOOKUP($B$1,'Allocated Expenses'!$B$48:$P$57,13,FALSE)</f>
        <v>35.320533662808344</v>
      </c>
      <c r="O92" s="6">
        <f>VLOOKUP($B$1,'Allocated Expenses'!$B$34:$P$43,14,FALSE)+VLOOKUP($B$1,'Allocated Expenses'!$B$48:$P$57,14,FALSE)</f>
        <v>35.320533662808344</v>
      </c>
      <c r="P92" s="6">
        <f>VLOOKUP($B$1,'Allocated Expenses'!$B$34:$P$43,15,FALSE)+VLOOKUP($B$1,'Allocated Expenses'!$B$48:$P$57,15,FALSE)</f>
        <v>35.320533662808344</v>
      </c>
      <c r="Q92" s="101">
        <f>SUM(E92:P92)</f>
        <v>423.84640395370002</v>
      </c>
      <c r="R92" s="184">
        <f t="shared" si="31"/>
        <v>0.31964283857745102</v>
      </c>
      <c r="S92" s="304">
        <v>200</v>
      </c>
      <c r="T92" s="308">
        <f t="shared" si="40"/>
        <v>1.1192320197685</v>
      </c>
    </row>
    <row r="93" spans="1:22" x14ac:dyDescent="0.35">
      <c r="A93" s="66"/>
      <c r="Q93" s="101"/>
      <c r="R93" s="184"/>
      <c r="S93" s="304"/>
      <c r="T93" s="308"/>
    </row>
    <row r="94" spans="1:22" x14ac:dyDescent="0.35">
      <c r="A94" s="66" t="s">
        <v>118</v>
      </c>
      <c r="C94" s="6" t="s">
        <v>64</v>
      </c>
      <c r="E94" s="12">
        <v>0</v>
      </c>
      <c r="F94" s="12">
        <v>0</v>
      </c>
      <c r="G94" s="12">
        <v>0</v>
      </c>
      <c r="H94" s="12">
        <f>1.03*100</f>
        <v>103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01">
        <f>SUM(E94:P94)</f>
        <v>103</v>
      </c>
      <c r="R94" s="184">
        <f t="shared" ref="R94" si="41">Q94/$B$4</f>
        <v>7.7677224736048267E-2</v>
      </c>
      <c r="S94" s="304">
        <v>450</v>
      </c>
      <c r="T94" s="308">
        <f t="shared" ref="T94" si="42">IFERROR(Q94/S94-1,"")</f>
        <v>-0.77111111111111108</v>
      </c>
      <c r="U94" s="233" t="s">
        <v>283</v>
      </c>
      <c r="V94" s="6" t="s">
        <v>348</v>
      </c>
    </row>
    <row r="95" spans="1:22" x14ac:dyDescent="0.35">
      <c r="A95" s="66"/>
      <c r="Q95" s="101"/>
      <c r="R95" s="184"/>
      <c r="S95" s="304"/>
      <c r="T95" s="308"/>
    </row>
    <row r="96" spans="1:22" x14ac:dyDescent="0.35">
      <c r="A96" s="66" t="s">
        <v>119</v>
      </c>
      <c r="C96" s="6" t="s">
        <v>65</v>
      </c>
      <c r="E96" s="6">
        <f>VLOOKUP($B$1,'Allocated Expenses'!$B$62:$P$71,4,FALSE)</f>
        <v>85.833333333333329</v>
      </c>
      <c r="F96" s="6">
        <f>VLOOKUP($B$1,'Allocated Expenses'!$B$62:$P$71,5,FALSE)</f>
        <v>85.833333333333329</v>
      </c>
      <c r="G96" s="6">
        <f>VLOOKUP($B$1,'Allocated Expenses'!$B$62:$P$71,6,FALSE)</f>
        <v>85.833333333333329</v>
      </c>
      <c r="H96" s="6">
        <f>VLOOKUP($B$1,'Allocated Expenses'!$B$62:$P$71,7,FALSE)</f>
        <v>85.833333333333329</v>
      </c>
      <c r="I96" s="6">
        <f>VLOOKUP($B$1,'Allocated Expenses'!$B$62:$P$71,8,FALSE)</f>
        <v>85.833333333333329</v>
      </c>
      <c r="J96" s="6">
        <f>VLOOKUP($B$1,'Allocated Expenses'!$B$62:$P$71,9,FALSE)</f>
        <v>85.833333333333329</v>
      </c>
      <c r="K96" s="6">
        <f>VLOOKUP($B$1,'Allocated Expenses'!$B$62:$P$71,10,FALSE)</f>
        <v>85.833333333333329</v>
      </c>
      <c r="L96" s="6">
        <f>VLOOKUP($B$1,'Allocated Expenses'!$B$62:$P$71,11,FALSE)</f>
        <v>85.833333333333329</v>
      </c>
      <c r="M96" s="6">
        <f>VLOOKUP($B$1,'Allocated Expenses'!$B$62:$P$71,12,FALSE)</f>
        <v>85.833333333333329</v>
      </c>
      <c r="N96" s="6">
        <f>VLOOKUP($B$1,'Allocated Expenses'!$B$62:$P$71,13,FALSE)</f>
        <v>85.833333333333329</v>
      </c>
      <c r="O96" s="6">
        <f>VLOOKUP($B$1,'Allocated Expenses'!$B$62:$P$71,14,FALSE)</f>
        <v>85.833333333333329</v>
      </c>
      <c r="P96" s="6">
        <f>VLOOKUP($B$1,'Allocated Expenses'!$B$62:$P$71,15,FALSE)</f>
        <v>85.833333333333329</v>
      </c>
      <c r="Q96" s="101">
        <f>SUM(E96:P96)</f>
        <v>1030.0000000000002</v>
      </c>
      <c r="R96" s="184">
        <f t="shared" si="31"/>
        <v>0.77677224736048278</v>
      </c>
      <c r="S96" s="304">
        <v>320</v>
      </c>
      <c r="T96" s="308">
        <f t="shared" ref="T96" si="43">IFERROR(Q96/S96-1,"")</f>
        <v>2.2187500000000009</v>
      </c>
    </row>
    <row r="97" spans="1:21" x14ac:dyDescent="0.35">
      <c r="A97" s="66"/>
      <c r="Q97" s="101"/>
      <c r="R97" s="184"/>
      <c r="S97" s="304"/>
      <c r="T97" s="308"/>
    </row>
    <row r="98" spans="1:21" x14ac:dyDescent="0.35">
      <c r="A98" s="66" t="s">
        <v>126</v>
      </c>
      <c r="D98" s="6" t="s">
        <v>66</v>
      </c>
      <c r="E98" s="6">
        <f>VLOOKUP($B$1,'Allocated Expenses'!$B$76:$P$85,4,FALSE)</f>
        <v>0</v>
      </c>
      <c r="F98" s="6">
        <f>VLOOKUP($B$1,'Allocated Expenses'!$B$76:$P$85,5,FALSE)</f>
        <v>0</v>
      </c>
      <c r="G98" s="6">
        <f>VLOOKUP($B$1,'Allocated Expenses'!$B$76:$P$85,6,FALSE)</f>
        <v>0</v>
      </c>
      <c r="H98" s="6">
        <f>VLOOKUP($B$1,'Allocated Expenses'!$B$76:$P$85,7,FALSE)</f>
        <v>0</v>
      </c>
      <c r="I98" s="6">
        <f>VLOOKUP($B$1,'Allocated Expenses'!$B$76:$P$85,8,FALSE)</f>
        <v>0</v>
      </c>
      <c r="J98" s="6">
        <f>VLOOKUP($B$1,'Allocated Expenses'!$B$76:$P$85,9,FALSE)</f>
        <v>0</v>
      </c>
      <c r="K98" s="6">
        <f>VLOOKUP($B$1,'Allocated Expenses'!$B$76:$P$85,10,FALSE)</f>
        <v>0</v>
      </c>
      <c r="L98" s="6">
        <f>VLOOKUP($B$1,'Allocated Expenses'!$B$76:$P$85,11,FALSE)</f>
        <v>0</v>
      </c>
      <c r="M98" s="6">
        <f>VLOOKUP($B$1,'Allocated Expenses'!$B$76:$P$85,12,FALSE)</f>
        <v>0</v>
      </c>
      <c r="N98" s="6">
        <f>VLOOKUP($B$1,'Allocated Expenses'!$B$76:$P$85,13,FALSE)</f>
        <v>0</v>
      </c>
      <c r="O98" s="6">
        <f>VLOOKUP($B$1,'Allocated Expenses'!$B$76:$P$85,14,FALSE)</f>
        <v>0</v>
      </c>
      <c r="P98" s="6">
        <f>VLOOKUP($B$1,'Allocated Expenses'!$B$76:$P$85,15,FALSE)</f>
        <v>0</v>
      </c>
      <c r="Q98" s="101">
        <f>SUM(E98:P98)</f>
        <v>0</v>
      </c>
      <c r="R98" s="184">
        <f t="shared" si="31"/>
        <v>0</v>
      </c>
      <c r="S98" s="304"/>
      <c r="T98" s="308"/>
    </row>
    <row r="99" spans="1:21" x14ac:dyDescent="0.35">
      <c r="A99" s="66" t="s">
        <v>142</v>
      </c>
      <c r="D99" s="6" t="s">
        <v>67</v>
      </c>
      <c r="E99" s="6">
        <f>VLOOKUP($B$1,'Allocated Expenses'!$B$104:$P$113,4,FALSE)</f>
        <v>0</v>
      </c>
      <c r="F99" s="6">
        <f>VLOOKUP($B$1,'Allocated Expenses'!$B$104:$P$113,5,FALSE)</f>
        <v>0</v>
      </c>
      <c r="G99" s="6">
        <f>VLOOKUP($B$1,'Allocated Expenses'!$B$104:$P$113,6,FALSE)</f>
        <v>0</v>
      </c>
      <c r="H99" s="6">
        <f>VLOOKUP($B$1,'Allocated Expenses'!$B$104:$P$113,7,FALSE)</f>
        <v>0</v>
      </c>
      <c r="I99" s="6">
        <f>VLOOKUP($B$1,'Allocated Expenses'!$B$104:$P$113,8,FALSE)</f>
        <v>0</v>
      </c>
      <c r="J99" s="6">
        <f>VLOOKUP($B$1,'Allocated Expenses'!$B$104:$P$113,9,FALSE)</f>
        <v>0</v>
      </c>
      <c r="K99" s="6">
        <f>VLOOKUP($B$1,'Allocated Expenses'!$B$104:$P$113,10,FALSE)</f>
        <v>0</v>
      </c>
      <c r="L99" s="6">
        <f>VLOOKUP($B$1,'Allocated Expenses'!$B$104:$P$113,11,FALSE)</f>
        <v>0</v>
      </c>
      <c r="M99" s="6">
        <f>VLOOKUP($B$1,'Allocated Expenses'!$B$104:$P$113,12,FALSE)</f>
        <v>0</v>
      </c>
      <c r="N99" s="6">
        <f>VLOOKUP($B$1,'Allocated Expenses'!$B$104:$P$113,13,FALSE)</f>
        <v>0</v>
      </c>
      <c r="O99" s="6">
        <f>VLOOKUP($B$1,'Allocated Expenses'!$B$104:$P$113,14,FALSE)</f>
        <v>0</v>
      </c>
      <c r="P99" s="6">
        <f>VLOOKUP($B$1,'Allocated Expenses'!$B$104:$P$113,15,FALSE)</f>
        <v>0</v>
      </c>
      <c r="Q99" s="101">
        <f>SUM(E99:P99)</f>
        <v>0</v>
      </c>
      <c r="R99" s="184">
        <f t="shared" si="31"/>
        <v>0</v>
      </c>
      <c r="S99" s="304"/>
      <c r="T99" s="308"/>
    </row>
    <row r="100" spans="1:21" x14ac:dyDescent="0.35">
      <c r="A100" s="66" t="s">
        <v>143</v>
      </c>
      <c r="D100" s="6" t="s">
        <v>68</v>
      </c>
      <c r="E100" s="6">
        <f>VLOOKUP($B$1,'Allocated Expenses'!$B$90:$P$99,4,FALSE)</f>
        <v>0</v>
      </c>
      <c r="F100" s="6">
        <f>VLOOKUP($B$1,'Allocated Expenses'!$B$90:$P$99,5,FALSE)</f>
        <v>0</v>
      </c>
      <c r="G100" s="6">
        <f>VLOOKUP($B$1,'Allocated Expenses'!$B$90:$P$99,6,FALSE)</f>
        <v>0</v>
      </c>
      <c r="H100" s="6">
        <f>VLOOKUP($B$1,'Allocated Expenses'!$B$90:$P$99,7,FALSE)</f>
        <v>0</v>
      </c>
      <c r="I100" s="6">
        <f>VLOOKUP($B$1,'Allocated Expenses'!$B$90:$P$99,8,FALSE)</f>
        <v>0</v>
      </c>
      <c r="J100" s="6">
        <f>VLOOKUP($B$1,'Allocated Expenses'!$B$90:$P$99,9,FALSE)</f>
        <v>0</v>
      </c>
      <c r="K100" s="6">
        <f>VLOOKUP($B$1,'Allocated Expenses'!$B$90:$P$99,10,FALSE)</f>
        <v>0</v>
      </c>
      <c r="L100" s="6">
        <f>VLOOKUP($B$1,'Allocated Expenses'!$B$90:$P$99,11,FALSE)</f>
        <v>0</v>
      </c>
      <c r="M100" s="6">
        <f>VLOOKUP($B$1,'Allocated Expenses'!$B$90:$P$99,12,FALSE)</f>
        <v>0</v>
      </c>
      <c r="N100" s="6">
        <f>VLOOKUP($B$1,'Allocated Expenses'!$B$90:$P$99,13,FALSE)</f>
        <v>0</v>
      </c>
      <c r="O100" s="6">
        <f>VLOOKUP($B$1,'Allocated Expenses'!$B$90:$P$99,14,FALSE)</f>
        <v>0</v>
      </c>
      <c r="P100" s="6">
        <f>VLOOKUP($B$1,'Allocated Expenses'!$B$90:$P$99,15,FALSE)</f>
        <v>0</v>
      </c>
      <c r="Q100" s="101">
        <f>SUM(E100:P100)</f>
        <v>0</v>
      </c>
      <c r="R100" s="184">
        <f t="shared" si="31"/>
        <v>0</v>
      </c>
      <c r="S100" s="304"/>
      <c r="T100" s="308"/>
    </row>
    <row r="101" spans="1:21" x14ac:dyDescent="0.35">
      <c r="A101" s="66" t="s">
        <v>127</v>
      </c>
      <c r="D101" s="6" t="s">
        <v>69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01">
        <f>SUM(E101:P101)</f>
        <v>0</v>
      </c>
      <c r="R101" s="184">
        <f t="shared" si="31"/>
        <v>0</v>
      </c>
      <c r="S101" s="304"/>
      <c r="T101" s="308"/>
    </row>
    <row r="102" spans="1:21" x14ac:dyDescent="0.35">
      <c r="A102" s="66" t="s">
        <v>120</v>
      </c>
      <c r="D102" s="6" t="s">
        <v>70</v>
      </c>
      <c r="E102" s="15">
        <f>VLOOKUP($B$1,'Allocated Expenses'!$B$118:$P$127,4,FALSE)</f>
        <v>3.4333333333333336</v>
      </c>
      <c r="F102" s="15">
        <f>VLOOKUP($B$1,'Allocated Expenses'!$B$118:$P$127,5,FALSE)</f>
        <v>3.4333333333333336</v>
      </c>
      <c r="G102" s="15">
        <f>VLOOKUP($B$1,'Allocated Expenses'!$B$118:$P$127,6,FALSE)</f>
        <v>3.4333333333333336</v>
      </c>
      <c r="H102" s="15">
        <f>VLOOKUP($B$1,'Allocated Expenses'!$B$118:$P$127,7,FALSE)</f>
        <v>3.4333333333333336</v>
      </c>
      <c r="I102" s="15">
        <f>VLOOKUP($B$1,'Allocated Expenses'!$B$118:$P$127,8,FALSE)</f>
        <v>3.4333333333333336</v>
      </c>
      <c r="J102" s="15">
        <f>VLOOKUP($B$1,'Allocated Expenses'!$B$118:$P$127,9,FALSE)</f>
        <v>3.4333333333333336</v>
      </c>
      <c r="K102" s="15">
        <f>VLOOKUP($B$1,'Allocated Expenses'!$B$118:$P$127,10,FALSE)</f>
        <v>3.4333333333333336</v>
      </c>
      <c r="L102" s="15">
        <f>VLOOKUP($B$1,'Allocated Expenses'!$B$118:$P$127,11,FALSE)</f>
        <v>3.4333333333333336</v>
      </c>
      <c r="M102" s="15">
        <f>VLOOKUP($B$1,'Allocated Expenses'!$B$118:$P$127,12,FALSE)</f>
        <v>3.4333333333333336</v>
      </c>
      <c r="N102" s="15">
        <f>VLOOKUP($B$1,'Allocated Expenses'!$B$118:$P$127,13,FALSE)</f>
        <v>3.4333333333333336</v>
      </c>
      <c r="O102" s="15">
        <f>VLOOKUP($B$1,'Allocated Expenses'!$B$118:$P$127,14,FALSE)</f>
        <v>3.4333333333333336</v>
      </c>
      <c r="P102" s="15">
        <f>VLOOKUP($B$1,'Allocated Expenses'!$B$118:$P$127,15,FALSE)</f>
        <v>3.4333333333333336</v>
      </c>
      <c r="Q102" s="108">
        <f>SUM(E102:P102)</f>
        <v>41.2</v>
      </c>
      <c r="R102" s="189">
        <f t="shared" si="31"/>
        <v>3.1070889894419307E-2</v>
      </c>
      <c r="S102" s="304"/>
      <c r="T102" s="308"/>
    </row>
    <row r="103" spans="1:21" x14ac:dyDescent="0.35">
      <c r="A103" s="66"/>
      <c r="C103" s="6" t="s">
        <v>71</v>
      </c>
      <c r="E103" s="15">
        <f t="shared" ref="E103:Q103" si="44">SUM(E98:E102)</f>
        <v>3.4333333333333336</v>
      </c>
      <c r="F103" s="15">
        <f t="shared" si="44"/>
        <v>3.4333333333333336</v>
      </c>
      <c r="G103" s="15">
        <f t="shared" si="44"/>
        <v>3.4333333333333336</v>
      </c>
      <c r="H103" s="15">
        <f t="shared" si="44"/>
        <v>3.4333333333333336</v>
      </c>
      <c r="I103" s="15">
        <f t="shared" si="44"/>
        <v>3.4333333333333336</v>
      </c>
      <c r="J103" s="15">
        <f t="shared" si="44"/>
        <v>3.4333333333333336</v>
      </c>
      <c r="K103" s="15">
        <f t="shared" si="44"/>
        <v>3.4333333333333336</v>
      </c>
      <c r="L103" s="15">
        <f t="shared" si="44"/>
        <v>3.4333333333333336</v>
      </c>
      <c r="M103" s="15">
        <f t="shared" si="44"/>
        <v>3.4333333333333336</v>
      </c>
      <c r="N103" s="15">
        <f t="shared" si="44"/>
        <v>3.4333333333333336</v>
      </c>
      <c r="O103" s="15">
        <f t="shared" si="44"/>
        <v>3.4333333333333336</v>
      </c>
      <c r="P103" s="15">
        <f t="shared" si="44"/>
        <v>3.4333333333333336</v>
      </c>
      <c r="Q103" s="108">
        <f t="shared" si="44"/>
        <v>41.2</v>
      </c>
      <c r="R103" s="189">
        <f t="shared" si="31"/>
        <v>3.1070889894419307E-2</v>
      </c>
      <c r="S103" s="309">
        <v>896</v>
      </c>
      <c r="T103" s="310">
        <f t="shared" ref="T103" si="45">IFERROR(Q103/S103-1,"")</f>
        <v>-0.95401785714285714</v>
      </c>
    </row>
    <row r="104" spans="1:21" x14ac:dyDescent="0.35">
      <c r="A104" s="66"/>
      <c r="Q104" s="101"/>
      <c r="R104" s="184"/>
      <c r="S104" s="304"/>
      <c r="T104" s="308"/>
    </row>
    <row r="105" spans="1:21" ht="18" x14ac:dyDescent="0.35">
      <c r="A105" s="66"/>
      <c r="C105" s="29" t="s">
        <v>72</v>
      </c>
      <c r="D105" s="54"/>
      <c r="E105" s="54">
        <f t="shared" ref="E105:Q105" si="46">+E75+E79+E84+E88+E90+E92+E94+E96+E103</f>
        <v>348.19664600222541</v>
      </c>
      <c r="F105" s="54">
        <f t="shared" si="46"/>
        <v>348.19664600222541</v>
      </c>
      <c r="G105" s="54">
        <f t="shared" si="46"/>
        <v>348.19664600222541</v>
      </c>
      <c r="H105" s="54">
        <f t="shared" si="46"/>
        <v>451.19664600222541</v>
      </c>
      <c r="I105" s="54">
        <f t="shared" si="46"/>
        <v>348.19664600222541</v>
      </c>
      <c r="J105" s="54">
        <f t="shared" si="46"/>
        <v>348.19664600222541</v>
      </c>
      <c r="K105" s="54">
        <f t="shared" si="46"/>
        <v>348.19664600222541</v>
      </c>
      <c r="L105" s="54">
        <f t="shared" si="46"/>
        <v>348.19664600222541</v>
      </c>
      <c r="M105" s="54">
        <f t="shared" si="46"/>
        <v>348.19664600222541</v>
      </c>
      <c r="N105" s="54">
        <f t="shared" si="46"/>
        <v>348.19664600222541</v>
      </c>
      <c r="O105" s="54">
        <f t="shared" si="46"/>
        <v>348.19664600222541</v>
      </c>
      <c r="P105" s="54">
        <f t="shared" si="46"/>
        <v>348.19664600222541</v>
      </c>
      <c r="Q105" s="109">
        <f t="shared" si="46"/>
        <v>4281.3597520267049</v>
      </c>
      <c r="R105" s="190">
        <f t="shared" si="31"/>
        <v>3.2287780935344683</v>
      </c>
      <c r="S105" s="315">
        <f t="shared" ref="S105" si="47">+S75+S79+S84+S88+S90+S92+S94+S96+S103</f>
        <v>8679</v>
      </c>
      <c r="T105" s="310">
        <f t="shared" ref="T105" si="48">IFERROR(Q105/S105-1,"")</f>
        <v>-0.50669895701962153</v>
      </c>
    </row>
    <row r="106" spans="1:21" ht="18" x14ac:dyDescent="0.35">
      <c r="A106" s="66"/>
      <c r="Q106" s="103"/>
      <c r="R106" s="185"/>
      <c r="S106" s="311"/>
      <c r="T106" s="312"/>
    </row>
    <row r="107" spans="1:21" ht="16.5" thickBot="1" x14ac:dyDescent="0.4">
      <c r="A107" s="66"/>
      <c r="Q107" s="101"/>
      <c r="R107" s="184"/>
      <c r="S107" s="304"/>
      <c r="T107" s="308"/>
    </row>
    <row r="108" spans="1:21" s="8" customFormat="1" ht="18" thickBot="1" x14ac:dyDescent="0.4">
      <c r="A108" s="218"/>
      <c r="B108" s="219" t="s">
        <v>73</v>
      </c>
      <c r="C108" s="220"/>
      <c r="D108" s="220"/>
      <c r="E108" s="220">
        <f t="shared" ref="E108:Q108" si="49">+E71+E105</f>
        <v>690.9892583739769</v>
      </c>
      <c r="F108" s="220">
        <f t="shared" si="49"/>
        <v>690.9892583739769</v>
      </c>
      <c r="G108" s="220">
        <f t="shared" si="49"/>
        <v>690.9892583739769</v>
      </c>
      <c r="H108" s="220">
        <f t="shared" si="49"/>
        <v>793.9892583739769</v>
      </c>
      <c r="I108" s="220">
        <f t="shared" si="49"/>
        <v>690.9892583739769</v>
      </c>
      <c r="J108" s="220">
        <f t="shared" si="49"/>
        <v>690.9892583739769</v>
      </c>
      <c r="K108" s="220">
        <f t="shared" si="49"/>
        <v>690.9892583739769</v>
      </c>
      <c r="L108" s="220">
        <f t="shared" si="49"/>
        <v>690.9892583739769</v>
      </c>
      <c r="M108" s="220">
        <f t="shared" si="49"/>
        <v>690.9892583739769</v>
      </c>
      <c r="N108" s="220">
        <f t="shared" si="49"/>
        <v>690.9892583739769</v>
      </c>
      <c r="O108" s="220">
        <f t="shared" si="49"/>
        <v>691.86925837397689</v>
      </c>
      <c r="P108" s="220">
        <f t="shared" si="49"/>
        <v>691.86925837397689</v>
      </c>
      <c r="Q108" s="221">
        <f t="shared" si="49"/>
        <v>8396.6311004877225</v>
      </c>
      <c r="R108" s="222">
        <f t="shared" si="31"/>
        <v>6.3323009807599719</v>
      </c>
      <c r="S108" s="313">
        <f t="shared" ref="S108" si="50">+S71+S105</f>
        <v>16020</v>
      </c>
      <c r="T108" s="314">
        <f>Q108/S108-1</f>
        <v>-0.47586572406443683</v>
      </c>
      <c r="U108" s="238"/>
    </row>
    <row r="109" spans="1:21" ht="18" x14ac:dyDescent="0.35">
      <c r="A109" s="66"/>
      <c r="Q109" s="103"/>
      <c r="R109" s="185"/>
      <c r="S109" s="311"/>
      <c r="T109" s="312"/>
    </row>
    <row r="110" spans="1:21" ht="16.5" thickBot="1" x14ac:dyDescent="0.4">
      <c r="A110" s="66"/>
      <c r="Q110" s="101"/>
      <c r="R110" s="184"/>
      <c r="S110" s="304"/>
      <c r="T110" s="308"/>
    </row>
    <row r="111" spans="1:21" s="8" customFormat="1" ht="18" thickBot="1" x14ac:dyDescent="0.4">
      <c r="A111" s="218"/>
      <c r="B111" s="219" t="s">
        <v>74</v>
      </c>
      <c r="C111" s="220"/>
      <c r="D111" s="220"/>
      <c r="E111" s="220">
        <f t="shared" ref="E111:Q111" si="51">+E24-E108</f>
        <v>1391.9307416260231</v>
      </c>
      <c r="F111" s="220">
        <f t="shared" si="51"/>
        <v>1391.9307416260231</v>
      </c>
      <c r="G111" s="220">
        <f t="shared" si="51"/>
        <v>1391.9307416260231</v>
      </c>
      <c r="H111" s="220">
        <f t="shared" si="51"/>
        <v>1288.9307416260231</v>
      </c>
      <c r="I111" s="220">
        <f t="shared" si="51"/>
        <v>1391.9307416260231</v>
      </c>
      <c r="J111" s="220">
        <f t="shared" si="51"/>
        <v>1391.9307416260231</v>
      </c>
      <c r="K111" s="220">
        <f t="shared" si="51"/>
        <v>1391.9307416260231</v>
      </c>
      <c r="L111" s="220">
        <f t="shared" si="51"/>
        <v>1391.9307416260231</v>
      </c>
      <c r="M111" s="220">
        <f t="shared" si="51"/>
        <v>1391.9307416260231</v>
      </c>
      <c r="N111" s="220">
        <f t="shared" si="51"/>
        <v>1391.9307416260231</v>
      </c>
      <c r="O111" s="220">
        <f t="shared" si="51"/>
        <v>1391.0507416260232</v>
      </c>
      <c r="P111" s="220">
        <f t="shared" si="51"/>
        <v>1391.0507416260232</v>
      </c>
      <c r="Q111" s="221">
        <f t="shared" si="51"/>
        <v>16598.408899512273</v>
      </c>
      <c r="R111" s="222">
        <f t="shared" si="31"/>
        <v>12.517653770371247</v>
      </c>
      <c r="S111" s="313">
        <f t="shared" ref="S111" si="52">+S24-S108</f>
        <v>10444</v>
      </c>
      <c r="T111" s="314">
        <f>Q111/S111-1</f>
        <v>0.58927699152741031</v>
      </c>
      <c r="U111" s="238"/>
    </row>
    <row r="112" spans="1:21" ht="18" x14ac:dyDescent="0.35">
      <c r="A112" s="66"/>
      <c r="Q112" s="103"/>
      <c r="R112" s="185"/>
      <c r="S112" s="311"/>
      <c r="T112" s="312"/>
    </row>
    <row r="113" spans="1:21" x14ac:dyDescent="0.35">
      <c r="A113" s="66" t="s">
        <v>121</v>
      </c>
      <c r="D113" s="6" t="s">
        <v>75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01">
        <f>SUM(E113:P113)</f>
        <v>0</v>
      </c>
      <c r="R113" s="184">
        <f t="shared" si="31"/>
        <v>0</v>
      </c>
      <c r="S113" s="304"/>
      <c r="T113" s="308"/>
    </row>
    <row r="114" spans="1:21" x14ac:dyDescent="0.35">
      <c r="A114" s="66" t="s">
        <v>122</v>
      </c>
      <c r="D114" s="6" t="s">
        <v>76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01">
        <f>SUM(E114:P114)</f>
        <v>0</v>
      </c>
      <c r="R114" s="184">
        <f t="shared" si="31"/>
        <v>0</v>
      </c>
      <c r="S114" s="304"/>
      <c r="T114" s="308"/>
    </row>
    <row r="115" spans="1:21" x14ac:dyDescent="0.35">
      <c r="A115" s="66" t="s">
        <v>123</v>
      </c>
      <c r="D115" s="6" t="s">
        <v>77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01">
        <f>SUM(E115:P115)</f>
        <v>0</v>
      </c>
      <c r="R115" s="184">
        <f t="shared" si="31"/>
        <v>0</v>
      </c>
      <c r="S115" s="304"/>
      <c r="T115" s="308"/>
    </row>
    <row r="116" spans="1:21" x14ac:dyDescent="0.35">
      <c r="A116" s="66" t="s">
        <v>129</v>
      </c>
      <c r="D116" s="6" t="s">
        <v>78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08">
        <f>SUM(E116:P116)</f>
        <v>0</v>
      </c>
      <c r="R116" s="189">
        <f t="shared" si="31"/>
        <v>0</v>
      </c>
      <c r="S116" s="304"/>
      <c r="T116" s="308"/>
    </row>
    <row r="117" spans="1:21" x14ac:dyDescent="0.35">
      <c r="A117" s="66"/>
      <c r="C117" s="6" t="s">
        <v>78</v>
      </c>
      <c r="E117" s="15">
        <f t="shared" ref="E117:Q117" si="53">SUM(E113:E116)</f>
        <v>0</v>
      </c>
      <c r="F117" s="15">
        <f t="shared" si="53"/>
        <v>0</v>
      </c>
      <c r="G117" s="15">
        <f t="shared" si="53"/>
        <v>0</v>
      </c>
      <c r="H117" s="15">
        <f t="shared" si="53"/>
        <v>0</v>
      </c>
      <c r="I117" s="15">
        <f t="shared" si="53"/>
        <v>0</v>
      </c>
      <c r="J117" s="15">
        <f t="shared" si="53"/>
        <v>0</v>
      </c>
      <c r="K117" s="15">
        <f t="shared" si="53"/>
        <v>0</v>
      </c>
      <c r="L117" s="15">
        <f t="shared" si="53"/>
        <v>0</v>
      </c>
      <c r="M117" s="15">
        <f t="shared" si="53"/>
        <v>0</v>
      </c>
      <c r="N117" s="15">
        <f t="shared" si="53"/>
        <v>0</v>
      </c>
      <c r="O117" s="15">
        <f t="shared" si="53"/>
        <v>0</v>
      </c>
      <c r="P117" s="15">
        <f t="shared" si="53"/>
        <v>0</v>
      </c>
      <c r="Q117" s="108">
        <f t="shared" si="53"/>
        <v>0</v>
      </c>
      <c r="R117" s="189">
        <f t="shared" si="31"/>
        <v>0</v>
      </c>
      <c r="S117" s="309">
        <v>0</v>
      </c>
      <c r="T117" s="310" t="str">
        <f>IFERROR(Q117/S117-1,"")</f>
        <v/>
      </c>
    </row>
    <row r="118" spans="1:21" x14ac:dyDescent="0.35">
      <c r="A118" s="66"/>
      <c r="Q118" s="101"/>
      <c r="R118" s="184"/>
      <c r="S118" s="304"/>
      <c r="T118" s="308"/>
    </row>
    <row r="119" spans="1:21" x14ac:dyDescent="0.35">
      <c r="A119" s="66" t="s">
        <v>124</v>
      </c>
      <c r="C119" s="6" t="s">
        <v>79</v>
      </c>
      <c r="E119" s="6">
        <f>'Renew &amp; Vac '!AJ99</f>
        <v>0</v>
      </c>
      <c r="F119" s="6">
        <f>'Renew &amp; Vac '!AK99</f>
        <v>0</v>
      </c>
      <c r="G119" s="6">
        <f>'Renew &amp; Vac '!AL99</f>
        <v>0</v>
      </c>
      <c r="H119" s="6">
        <f>'Renew &amp; Vac '!AM99</f>
        <v>0</v>
      </c>
      <c r="I119" s="6">
        <f>'Renew &amp; Vac '!AN99</f>
        <v>0</v>
      </c>
      <c r="J119" s="6">
        <f>'Renew &amp; Vac '!AO99</f>
        <v>0</v>
      </c>
      <c r="K119" s="6">
        <f>'Renew &amp; Vac '!AP99</f>
        <v>0</v>
      </c>
      <c r="L119" s="6">
        <f>'Renew &amp; Vac '!AQ99</f>
        <v>0</v>
      </c>
      <c r="M119" s="6">
        <f>'Renew &amp; Vac '!AR99</f>
        <v>0</v>
      </c>
      <c r="N119" s="6">
        <f>'Renew &amp; Vac '!AS99</f>
        <v>0</v>
      </c>
      <c r="O119" s="6">
        <f>'Renew &amp; Vac '!AT99</f>
        <v>0</v>
      </c>
      <c r="P119" s="6">
        <f>'Renew &amp; Vac '!AU99</f>
        <v>0</v>
      </c>
      <c r="Q119" s="101">
        <f>SUM(E119:P119)</f>
        <v>0</v>
      </c>
      <c r="R119" s="184">
        <f t="shared" si="31"/>
        <v>0</v>
      </c>
      <c r="S119" s="304">
        <v>0</v>
      </c>
      <c r="T119" s="308" t="str">
        <f t="shared" ref="T119" si="54">IFERROR(Q119/S119-1,"")</f>
        <v/>
      </c>
    </row>
    <row r="120" spans="1:21" ht="18" x14ac:dyDescent="0.35">
      <c r="A120" s="6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11"/>
      <c r="R120" s="192"/>
      <c r="S120" s="317"/>
      <c r="T120" s="318"/>
    </row>
    <row r="121" spans="1:21" ht="18" x14ac:dyDescent="0.35">
      <c r="A121" s="66" t="s">
        <v>125</v>
      </c>
      <c r="D121" s="6" t="s">
        <v>80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03">
        <f>SUM(E121:P121)</f>
        <v>0</v>
      </c>
      <c r="R121" s="185">
        <f t="shared" si="31"/>
        <v>0</v>
      </c>
      <c r="S121" s="311"/>
      <c r="T121" s="312"/>
    </row>
    <row r="122" spans="1:21" x14ac:dyDescent="0.35">
      <c r="A122" s="66" t="s">
        <v>125</v>
      </c>
      <c r="B122" s="8"/>
      <c r="D122" s="6" t="s">
        <v>81</v>
      </c>
      <c r="E122" s="15">
        <f>'Renew &amp; Vac '!AJ100</f>
        <v>0</v>
      </c>
      <c r="F122" s="15">
        <f>'Renew &amp; Vac '!AK100</f>
        <v>0</v>
      </c>
      <c r="G122" s="15">
        <f>'Renew &amp; Vac '!AL100</f>
        <v>0</v>
      </c>
      <c r="H122" s="15">
        <f>'Renew &amp; Vac '!AM100</f>
        <v>0</v>
      </c>
      <c r="I122" s="15">
        <f>'Renew &amp; Vac '!AN100</f>
        <v>0</v>
      </c>
      <c r="J122" s="15">
        <f>'Renew &amp; Vac '!AO100</f>
        <v>0</v>
      </c>
      <c r="K122" s="15">
        <f>'Renew &amp; Vac '!AP100</f>
        <v>0</v>
      </c>
      <c r="L122" s="15">
        <f>'Renew &amp; Vac '!AQ100</f>
        <v>0</v>
      </c>
      <c r="M122" s="15">
        <f>'Renew &amp; Vac '!AR100</f>
        <v>0</v>
      </c>
      <c r="N122" s="15">
        <f>'Renew &amp; Vac '!AS100</f>
        <v>0</v>
      </c>
      <c r="O122" s="15">
        <f>'Renew &amp; Vac '!AT100</f>
        <v>0</v>
      </c>
      <c r="P122" s="15">
        <f>'Renew &amp; Vac '!AU100</f>
        <v>0</v>
      </c>
      <c r="Q122" s="108">
        <f>SUM(E122:P122)</f>
        <v>0</v>
      </c>
      <c r="R122" s="189">
        <f t="shared" si="31"/>
        <v>0</v>
      </c>
      <c r="S122" s="319"/>
      <c r="T122" s="320"/>
    </row>
    <row r="123" spans="1:21" x14ac:dyDescent="0.35">
      <c r="A123" s="66"/>
      <c r="C123" s="6" t="s">
        <v>81</v>
      </c>
      <c r="D123" s="30"/>
      <c r="E123" s="6">
        <f>SUM(E121:E121)</f>
        <v>0</v>
      </c>
      <c r="F123" s="6">
        <f t="shared" ref="F123:Q123" si="55">SUM(F121:F122)</f>
        <v>0</v>
      </c>
      <c r="G123" s="6">
        <f t="shared" si="55"/>
        <v>0</v>
      </c>
      <c r="H123" s="6">
        <f t="shared" si="55"/>
        <v>0</v>
      </c>
      <c r="I123" s="6">
        <f t="shared" si="55"/>
        <v>0</v>
      </c>
      <c r="J123" s="6">
        <f t="shared" si="55"/>
        <v>0</v>
      </c>
      <c r="K123" s="6">
        <f t="shared" si="55"/>
        <v>0</v>
      </c>
      <c r="L123" s="6">
        <f t="shared" si="55"/>
        <v>0</v>
      </c>
      <c r="M123" s="6">
        <f t="shared" si="55"/>
        <v>0</v>
      </c>
      <c r="N123" s="6">
        <f t="shared" si="55"/>
        <v>0</v>
      </c>
      <c r="O123" s="6">
        <f t="shared" si="55"/>
        <v>0</v>
      </c>
      <c r="P123" s="6">
        <f t="shared" si="55"/>
        <v>0</v>
      </c>
      <c r="Q123" s="101">
        <f t="shared" si="55"/>
        <v>0</v>
      </c>
      <c r="R123" s="184">
        <f t="shared" si="31"/>
        <v>0</v>
      </c>
      <c r="S123" s="309"/>
      <c r="T123" s="310" t="str">
        <f t="shared" ref="T123" si="56">IFERROR(Q123/S123-1,"")</f>
        <v/>
      </c>
    </row>
    <row r="124" spans="1:21" s="8" customFormat="1" ht="18.5" thickBot="1" x14ac:dyDescent="0.4">
      <c r="A124" s="67"/>
      <c r="Q124" s="113"/>
      <c r="R124" s="194"/>
      <c r="S124" s="321"/>
      <c r="T124" s="322"/>
      <c r="U124" s="238"/>
    </row>
    <row r="125" spans="1:21" s="8" customFormat="1" ht="18" thickBot="1" x14ac:dyDescent="0.4">
      <c r="A125" s="218"/>
      <c r="B125" s="219" t="s">
        <v>82</v>
      </c>
      <c r="C125" s="220"/>
      <c r="D125" s="220"/>
      <c r="E125" s="220">
        <f t="shared" ref="E125:Q125" si="57">+E111-E117-E119-E123</f>
        <v>1391.9307416260231</v>
      </c>
      <c r="F125" s="220">
        <f t="shared" si="57"/>
        <v>1391.9307416260231</v>
      </c>
      <c r="G125" s="220">
        <f t="shared" si="57"/>
        <v>1391.9307416260231</v>
      </c>
      <c r="H125" s="220">
        <f t="shared" si="57"/>
        <v>1288.9307416260231</v>
      </c>
      <c r="I125" s="220">
        <f t="shared" si="57"/>
        <v>1391.9307416260231</v>
      </c>
      <c r="J125" s="220">
        <f t="shared" si="57"/>
        <v>1391.9307416260231</v>
      </c>
      <c r="K125" s="220">
        <f t="shared" si="57"/>
        <v>1391.9307416260231</v>
      </c>
      <c r="L125" s="220">
        <f t="shared" si="57"/>
        <v>1391.9307416260231</v>
      </c>
      <c r="M125" s="220">
        <f t="shared" si="57"/>
        <v>1391.9307416260231</v>
      </c>
      <c r="N125" s="220">
        <f t="shared" si="57"/>
        <v>1391.9307416260231</v>
      </c>
      <c r="O125" s="220">
        <f t="shared" si="57"/>
        <v>1391.0507416260232</v>
      </c>
      <c r="P125" s="220">
        <f t="shared" si="57"/>
        <v>1391.0507416260232</v>
      </c>
      <c r="Q125" s="221">
        <f t="shared" si="57"/>
        <v>16598.408899512273</v>
      </c>
      <c r="R125" s="225">
        <f t="shared" si="31"/>
        <v>12.517653770371247</v>
      </c>
      <c r="S125" s="313">
        <f>+S111-S117-S119-S123</f>
        <v>10444</v>
      </c>
      <c r="T125" s="314">
        <f>Q125/S125-1</f>
        <v>0.58927699152741031</v>
      </c>
      <c r="U125" s="238"/>
    </row>
    <row r="126" spans="1:21" ht="18" x14ac:dyDescent="0.35">
      <c r="A126" s="66"/>
      <c r="Q126" s="101"/>
      <c r="R126" s="184"/>
      <c r="S126" s="311"/>
      <c r="T126" s="312"/>
    </row>
    <row r="127" spans="1:21" x14ac:dyDescent="0.35">
      <c r="A127" s="66"/>
      <c r="B127" s="6" t="s">
        <v>83</v>
      </c>
      <c r="Q127" s="101"/>
      <c r="R127" s="184"/>
      <c r="S127" s="304"/>
      <c r="T127" s="308"/>
    </row>
    <row r="128" spans="1:21" x14ac:dyDescent="0.35">
      <c r="A128" s="66" t="s">
        <v>128</v>
      </c>
      <c r="C128" s="6" t="s">
        <v>84</v>
      </c>
      <c r="E128" s="6">
        <f>VLOOKUP($B$1,'INS RET DEBT'!$C$98:$Q$107,3,FALSE)</f>
        <v>0</v>
      </c>
      <c r="F128" s="6">
        <f>VLOOKUP($B$1,'INS RET DEBT'!$C$98:$Q$107,4,FALSE)</f>
        <v>0</v>
      </c>
      <c r="G128" s="6">
        <f>VLOOKUP($B$1,'INS RET DEBT'!$C$98:$Q$107,5,FALSE)</f>
        <v>0</v>
      </c>
      <c r="H128" s="6">
        <f>VLOOKUP($B$1,'INS RET DEBT'!$C$98:$Q$107,6,FALSE)</f>
        <v>0</v>
      </c>
      <c r="I128" s="6">
        <f>VLOOKUP($B$1,'INS RET DEBT'!$C$98:$Q$107,7,FALSE)</f>
        <v>0</v>
      </c>
      <c r="J128" s="6">
        <f>VLOOKUP($B$1,'INS RET DEBT'!$C$98:$Q$107,8,FALSE)</f>
        <v>0</v>
      </c>
      <c r="K128" s="6">
        <f>VLOOKUP($B$1,'INS RET DEBT'!$C$98:$Q$107,9,FALSE)</f>
        <v>0</v>
      </c>
      <c r="L128" s="6">
        <f>VLOOKUP($B$1,'INS RET DEBT'!$C$98:$Q$107,10,FALSE)</f>
        <v>0</v>
      </c>
      <c r="M128" s="6">
        <f>VLOOKUP($B$1,'INS RET DEBT'!$C$98:$Q$107,11,FALSE)</f>
        <v>0</v>
      </c>
      <c r="N128" s="6">
        <f>VLOOKUP($B$1,'INS RET DEBT'!$C$98:$Q$107,12,FALSE)</f>
        <v>0</v>
      </c>
      <c r="O128" s="6">
        <f>VLOOKUP($B$1,'INS RET DEBT'!$C$98:$Q$107,13,FALSE)</f>
        <v>0</v>
      </c>
      <c r="P128" s="6">
        <f>VLOOKUP($B$1,'INS RET DEBT'!$C$98:$Q$107,14,FALSE)</f>
        <v>0</v>
      </c>
      <c r="Q128" s="101">
        <f>SUM(E128:P128)</f>
        <v>0</v>
      </c>
      <c r="R128" s="184">
        <f t="shared" si="31"/>
        <v>0</v>
      </c>
      <c r="S128" s="304">
        <v>0</v>
      </c>
      <c r="T128" s="308" t="str">
        <f t="shared" ref="T128:T129" si="58">IFERROR(Q128/S128-1,"")</f>
        <v/>
      </c>
    </row>
    <row r="129" spans="1:21" x14ac:dyDescent="0.35">
      <c r="A129" s="66" t="s">
        <v>145</v>
      </c>
      <c r="C129" s="6" t="s">
        <v>85</v>
      </c>
      <c r="E129" s="6">
        <f>VLOOKUP($B$1,'INS RET DEBT'!$C$113:$Q$122,3,FALSE)</f>
        <v>0</v>
      </c>
      <c r="F129" s="6">
        <f>VLOOKUP($B$1,'INS RET DEBT'!$C$113:$Q$122,4,FALSE)</f>
        <v>0</v>
      </c>
      <c r="G129" s="6">
        <f>VLOOKUP($B$1,'INS RET DEBT'!$C$113:$Q$122,5,FALSE)</f>
        <v>0</v>
      </c>
      <c r="H129" s="6">
        <f>VLOOKUP($B$1,'INS RET DEBT'!$C$113:$Q$122,6,FALSE)</f>
        <v>0</v>
      </c>
      <c r="I129" s="6">
        <f>VLOOKUP($B$1,'INS RET DEBT'!$C$113:$Q$122,7,FALSE)</f>
        <v>0</v>
      </c>
      <c r="J129" s="6">
        <f>VLOOKUP($B$1,'INS RET DEBT'!$C$113:$Q$122,8,FALSE)</f>
        <v>0</v>
      </c>
      <c r="K129" s="6">
        <f>VLOOKUP($B$1,'INS RET DEBT'!$C$113:$Q$122,9,FALSE)</f>
        <v>0</v>
      </c>
      <c r="L129" s="6">
        <f>VLOOKUP($B$1,'INS RET DEBT'!$C$113:$Q$122,10,FALSE)</f>
        <v>0</v>
      </c>
      <c r="M129" s="6">
        <f>VLOOKUP($B$1,'INS RET DEBT'!$C$113:$Q$122,11,FALSE)</f>
        <v>0</v>
      </c>
      <c r="N129" s="6">
        <f>VLOOKUP($B$1,'INS RET DEBT'!$C$113:$Q$122,12,FALSE)</f>
        <v>0</v>
      </c>
      <c r="O129" s="6">
        <f>VLOOKUP($B$1,'INS RET DEBT'!$C$113:$Q$122,13,FALSE)</f>
        <v>0</v>
      </c>
      <c r="P129" s="6">
        <f>VLOOKUP($B$1,'INS RET DEBT'!$C$113:$Q$122,14,FALSE)</f>
        <v>0</v>
      </c>
      <c r="Q129" s="101">
        <f>SUM(E129:P129)</f>
        <v>0</v>
      </c>
      <c r="R129" s="184">
        <f t="shared" si="31"/>
        <v>0</v>
      </c>
      <c r="S129" s="304">
        <v>0</v>
      </c>
      <c r="T129" s="308" t="str">
        <f t="shared" si="58"/>
        <v/>
      </c>
    </row>
    <row r="130" spans="1:21" x14ac:dyDescent="0.35">
      <c r="A130" s="66" t="s">
        <v>146</v>
      </c>
      <c r="C130" s="6" t="s">
        <v>86</v>
      </c>
      <c r="Q130" s="101">
        <f>SUM(E130:P130)</f>
        <v>0</v>
      </c>
      <c r="R130" s="184">
        <f t="shared" si="31"/>
        <v>0</v>
      </c>
      <c r="S130" s="304"/>
      <c r="T130" s="308"/>
    </row>
    <row r="131" spans="1:21" x14ac:dyDescent="0.35">
      <c r="A131" s="66"/>
      <c r="C131" s="6" t="s">
        <v>87</v>
      </c>
      <c r="E131" s="28">
        <f t="shared" ref="E131:Q131" si="59">SUM(E128:E130)</f>
        <v>0</v>
      </c>
      <c r="F131" s="28">
        <f t="shared" si="59"/>
        <v>0</v>
      </c>
      <c r="G131" s="28">
        <f t="shared" si="59"/>
        <v>0</v>
      </c>
      <c r="H131" s="28">
        <f t="shared" si="59"/>
        <v>0</v>
      </c>
      <c r="I131" s="28">
        <f t="shared" si="59"/>
        <v>0</v>
      </c>
      <c r="J131" s="28">
        <f t="shared" si="59"/>
        <v>0</v>
      </c>
      <c r="K131" s="28">
        <f t="shared" si="59"/>
        <v>0</v>
      </c>
      <c r="L131" s="28">
        <f t="shared" si="59"/>
        <v>0</v>
      </c>
      <c r="M131" s="28">
        <f t="shared" si="59"/>
        <v>0</v>
      </c>
      <c r="N131" s="28">
        <f t="shared" si="59"/>
        <v>0</v>
      </c>
      <c r="O131" s="28">
        <f t="shared" si="59"/>
        <v>0</v>
      </c>
      <c r="P131" s="28">
        <f t="shared" si="59"/>
        <v>0</v>
      </c>
      <c r="Q131" s="110">
        <f t="shared" si="59"/>
        <v>0</v>
      </c>
      <c r="R131" s="191">
        <f t="shared" si="31"/>
        <v>0</v>
      </c>
      <c r="S131" s="309">
        <f>SUM(S128:S129)</f>
        <v>0</v>
      </c>
      <c r="T131" s="310" t="str">
        <f>IFERROR(Q131/S131-1,"")</f>
        <v/>
      </c>
    </row>
    <row r="132" spans="1:21" ht="18" x14ac:dyDescent="0.35">
      <c r="A132" s="66"/>
      <c r="Q132" s="101"/>
      <c r="R132" s="184"/>
      <c r="S132" s="311"/>
      <c r="T132" s="312"/>
    </row>
    <row r="133" spans="1:21" ht="18.5" thickBot="1" x14ac:dyDescent="0.4">
      <c r="A133" s="67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12"/>
      <c r="R133" s="193"/>
      <c r="S133" s="311"/>
      <c r="T133" s="312"/>
    </row>
    <row r="134" spans="1:21" s="8" customFormat="1" ht="18" thickBot="1" x14ac:dyDescent="0.4">
      <c r="A134" s="218"/>
      <c r="B134" s="219" t="s">
        <v>88</v>
      </c>
      <c r="C134" s="220"/>
      <c r="D134" s="220"/>
      <c r="E134" s="220">
        <f t="shared" ref="E134:Q134" si="60">+E125-E131</f>
        <v>1391.9307416260231</v>
      </c>
      <c r="F134" s="220">
        <f t="shared" si="60"/>
        <v>1391.9307416260231</v>
      </c>
      <c r="G134" s="220">
        <f t="shared" si="60"/>
        <v>1391.9307416260231</v>
      </c>
      <c r="H134" s="220">
        <f t="shared" si="60"/>
        <v>1288.9307416260231</v>
      </c>
      <c r="I134" s="220">
        <f t="shared" si="60"/>
        <v>1391.9307416260231</v>
      </c>
      <c r="J134" s="220">
        <f t="shared" si="60"/>
        <v>1391.9307416260231</v>
      </c>
      <c r="K134" s="220">
        <f t="shared" si="60"/>
        <v>1391.9307416260231</v>
      </c>
      <c r="L134" s="220">
        <f t="shared" si="60"/>
        <v>1391.9307416260231</v>
      </c>
      <c r="M134" s="220">
        <f t="shared" si="60"/>
        <v>1391.9307416260231</v>
      </c>
      <c r="N134" s="220">
        <f t="shared" si="60"/>
        <v>1391.9307416260231</v>
      </c>
      <c r="O134" s="220">
        <f t="shared" si="60"/>
        <v>1391.0507416260232</v>
      </c>
      <c r="P134" s="220">
        <f t="shared" si="60"/>
        <v>1391.0507416260232</v>
      </c>
      <c r="Q134" s="221">
        <f t="shared" si="60"/>
        <v>16598.408899512273</v>
      </c>
      <c r="R134" s="225">
        <f t="shared" si="31"/>
        <v>12.517653770371247</v>
      </c>
      <c r="S134" s="313">
        <f>+S125-S131</f>
        <v>10444</v>
      </c>
      <c r="T134" s="314">
        <f>Q134/S134-1</f>
        <v>0.58927699152741031</v>
      </c>
      <c r="U134" s="238"/>
    </row>
    <row r="135" spans="1:21" ht="18" x14ac:dyDescent="0.35">
      <c r="A135" s="68"/>
      <c r="B135" s="8"/>
      <c r="C135" s="32"/>
      <c r="S135" s="328"/>
      <c r="T135" s="329"/>
    </row>
    <row r="136" spans="1:21" s="8" customFormat="1" ht="17.5" x14ac:dyDescent="0.3">
      <c r="A136" s="68"/>
      <c r="C136" s="32"/>
      <c r="D136" s="33"/>
      <c r="S136" s="328"/>
      <c r="T136" s="329"/>
      <c r="U136" s="238"/>
    </row>
    <row r="137" spans="1:21" ht="18" x14ac:dyDescent="0.35">
      <c r="A137" s="66"/>
      <c r="S137" s="328"/>
      <c r="T137" s="329"/>
    </row>
    <row r="138" spans="1:21" x14ac:dyDescent="0.35">
      <c r="A138" s="69"/>
    </row>
    <row r="139" spans="1:21" x14ac:dyDescent="0.35">
      <c r="A139" s="69"/>
      <c r="S139" s="330"/>
    </row>
    <row r="140" spans="1:21" x14ac:dyDescent="0.35">
      <c r="A140" s="47"/>
    </row>
    <row r="141" spans="1:21" ht="17.5" x14ac:dyDescent="0.35">
      <c r="A141" s="47"/>
      <c r="S141" s="9"/>
      <c r="T141" s="331"/>
    </row>
    <row r="142" spans="1:21" ht="18" x14ac:dyDescent="0.35">
      <c r="A142" s="47"/>
      <c r="S142" s="328"/>
      <c r="T142" s="329"/>
    </row>
    <row r="143" spans="1:21" x14ac:dyDescent="0.35">
      <c r="A143" s="47"/>
    </row>
    <row r="144" spans="1:21" x14ac:dyDescent="0.35">
      <c r="A144" s="47"/>
    </row>
    <row r="145" spans="1:20" ht="18" x14ac:dyDescent="0.35">
      <c r="A145" s="47"/>
      <c r="D145" s="7" t="str">
        <f>"Budget Import - "&amp;B1</f>
        <v>Budget Import - 5600</v>
      </c>
      <c r="E145" s="389">
        <v>5</v>
      </c>
      <c r="F145" s="390">
        <f>E145+1</f>
        <v>6</v>
      </c>
      <c r="G145" s="390">
        <f t="shared" ref="G145:P145" si="61">F145+1</f>
        <v>7</v>
      </c>
      <c r="H145" s="390">
        <f t="shared" si="61"/>
        <v>8</v>
      </c>
      <c r="I145" s="390">
        <f t="shared" si="61"/>
        <v>9</v>
      </c>
      <c r="J145" s="390">
        <f t="shared" si="61"/>
        <v>10</v>
      </c>
      <c r="K145" s="390">
        <f t="shared" si="61"/>
        <v>11</v>
      </c>
      <c r="L145" s="390">
        <f t="shared" si="61"/>
        <v>12</v>
      </c>
      <c r="M145" s="390">
        <f t="shared" si="61"/>
        <v>13</v>
      </c>
      <c r="N145" s="390">
        <f t="shared" si="61"/>
        <v>14</v>
      </c>
      <c r="O145" s="390">
        <f t="shared" si="61"/>
        <v>15</v>
      </c>
      <c r="P145" s="390">
        <f t="shared" si="61"/>
        <v>16</v>
      </c>
      <c r="Q145" s="390" t="s">
        <v>566</v>
      </c>
    </row>
    <row r="146" spans="1:20" ht="16.5" thickBot="1" x14ac:dyDescent="0.4">
      <c r="A146" s="47"/>
      <c r="D146" s="6" t="s">
        <v>96</v>
      </c>
      <c r="E146" s="6">
        <v>1</v>
      </c>
      <c r="F146" s="6">
        <v>2</v>
      </c>
      <c r="G146" s="6">
        <v>3</v>
      </c>
      <c r="H146" s="6">
        <v>4</v>
      </c>
      <c r="I146" s="6">
        <v>5</v>
      </c>
      <c r="J146" s="6">
        <v>6</v>
      </c>
      <c r="K146" s="6">
        <v>7</v>
      </c>
      <c r="L146" s="6">
        <v>8</v>
      </c>
      <c r="M146" s="6">
        <v>9</v>
      </c>
      <c r="N146" s="6">
        <v>10</v>
      </c>
      <c r="O146" s="6">
        <v>11</v>
      </c>
      <c r="P146" s="6">
        <v>12</v>
      </c>
      <c r="Q146" s="13" t="s">
        <v>12</v>
      </c>
    </row>
    <row r="147" spans="1:20" x14ac:dyDescent="0.35">
      <c r="A147" s="294" t="str">
        <f>VLOOKUP($D147,$A$10:$D$130,3,FALSE)</f>
        <v>Rental Income - In Place</v>
      </c>
      <c r="D147" s="57" t="s">
        <v>132</v>
      </c>
      <c r="E147" s="58">
        <f>-(VLOOKUP($D147,$A$10:$P$134,E$145,FALSE)+E11)</f>
        <v>-2082.92</v>
      </c>
      <c r="F147" s="58">
        <f t="shared" ref="E147:P150" si="62">-VLOOKUP($D147,$A$10:$P$134,F$145,FALSE)</f>
        <v>-2082.92</v>
      </c>
      <c r="G147" s="58">
        <f t="shared" si="62"/>
        <v>-2082.92</v>
      </c>
      <c r="H147" s="58">
        <f t="shared" si="62"/>
        <v>-2082.92</v>
      </c>
      <c r="I147" s="58">
        <f t="shared" si="62"/>
        <v>-2082.92</v>
      </c>
      <c r="J147" s="58">
        <f t="shared" si="62"/>
        <v>-2082.92</v>
      </c>
      <c r="K147" s="58">
        <f t="shared" si="62"/>
        <v>-2082.92</v>
      </c>
      <c r="L147" s="58">
        <f t="shared" si="62"/>
        <v>-2082.92</v>
      </c>
      <c r="M147" s="58">
        <f t="shared" si="62"/>
        <v>-2082.92</v>
      </c>
      <c r="N147" s="58">
        <f t="shared" si="62"/>
        <v>-2082.92</v>
      </c>
      <c r="O147" s="58">
        <f t="shared" si="62"/>
        <v>-2082.92</v>
      </c>
      <c r="P147" s="59">
        <f t="shared" si="62"/>
        <v>-2082.92</v>
      </c>
      <c r="Q147" s="13">
        <f>SUM(E147:P147)</f>
        <v>-24995.039999999994</v>
      </c>
      <c r="R147" s="13"/>
    </row>
    <row r="148" spans="1:20" x14ac:dyDescent="0.35">
      <c r="A148" s="294" t="str">
        <f t="shared" ref="A148:A181" si="63">VLOOKUP($D148,$A$10:$D$130,3,FALSE)</f>
        <v>Electric</v>
      </c>
      <c r="D148" s="60" t="s">
        <v>98</v>
      </c>
      <c r="E148" s="61">
        <f t="shared" si="62"/>
        <v>0</v>
      </c>
      <c r="F148" s="61">
        <f t="shared" si="62"/>
        <v>0</v>
      </c>
      <c r="G148" s="61">
        <f t="shared" si="62"/>
        <v>0</v>
      </c>
      <c r="H148" s="61">
        <f t="shared" si="62"/>
        <v>0</v>
      </c>
      <c r="I148" s="61">
        <f t="shared" si="62"/>
        <v>0</v>
      </c>
      <c r="J148" s="61">
        <f t="shared" si="62"/>
        <v>0</v>
      </c>
      <c r="K148" s="61">
        <f t="shared" si="62"/>
        <v>0</v>
      </c>
      <c r="L148" s="61">
        <f t="shared" si="62"/>
        <v>0</v>
      </c>
      <c r="M148" s="61">
        <f t="shared" si="62"/>
        <v>0</v>
      </c>
      <c r="N148" s="61">
        <f t="shared" si="62"/>
        <v>0</v>
      </c>
      <c r="O148" s="61">
        <f t="shared" si="62"/>
        <v>0</v>
      </c>
      <c r="P148" s="62">
        <f t="shared" si="62"/>
        <v>0</v>
      </c>
      <c r="Q148" s="13">
        <f t="shared" ref="Q148:Q181" si="64">SUM(E148:P148)</f>
        <v>0</v>
      </c>
      <c r="R148" s="13"/>
    </row>
    <row r="149" spans="1:20" ht="18" x14ac:dyDescent="0.35">
      <c r="A149" s="294" t="str">
        <f t="shared" si="63"/>
        <v>Common Area Maintenance</v>
      </c>
      <c r="D149" s="60" t="s">
        <v>99</v>
      </c>
      <c r="E149" s="61">
        <f t="shared" si="62"/>
        <v>0</v>
      </c>
      <c r="F149" s="61">
        <f t="shared" si="62"/>
        <v>0</v>
      </c>
      <c r="G149" s="61">
        <f t="shared" si="62"/>
        <v>0</v>
      </c>
      <c r="H149" s="61">
        <f t="shared" si="62"/>
        <v>0</v>
      </c>
      <c r="I149" s="61">
        <f t="shared" si="62"/>
        <v>0</v>
      </c>
      <c r="J149" s="61">
        <f t="shared" si="62"/>
        <v>0</v>
      </c>
      <c r="K149" s="61">
        <f t="shared" si="62"/>
        <v>0</v>
      </c>
      <c r="L149" s="61">
        <f t="shared" si="62"/>
        <v>0</v>
      </c>
      <c r="M149" s="61">
        <f t="shared" si="62"/>
        <v>0</v>
      </c>
      <c r="N149" s="61">
        <f t="shared" si="62"/>
        <v>0</v>
      </c>
      <c r="O149" s="61">
        <f t="shared" si="62"/>
        <v>0</v>
      </c>
      <c r="P149" s="62">
        <f t="shared" si="62"/>
        <v>0</v>
      </c>
      <c r="Q149" s="13">
        <f t="shared" si="64"/>
        <v>0</v>
      </c>
      <c r="R149" s="13"/>
      <c r="S149" s="328"/>
      <c r="T149" s="329"/>
    </row>
    <row r="150" spans="1:20" x14ac:dyDescent="0.35">
      <c r="A150" s="294" t="str">
        <f t="shared" si="63"/>
        <v>Real Estate Taxes</v>
      </c>
      <c r="D150" s="60" t="s">
        <v>100</v>
      </c>
      <c r="E150" s="61">
        <f t="shared" si="62"/>
        <v>0</v>
      </c>
      <c r="F150" s="61">
        <f t="shared" si="62"/>
        <v>0</v>
      </c>
      <c r="G150" s="61">
        <f t="shared" si="62"/>
        <v>0</v>
      </c>
      <c r="H150" s="61">
        <f t="shared" si="62"/>
        <v>0</v>
      </c>
      <c r="I150" s="61">
        <f t="shared" si="62"/>
        <v>0</v>
      </c>
      <c r="J150" s="61">
        <f t="shared" si="62"/>
        <v>0</v>
      </c>
      <c r="K150" s="61">
        <f t="shared" si="62"/>
        <v>0</v>
      </c>
      <c r="L150" s="61">
        <f t="shared" si="62"/>
        <v>0</v>
      </c>
      <c r="M150" s="61">
        <f t="shared" si="62"/>
        <v>0</v>
      </c>
      <c r="N150" s="61">
        <f t="shared" si="62"/>
        <v>0</v>
      </c>
      <c r="O150" s="61">
        <f t="shared" si="62"/>
        <v>0</v>
      </c>
      <c r="P150" s="62">
        <f t="shared" si="62"/>
        <v>0</v>
      </c>
      <c r="Q150" s="13">
        <f t="shared" si="64"/>
        <v>0</v>
      </c>
      <c r="R150" s="13"/>
    </row>
    <row r="151" spans="1:20" x14ac:dyDescent="0.35">
      <c r="A151" s="294" t="str">
        <f t="shared" si="63"/>
        <v>Insurance</v>
      </c>
      <c r="D151" s="60" t="s">
        <v>135</v>
      </c>
      <c r="E151" s="61">
        <f>-VLOOKUP($D151,$A$10:$P$134,E$145,FALSE)</f>
        <v>0</v>
      </c>
      <c r="F151" s="61">
        <f t="shared" ref="F151:P151" si="65">-VLOOKUP($D151,$A$10:$P$134,F$145,FALSE)</f>
        <v>0</v>
      </c>
      <c r="G151" s="61">
        <f t="shared" si="65"/>
        <v>0</v>
      </c>
      <c r="H151" s="61">
        <f t="shared" si="65"/>
        <v>0</v>
      </c>
      <c r="I151" s="61">
        <f t="shared" si="65"/>
        <v>0</v>
      </c>
      <c r="J151" s="61">
        <f t="shared" si="65"/>
        <v>0</v>
      </c>
      <c r="K151" s="61">
        <f t="shared" si="65"/>
        <v>0</v>
      </c>
      <c r="L151" s="61">
        <f t="shared" si="65"/>
        <v>0</v>
      </c>
      <c r="M151" s="61">
        <f t="shared" si="65"/>
        <v>0</v>
      </c>
      <c r="N151" s="61">
        <f t="shared" si="65"/>
        <v>0</v>
      </c>
      <c r="O151" s="61">
        <f t="shared" si="65"/>
        <v>0</v>
      </c>
      <c r="P151" s="62">
        <f t="shared" si="65"/>
        <v>0</v>
      </c>
      <c r="Q151" s="13">
        <f>SUM(E151:P151)</f>
        <v>0</v>
      </c>
      <c r="R151" s="13"/>
    </row>
    <row r="152" spans="1:20" x14ac:dyDescent="0.35">
      <c r="A152" s="294" t="str">
        <f t="shared" si="63"/>
        <v>Maintenance Salaries</v>
      </c>
      <c r="D152" s="60" t="s">
        <v>101</v>
      </c>
      <c r="E152" s="61">
        <f t="shared" ref="E152:P173" si="66">VLOOKUP($D152,$A$10:$P$134,E$145,FALSE)</f>
        <v>40.831687371751464</v>
      </c>
      <c r="F152" s="61">
        <f t="shared" si="66"/>
        <v>40.831687371751464</v>
      </c>
      <c r="G152" s="61">
        <f t="shared" si="66"/>
        <v>40.831687371751464</v>
      </c>
      <c r="H152" s="61">
        <f t="shared" si="66"/>
        <v>40.831687371751464</v>
      </c>
      <c r="I152" s="61">
        <f t="shared" si="66"/>
        <v>40.831687371751464</v>
      </c>
      <c r="J152" s="61">
        <f t="shared" si="66"/>
        <v>40.831687371751464</v>
      </c>
      <c r="K152" s="61">
        <f t="shared" si="66"/>
        <v>40.831687371751464</v>
      </c>
      <c r="L152" s="61">
        <f t="shared" si="66"/>
        <v>40.831687371751464</v>
      </c>
      <c r="M152" s="61">
        <f t="shared" si="66"/>
        <v>40.831687371751464</v>
      </c>
      <c r="N152" s="61">
        <f t="shared" si="66"/>
        <v>40.831687371751464</v>
      </c>
      <c r="O152" s="61">
        <f t="shared" si="66"/>
        <v>40.831687371751464</v>
      </c>
      <c r="P152" s="62">
        <f t="shared" si="66"/>
        <v>40.831687371751464</v>
      </c>
      <c r="Q152" s="13">
        <f t="shared" si="64"/>
        <v>489.98024846101754</v>
      </c>
      <c r="R152" s="13"/>
      <c r="S152" s="8"/>
      <c r="T152" s="323"/>
    </row>
    <row r="153" spans="1:20" x14ac:dyDescent="0.35">
      <c r="A153" s="294" t="str">
        <f t="shared" si="63"/>
        <v>Electric</v>
      </c>
      <c r="D153" s="60" t="s">
        <v>102</v>
      </c>
      <c r="E153" s="61">
        <f t="shared" si="66"/>
        <v>0</v>
      </c>
      <c r="F153" s="61">
        <f t="shared" si="66"/>
        <v>0</v>
      </c>
      <c r="G153" s="61">
        <f t="shared" si="66"/>
        <v>0</v>
      </c>
      <c r="H153" s="61">
        <f t="shared" si="66"/>
        <v>0</v>
      </c>
      <c r="I153" s="61">
        <f t="shared" si="66"/>
        <v>0</v>
      </c>
      <c r="J153" s="61">
        <f t="shared" si="66"/>
        <v>0</v>
      </c>
      <c r="K153" s="61">
        <f t="shared" si="66"/>
        <v>0</v>
      </c>
      <c r="L153" s="61">
        <f t="shared" si="66"/>
        <v>0</v>
      </c>
      <c r="M153" s="61">
        <f t="shared" si="66"/>
        <v>0</v>
      </c>
      <c r="N153" s="61">
        <f t="shared" si="66"/>
        <v>0</v>
      </c>
      <c r="O153" s="61">
        <f t="shared" si="66"/>
        <v>0</v>
      </c>
      <c r="P153" s="62">
        <f t="shared" si="66"/>
        <v>0</v>
      </c>
      <c r="Q153" s="13">
        <f t="shared" si="64"/>
        <v>0</v>
      </c>
      <c r="R153" s="13"/>
    </row>
    <row r="154" spans="1:20" x14ac:dyDescent="0.35">
      <c r="A154" s="294" t="str">
        <f t="shared" si="63"/>
        <v>Water &amp; Sewer</v>
      </c>
      <c r="D154" s="60" t="s">
        <v>103</v>
      </c>
      <c r="E154" s="61">
        <f t="shared" si="66"/>
        <v>0</v>
      </c>
      <c r="F154" s="61">
        <f t="shared" si="66"/>
        <v>0</v>
      </c>
      <c r="G154" s="61">
        <f t="shared" si="66"/>
        <v>0</v>
      </c>
      <c r="H154" s="61">
        <f t="shared" si="66"/>
        <v>0</v>
      </c>
      <c r="I154" s="61">
        <f t="shared" si="66"/>
        <v>0</v>
      </c>
      <c r="J154" s="61">
        <f t="shared" si="66"/>
        <v>0</v>
      </c>
      <c r="K154" s="61">
        <f t="shared" si="66"/>
        <v>0</v>
      </c>
      <c r="L154" s="61">
        <f t="shared" si="66"/>
        <v>0</v>
      </c>
      <c r="M154" s="61">
        <f t="shared" si="66"/>
        <v>0</v>
      </c>
      <c r="N154" s="61">
        <f t="shared" si="66"/>
        <v>0</v>
      </c>
      <c r="O154" s="61">
        <f t="shared" si="66"/>
        <v>0</v>
      </c>
      <c r="P154" s="62">
        <f t="shared" si="66"/>
        <v>0</v>
      </c>
      <c r="Q154" s="13">
        <f t="shared" si="64"/>
        <v>0</v>
      </c>
      <c r="R154" s="13"/>
    </row>
    <row r="155" spans="1:20" x14ac:dyDescent="0.35">
      <c r="A155" s="294" t="str">
        <f t="shared" si="63"/>
        <v>Building Maintenance</v>
      </c>
      <c r="D155" s="60" t="s">
        <v>104</v>
      </c>
      <c r="E155" s="61">
        <f t="shared" si="66"/>
        <v>0</v>
      </c>
      <c r="F155" s="61">
        <f t="shared" si="66"/>
        <v>0</v>
      </c>
      <c r="G155" s="61">
        <f t="shared" si="66"/>
        <v>0</v>
      </c>
      <c r="H155" s="61">
        <f t="shared" si="66"/>
        <v>0</v>
      </c>
      <c r="I155" s="61">
        <f t="shared" si="66"/>
        <v>0</v>
      </c>
      <c r="J155" s="61">
        <f t="shared" si="66"/>
        <v>0</v>
      </c>
      <c r="K155" s="61">
        <f t="shared" si="66"/>
        <v>0</v>
      </c>
      <c r="L155" s="61">
        <f t="shared" si="66"/>
        <v>0</v>
      </c>
      <c r="M155" s="61">
        <f t="shared" si="66"/>
        <v>0</v>
      </c>
      <c r="N155" s="61">
        <f t="shared" si="66"/>
        <v>0</v>
      </c>
      <c r="O155" s="61">
        <f t="shared" si="66"/>
        <v>0</v>
      </c>
      <c r="P155" s="62">
        <f t="shared" si="66"/>
        <v>0</v>
      </c>
      <c r="Q155" s="13">
        <f t="shared" si="64"/>
        <v>0</v>
      </c>
      <c r="R155" s="13"/>
    </row>
    <row r="156" spans="1:20" x14ac:dyDescent="0.35">
      <c r="A156" s="294" t="str">
        <f t="shared" si="63"/>
        <v>Parking Lot Cleaning</v>
      </c>
      <c r="D156" s="60" t="s">
        <v>136</v>
      </c>
      <c r="E156" s="61">
        <f t="shared" si="66"/>
        <v>0</v>
      </c>
      <c r="F156" s="61">
        <f t="shared" si="66"/>
        <v>0</v>
      </c>
      <c r="G156" s="61">
        <f t="shared" si="66"/>
        <v>0</v>
      </c>
      <c r="H156" s="61">
        <f t="shared" si="66"/>
        <v>0</v>
      </c>
      <c r="I156" s="61">
        <f t="shared" si="66"/>
        <v>0</v>
      </c>
      <c r="J156" s="61">
        <f t="shared" si="66"/>
        <v>0</v>
      </c>
      <c r="K156" s="61">
        <f t="shared" si="66"/>
        <v>0</v>
      </c>
      <c r="L156" s="61">
        <f t="shared" si="66"/>
        <v>0</v>
      </c>
      <c r="M156" s="61">
        <f t="shared" si="66"/>
        <v>0</v>
      </c>
      <c r="N156" s="61">
        <f t="shared" si="66"/>
        <v>0</v>
      </c>
      <c r="O156" s="61">
        <f t="shared" si="66"/>
        <v>0</v>
      </c>
      <c r="P156" s="62">
        <f t="shared" si="66"/>
        <v>0</v>
      </c>
      <c r="Q156" s="13"/>
      <c r="R156" s="13"/>
    </row>
    <row r="157" spans="1:20" x14ac:dyDescent="0.35">
      <c r="A157" s="294" t="str">
        <f t="shared" si="63"/>
        <v>Parking Lot Maintenance</v>
      </c>
      <c r="D157" s="60" t="s">
        <v>105</v>
      </c>
      <c r="E157" s="61">
        <f t="shared" si="66"/>
        <v>0</v>
      </c>
      <c r="F157" s="61">
        <f t="shared" si="66"/>
        <v>0</v>
      </c>
      <c r="G157" s="61">
        <f t="shared" si="66"/>
        <v>0</v>
      </c>
      <c r="H157" s="61">
        <f t="shared" si="66"/>
        <v>0</v>
      </c>
      <c r="I157" s="61">
        <f t="shared" si="66"/>
        <v>0</v>
      </c>
      <c r="J157" s="61">
        <f t="shared" si="66"/>
        <v>0</v>
      </c>
      <c r="K157" s="61">
        <f t="shared" si="66"/>
        <v>0</v>
      </c>
      <c r="L157" s="61">
        <f t="shared" si="66"/>
        <v>0</v>
      </c>
      <c r="M157" s="61">
        <f t="shared" si="66"/>
        <v>0</v>
      </c>
      <c r="N157" s="61">
        <f t="shared" si="66"/>
        <v>0</v>
      </c>
      <c r="O157" s="61">
        <f t="shared" si="66"/>
        <v>0</v>
      </c>
      <c r="P157" s="62">
        <f t="shared" si="66"/>
        <v>0</v>
      </c>
      <c r="Q157" s="13">
        <f t="shared" si="64"/>
        <v>0</v>
      </c>
      <c r="R157" s="13"/>
    </row>
    <row r="158" spans="1:20" x14ac:dyDescent="0.35">
      <c r="A158" s="294" t="str">
        <f t="shared" si="63"/>
        <v>Snow Removal</v>
      </c>
      <c r="D158" s="60" t="s">
        <v>106</v>
      </c>
      <c r="E158" s="61">
        <f t="shared" si="66"/>
        <v>0</v>
      </c>
      <c r="F158" s="61">
        <f t="shared" si="66"/>
        <v>0</v>
      </c>
      <c r="G158" s="61">
        <f t="shared" si="66"/>
        <v>0</v>
      </c>
      <c r="H158" s="61">
        <f t="shared" si="66"/>
        <v>0</v>
      </c>
      <c r="I158" s="61">
        <f t="shared" si="66"/>
        <v>0</v>
      </c>
      <c r="J158" s="61">
        <f t="shared" si="66"/>
        <v>0</v>
      </c>
      <c r="K158" s="61">
        <f t="shared" si="66"/>
        <v>0</v>
      </c>
      <c r="L158" s="61">
        <f t="shared" si="66"/>
        <v>0</v>
      </c>
      <c r="M158" s="61">
        <f t="shared" si="66"/>
        <v>0</v>
      </c>
      <c r="N158" s="61">
        <f t="shared" si="66"/>
        <v>0</v>
      </c>
      <c r="O158" s="61">
        <f t="shared" si="66"/>
        <v>0</v>
      </c>
      <c r="P158" s="62">
        <f t="shared" si="66"/>
        <v>0</v>
      </c>
      <c r="Q158" s="13">
        <f t="shared" si="64"/>
        <v>0</v>
      </c>
      <c r="R158" s="13"/>
    </row>
    <row r="159" spans="1:20" x14ac:dyDescent="0.35">
      <c r="A159" s="294" t="str">
        <f t="shared" si="63"/>
        <v>Landscaping</v>
      </c>
      <c r="D159" s="60" t="s">
        <v>107</v>
      </c>
      <c r="E159" s="61">
        <f t="shared" si="66"/>
        <v>0</v>
      </c>
      <c r="F159" s="61">
        <f t="shared" si="66"/>
        <v>0</v>
      </c>
      <c r="G159" s="61">
        <f t="shared" si="66"/>
        <v>0</v>
      </c>
      <c r="H159" s="61">
        <f t="shared" si="66"/>
        <v>0</v>
      </c>
      <c r="I159" s="61">
        <f t="shared" si="66"/>
        <v>0</v>
      </c>
      <c r="J159" s="61">
        <f t="shared" si="66"/>
        <v>0</v>
      </c>
      <c r="K159" s="61">
        <f t="shared" si="66"/>
        <v>0</v>
      </c>
      <c r="L159" s="61">
        <f t="shared" si="66"/>
        <v>0</v>
      </c>
      <c r="M159" s="61">
        <f t="shared" si="66"/>
        <v>0</v>
      </c>
      <c r="N159" s="61">
        <f t="shared" si="66"/>
        <v>0</v>
      </c>
      <c r="O159" s="61">
        <f t="shared" si="66"/>
        <v>0</v>
      </c>
      <c r="P159" s="62">
        <f t="shared" si="66"/>
        <v>0</v>
      </c>
      <c r="Q159" s="13">
        <f t="shared" si="64"/>
        <v>0</v>
      </c>
      <c r="R159" s="13"/>
    </row>
    <row r="160" spans="1:20" x14ac:dyDescent="0.35">
      <c r="A160" s="294" t="str">
        <f t="shared" si="63"/>
        <v>Security</v>
      </c>
      <c r="D160" s="60" t="s">
        <v>108</v>
      </c>
      <c r="E160" s="61">
        <f t="shared" si="66"/>
        <v>0</v>
      </c>
      <c r="F160" s="61">
        <f t="shared" si="66"/>
        <v>0</v>
      </c>
      <c r="G160" s="61">
        <f t="shared" si="66"/>
        <v>0</v>
      </c>
      <c r="H160" s="61">
        <f t="shared" si="66"/>
        <v>0</v>
      </c>
      <c r="I160" s="61">
        <f t="shared" si="66"/>
        <v>0</v>
      </c>
      <c r="J160" s="61">
        <f t="shared" si="66"/>
        <v>0</v>
      </c>
      <c r="K160" s="61">
        <f t="shared" si="66"/>
        <v>0</v>
      </c>
      <c r="L160" s="61">
        <f t="shared" si="66"/>
        <v>0</v>
      </c>
      <c r="M160" s="61">
        <f t="shared" si="66"/>
        <v>0</v>
      </c>
      <c r="N160" s="61">
        <f t="shared" si="66"/>
        <v>0</v>
      </c>
      <c r="O160" s="61">
        <f t="shared" si="66"/>
        <v>0</v>
      </c>
      <c r="P160" s="62">
        <f t="shared" si="66"/>
        <v>0</v>
      </c>
      <c r="Q160" s="13">
        <f t="shared" si="64"/>
        <v>0</v>
      </c>
      <c r="R160" s="13"/>
    </row>
    <row r="161" spans="1:18" x14ac:dyDescent="0.35">
      <c r="A161" s="294" t="str">
        <f t="shared" si="63"/>
        <v>Management fee</v>
      </c>
      <c r="D161" s="60" t="s">
        <v>141</v>
      </c>
      <c r="E161" s="61">
        <f t="shared" si="66"/>
        <v>125</v>
      </c>
      <c r="F161" s="61">
        <f t="shared" si="66"/>
        <v>125</v>
      </c>
      <c r="G161" s="61">
        <f t="shared" si="66"/>
        <v>125</v>
      </c>
      <c r="H161" s="61">
        <f t="shared" si="66"/>
        <v>125</v>
      </c>
      <c r="I161" s="61">
        <f t="shared" si="66"/>
        <v>125</v>
      </c>
      <c r="J161" s="61">
        <f t="shared" si="66"/>
        <v>125</v>
      </c>
      <c r="K161" s="61">
        <f t="shared" si="66"/>
        <v>125</v>
      </c>
      <c r="L161" s="61">
        <f t="shared" si="66"/>
        <v>125</v>
      </c>
      <c r="M161" s="61">
        <f t="shared" si="66"/>
        <v>125</v>
      </c>
      <c r="N161" s="61">
        <f t="shared" si="66"/>
        <v>125</v>
      </c>
      <c r="O161" s="61">
        <f t="shared" si="66"/>
        <v>125</v>
      </c>
      <c r="P161" s="62">
        <f t="shared" si="66"/>
        <v>125</v>
      </c>
      <c r="Q161" s="13">
        <f t="shared" si="64"/>
        <v>1500</v>
      </c>
      <c r="R161" s="13"/>
    </row>
    <row r="162" spans="1:18" x14ac:dyDescent="0.35">
      <c r="A162" s="294" t="str">
        <f t="shared" si="63"/>
        <v>Trash Removal</v>
      </c>
      <c r="D162" s="60" t="s">
        <v>110</v>
      </c>
      <c r="E162" s="61">
        <f t="shared" si="66"/>
        <v>0</v>
      </c>
      <c r="F162" s="61">
        <f t="shared" si="66"/>
        <v>0</v>
      </c>
      <c r="G162" s="61">
        <f t="shared" si="66"/>
        <v>0</v>
      </c>
      <c r="H162" s="61">
        <f t="shared" si="66"/>
        <v>0</v>
      </c>
      <c r="I162" s="61">
        <f t="shared" si="66"/>
        <v>0</v>
      </c>
      <c r="J162" s="61">
        <f t="shared" si="66"/>
        <v>0</v>
      </c>
      <c r="K162" s="61">
        <f t="shared" si="66"/>
        <v>0</v>
      </c>
      <c r="L162" s="61">
        <f t="shared" si="66"/>
        <v>0</v>
      </c>
      <c r="M162" s="61">
        <f t="shared" si="66"/>
        <v>0</v>
      </c>
      <c r="N162" s="61">
        <f t="shared" si="66"/>
        <v>0</v>
      </c>
      <c r="O162" s="61">
        <f t="shared" si="66"/>
        <v>0</v>
      </c>
      <c r="P162" s="62">
        <f t="shared" si="66"/>
        <v>0</v>
      </c>
      <c r="Q162" s="13">
        <f t="shared" si="64"/>
        <v>0</v>
      </c>
      <c r="R162" s="13"/>
    </row>
    <row r="163" spans="1:18" x14ac:dyDescent="0.35">
      <c r="A163" s="294" t="str">
        <f t="shared" si="63"/>
        <v>Real Estate Taxes</v>
      </c>
      <c r="D163" s="60" t="s">
        <v>111</v>
      </c>
      <c r="E163" s="61">
        <f t="shared" si="66"/>
        <v>257.96092500000003</v>
      </c>
      <c r="F163" s="61">
        <f t="shared" si="66"/>
        <v>257.96092500000003</v>
      </c>
      <c r="G163" s="61">
        <f t="shared" si="66"/>
        <v>257.96092500000003</v>
      </c>
      <c r="H163" s="61">
        <f t="shared" si="66"/>
        <v>257.96092500000003</v>
      </c>
      <c r="I163" s="61">
        <f t="shared" si="66"/>
        <v>257.96092500000003</v>
      </c>
      <c r="J163" s="61">
        <f t="shared" si="66"/>
        <v>257.96092500000003</v>
      </c>
      <c r="K163" s="61">
        <f t="shared" si="66"/>
        <v>257.96092500000003</v>
      </c>
      <c r="L163" s="61">
        <f t="shared" si="66"/>
        <v>257.96092500000003</v>
      </c>
      <c r="M163" s="61">
        <f t="shared" si="66"/>
        <v>257.96092500000003</v>
      </c>
      <c r="N163" s="61">
        <f t="shared" si="66"/>
        <v>257.96092500000003</v>
      </c>
      <c r="O163" s="61">
        <f t="shared" si="66"/>
        <v>257.96092500000003</v>
      </c>
      <c r="P163" s="62">
        <f t="shared" si="66"/>
        <v>257.96092500000003</v>
      </c>
      <c r="Q163" s="13">
        <f t="shared" si="64"/>
        <v>3095.5310999999997</v>
      </c>
      <c r="R163" s="13"/>
    </row>
    <row r="164" spans="1:18" x14ac:dyDescent="0.35">
      <c r="A164" s="294" t="str">
        <f t="shared" si="63"/>
        <v>Insurance</v>
      </c>
      <c r="D164" s="60" t="s">
        <v>112</v>
      </c>
      <c r="E164" s="61">
        <f t="shared" si="66"/>
        <v>44</v>
      </c>
      <c r="F164" s="61">
        <f t="shared" si="66"/>
        <v>44</v>
      </c>
      <c r="G164" s="61">
        <f t="shared" si="66"/>
        <v>44</v>
      </c>
      <c r="H164" s="61">
        <f t="shared" si="66"/>
        <v>44</v>
      </c>
      <c r="I164" s="61">
        <f t="shared" si="66"/>
        <v>44</v>
      </c>
      <c r="J164" s="61">
        <f t="shared" si="66"/>
        <v>44</v>
      </c>
      <c r="K164" s="61">
        <f t="shared" si="66"/>
        <v>44</v>
      </c>
      <c r="L164" s="61">
        <f t="shared" si="66"/>
        <v>44</v>
      </c>
      <c r="M164" s="61">
        <f t="shared" si="66"/>
        <v>44</v>
      </c>
      <c r="N164" s="61">
        <f t="shared" si="66"/>
        <v>44</v>
      </c>
      <c r="O164" s="61">
        <f t="shared" si="66"/>
        <v>44.88</v>
      </c>
      <c r="P164" s="62">
        <f t="shared" si="66"/>
        <v>44.88</v>
      </c>
      <c r="Q164" s="13">
        <f t="shared" si="64"/>
        <v>529.76</v>
      </c>
      <c r="R164" s="13"/>
    </row>
    <row r="165" spans="1:18" x14ac:dyDescent="0.35">
      <c r="A165" s="294" t="str">
        <f t="shared" si="63"/>
        <v>Cleaning &amp; Supplies</v>
      </c>
      <c r="D165" s="60" t="s">
        <v>113</v>
      </c>
      <c r="E165" s="61">
        <f t="shared" si="66"/>
        <v>0</v>
      </c>
      <c r="F165" s="61">
        <f t="shared" si="66"/>
        <v>0</v>
      </c>
      <c r="G165" s="61">
        <f t="shared" si="66"/>
        <v>0</v>
      </c>
      <c r="H165" s="61">
        <f t="shared" si="66"/>
        <v>0</v>
      </c>
      <c r="I165" s="61">
        <f t="shared" si="66"/>
        <v>0</v>
      </c>
      <c r="J165" s="61">
        <f t="shared" si="66"/>
        <v>0</v>
      </c>
      <c r="K165" s="61">
        <f t="shared" si="66"/>
        <v>0</v>
      </c>
      <c r="L165" s="61">
        <f t="shared" si="66"/>
        <v>0</v>
      </c>
      <c r="M165" s="61">
        <f t="shared" si="66"/>
        <v>0</v>
      </c>
      <c r="N165" s="61">
        <f t="shared" si="66"/>
        <v>0</v>
      </c>
      <c r="O165" s="61">
        <f t="shared" si="66"/>
        <v>0</v>
      </c>
      <c r="P165" s="62">
        <f t="shared" si="66"/>
        <v>0</v>
      </c>
      <c r="Q165" s="13">
        <f t="shared" si="64"/>
        <v>0</v>
      </c>
      <c r="R165" s="13"/>
    </row>
    <row r="166" spans="1:18" x14ac:dyDescent="0.35">
      <c r="A166" s="294" t="str">
        <f>VLOOKUP($D166,$A$10:$D$130,4,FALSE)</f>
        <v>Salaries &amp; Wages</v>
      </c>
      <c r="D166" s="60" t="s">
        <v>114</v>
      </c>
      <c r="E166" s="61">
        <f t="shared" si="66"/>
        <v>98.609445672750397</v>
      </c>
      <c r="F166" s="61">
        <f t="shared" si="66"/>
        <v>98.609445672750397</v>
      </c>
      <c r="G166" s="61">
        <f t="shared" si="66"/>
        <v>98.609445672750397</v>
      </c>
      <c r="H166" s="61">
        <f t="shared" si="66"/>
        <v>98.609445672750397</v>
      </c>
      <c r="I166" s="61">
        <f t="shared" si="66"/>
        <v>98.609445672750397</v>
      </c>
      <c r="J166" s="61">
        <f t="shared" si="66"/>
        <v>98.609445672750397</v>
      </c>
      <c r="K166" s="61">
        <f t="shared" si="66"/>
        <v>98.609445672750397</v>
      </c>
      <c r="L166" s="61">
        <f t="shared" si="66"/>
        <v>98.609445672750397</v>
      </c>
      <c r="M166" s="61">
        <f t="shared" si="66"/>
        <v>98.609445672750397</v>
      </c>
      <c r="N166" s="61">
        <f t="shared" si="66"/>
        <v>98.609445672750397</v>
      </c>
      <c r="O166" s="61">
        <f t="shared" si="66"/>
        <v>98.609445672750397</v>
      </c>
      <c r="P166" s="62">
        <f t="shared" si="66"/>
        <v>98.609445672750397</v>
      </c>
      <c r="Q166" s="13">
        <f t="shared" si="64"/>
        <v>1183.3133480730048</v>
      </c>
      <c r="R166" s="13"/>
    </row>
    <row r="167" spans="1:18" x14ac:dyDescent="0.35">
      <c r="A167" s="294" t="str">
        <f>VLOOKUP($D167,$A$10:$D$130,4,FALSE)</f>
        <v>Commissions-Internal Broker</v>
      </c>
      <c r="D167" s="60" t="s">
        <v>115</v>
      </c>
      <c r="E167" s="61">
        <f t="shared" si="66"/>
        <v>0</v>
      </c>
      <c r="F167" s="61">
        <f t="shared" si="66"/>
        <v>0</v>
      </c>
      <c r="G167" s="61">
        <f t="shared" si="66"/>
        <v>0</v>
      </c>
      <c r="H167" s="61">
        <f t="shared" si="66"/>
        <v>0</v>
      </c>
      <c r="I167" s="61">
        <f t="shared" si="66"/>
        <v>0</v>
      </c>
      <c r="J167" s="61">
        <f t="shared" si="66"/>
        <v>0</v>
      </c>
      <c r="K167" s="61">
        <f t="shared" si="66"/>
        <v>0</v>
      </c>
      <c r="L167" s="61">
        <f t="shared" si="66"/>
        <v>0</v>
      </c>
      <c r="M167" s="61">
        <f t="shared" si="66"/>
        <v>0</v>
      </c>
      <c r="N167" s="61">
        <f t="shared" si="66"/>
        <v>0</v>
      </c>
      <c r="O167" s="61">
        <f t="shared" si="66"/>
        <v>0</v>
      </c>
      <c r="P167" s="62">
        <f t="shared" si="66"/>
        <v>0</v>
      </c>
      <c r="Q167" s="13">
        <f t="shared" si="64"/>
        <v>0</v>
      </c>
      <c r="R167" s="13"/>
    </row>
    <row r="168" spans="1:18" x14ac:dyDescent="0.35">
      <c r="A168" s="294" t="str">
        <f t="shared" si="63"/>
        <v>Building Maintenance</v>
      </c>
      <c r="D168" s="60" t="s">
        <v>116</v>
      </c>
      <c r="E168" s="61">
        <f t="shared" si="66"/>
        <v>0</v>
      </c>
      <c r="F168" s="61">
        <f t="shared" si="66"/>
        <v>0</v>
      </c>
      <c r="G168" s="61">
        <f t="shared" si="66"/>
        <v>0</v>
      </c>
      <c r="H168" s="61">
        <f t="shared" si="66"/>
        <v>0</v>
      </c>
      <c r="I168" s="61">
        <f t="shared" si="66"/>
        <v>0</v>
      </c>
      <c r="J168" s="61">
        <f t="shared" si="66"/>
        <v>0</v>
      </c>
      <c r="K168" s="61">
        <f t="shared" si="66"/>
        <v>0</v>
      </c>
      <c r="L168" s="61">
        <f t="shared" si="66"/>
        <v>0</v>
      </c>
      <c r="M168" s="61">
        <f t="shared" si="66"/>
        <v>0</v>
      </c>
      <c r="N168" s="61">
        <f t="shared" si="66"/>
        <v>0</v>
      </c>
      <c r="O168" s="61">
        <f t="shared" si="66"/>
        <v>0</v>
      </c>
      <c r="P168" s="62">
        <f t="shared" si="66"/>
        <v>0</v>
      </c>
      <c r="Q168" s="13">
        <f t="shared" si="64"/>
        <v>0</v>
      </c>
      <c r="R168" s="13"/>
    </row>
    <row r="169" spans="1:18" x14ac:dyDescent="0.35">
      <c r="A169" s="294" t="str">
        <f t="shared" si="63"/>
        <v>Marketing</v>
      </c>
      <c r="D169" s="60" t="s">
        <v>117</v>
      </c>
      <c r="E169" s="61">
        <f t="shared" si="66"/>
        <v>35.320533662808344</v>
      </c>
      <c r="F169" s="61">
        <f t="shared" si="66"/>
        <v>35.320533662808344</v>
      </c>
      <c r="G169" s="61">
        <f t="shared" si="66"/>
        <v>35.320533662808344</v>
      </c>
      <c r="H169" s="61">
        <f t="shared" si="66"/>
        <v>35.320533662808344</v>
      </c>
      <c r="I169" s="61">
        <f t="shared" si="66"/>
        <v>35.320533662808344</v>
      </c>
      <c r="J169" s="61">
        <f t="shared" si="66"/>
        <v>35.320533662808344</v>
      </c>
      <c r="K169" s="61">
        <f t="shared" si="66"/>
        <v>35.320533662808344</v>
      </c>
      <c r="L169" s="61">
        <f t="shared" si="66"/>
        <v>35.320533662808344</v>
      </c>
      <c r="M169" s="61">
        <f t="shared" si="66"/>
        <v>35.320533662808344</v>
      </c>
      <c r="N169" s="61">
        <f t="shared" si="66"/>
        <v>35.320533662808344</v>
      </c>
      <c r="O169" s="61">
        <f t="shared" si="66"/>
        <v>35.320533662808344</v>
      </c>
      <c r="P169" s="62">
        <f t="shared" si="66"/>
        <v>35.320533662808344</v>
      </c>
      <c r="Q169" s="13">
        <f t="shared" si="64"/>
        <v>423.84640395370002</v>
      </c>
      <c r="R169" s="13"/>
    </row>
    <row r="170" spans="1:18" x14ac:dyDescent="0.35">
      <c r="A170" s="294" t="str">
        <f t="shared" si="63"/>
        <v>Business Taxes</v>
      </c>
      <c r="D170" s="60" t="s">
        <v>118</v>
      </c>
      <c r="E170" s="61">
        <f t="shared" si="66"/>
        <v>0</v>
      </c>
      <c r="F170" s="61">
        <f t="shared" si="66"/>
        <v>0</v>
      </c>
      <c r="G170" s="61">
        <f t="shared" si="66"/>
        <v>0</v>
      </c>
      <c r="H170" s="61">
        <f t="shared" si="66"/>
        <v>103</v>
      </c>
      <c r="I170" s="61">
        <f t="shared" si="66"/>
        <v>0</v>
      </c>
      <c r="J170" s="61">
        <f t="shared" si="66"/>
        <v>0</v>
      </c>
      <c r="K170" s="61">
        <f t="shared" si="66"/>
        <v>0</v>
      </c>
      <c r="L170" s="61">
        <f t="shared" si="66"/>
        <v>0</v>
      </c>
      <c r="M170" s="61">
        <f t="shared" si="66"/>
        <v>0</v>
      </c>
      <c r="N170" s="61">
        <f t="shared" si="66"/>
        <v>0</v>
      </c>
      <c r="O170" s="61">
        <f t="shared" si="66"/>
        <v>0</v>
      </c>
      <c r="P170" s="62">
        <f t="shared" si="66"/>
        <v>0</v>
      </c>
      <c r="Q170" s="13">
        <f t="shared" si="64"/>
        <v>103</v>
      </c>
      <c r="R170" s="13"/>
    </row>
    <row r="171" spans="1:18" x14ac:dyDescent="0.35">
      <c r="A171" s="294" t="str">
        <f t="shared" si="63"/>
        <v>Legal &amp; Accounting</v>
      </c>
      <c r="D171" s="60" t="s">
        <v>119</v>
      </c>
      <c r="E171" s="61">
        <f t="shared" si="66"/>
        <v>85.833333333333329</v>
      </c>
      <c r="F171" s="61">
        <f t="shared" si="66"/>
        <v>85.833333333333329</v>
      </c>
      <c r="G171" s="61">
        <f t="shared" si="66"/>
        <v>85.833333333333329</v>
      </c>
      <c r="H171" s="61">
        <f t="shared" si="66"/>
        <v>85.833333333333329</v>
      </c>
      <c r="I171" s="61">
        <f t="shared" si="66"/>
        <v>85.833333333333329</v>
      </c>
      <c r="J171" s="61">
        <f t="shared" si="66"/>
        <v>85.833333333333329</v>
      </c>
      <c r="K171" s="61">
        <f t="shared" si="66"/>
        <v>85.833333333333329</v>
      </c>
      <c r="L171" s="61">
        <f t="shared" si="66"/>
        <v>85.833333333333329</v>
      </c>
      <c r="M171" s="61">
        <f t="shared" si="66"/>
        <v>85.833333333333329</v>
      </c>
      <c r="N171" s="61">
        <f t="shared" si="66"/>
        <v>85.833333333333329</v>
      </c>
      <c r="O171" s="61">
        <f t="shared" si="66"/>
        <v>85.833333333333329</v>
      </c>
      <c r="P171" s="62">
        <f t="shared" si="66"/>
        <v>85.833333333333329</v>
      </c>
      <c r="Q171" s="13">
        <f t="shared" si="64"/>
        <v>1030.0000000000002</v>
      </c>
      <c r="R171" s="13"/>
    </row>
    <row r="172" spans="1:18" x14ac:dyDescent="0.35">
      <c r="A172" s="294" t="str">
        <f t="shared" ref="A172:A177" si="67">VLOOKUP($D172,$A$10:$D$130,4,FALSE)</f>
        <v>Bank Fees</v>
      </c>
      <c r="D172" s="60" t="s">
        <v>126</v>
      </c>
      <c r="E172" s="61">
        <f t="shared" si="66"/>
        <v>0</v>
      </c>
      <c r="F172" s="61">
        <f t="shared" si="66"/>
        <v>0</v>
      </c>
      <c r="G172" s="61">
        <f t="shared" si="66"/>
        <v>0</v>
      </c>
      <c r="H172" s="61">
        <f t="shared" si="66"/>
        <v>0</v>
      </c>
      <c r="I172" s="61">
        <f t="shared" si="66"/>
        <v>0</v>
      </c>
      <c r="J172" s="61">
        <f t="shared" si="66"/>
        <v>0</v>
      </c>
      <c r="K172" s="61">
        <f t="shared" si="66"/>
        <v>0</v>
      </c>
      <c r="L172" s="61">
        <f t="shared" si="66"/>
        <v>0</v>
      </c>
      <c r="M172" s="61">
        <f t="shared" si="66"/>
        <v>0</v>
      </c>
      <c r="N172" s="61">
        <f t="shared" si="66"/>
        <v>0</v>
      </c>
      <c r="O172" s="61">
        <f t="shared" si="66"/>
        <v>0</v>
      </c>
      <c r="P172" s="62">
        <f t="shared" si="66"/>
        <v>0</v>
      </c>
      <c r="Q172" s="13">
        <f t="shared" si="64"/>
        <v>0</v>
      </c>
      <c r="R172" s="13"/>
    </row>
    <row r="173" spans="1:18" x14ac:dyDescent="0.35">
      <c r="A173" s="294" t="str">
        <f t="shared" si="67"/>
        <v>Other G&amp;A Expense</v>
      </c>
      <c r="D173" s="60" t="s">
        <v>127</v>
      </c>
      <c r="E173" s="61">
        <f t="shared" si="66"/>
        <v>0</v>
      </c>
      <c r="F173" s="61">
        <f t="shared" si="66"/>
        <v>0</v>
      </c>
      <c r="G173" s="61">
        <f t="shared" si="66"/>
        <v>0</v>
      </c>
      <c r="H173" s="61">
        <f t="shared" ref="F173:P180" si="68">VLOOKUP($D173,$A$10:$P$134,H$145,FALSE)</f>
        <v>0</v>
      </c>
      <c r="I173" s="61">
        <f t="shared" si="68"/>
        <v>0</v>
      </c>
      <c r="J173" s="61">
        <f t="shared" si="68"/>
        <v>0</v>
      </c>
      <c r="K173" s="61">
        <f t="shared" si="68"/>
        <v>0</v>
      </c>
      <c r="L173" s="61">
        <f t="shared" si="68"/>
        <v>0</v>
      </c>
      <c r="M173" s="61">
        <f t="shared" si="68"/>
        <v>0</v>
      </c>
      <c r="N173" s="61">
        <f t="shared" si="68"/>
        <v>0</v>
      </c>
      <c r="O173" s="61">
        <f t="shared" si="68"/>
        <v>0</v>
      </c>
      <c r="P173" s="62">
        <f t="shared" si="68"/>
        <v>0</v>
      </c>
      <c r="Q173" s="13">
        <f t="shared" si="64"/>
        <v>0</v>
      </c>
      <c r="R173" s="13"/>
    </row>
    <row r="174" spans="1:18" x14ac:dyDescent="0.35">
      <c r="A174" s="294" t="str">
        <f t="shared" si="67"/>
        <v>Other G&amp;A-allocated from LIK</v>
      </c>
      <c r="D174" s="60" t="s">
        <v>120</v>
      </c>
      <c r="E174" s="61">
        <f t="shared" ref="E174:E180" si="69">VLOOKUP($D174,$A$10:$P$134,E$145,FALSE)</f>
        <v>3.4333333333333336</v>
      </c>
      <c r="F174" s="61">
        <f t="shared" si="68"/>
        <v>3.4333333333333336</v>
      </c>
      <c r="G174" s="61">
        <f t="shared" si="68"/>
        <v>3.4333333333333336</v>
      </c>
      <c r="H174" s="61">
        <f t="shared" si="68"/>
        <v>3.4333333333333336</v>
      </c>
      <c r="I174" s="61">
        <f t="shared" si="68"/>
        <v>3.4333333333333336</v>
      </c>
      <c r="J174" s="61">
        <f t="shared" si="68"/>
        <v>3.4333333333333336</v>
      </c>
      <c r="K174" s="61">
        <f t="shared" si="68"/>
        <v>3.4333333333333336</v>
      </c>
      <c r="L174" s="61">
        <f t="shared" si="68"/>
        <v>3.4333333333333336</v>
      </c>
      <c r="M174" s="61">
        <f t="shared" si="68"/>
        <v>3.4333333333333336</v>
      </c>
      <c r="N174" s="61">
        <f t="shared" si="68"/>
        <v>3.4333333333333336</v>
      </c>
      <c r="O174" s="61">
        <f t="shared" si="68"/>
        <v>3.4333333333333336</v>
      </c>
      <c r="P174" s="62">
        <f t="shared" si="68"/>
        <v>3.4333333333333336</v>
      </c>
      <c r="Q174" s="13">
        <f t="shared" si="64"/>
        <v>41.2</v>
      </c>
      <c r="R174" s="13"/>
    </row>
    <row r="175" spans="1:18" x14ac:dyDescent="0.35">
      <c r="A175" s="294" t="str">
        <f t="shared" si="67"/>
        <v>Land Improvements</v>
      </c>
      <c r="D175" s="60" t="s">
        <v>121</v>
      </c>
      <c r="E175" s="61">
        <f t="shared" si="69"/>
        <v>0</v>
      </c>
      <c r="F175" s="61">
        <f t="shared" si="68"/>
        <v>0</v>
      </c>
      <c r="G175" s="61">
        <f t="shared" si="68"/>
        <v>0</v>
      </c>
      <c r="H175" s="61">
        <f t="shared" si="68"/>
        <v>0</v>
      </c>
      <c r="I175" s="61">
        <f t="shared" si="68"/>
        <v>0</v>
      </c>
      <c r="J175" s="61">
        <f t="shared" si="68"/>
        <v>0</v>
      </c>
      <c r="K175" s="61">
        <f t="shared" si="68"/>
        <v>0</v>
      </c>
      <c r="L175" s="61">
        <f t="shared" si="68"/>
        <v>0</v>
      </c>
      <c r="M175" s="61">
        <f t="shared" si="68"/>
        <v>0</v>
      </c>
      <c r="N175" s="61">
        <f t="shared" si="68"/>
        <v>0</v>
      </c>
      <c r="O175" s="61">
        <f t="shared" si="68"/>
        <v>0</v>
      </c>
      <c r="P175" s="62">
        <f t="shared" si="68"/>
        <v>0</v>
      </c>
      <c r="Q175" s="13">
        <f t="shared" si="64"/>
        <v>0</v>
      </c>
      <c r="R175" s="13"/>
    </row>
    <row r="176" spans="1:18" x14ac:dyDescent="0.35">
      <c r="A176" s="294" t="str">
        <f t="shared" si="67"/>
        <v>Buildings</v>
      </c>
      <c r="D176" s="60" t="s">
        <v>122</v>
      </c>
      <c r="E176" s="61">
        <f t="shared" si="69"/>
        <v>0</v>
      </c>
      <c r="F176" s="61">
        <f t="shared" si="68"/>
        <v>0</v>
      </c>
      <c r="G176" s="61">
        <f t="shared" si="68"/>
        <v>0</v>
      </c>
      <c r="H176" s="61">
        <f t="shared" si="68"/>
        <v>0</v>
      </c>
      <c r="I176" s="61">
        <f t="shared" si="68"/>
        <v>0</v>
      </c>
      <c r="J176" s="61">
        <f t="shared" si="68"/>
        <v>0</v>
      </c>
      <c r="K176" s="61">
        <f t="shared" si="68"/>
        <v>0</v>
      </c>
      <c r="L176" s="61">
        <f t="shared" si="68"/>
        <v>0</v>
      </c>
      <c r="M176" s="61">
        <f t="shared" si="68"/>
        <v>0</v>
      </c>
      <c r="N176" s="61">
        <f t="shared" si="68"/>
        <v>0</v>
      </c>
      <c r="O176" s="61">
        <f t="shared" si="68"/>
        <v>0</v>
      </c>
      <c r="P176" s="62">
        <f t="shared" si="68"/>
        <v>0</v>
      </c>
      <c r="Q176" s="13">
        <f t="shared" si="64"/>
        <v>0</v>
      </c>
      <c r="R176" s="13"/>
    </row>
    <row r="177" spans="1:18" x14ac:dyDescent="0.35">
      <c r="A177" s="294" t="str">
        <f t="shared" si="67"/>
        <v>Equipment</v>
      </c>
      <c r="D177" s="60" t="s">
        <v>123</v>
      </c>
      <c r="E177" s="61">
        <f t="shared" si="69"/>
        <v>0</v>
      </c>
      <c r="F177" s="61">
        <f t="shared" si="68"/>
        <v>0</v>
      </c>
      <c r="G177" s="61">
        <f t="shared" si="68"/>
        <v>0</v>
      </c>
      <c r="H177" s="61">
        <f t="shared" si="68"/>
        <v>0</v>
      </c>
      <c r="I177" s="61">
        <f t="shared" si="68"/>
        <v>0</v>
      </c>
      <c r="J177" s="61">
        <f t="shared" si="68"/>
        <v>0</v>
      </c>
      <c r="K177" s="61">
        <f t="shared" si="68"/>
        <v>0</v>
      </c>
      <c r="L177" s="61">
        <f t="shared" si="68"/>
        <v>0</v>
      </c>
      <c r="M177" s="61">
        <f t="shared" si="68"/>
        <v>0</v>
      </c>
      <c r="N177" s="61">
        <f t="shared" si="68"/>
        <v>0</v>
      </c>
      <c r="O177" s="61">
        <f t="shared" si="68"/>
        <v>0</v>
      </c>
      <c r="P177" s="62">
        <f t="shared" si="68"/>
        <v>0</v>
      </c>
      <c r="Q177" s="13">
        <f t="shared" si="64"/>
        <v>0</v>
      </c>
      <c r="R177" s="13"/>
    </row>
    <row r="178" spans="1:18" x14ac:dyDescent="0.35">
      <c r="A178" s="294" t="str">
        <f t="shared" si="63"/>
        <v>Tenant Improvements</v>
      </c>
      <c r="D178" s="60" t="s">
        <v>124</v>
      </c>
      <c r="E178" s="61">
        <f t="shared" si="69"/>
        <v>0</v>
      </c>
      <c r="F178" s="61">
        <f t="shared" si="68"/>
        <v>0</v>
      </c>
      <c r="G178" s="61">
        <f t="shared" si="68"/>
        <v>0</v>
      </c>
      <c r="H178" s="61">
        <f t="shared" si="68"/>
        <v>0</v>
      </c>
      <c r="I178" s="61">
        <f t="shared" si="68"/>
        <v>0</v>
      </c>
      <c r="J178" s="61">
        <f t="shared" si="68"/>
        <v>0</v>
      </c>
      <c r="K178" s="61">
        <f t="shared" si="68"/>
        <v>0</v>
      </c>
      <c r="L178" s="61">
        <f t="shared" si="68"/>
        <v>0</v>
      </c>
      <c r="M178" s="61">
        <f t="shared" si="68"/>
        <v>0</v>
      </c>
      <c r="N178" s="61">
        <f t="shared" si="68"/>
        <v>0</v>
      </c>
      <c r="O178" s="61">
        <f t="shared" si="68"/>
        <v>0</v>
      </c>
      <c r="P178" s="62">
        <f t="shared" si="68"/>
        <v>0</v>
      </c>
      <c r="Q178" s="13">
        <f t="shared" si="64"/>
        <v>0</v>
      </c>
      <c r="R178" s="13"/>
    </row>
    <row r="179" spans="1:18" x14ac:dyDescent="0.35">
      <c r="A179" s="294" t="str">
        <f>VLOOKUP($D179,$A$10:$D$130,4,FALSE)</f>
        <v>Deferred Marketing</v>
      </c>
      <c r="D179" s="60" t="s">
        <v>125</v>
      </c>
      <c r="E179" s="61">
        <f t="shared" si="69"/>
        <v>0</v>
      </c>
      <c r="F179" s="61">
        <f t="shared" si="68"/>
        <v>0</v>
      </c>
      <c r="G179" s="61">
        <f t="shared" si="68"/>
        <v>0</v>
      </c>
      <c r="H179" s="61">
        <f t="shared" si="68"/>
        <v>0</v>
      </c>
      <c r="I179" s="61">
        <f t="shared" si="68"/>
        <v>0</v>
      </c>
      <c r="J179" s="61">
        <f t="shared" si="68"/>
        <v>0</v>
      </c>
      <c r="K179" s="61">
        <f t="shared" si="68"/>
        <v>0</v>
      </c>
      <c r="L179" s="61">
        <f t="shared" si="68"/>
        <v>0</v>
      </c>
      <c r="M179" s="61">
        <f t="shared" si="68"/>
        <v>0</v>
      </c>
      <c r="N179" s="61">
        <f t="shared" si="68"/>
        <v>0</v>
      </c>
      <c r="O179" s="61">
        <f t="shared" si="68"/>
        <v>0</v>
      </c>
      <c r="P179" s="62">
        <f t="shared" si="68"/>
        <v>0</v>
      </c>
      <c r="Q179" s="13">
        <f t="shared" si="64"/>
        <v>0</v>
      </c>
      <c r="R179" s="13"/>
    </row>
    <row r="180" spans="1:18" x14ac:dyDescent="0.35">
      <c r="A180" s="294" t="str">
        <f t="shared" si="63"/>
        <v>Interest</v>
      </c>
      <c r="D180" s="60" t="s">
        <v>128</v>
      </c>
      <c r="E180" s="61">
        <f t="shared" si="69"/>
        <v>0</v>
      </c>
      <c r="F180" s="61">
        <f t="shared" si="68"/>
        <v>0</v>
      </c>
      <c r="G180" s="61">
        <f t="shared" si="68"/>
        <v>0</v>
      </c>
      <c r="H180" s="61">
        <f t="shared" si="68"/>
        <v>0</v>
      </c>
      <c r="I180" s="61">
        <f t="shared" si="68"/>
        <v>0</v>
      </c>
      <c r="J180" s="61">
        <f t="shared" si="68"/>
        <v>0</v>
      </c>
      <c r="K180" s="61">
        <f t="shared" si="68"/>
        <v>0</v>
      </c>
      <c r="L180" s="61">
        <f t="shared" si="68"/>
        <v>0</v>
      </c>
      <c r="M180" s="61">
        <f t="shared" si="68"/>
        <v>0</v>
      </c>
      <c r="N180" s="61">
        <f t="shared" si="68"/>
        <v>0</v>
      </c>
      <c r="O180" s="61">
        <f t="shared" si="68"/>
        <v>0</v>
      </c>
      <c r="P180" s="62">
        <f t="shared" si="68"/>
        <v>0</v>
      </c>
      <c r="Q180" s="13">
        <f t="shared" si="64"/>
        <v>0</v>
      </c>
      <c r="R180" s="13"/>
    </row>
    <row r="181" spans="1:18" ht="16.5" thickBot="1" x14ac:dyDescent="0.4">
      <c r="A181" s="294" t="str">
        <f t="shared" si="63"/>
        <v>Mortgage Amortization</v>
      </c>
      <c r="D181" s="63" t="s">
        <v>145</v>
      </c>
      <c r="E181" s="64">
        <f>VLOOKUP($D181,$A$10:$P$134,E$145,FALSE)</f>
        <v>0</v>
      </c>
      <c r="F181" s="64">
        <f t="shared" ref="F181:P181" si="70">VLOOKUP($D181,$A$10:$P$134,F$145,FALSE)</f>
        <v>0</v>
      </c>
      <c r="G181" s="64">
        <f t="shared" si="70"/>
        <v>0</v>
      </c>
      <c r="H181" s="64">
        <f t="shared" si="70"/>
        <v>0</v>
      </c>
      <c r="I181" s="64">
        <f t="shared" si="70"/>
        <v>0</v>
      </c>
      <c r="J181" s="64">
        <f t="shared" si="70"/>
        <v>0</v>
      </c>
      <c r="K181" s="64">
        <f t="shared" si="70"/>
        <v>0</v>
      </c>
      <c r="L181" s="64">
        <f t="shared" si="70"/>
        <v>0</v>
      </c>
      <c r="M181" s="64">
        <f t="shared" si="70"/>
        <v>0</v>
      </c>
      <c r="N181" s="64">
        <f t="shared" si="70"/>
        <v>0</v>
      </c>
      <c r="O181" s="64">
        <f t="shared" si="70"/>
        <v>0</v>
      </c>
      <c r="P181" s="65">
        <f t="shared" si="70"/>
        <v>0</v>
      </c>
      <c r="Q181" s="13">
        <f t="shared" si="64"/>
        <v>0</v>
      </c>
      <c r="R181" s="13"/>
    </row>
    <row r="182" spans="1:18" x14ac:dyDescent="0.35">
      <c r="D182" s="79" t="s">
        <v>12</v>
      </c>
      <c r="E182" s="6">
        <f t="shared" ref="E182:Q182" si="71">SUM(E147:E181)</f>
        <v>-1391.9307416260231</v>
      </c>
      <c r="F182" s="6">
        <f t="shared" si="71"/>
        <v>-1391.9307416260231</v>
      </c>
      <c r="G182" s="6">
        <f t="shared" si="71"/>
        <v>-1391.9307416260231</v>
      </c>
      <c r="H182" s="6">
        <f t="shared" si="71"/>
        <v>-1288.9307416260231</v>
      </c>
      <c r="I182" s="6">
        <f t="shared" si="71"/>
        <v>-1391.9307416260231</v>
      </c>
      <c r="J182" s="6">
        <f t="shared" si="71"/>
        <v>-1391.9307416260231</v>
      </c>
      <c r="K182" s="6">
        <f t="shared" si="71"/>
        <v>-1391.9307416260231</v>
      </c>
      <c r="L182" s="6">
        <f t="shared" si="71"/>
        <v>-1391.9307416260231</v>
      </c>
      <c r="M182" s="6">
        <f t="shared" si="71"/>
        <v>-1391.9307416260231</v>
      </c>
      <c r="N182" s="6">
        <f t="shared" si="71"/>
        <v>-1391.9307416260231</v>
      </c>
      <c r="O182" s="6">
        <f t="shared" si="71"/>
        <v>-1391.050741626023</v>
      </c>
      <c r="P182" s="6">
        <f t="shared" si="71"/>
        <v>-1391.050741626023</v>
      </c>
      <c r="Q182" s="6">
        <f t="shared" si="71"/>
        <v>-16598.408899512269</v>
      </c>
    </row>
    <row r="183" spans="1:18" x14ac:dyDescent="0.35">
      <c r="E183" s="31">
        <f>E134+E182</f>
        <v>0</v>
      </c>
      <c r="F183" s="31">
        <f t="shared" ref="F183:Q183" si="72">F134+F182</f>
        <v>0</v>
      </c>
      <c r="G183" s="31">
        <f t="shared" si="72"/>
        <v>0</v>
      </c>
      <c r="H183" s="31">
        <f t="shared" si="72"/>
        <v>0</v>
      </c>
      <c r="I183" s="31">
        <f t="shared" si="72"/>
        <v>0</v>
      </c>
      <c r="J183" s="31">
        <f t="shared" si="72"/>
        <v>0</v>
      </c>
      <c r="K183" s="31">
        <f t="shared" si="72"/>
        <v>0</v>
      </c>
      <c r="L183" s="31">
        <f t="shared" si="72"/>
        <v>0</v>
      </c>
      <c r="M183" s="31">
        <f t="shared" si="72"/>
        <v>0</v>
      </c>
      <c r="N183" s="31">
        <f t="shared" si="72"/>
        <v>0</v>
      </c>
      <c r="O183" s="31">
        <f t="shared" si="72"/>
        <v>0</v>
      </c>
      <c r="P183" s="31">
        <f t="shared" si="72"/>
        <v>0</v>
      </c>
      <c r="Q183" s="31">
        <f t="shared" si="72"/>
        <v>0</v>
      </c>
    </row>
    <row r="185" spans="1:18" ht="17.5" x14ac:dyDescent="0.5">
      <c r="D185" s="35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R185" s="10"/>
    </row>
    <row r="186" spans="1:18" x14ac:dyDescent="0.35"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279" spans="19:20" x14ac:dyDescent="0.35">
      <c r="S279" s="10"/>
      <c r="T279" s="324"/>
    </row>
    <row r="280" spans="19:20" x14ac:dyDescent="0.35">
      <c r="S280" s="10"/>
      <c r="T280" s="324"/>
    </row>
    <row r="281" spans="19:20" x14ac:dyDescent="0.35">
      <c r="S281" s="10"/>
      <c r="T281" s="324"/>
    </row>
    <row r="282" spans="19:20" x14ac:dyDescent="0.35">
      <c r="S282" s="10"/>
      <c r="T282" s="324"/>
    </row>
    <row r="283" spans="19:20" x14ac:dyDescent="0.35">
      <c r="S283" s="10"/>
      <c r="T283" s="324"/>
    </row>
    <row r="284" spans="19:20" x14ac:dyDescent="0.35">
      <c r="S284" s="10"/>
      <c r="T284" s="324"/>
    </row>
    <row r="285" spans="19:20" x14ac:dyDescent="0.35">
      <c r="S285" s="10"/>
      <c r="T285" s="324"/>
    </row>
    <row r="286" spans="19:20" x14ac:dyDescent="0.35">
      <c r="S286" s="10"/>
      <c r="T286" s="324"/>
    </row>
    <row r="287" spans="19:20" x14ac:dyDescent="0.35">
      <c r="S287" s="10"/>
      <c r="T287" s="324"/>
    </row>
    <row r="288" spans="19:20" x14ac:dyDescent="0.35">
      <c r="S288" s="10"/>
      <c r="T288" s="324"/>
    </row>
    <row r="289" spans="19:20" x14ac:dyDescent="0.35">
      <c r="S289" s="10"/>
      <c r="T289" s="324"/>
    </row>
    <row r="290" spans="19:20" x14ac:dyDescent="0.35">
      <c r="S290" s="10"/>
      <c r="T290" s="324"/>
    </row>
    <row r="291" spans="19:20" x14ac:dyDescent="0.35">
      <c r="S291" s="10"/>
      <c r="T291" s="324"/>
    </row>
    <row r="292" spans="19:20" x14ac:dyDescent="0.35">
      <c r="S292" s="10"/>
      <c r="T292" s="324"/>
    </row>
    <row r="293" spans="19:20" x14ac:dyDescent="0.35">
      <c r="S293" s="10"/>
      <c r="T293" s="324"/>
    </row>
    <row r="294" spans="19:20" x14ac:dyDescent="0.35">
      <c r="S294" s="10"/>
      <c r="T294" s="324"/>
    </row>
    <row r="295" spans="19:20" x14ac:dyDescent="0.35">
      <c r="S295" s="10"/>
      <c r="T295" s="324"/>
    </row>
    <row r="296" spans="19:20" x14ac:dyDescent="0.35">
      <c r="S296" s="10"/>
      <c r="T296" s="324"/>
    </row>
    <row r="297" spans="19:20" x14ac:dyDescent="0.35">
      <c r="S297" s="10"/>
      <c r="T297" s="324"/>
    </row>
    <row r="298" spans="19:20" x14ac:dyDescent="0.35">
      <c r="S298" s="10"/>
      <c r="T298" s="324"/>
    </row>
    <row r="299" spans="19:20" x14ac:dyDescent="0.35">
      <c r="S299" s="10"/>
      <c r="T299" s="324"/>
    </row>
    <row r="300" spans="19:20" x14ac:dyDescent="0.35">
      <c r="S300" s="10"/>
      <c r="T300" s="324"/>
    </row>
    <row r="301" spans="19:20" x14ac:dyDescent="0.35">
      <c r="S301" s="10"/>
      <c r="T301" s="324"/>
    </row>
    <row r="302" spans="19:20" x14ac:dyDescent="0.35">
      <c r="S302" s="10"/>
      <c r="T302" s="324"/>
    </row>
    <row r="303" spans="19:20" x14ac:dyDescent="0.35">
      <c r="S303" s="10"/>
      <c r="T303" s="324"/>
    </row>
    <row r="304" spans="19:20" x14ac:dyDescent="0.35">
      <c r="S304" s="10"/>
      <c r="T304" s="324"/>
    </row>
    <row r="305" spans="19:20" x14ac:dyDescent="0.35">
      <c r="S305" s="10"/>
      <c r="T305" s="324"/>
    </row>
    <row r="306" spans="19:20" x14ac:dyDescent="0.35">
      <c r="S306" s="10"/>
      <c r="T306" s="324"/>
    </row>
    <row r="307" spans="19:20" x14ac:dyDescent="0.35">
      <c r="S307" s="10"/>
      <c r="T307" s="324"/>
    </row>
    <row r="308" spans="19:20" x14ac:dyDescent="0.35">
      <c r="S308" s="10"/>
      <c r="T308" s="324"/>
    </row>
    <row r="309" spans="19:20" x14ac:dyDescent="0.35">
      <c r="S309" s="10"/>
      <c r="T309" s="324"/>
    </row>
    <row r="310" spans="19:20" x14ac:dyDescent="0.35">
      <c r="S310" s="10"/>
      <c r="T310" s="324"/>
    </row>
    <row r="311" spans="19:20" x14ac:dyDescent="0.35">
      <c r="S311" s="10"/>
      <c r="T311" s="324"/>
    </row>
    <row r="312" spans="19:20" x14ac:dyDescent="0.35">
      <c r="S312" s="10"/>
      <c r="T312" s="324"/>
    </row>
    <row r="313" spans="19:20" x14ac:dyDescent="0.35">
      <c r="S313" s="10"/>
      <c r="T313" s="324"/>
    </row>
    <row r="314" spans="19:20" x14ac:dyDescent="0.35">
      <c r="S314" s="10"/>
      <c r="T314" s="324"/>
    </row>
    <row r="315" spans="19:20" x14ac:dyDescent="0.35">
      <c r="S315" s="10"/>
      <c r="T315" s="324"/>
    </row>
    <row r="316" spans="19:20" x14ac:dyDescent="0.35">
      <c r="S316" s="10"/>
      <c r="T316" s="324"/>
    </row>
    <row r="317" spans="19:20" x14ac:dyDescent="0.35">
      <c r="S317" s="10"/>
      <c r="T317" s="324"/>
    </row>
    <row r="318" spans="19:20" x14ac:dyDescent="0.35">
      <c r="S318" s="10"/>
      <c r="T318" s="324"/>
    </row>
    <row r="319" spans="19:20" x14ac:dyDescent="0.35">
      <c r="S319" s="10"/>
      <c r="T319" s="324"/>
    </row>
    <row r="320" spans="19:20" x14ac:dyDescent="0.35">
      <c r="S320" s="10"/>
      <c r="T320" s="324"/>
    </row>
    <row r="321" spans="19:20" x14ac:dyDescent="0.35">
      <c r="S321" s="10"/>
      <c r="T321" s="324"/>
    </row>
    <row r="322" spans="19:20" x14ac:dyDescent="0.35">
      <c r="S322" s="10"/>
      <c r="T322" s="324"/>
    </row>
    <row r="323" spans="19:20" x14ac:dyDescent="0.35">
      <c r="S323" s="10"/>
      <c r="T323" s="324"/>
    </row>
    <row r="324" spans="19:20" x14ac:dyDescent="0.35">
      <c r="S324" s="10"/>
      <c r="T324" s="324"/>
    </row>
    <row r="325" spans="19:20" x14ac:dyDescent="0.35">
      <c r="S325" s="10"/>
      <c r="T325" s="324"/>
    </row>
    <row r="326" spans="19:20" x14ac:dyDescent="0.35">
      <c r="S326" s="10"/>
      <c r="T326" s="324"/>
    </row>
    <row r="327" spans="19:20" x14ac:dyDescent="0.35">
      <c r="S327" s="10"/>
      <c r="T327" s="324"/>
    </row>
    <row r="328" spans="19:20" x14ac:dyDescent="0.35">
      <c r="S328" s="10"/>
      <c r="T328" s="324"/>
    </row>
    <row r="329" spans="19:20" x14ac:dyDescent="0.35">
      <c r="S329" s="10"/>
      <c r="T329" s="324"/>
    </row>
    <row r="330" spans="19:20" x14ac:dyDescent="0.35">
      <c r="S330" s="10"/>
      <c r="T330" s="324"/>
    </row>
    <row r="341" spans="19:20" x14ac:dyDescent="0.35">
      <c r="S341" s="10"/>
      <c r="T341" s="324"/>
    </row>
    <row r="342" spans="19:20" x14ac:dyDescent="0.35">
      <c r="S342" s="10"/>
      <c r="T342" s="324"/>
    </row>
    <row r="343" spans="19:20" x14ac:dyDescent="0.35">
      <c r="S343" s="10"/>
      <c r="T343" s="324"/>
    </row>
    <row r="344" spans="19:20" x14ac:dyDescent="0.35">
      <c r="S344" s="44"/>
      <c r="T344" s="325"/>
    </row>
    <row r="345" spans="19:20" x14ac:dyDescent="0.35">
      <c r="S345" s="42"/>
      <c r="T345" s="326"/>
    </row>
    <row r="346" spans="19:20" x14ac:dyDescent="0.35">
      <c r="S346" s="10"/>
      <c r="T346" s="324"/>
    </row>
    <row r="347" spans="19:20" x14ac:dyDescent="0.35">
      <c r="S347" s="10"/>
      <c r="T347" s="324"/>
    </row>
    <row r="348" spans="19:20" x14ac:dyDescent="0.35">
      <c r="S348" s="10"/>
      <c r="T348" s="324"/>
    </row>
    <row r="349" spans="19:20" x14ac:dyDescent="0.35">
      <c r="S349" s="10"/>
      <c r="T349" s="324"/>
    </row>
    <row r="350" spans="19:20" x14ac:dyDescent="0.35">
      <c r="S350" s="10"/>
      <c r="T350" s="324"/>
    </row>
    <row r="351" spans="19:20" x14ac:dyDescent="0.35">
      <c r="S351" s="10"/>
      <c r="T351" s="324"/>
    </row>
    <row r="352" spans="19:20" x14ac:dyDescent="0.35">
      <c r="S352" s="10"/>
      <c r="T352" s="324"/>
    </row>
    <row r="353" spans="19:20" x14ac:dyDescent="0.35">
      <c r="S353" s="10"/>
      <c r="T353" s="324"/>
    </row>
    <row r="354" spans="19:20" x14ac:dyDescent="0.35">
      <c r="S354" s="10"/>
      <c r="T354" s="324"/>
    </row>
    <row r="355" spans="19:20" x14ac:dyDescent="0.35">
      <c r="S355" s="10"/>
      <c r="T355" s="324"/>
    </row>
    <row r="356" spans="19:20" x14ac:dyDescent="0.35">
      <c r="S356" s="10"/>
      <c r="T356" s="324"/>
    </row>
    <row r="357" spans="19:20" x14ac:dyDescent="0.35">
      <c r="S357" s="10"/>
      <c r="T357" s="324"/>
    </row>
    <row r="358" spans="19:20" x14ac:dyDescent="0.35">
      <c r="S358" s="10"/>
      <c r="T358" s="324"/>
    </row>
    <row r="359" spans="19:20" x14ac:dyDescent="0.35">
      <c r="S359" s="10"/>
      <c r="T359" s="324"/>
    </row>
    <row r="360" spans="19:20" x14ac:dyDescent="0.35">
      <c r="S360" s="10"/>
      <c r="T360" s="324"/>
    </row>
    <row r="361" spans="19:20" x14ac:dyDescent="0.35">
      <c r="S361" s="10"/>
      <c r="T361" s="324"/>
    </row>
    <row r="362" spans="19:20" x14ac:dyDescent="0.35">
      <c r="S362" s="10"/>
      <c r="T362" s="324"/>
    </row>
    <row r="363" spans="19:20" x14ac:dyDescent="0.35">
      <c r="S363" s="10"/>
      <c r="T363" s="324"/>
    </row>
    <row r="364" spans="19:20" x14ac:dyDescent="0.35">
      <c r="S364" s="10"/>
      <c r="T364" s="324"/>
    </row>
    <row r="365" spans="19:20" x14ac:dyDescent="0.35">
      <c r="S365" s="10"/>
      <c r="T365" s="324"/>
    </row>
    <row r="366" spans="19:20" x14ac:dyDescent="0.35">
      <c r="S366" s="10"/>
      <c r="T366" s="324"/>
    </row>
    <row r="367" spans="19:20" x14ac:dyDescent="0.35">
      <c r="S367" s="10"/>
      <c r="T367" s="324"/>
    </row>
    <row r="368" spans="19:20" x14ac:dyDescent="0.35">
      <c r="S368" s="10"/>
      <c r="T368" s="324"/>
    </row>
    <row r="369" spans="19:20" x14ac:dyDescent="0.35">
      <c r="S369" s="10"/>
      <c r="T369" s="324"/>
    </row>
    <row r="370" spans="19:20" x14ac:dyDescent="0.35">
      <c r="S370" s="10"/>
      <c r="T370" s="324"/>
    </row>
    <row r="371" spans="19:20" x14ac:dyDescent="0.35">
      <c r="S371" s="10"/>
      <c r="T371" s="324"/>
    </row>
    <row r="372" spans="19:20" x14ac:dyDescent="0.35">
      <c r="S372" s="10"/>
      <c r="T372" s="324"/>
    </row>
    <row r="373" spans="19:20" x14ac:dyDescent="0.35">
      <c r="S373" s="10"/>
      <c r="T373" s="324"/>
    </row>
    <row r="374" spans="19:20" x14ac:dyDescent="0.35">
      <c r="S374" s="10"/>
      <c r="T374" s="324"/>
    </row>
    <row r="375" spans="19:20" x14ac:dyDescent="0.35">
      <c r="S375" s="10"/>
      <c r="T375" s="324"/>
    </row>
    <row r="376" spans="19:20" x14ac:dyDescent="0.35">
      <c r="S376" s="10"/>
      <c r="T376" s="324"/>
    </row>
    <row r="377" spans="19:20" x14ac:dyDescent="0.35">
      <c r="S377" s="10"/>
      <c r="T377" s="324"/>
    </row>
    <row r="378" spans="19:20" x14ac:dyDescent="0.35">
      <c r="S378" s="10"/>
      <c r="T378" s="324"/>
    </row>
    <row r="379" spans="19:20" x14ac:dyDescent="0.35">
      <c r="S379" s="10"/>
      <c r="T379" s="324"/>
    </row>
    <row r="381" spans="19:20" x14ac:dyDescent="0.35">
      <c r="S381" s="46"/>
      <c r="T381" s="327"/>
    </row>
    <row r="384" spans="19:20" x14ac:dyDescent="0.35">
      <c r="S384" s="10"/>
      <c r="T384" s="324"/>
    </row>
    <row r="385" spans="19:20" x14ac:dyDescent="0.35">
      <c r="S385" s="10"/>
      <c r="T385" s="324"/>
    </row>
  </sheetData>
  <sheetProtection selectLockedCells="1"/>
  <phoneticPr fontId="0" type="noConversion"/>
  <conditionalFormatting sqref="E183:Q183">
    <cfRule type="cellIs" dxfId="100" priority="1" operator="between">
      <formula>-1</formula>
      <formula>1</formula>
    </cfRule>
  </conditionalFormatting>
  <dataValidations disablePrompts="1" count="1">
    <dataValidation operator="notEqual" showInputMessage="1" showErrorMessage="1" sqref="E18:P18" xr:uid="{00000000-0002-0000-0600-000000000000}"/>
  </dataValidations>
  <pageMargins left="0" right="0" top="0" bottom="0" header="0.05" footer="0"/>
  <pageSetup scale="47" fitToHeight="2" orientation="landscape" cellComments="asDisplayed" r:id="rId1"/>
  <headerFooter alignWithMargins="0">
    <oddFooter>&amp;L&amp;Z&amp;F\&amp;A&amp;R&amp;D;&amp;T</oddFooter>
  </headerFooter>
  <rowBreaks count="1" manualBreakCount="1">
    <brk id="72" max="1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5">
    <tabColor theme="0"/>
  </sheetPr>
  <dimension ref="A1:V494"/>
  <sheetViews>
    <sheetView topLeftCell="A60" zoomScale="69" zoomScaleNormal="69" workbookViewId="0">
      <selection activeCell="E8" sqref="E8"/>
    </sheetView>
  </sheetViews>
  <sheetFormatPr defaultColWidth="10.81640625" defaultRowHeight="16" outlineLevelRow="1" outlineLevelCol="1" x14ac:dyDescent="0.35"/>
  <cols>
    <col min="1" max="1" width="15.54296875" style="6" bestFit="1" customWidth="1"/>
    <col min="2" max="2" width="13" style="6" customWidth="1"/>
    <col min="3" max="3" width="2.81640625" style="6" customWidth="1"/>
    <col min="4" max="4" width="37.81640625" style="6" customWidth="1"/>
    <col min="5" max="5" width="13.81640625" style="6" bestFit="1" customWidth="1"/>
    <col min="6" max="9" width="12.81640625" style="6" bestFit="1" customWidth="1"/>
    <col min="10" max="10" width="13.54296875" style="6" customWidth="1"/>
    <col min="11" max="11" width="12.81640625" style="6" bestFit="1" customWidth="1"/>
    <col min="12" max="12" width="15.81640625" style="6" bestFit="1" customWidth="1"/>
    <col min="13" max="16" width="12.81640625" style="6" bestFit="1" customWidth="1"/>
    <col min="17" max="17" width="15.1796875" style="6" bestFit="1" customWidth="1"/>
    <col min="18" max="18" width="13.54296875" style="6" bestFit="1" customWidth="1"/>
    <col min="19" max="19" width="17.26953125" style="6" hidden="1" customWidth="1" outlineLevel="1"/>
    <col min="20" max="20" width="14.26953125" style="273" hidden="1" customWidth="1" outlineLevel="1"/>
    <col min="21" max="21" width="9.1796875" style="23" bestFit="1" customWidth="1" collapsed="1"/>
    <col min="22" max="22" width="33.1796875" style="6" bestFit="1" customWidth="1"/>
    <col min="23" max="16384" width="10.81640625" style="6"/>
  </cols>
  <sheetData>
    <row r="1" spans="1:22" s="20" customFormat="1" ht="29" x14ac:dyDescent="0.25">
      <c r="B1" s="214">
        <v>7010</v>
      </c>
      <c r="C1" s="388" t="s">
        <v>561</v>
      </c>
      <c r="J1" s="21" t="str">
        <f>+'5600'!J1</f>
        <v>Operating Budget</v>
      </c>
      <c r="Q1" s="22">
        <f>'All Shopping Centers'!Q1</f>
        <v>46023</v>
      </c>
      <c r="R1" s="22"/>
      <c r="S1" s="22"/>
      <c r="T1" s="299"/>
      <c r="U1" s="240"/>
    </row>
    <row r="2" spans="1:22" ht="18" x14ac:dyDescent="0.35">
      <c r="J2" s="73" t="str">
        <f>'All Shopping Centers'!J2&amp;" - "&amp;B1</f>
        <v>Shopping Centers - 7010</v>
      </c>
    </row>
    <row r="3" spans="1:22" ht="18" x14ac:dyDescent="0.35">
      <c r="S3" s="300" t="s">
        <v>496</v>
      </c>
      <c r="T3" s="301"/>
    </row>
    <row r="4" spans="1:22" s="11" customFormat="1" ht="18" x14ac:dyDescent="0.35">
      <c r="B4" s="215">
        <v>73209</v>
      </c>
      <c r="C4" s="215"/>
      <c r="D4" s="13"/>
      <c r="E4" s="24" t="s">
        <v>0</v>
      </c>
      <c r="F4" s="24" t="s">
        <v>1</v>
      </c>
      <c r="G4" s="24" t="s">
        <v>2</v>
      </c>
      <c r="H4" s="24" t="s">
        <v>3</v>
      </c>
      <c r="I4" s="24" t="s">
        <v>4</v>
      </c>
      <c r="J4" s="24" t="s">
        <v>5</v>
      </c>
      <c r="K4" s="24" t="s">
        <v>6</v>
      </c>
      <c r="L4" s="24" t="s">
        <v>7</v>
      </c>
      <c r="M4" s="24" t="s">
        <v>8</v>
      </c>
      <c r="N4" s="24" t="s">
        <v>9</v>
      </c>
      <c r="O4" s="24" t="s">
        <v>10</v>
      </c>
      <c r="P4" s="24" t="s">
        <v>11</v>
      </c>
      <c r="Q4" s="100" t="s">
        <v>12</v>
      </c>
      <c r="R4" s="100" t="s">
        <v>317</v>
      </c>
      <c r="S4" s="302" t="s">
        <v>12</v>
      </c>
      <c r="T4" s="303" t="s">
        <v>495</v>
      </c>
      <c r="U4" s="231" t="s">
        <v>349</v>
      </c>
      <c r="V4" s="227" t="s">
        <v>282</v>
      </c>
    </row>
    <row r="5" spans="1:22" x14ac:dyDescent="0.35">
      <c r="Q5" s="101"/>
      <c r="R5" s="101"/>
      <c r="S5" s="304"/>
      <c r="T5" s="305"/>
    </row>
    <row r="6" spans="1:22" s="25" customFormat="1" x14ac:dyDescent="0.35">
      <c r="B6" s="26"/>
      <c r="D6" s="211" t="s">
        <v>13</v>
      </c>
      <c r="E6" s="212">
        <f>'Renew &amp; Vac '!AJ119</f>
        <v>0.75129999999999997</v>
      </c>
      <c r="F6" s="212">
        <f>'Renew &amp; Vac '!AK119</f>
        <v>0.75129999999999997</v>
      </c>
      <c r="G6" s="212">
        <f>'Renew &amp; Vac '!AL119</f>
        <v>0.75129999999999997</v>
      </c>
      <c r="H6" s="212">
        <f>'Renew &amp; Vac '!AM119</f>
        <v>0.75129999999999997</v>
      </c>
      <c r="I6" s="212">
        <f>'Renew &amp; Vac '!AN119</f>
        <v>0.75129999999999997</v>
      </c>
      <c r="J6" s="212">
        <f>'Renew &amp; Vac '!AO119</f>
        <v>0.75129999999999997</v>
      </c>
      <c r="K6" s="212">
        <f>'Renew &amp; Vac '!AP119</f>
        <v>0.75129999999999997</v>
      </c>
      <c r="L6" s="212">
        <f>'Renew &amp; Vac '!AQ119</f>
        <v>0.75129999999999997</v>
      </c>
      <c r="M6" s="212">
        <f>'Renew &amp; Vac '!AR119</f>
        <v>0.75129999999999997</v>
      </c>
      <c r="N6" s="212">
        <f>'Renew &amp; Vac '!AS119</f>
        <v>0.75129999999999997</v>
      </c>
      <c r="O6" s="212">
        <f>'Renew &amp; Vac '!AT119</f>
        <v>0.75129999999999997</v>
      </c>
      <c r="P6" s="212">
        <f>'Renew &amp; Vac '!AU119</f>
        <v>0.75129999999999997</v>
      </c>
      <c r="Q6" s="102"/>
      <c r="R6" s="102"/>
      <c r="S6" s="306"/>
      <c r="T6" s="307"/>
      <c r="U6" s="232"/>
    </row>
    <row r="7" spans="1:22" s="25" customFormat="1" x14ac:dyDescent="0.35">
      <c r="B7" s="26"/>
      <c r="D7" s="211" t="s">
        <v>323</v>
      </c>
      <c r="E7" s="213">
        <f>$B$4*E6</f>
        <v>55001.921699999999</v>
      </c>
      <c r="F7" s="213">
        <f t="shared" ref="F7:P7" si="0">$B$4*F6</f>
        <v>55001.921699999999</v>
      </c>
      <c r="G7" s="213">
        <f t="shared" si="0"/>
        <v>55001.921699999999</v>
      </c>
      <c r="H7" s="213">
        <f t="shared" si="0"/>
        <v>55001.921699999999</v>
      </c>
      <c r="I7" s="213">
        <f t="shared" si="0"/>
        <v>55001.921699999999</v>
      </c>
      <c r="J7" s="213">
        <f t="shared" si="0"/>
        <v>55001.921699999999</v>
      </c>
      <c r="K7" s="213">
        <f t="shared" si="0"/>
        <v>55001.921699999999</v>
      </c>
      <c r="L7" s="213">
        <f t="shared" si="0"/>
        <v>55001.921699999999</v>
      </c>
      <c r="M7" s="213">
        <f t="shared" si="0"/>
        <v>55001.921699999999</v>
      </c>
      <c r="N7" s="213">
        <f t="shared" si="0"/>
        <v>55001.921699999999</v>
      </c>
      <c r="O7" s="213">
        <f t="shared" si="0"/>
        <v>55001.921699999999</v>
      </c>
      <c r="P7" s="213">
        <f t="shared" si="0"/>
        <v>55001.921699999999</v>
      </c>
      <c r="Q7" s="102"/>
      <c r="R7" s="102"/>
      <c r="S7" s="306"/>
      <c r="T7" s="307"/>
      <c r="U7" s="232"/>
    </row>
    <row r="8" spans="1:22" ht="18" x14ac:dyDescent="0.35">
      <c r="B8" s="7" t="s">
        <v>14</v>
      </c>
      <c r="Q8" s="101"/>
      <c r="R8" s="101"/>
      <c r="S8" s="304"/>
      <c r="T8" s="305"/>
    </row>
    <row r="9" spans="1:22" x14ac:dyDescent="0.35">
      <c r="A9" s="66"/>
      <c r="Q9" s="101"/>
      <c r="R9" s="101"/>
      <c r="S9" s="304"/>
      <c r="T9" s="305"/>
    </row>
    <row r="10" spans="1:22" x14ac:dyDescent="0.35">
      <c r="A10" s="66" t="s">
        <v>132</v>
      </c>
      <c r="C10" s="6" t="s">
        <v>159</v>
      </c>
      <c r="E10" s="6">
        <f>SUMIFS('In Place Revenue'!$G:$G,'In Place Revenue'!$A:$A,$B$1,'In Place Revenue'!$H:$H,1)</f>
        <v>86177.07</v>
      </c>
      <c r="F10" s="6">
        <f>SUMIFS('In Place Revenue'!$G:$G,'In Place Revenue'!$A:$A,$B$1,'In Place Revenue'!$H:$H,2)</f>
        <v>86207.07</v>
      </c>
      <c r="G10" s="6">
        <f>SUMIFS('In Place Revenue'!$G:$G,'In Place Revenue'!$A:$A,$B$1,'In Place Revenue'!$H:$H,3)</f>
        <v>86207.07</v>
      </c>
      <c r="H10" s="6">
        <f>SUMIFS('In Place Revenue'!$G:$G,'In Place Revenue'!$A:$A,$B$1,'In Place Revenue'!$H:$H,4)</f>
        <v>82893.740000000005</v>
      </c>
      <c r="I10" s="6">
        <f>SUMIFS('In Place Revenue'!$G:$G,'In Place Revenue'!$A:$A,$B$1,'In Place Revenue'!$H:$H,5)</f>
        <v>82893.740000000005</v>
      </c>
      <c r="J10" s="6">
        <f>SUMIFS('In Place Revenue'!$G:$G,'In Place Revenue'!$A:$A,$B$1,'In Place Revenue'!$H:$H,6)</f>
        <v>82893.740000000005</v>
      </c>
      <c r="K10" s="6">
        <f>SUMIFS('In Place Revenue'!$G:$G,'In Place Revenue'!$A:$A,$B$1,'In Place Revenue'!$H:$H,7)</f>
        <v>78822.609999999986</v>
      </c>
      <c r="L10" s="6">
        <f>SUMIFS('In Place Revenue'!$G:$G,'In Place Revenue'!$A:$A,$B$1,'In Place Revenue'!$H:$H,8)</f>
        <v>68679.66</v>
      </c>
      <c r="M10" s="6">
        <f>SUMIFS('In Place Revenue'!$G:$G,'In Place Revenue'!$A:$A,$B$1,'In Place Revenue'!$H:$H,9)</f>
        <v>56932.159999999996</v>
      </c>
      <c r="N10" s="6">
        <f>SUMIFS('In Place Revenue'!$G:$G,'In Place Revenue'!$A:$A,$B$1,'In Place Revenue'!$H:$H,10)</f>
        <v>50857.51</v>
      </c>
      <c r="O10" s="6">
        <f>SUMIFS('In Place Revenue'!$G:$G,'In Place Revenue'!$A:$A,$B$1,'In Place Revenue'!$H:$H,11)</f>
        <v>50857.51</v>
      </c>
      <c r="P10" s="6">
        <f>SUMIFS('In Place Revenue'!$G:$G,'In Place Revenue'!$A:$A,$B$1,'In Place Revenue'!$H:$H,12)</f>
        <v>50857.51</v>
      </c>
      <c r="Q10" s="101">
        <f>SUM(E10:P10)</f>
        <v>864279.39000000013</v>
      </c>
      <c r="R10" s="184">
        <f>Q10/$B$4</f>
        <v>11.805643978199404</v>
      </c>
      <c r="S10" s="304">
        <v>1214889</v>
      </c>
      <c r="T10" s="308">
        <f>(Q10+Q11)/S10-1</f>
        <v>-8.8919220878066363E-2</v>
      </c>
    </row>
    <row r="11" spans="1:22" x14ac:dyDescent="0.35">
      <c r="A11" s="66" t="s">
        <v>132</v>
      </c>
      <c r="C11" s="6" t="s">
        <v>160</v>
      </c>
      <c r="E11" s="6">
        <f>'Renew &amp; Vac '!AJ120</f>
        <v>5216</v>
      </c>
      <c r="F11" s="6">
        <f>'Renew &amp; Vac '!AK120</f>
        <v>5216</v>
      </c>
      <c r="G11" s="6">
        <f>'Renew &amp; Vac '!AL120</f>
        <v>5216</v>
      </c>
      <c r="H11" s="6">
        <f>'Renew &amp; Vac '!AM120</f>
        <v>8345.4433333333345</v>
      </c>
      <c r="I11" s="6">
        <f>'Renew &amp; Vac '!AN120</f>
        <v>8345.4433333333345</v>
      </c>
      <c r="J11" s="6">
        <f>'Renew &amp; Vac '!AO120</f>
        <v>8345.4433333333345</v>
      </c>
      <c r="K11" s="6">
        <f>'Renew &amp; Vac '!AP120</f>
        <v>13594.259166666665</v>
      </c>
      <c r="L11" s="6">
        <f>'Renew &amp; Vac '!AQ120</f>
        <v>24212.592499999999</v>
      </c>
      <c r="M11" s="6">
        <f>'Renew &amp; Vac '!AR120</f>
        <v>37080.357499999998</v>
      </c>
      <c r="N11" s="6">
        <f>'Renew &amp; Vac '!AS120</f>
        <v>42337.029166666667</v>
      </c>
      <c r="O11" s="6">
        <f>'Renew &amp; Vac '!AT120</f>
        <v>42337.029166666667</v>
      </c>
      <c r="P11" s="6">
        <f>'Renew &amp; Vac '!AU120</f>
        <v>42337.029166666667</v>
      </c>
      <c r="Q11" s="101">
        <f>SUM(E11:P11)</f>
        <v>242582.62666666668</v>
      </c>
      <c r="R11" s="184">
        <f t="shared" ref="R11:R74" si="1">Q11/$B$4</f>
        <v>3.313562904378788</v>
      </c>
      <c r="S11" s="304"/>
      <c r="T11" s="308"/>
    </row>
    <row r="12" spans="1:22" x14ac:dyDescent="0.35">
      <c r="A12" s="66" t="s">
        <v>97</v>
      </c>
      <c r="C12" s="6" t="s">
        <v>15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01">
        <f>SUM(E12:P12)</f>
        <v>0</v>
      </c>
      <c r="R12" s="184">
        <f t="shared" si="1"/>
        <v>0</v>
      </c>
      <c r="S12" s="304">
        <v>165677</v>
      </c>
      <c r="T12" s="308">
        <f>IFERROR(Q12/S12-1,"")</f>
        <v>-1</v>
      </c>
    </row>
    <row r="13" spans="1:22" x14ac:dyDescent="0.35">
      <c r="A13" s="66" t="s">
        <v>133</v>
      </c>
      <c r="C13" s="6" t="s">
        <v>16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01">
        <f>SUM(E13:P13)</f>
        <v>0</v>
      </c>
      <c r="R13" s="184">
        <f t="shared" si="1"/>
        <v>0</v>
      </c>
      <c r="S13" s="304"/>
      <c r="T13" s="308" t="str">
        <f t="shared" ref="T13:T14" si="2">IFERROR(Q13/S13-1,"")</f>
        <v/>
      </c>
    </row>
    <row r="14" spans="1:22" x14ac:dyDescent="0.35">
      <c r="A14" s="66" t="s">
        <v>134</v>
      </c>
      <c r="C14" s="6" t="s">
        <v>17</v>
      </c>
      <c r="E14" s="12">
        <f>1.03*74</f>
        <v>76.22</v>
      </c>
      <c r="F14" s="12">
        <f t="shared" ref="F14:P14" si="3">1.03*74</f>
        <v>76.22</v>
      </c>
      <c r="G14" s="12">
        <f t="shared" si="3"/>
        <v>76.22</v>
      </c>
      <c r="H14" s="12">
        <f t="shared" si="3"/>
        <v>76.22</v>
      </c>
      <c r="I14" s="12">
        <f t="shared" si="3"/>
        <v>76.22</v>
      </c>
      <c r="J14" s="12">
        <f t="shared" si="3"/>
        <v>76.22</v>
      </c>
      <c r="K14" s="12">
        <f t="shared" si="3"/>
        <v>76.22</v>
      </c>
      <c r="L14" s="12">
        <f t="shared" si="3"/>
        <v>76.22</v>
      </c>
      <c r="M14" s="12">
        <f t="shared" si="3"/>
        <v>76.22</v>
      </c>
      <c r="N14" s="12">
        <f t="shared" si="3"/>
        <v>76.22</v>
      </c>
      <c r="O14" s="12">
        <f t="shared" si="3"/>
        <v>76.22</v>
      </c>
      <c r="P14" s="12">
        <f t="shared" si="3"/>
        <v>76.22</v>
      </c>
      <c r="Q14" s="101">
        <f>SUM(E14:P14)</f>
        <v>914.64000000000021</v>
      </c>
      <c r="R14" s="184">
        <f t="shared" si="1"/>
        <v>1.2493545875507113E-2</v>
      </c>
      <c r="S14" s="304">
        <v>9632</v>
      </c>
      <c r="T14" s="320">
        <f t="shared" si="2"/>
        <v>-0.90504152823920259</v>
      </c>
      <c r="U14" s="23" t="s">
        <v>283</v>
      </c>
      <c r="V14" s="6" t="s">
        <v>348</v>
      </c>
    </row>
    <row r="15" spans="1:22" x14ac:dyDescent="0.35">
      <c r="A15" s="66"/>
      <c r="C15" s="6" t="s">
        <v>18</v>
      </c>
      <c r="D15" s="16"/>
      <c r="E15" s="28">
        <f t="shared" ref="E15:Q15" si="4">SUM(E10:E14)</f>
        <v>91469.290000000008</v>
      </c>
      <c r="F15" s="28">
        <f t="shared" si="4"/>
        <v>91499.290000000008</v>
      </c>
      <c r="G15" s="28">
        <f t="shared" si="4"/>
        <v>91499.290000000008</v>
      </c>
      <c r="H15" s="28">
        <f t="shared" si="4"/>
        <v>91315.403333333335</v>
      </c>
      <c r="I15" s="28">
        <f t="shared" si="4"/>
        <v>91315.403333333335</v>
      </c>
      <c r="J15" s="28">
        <f t="shared" si="4"/>
        <v>91315.403333333335</v>
      </c>
      <c r="K15" s="28">
        <f t="shared" si="4"/>
        <v>92493.089166666658</v>
      </c>
      <c r="L15" s="28">
        <f t="shared" si="4"/>
        <v>92968.472500000003</v>
      </c>
      <c r="M15" s="28">
        <f t="shared" si="4"/>
        <v>94088.737499999988</v>
      </c>
      <c r="N15" s="28">
        <f t="shared" si="4"/>
        <v>93270.75916666667</v>
      </c>
      <c r="O15" s="28">
        <f t="shared" si="4"/>
        <v>93270.75916666667</v>
      </c>
      <c r="P15" s="28">
        <f t="shared" si="4"/>
        <v>93270.75916666667</v>
      </c>
      <c r="Q15" s="110">
        <f t="shared" si="4"/>
        <v>1107776.6566666667</v>
      </c>
      <c r="R15" s="191">
        <f t="shared" si="1"/>
        <v>15.131700428453698</v>
      </c>
      <c r="S15" s="309">
        <f>SUM(S10:S14)</f>
        <v>1390198</v>
      </c>
      <c r="T15" s="310">
        <f>Q15/S15-1</f>
        <v>-0.20315188435987774</v>
      </c>
    </row>
    <row r="16" spans="1:22" ht="18" x14ac:dyDescent="0.35">
      <c r="A16" s="66"/>
      <c r="Q16" s="103"/>
      <c r="R16" s="185"/>
      <c r="S16" s="311"/>
      <c r="T16" s="312"/>
    </row>
    <row r="17" spans="1:22" ht="18" x14ac:dyDescent="0.35">
      <c r="A17" s="66"/>
      <c r="B17" s="7" t="s">
        <v>19</v>
      </c>
      <c r="Q17" s="101"/>
      <c r="R17" s="184"/>
      <c r="S17" s="304"/>
      <c r="T17" s="308"/>
    </row>
    <row r="18" spans="1:22" x14ac:dyDescent="0.35">
      <c r="A18" s="66" t="s">
        <v>98</v>
      </c>
      <c r="B18" s="366" t="s">
        <v>548</v>
      </c>
      <c r="C18" s="6" t="s">
        <v>541</v>
      </c>
      <c r="E18" s="6">
        <f>E30</f>
        <v>1978.2</v>
      </c>
      <c r="F18" s="6">
        <f t="shared" ref="F18:P18" si="5">F30</f>
        <v>1802.8500000000001</v>
      </c>
      <c r="G18" s="6">
        <f t="shared" si="5"/>
        <v>1659</v>
      </c>
      <c r="H18" s="6">
        <f t="shared" si="5"/>
        <v>1174.95</v>
      </c>
      <c r="I18" s="6">
        <f t="shared" si="5"/>
        <v>1174.95</v>
      </c>
      <c r="J18" s="6">
        <f t="shared" si="5"/>
        <v>1191.75</v>
      </c>
      <c r="K18" s="6">
        <f t="shared" si="5"/>
        <v>1503.6000000000001</v>
      </c>
      <c r="L18" s="6">
        <f t="shared" si="5"/>
        <v>1451.1000000000001</v>
      </c>
      <c r="M18" s="6">
        <f t="shared" si="5"/>
        <v>1174.95</v>
      </c>
      <c r="N18" s="6">
        <f t="shared" si="5"/>
        <v>1659</v>
      </c>
      <c r="O18" s="6">
        <f t="shared" si="5"/>
        <v>1802.8500000000001</v>
      </c>
      <c r="P18" s="6">
        <f t="shared" si="5"/>
        <v>1978.2</v>
      </c>
      <c r="Q18" s="101">
        <f>SUM(E18:P18)</f>
        <v>18551.400000000001</v>
      </c>
      <c r="R18" s="184">
        <f t="shared" ref="R18" si="6">Q18/$B$4</f>
        <v>0.25340327008974306</v>
      </c>
      <c r="S18" s="304">
        <v>15142</v>
      </c>
      <c r="T18" s="308">
        <f t="shared" ref="T18:T20" si="7">IFERROR(Q18/S18-1,"")</f>
        <v>0.22516180161141208</v>
      </c>
      <c r="U18" s="23" t="s">
        <v>283</v>
      </c>
      <c r="V18" s="6" t="s">
        <v>546</v>
      </c>
    </row>
    <row r="19" spans="1:22" x14ac:dyDescent="0.35">
      <c r="A19" s="66" t="s">
        <v>99</v>
      </c>
      <c r="C19" s="6" t="s">
        <v>21</v>
      </c>
      <c r="E19" s="6">
        <f>+'Tenant Recoveries'!J26+'Tenant Recoveries'!K26</f>
        <v>30600</v>
      </c>
      <c r="F19" s="6">
        <f>+E19</f>
        <v>30600</v>
      </c>
      <c r="G19" s="6">
        <f t="shared" ref="G19:P20" si="8">+F19</f>
        <v>30600</v>
      </c>
      <c r="H19" s="6">
        <f t="shared" si="8"/>
        <v>30600</v>
      </c>
      <c r="I19" s="6">
        <f t="shared" si="8"/>
        <v>30600</v>
      </c>
      <c r="J19" s="6">
        <f t="shared" si="8"/>
        <v>30600</v>
      </c>
      <c r="K19" s="6">
        <f t="shared" si="8"/>
        <v>30600</v>
      </c>
      <c r="L19" s="6">
        <f t="shared" si="8"/>
        <v>30600</v>
      </c>
      <c r="M19" s="6">
        <f t="shared" si="8"/>
        <v>30600</v>
      </c>
      <c r="N19" s="6">
        <f t="shared" si="8"/>
        <v>30600</v>
      </c>
      <c r="O19" s="6">
        <f t="shared" si="8"/>
        <v>30600</v>
      </c>
      <c r="P19" s="6">
        <f t="shared" si="8"/>
        <v>30600</v>
      </c>
      <c r="Q19" s="101">
        <f>SUM(E19:P19)</f>
        <v>367200</v>
      </c>
      <c r="R19" s="184">
        <f t="shared" si="1"/>
        <v>5.0157767487603984</v>
      </c>
      <c r="S19" s="304">
        <v>365011</v>
      </c>
      <c r="T19" s="308">
        <f t="shared" si="7"/>
        <v>5.9970795400685617E-3</v>
      </c>
    </row>
    <row r="20" spans="1:22" x14ac:dyDescent="0.35">
      <c r="A20" s="66" t="s">
        <v>100</v>
      </c>
      <c r="C20" s="6" t="s">
        <v>22</v>
      </c>
      <c r="E20" s="6">
        <f>+'Tenant Recoveries'!J27+'Tenant Recoveries'!K27</f>
        <v>8000</v>
      </c>
      <c r="F20" s="6">
        <f>+E20</f>
        <v>8000</v>
      </c>
      <c r="G20" s="6">
        <f t="shared" si="8"/>
        <v>8000</v>
      </c>
      <c r="H20" s="6">
        <f t="shared" si="8"/>
        <v>8000</v>
      </c>
      <c r="I20" s="6">
        <f t="shared" si="8"/>
        <v>8000</v>
      </c>
      <c r="J20" s="6">
        <f t="shared" si="8"/>
        <v>8000</v>
      </c>
      <c r="K20" s="6">
        <f t="shared" si="8"/>
        <v>8000</v>
      </c>
      <c r="L20" s="6">
        <f t="shared" si="8"/>
        <v>8000</v>
      </c>
      <c r="M20" s="6">
        <f t="shared" si="8"/>
        <v>8000</v>
      </c>
      <c r="N20" s="6">
        <f t="shared" si="8"/>
        <v>8000</v>
      </c>
      <c r="O20" s="6">
        <f t="shared" si="8"/>
        <v>8000</v>
      </c>
      <c r="P20" s="6">
        <f t="shared" si="8"/>
        <v>8000</v>
      </c>
      <c r="Q20" s="101">
        <f>SUM(E20:P20)</f>
        <v>96000</v>
      </c>
      <c r="R20" s="184">
        <f t="shared" si="1"/>
        <v>1.311314182682457</v>
      </c>
      <c r="S20" s="304">
        <v>117421</v>
      </c>
      <c r="T20" s="308">
        <f t="shared" si="7"/>
        <v>-0.18242903739535521</v>
      </c>
    </row>
    <row r="21" spans="1:22" x14ac:dyDescent="0.35">
      <c r="A21" s="66" t="s">
        <v>135</v>
      </c>
      <c r="C21" s="6" t="s">
        <v>23</v>
      </c>
      <c r="Q21" s="101">
        <f>SUM(E21:P21)</f>
        <v>0</v>
      </c>
      <c r="R21" s="184">
        <f t="shared" si="1"/>
        <v>0</v>
      </c>
      <c r="S21" s="304">
        <v>5492</v>
      </c>
      <c r="T21" s="308">
        <f>IFERROR(Q21/S21-1,"")</f>
        <v>-1</v>
      </c>
    </row>
    <row r="22" spans="1:22" x14ac:dyDescent="0.35">
      <c r="A22" s="66"/>
      <c r="C22" s="6" t="s">
        <v>24</v>
      </c>
      <c r="D22" s="16"/>
      <c r="E22" s="28">
        <f>SUM(E18:E21)</f>
        <v>40578.199999999997</v>
      </c>
      <c r="F22" s="28">
        <f t="shared" ref="F22:P22" si="9">SUM(F18:F21)</f>
        <v>40402.85</v>
      </c>
      <c r="G22" s="28">
        <f t="shared" si="9"/>
        <v>40259</v>
      </c>
      <c r="H22" s="28">
        <f t="shared" si="9"/>
        <v>39774.949999999997</v>
      </c>
      <c r="I22" s="28">
        <f t="shared" si="9"/>
        <v>39774.949999999997</v>
      </c>
      <c r="J22" s="28">
        <f t="shared" si="9"/>
        <v>39791.75</v>
      </c>
      <c r="K22" s="28">
        <f t="shared" si="9"/>
        <v>40103.599999999999</v>
      </c>
      <c r="L22" s="28">
        <f t="shared" si="9"/>
        <v>40051.1</v>
      </c>
      <c r="M22" s="28">
        <f t="shared" si="9"/>
        <v>39774.949999999997</v>
      </c>
      <c r="N22" s="28">
        <f t="shared" si="9"/>
        <v>40259</v>
      </c>
      <c r="O22" s="28">
        <f t="shared" si="9"/>
        <v>40402.85</v>
      </c>
      <c r="P22" s="28">
        <f t="shared" si="9"/>
        <v>40578.199999999997</v>
      </c>
      <c r="Q22" s="110">
        <f>SUM(Q18:Q21)</f>
        <v>481751.4</v>
      </c>
      <c r="R22" s="191">
        <f t="shared" si="1"/>
        <v>6.5804942015325985</v>
      </c>
      <c r="S22" s="309">
        <f t="shared" ref="S22" si="10">SUM(S18:S21)</f>
        <v>503066</v>
      </c>
      <c r="T22" s="310">
        <f>Q22/S22-1</f>
        <v>-4.2369390895031667E-2</v>
      </c>
    </row>
    <row r="23" spans="1:22" ht="16.5" thickBot="1" x14ac:dyDescent="0.4">
      <c r="A23" s="66"/>
      <c r="Q23" s="184"/>
      <c r="R23" s="184"/>
      <c r="S23" s="304"/>
      <c r="T23" s="308"/>
    </row>
    <row r="24" spans="1:22" s="9" customFormat="1" ht="18" thickBot="1" x14ac:dyDescent="0.4">
      <c r="A24" s="218"/>
      <c r="B24" s="219" t="s">
        <v>25</v>
      </c>
      <c r="C24" s="220"/>
      <c r="D24" s="220"/>
      <c r="E24" s="220">
        <f>+E15+E22</f>
        <v>132047.49</v>
      </c>
      <c r="F24" s="220">
        <f t="shared" ref="F24:Q24" si="11">+F15+F22</f>
        <v>131902.14000000001</v>
      </c>
      <c r="G24" s="220">
        <f t="shared" si="11"/>
        <v>131758.29</v>
      </c>
      <c r="H24" s="220">
        <f t="shared" si="11"/>
        <v>131090.35333333333</v>
      </c>
      <c r="I24" s="220">
        <f t="shared" si="11"/>
        <v>131090.35333333333</v>
      </c>
      <c r="J24" s="220">
        <f t="shared" si="11"/>
        <v>131107.15333333332</v>
      </c>
      <c r="K24" s="220">
        <f t="shared" si="11"/>
        <v>132596.68916666665</v>
      </c>
      <c r="L24" s="220">
        <f t="shared" si="11"/>
        <v>133019.57250000001</v>
      </c>
      <c r="M24" s="220">
        <f t="shared" si="11"/>
        <v>133863.6875</v>
      </c>
      <c r="N24" s="220">
        <f t="shared" si="11"/>
        <v>133529.75916666666</v>
      </c>
      <c r="O24" s="220">
        <f t="shared" si="11"/>
        <v>133673.60916666666</v>
      </c>
      <c r="P24" s="220">
        <f t="shared" si="11"/>
        <v>133848.95916666667</v>
      </c>
      <c r="Q24" s="221">
        <f t="shared" si="11"/>
        <v>1589528.0566666666</v>
      </c>
      <c r="R24" s="222">
        <f t="shared" si="1"/>
        <v>21.712194629986296</v>
      </c>
      <c r="S24" s="313">
        <f t="shared" ref="S24" si="12">+S15+S22</f>
        <v>1893264</v>
      </c>
      <c r="T24" s="314">
        <f>Q24/S24-1</f>
        <v>-0.16042978862606239</v>
      </c>
      <c r="U24" s="241"/>
    </row>
    <row r="25" spans="1:22" ht="18" x14ac:dyDescent="0.35">
      <c r="A25" s="66"/>
      <c r="Q25" s="103"/>
      <c r="R25" s="185"/>
      <c r="S25" s="311"/>
      <c r="T25" s="312"/>
    </row>
    <row r="26" spans="1:22" ht="18" x14ac:dyDescent="0.35">
      <c r="A26" s="66"/>
      <c r="B26" s="7" t="s">
        <v>26</v>
      </c>
      <c r="Q26" s="101"/>
      <c r="R26" s="184"/>
      <c r="S26" s="304"/>
      <c r="T26" s="308"/>
    </row>
    <row r="27" spans="1:22" x14ac:dyDescent="0.35">
      <c r="A27" s="66" t="s">
        <v>101</v>
      </c>
      <c r="B27" s="366" t="s">
        <v>536</v>
      </c>
      <c r="C27" s="6" t="s">
        <v>27</v>
      </c>
      <c r="E27" s="6">
        <f>VLOOKUP($B$1,'Allocated Expenses'!$B$6:$P$15,4,FALSE)</f>
        <v>2254.334088083373</v>
      </c>
      <c r="F27" s="6">
        <f>VLOOKUP($B$1,'Allocated Expenses'!$B$6:$P$15,5,FALSE)</f>
        <v>2254.334088083373</v>
      </c>
      <c r="G27" s="6">
        <f>VLOOKUP($B$1,'Allocated Expenses'!$B$6:$P$15,6,FALSE)</f>
        <v>2254.334088083373</v>
      </c>
      <c r="H27" s="6">
        <f>VLOOKUP($B$1,'Allocated Expenses'!$B$6:$P$15,7,FALSE)</f>
        <v>2254.334088083373</v>
      </c>
      <c r="I27" s="6">
        <f>VLOOKUP($B$1,'Allocated Expenses'!$B$6:$P$15,8,FALSE)</f>
        <v>2254.334088083373</v>
      </c>
      <c r="J27" s="6">
        <f>VLOOKUP($B$1,'Allocated Expenses'!$B$6:$P$15,9,FALSE)</f>
        <v>2254.334088083373</v>
      </c>
      <c r="K27" s="6">
        <f>VLOOKUP($B$1,'Allocated Expenses'!$B$6:$P$15,10,FALSE)</f>
        <v>2254.334088083373</v>
      </c>
      <c r="L27" s="6">
        <f>VLOOKUP($B$1,'Allocated Expenses'!$B$6:$P$15,11,FALSE)</f>
        <v>2254.334088083373</v>
      </c>
      <c r="M27" s="6">
        <f>VLOOKUP($B$1,'Allocated Expenses'!$B$6:$P$15,12,FALSE)</f>
        <v>2254.334088083373</v>
      </c>
      <c r="N27" s="6">
        <f>VLOOKUP($B$1,'Allocated Expenses'!$B$6:$P$15,13,FALSE)</f>
        <v>2254.334088083373</v>
      </c>
      <c r="O27" s="6">
        <f>VLOOKUP($B$1,'Allocated Expenses'!$B$6:$P$15,14,FALSE)</f>
        <v>2254.334088083373</v>
      </c>
      <c r="P27" s="6">
        <f>VLOOKUP($B$1,'Allocated Expenses'!$B$6:$P$15,15,FALSE)</f>
        <v>2254.334088083373</v>
      </c>
      <c r="Q27" s="101">
        <f>SUM(E27:P27)</f>
        <v>27052.009057000469</v>
      </c>
      <c r="R27" s="184">
        <f t="shared" si="1"/>
        <v>0.36951753277603122</v>
      </c>
      <c r="S27" s="304">
        <v>27960</v>
      </c>
      <c r="T27" s="308">
        <f t="shared" ref="T27" si="13">IFERROR(Q27/S27-1,"")</f>
        <v>-3.2474640307565528E-2</v>
      </c>
    </row>
    <row r="28" spans="1:22" x14ac:dyDescent="0.35">
      <c r="A28" s="66"/>
      <c r="Q28" s="101"/>
      <c r="R28" s="184"/>
      <c r="S28" s="304"/>
      <c r="T28" s="308"/>
    </row>
    <row r="29" spans="1:22" x14ac:dyDescent="0.35">
      <c r="A29" s="66" t="s">
        <v>102</v>
      </c>
      <c r="B29" s="366" t="s">
        <v>536</v>
      </c>
      <c r="D29" s="6" t="s">
        <v>543</v>
      </c>
      <c r="E29" s="12">
        <f>1.05*881</f>
        <v>925.05000000000007</v>
      </c>
      <c r="F29" s="12">
        <f>1.05*712</f>
        <v>747.6</v>
      </c>
      <c r="G29" s="12">
        <f>1.05*684</f>
        <v>718.2</v>
      </c>
      <c r="H29" s="12">
        <f>1.05*593</f>
        <v>622.65</v>
      </c>
      <c r="I29" s="12">
        <f>1.05*648</f>
        <v>680.4</v>
      </c>
      <c r="J29" s="12">
        <f>1.05*629</f>
        <v>660.45</v>
      </c>
      <c r="K29" s="12">
        <f>1.05*1015</f>
        <v>1065.75</v>
      </c>
      <c r="L29" s="12">
        <f>1.05*517</f>
        <v>542.85</v>
      </c>
      <c r="M29" s="12">
        <f>1.05*740</f>
        <v>777</v>
      </c>
      <c r="N29" s="12">
        <f>1.05*615</f>
        <v>645.75</v>
      </c>
      <c r="O29" s="12">
        <f>1.05*750</f>
        <v>787.5</v>
      </c>
      <c r="P29" s="12">
        <f>1.05*692</f>
        <v>726.6</v>
      </c>
      <c r="Q29" s="101">
        <f>SUM(E29:P29)</f>
        <v>8899.8000000000011</v>
      </c>
      <c r="R29" s="184">
        <f t="shared" si="1"/>
        <v>0.12156702044830556</v>
      </c>
      <c r="S29" s="304">
        <v>21716</v>
      </c>
      <c r="T29" s="308">
        <f t="shared" ref="T29" si="14">IFERROR(Q29/S29-1,"")</f>
        <v>-0.59017314422545586</v>
      </c>
      <c r="U29" s="23" t="s">
        <v>283</v>
      </c>
      <c r="V29" s="6" t="s">
        <v>551</v>
      </c>
    </row>
    <row r="30" spans="1:22" x14ac:dyDescent="0.35">
      <c r="A30" s="66"/>
      <c r="B30" s="366" t="s">
        <v>548</v>
      </c>
      <c r="D30" s="6" t="s">
        <v>544</v>
      </c>
      <c r="E30" s="12">
        <f>(195+854+151+95+290+95+204)*1.05</f>
        <v>1978.2</v>
      </c>
      <c r="F30" s="12">
        <f>(187+783+142+95+288+95+127)*1.05</f>
        <v>1802.8500000000001</v>
      </c>
      <c r="G30" s="12">
        <f>(193+623+141+95+287+95+146)*1.05</f>
        <v>1659</v>
      </c>
      <c r="H30" s="12">
        <f>(195+234+139+95+254+95+107)*1.05</f>
        <v>1174.95</v>
      </c>
      <c r="I30" s="12">
        <f>(175+248+142+95+234+95+130)*1.05</f>
        <v>1174.95</v>
      </c>
      <c r="J30" s="12">
        <f>(172+256+146+96+241+104+120)*1.05</f>
        <v>1191.75</v>
      </c>
      <c r="K30" s="12">
        <f>(181+551+139+96+219+95+151)*1.05</f>
        <v>1503.6000000000001</v>
      </c>
      <c r="L30" s="12">
        <f>(164+525+143+95+224+95+136)*1.05</f>
        <v>1451.1000000000001</v>
      </c>
      <c r="M30" s="12">
        <f>H30</f>
        <v>1174.95</v>
      </c>
      <c r="N30" s="12">
        <f>G30</f>
        <v>1659</v>
      </c>
      <c r="O30" s="12">
        <f>F30</f>
        <v>1802.8500000000001</v>
      </c>
      <c r="P30" s="12">
        <f>E30</f>
        <v>1978.2</v>
      </c>
      <c r="Q30" s="101">
        <f t="shared" ref="Q30:Q31" si="15">SUM(E30:P30)</f>
        <v>18551.400000000001</v>
      </c>
      <c r="R30" s="184">
        <f t="shared" si="1"/>
        <v>0.25340327008974306</v>
      </c>
      <c r="S30" s="304"/>
      <c r="T30" s="308"/>
      <c r="U30" s="23" t="s">
        <v>465</v>
      </c>
      <c r="V30" s="6" t="s">
        <v>550</v>
      </c>
    </row>
    <row r="31" spans="1:22" x14ac:dyDescent="0.35">
      <c r="A31" s="66"/>
      <c r="B31" s="366" t="s">
        <v>537</v>
      </c>
      <c r="D31" s="6" t="s">
        <v>547</v>
      </c>
      <c r="E31" s="12">
        <v>500</v>
      </c>
      <c r="F31" s="12">
        <v>500</v>
      </c>
      <c r="G31" s="12">
        <v>400</v>
      </c>
      <c r="H31" s="12">
        <v>300</v>
      </c>
      <c r="I31" s="12">
        <v>300</v>
      </c>
      <c r="J31" s="12">
        <v>400</v>
      </c>
      <c r="K31" s="12">
        <v>500</v>
      </c>
      <c r="L31" s="12">
        <v>500</v>
      </c>
      <c r="M31" s="12">
        <v>400</v>
      </c>
      <c r="N31" s="12">
        <v>300</v>
      </c>
      <c r="O31" s="12">
        <v>300</v>
      </c>
      <c r="P31" s="12">
        <v>500</v>
      </c>
      <c r="Q31" s="101">
        <f t="shared" si="15"/>
        <v>4900</v>
      </c>
      <c r="R31" s="184">
        <f t="shared" si="1"/>
        <v>6.6931661407750406E-2</v>
      </c>
      <c r="S31" s="304"/>
      <c r="T31" s="308"/>
      <c r="U31" s="23" t="s">
        <v>465</v>
      </c>
      <c r="V31" s="6" t="s">
        <v>549</v>
      </c>
    </row>
    <row r="32" spans="1:22" x14ac:dyDescent="0.35">
      <c r="A32" s="66"/>
      <c r="Q32" s="101"/>
      <c r="R32" s="184"/>
      <c r="S32" s="304"/>
      <c r="T32" s="308"/>
    </row>
    <row r="33" spans="1:22" x14ac:dyDescent="0.35">
      <c r="A33" s="66" t="s">
        <v>103</v>
      </c>
      <c r="B33" s="366" t="s">
        <v>537</v>
      </c>
      <c r="C33" s="6" t="s">
        <v>28</v>
      </c>
      <c r="E33" s="12">
        <f>1.03*296</f>
        <v>304.88</v>
      </c>
      <c r="F33" s="12">
        <f>1.03*517</f>
        <v>532.51</v>
      </c>
      <c r="G33" s="12">
        <f>1.03*492</f>
        <v>506.76</v>
      </c>
      <c r="H33" s="12">
        <f>1.03*423</f>
        <v>435.69</v>
      </c>
      <c r="I33" s="12">
        <f>1.03*251</f>
        <v>258.53000000000003</v>
      </c>
      <c r="J33" s="12">
        <f>1.03*266</f>
        <v>273.98</v>
      </c>
      <c r="K33" s="12">
        <f>1.03*285</f>
        <v>293.55</v>
      </c>
      <c r="L33" s="12">
        <f>1.03*275</f>
        <v>283.25</v>
      </c>
      <c r="M33" s="12">
        <f>1.03*327</f>
        <v>336.81</v>
      </c>
      <c r="N33" s="12">
        <f>1.03*296</f>
        <v>304.88</v>
      </c>
      <c r="O33" s="12">
        <f>1.03*286</f>
        <v>294.58</v>
      </c>
      <c r="P33" s="12">
        <f>1.03*296</f>
        <v>304.88</v>
      </c>
      <c r="Q33" s="101">
        <f>SUM(E33:P33)</f>
        <v>4130.3</v>
      </c>
      <c r="R33" s="184">
        <f t="shared" si="1"/>
        <v>5.6417926757639091E-2</v>
      </c>
      <c r="S33" s="304">
        <v>4017</v>
      </c>
      <c r="T33" s="308">
        <f t="shared" ref="T33" si="16">IFERROR(Q33/S33-1,"")</f>
        <v>2.8205128205128327E-2</v>
      </c>
      <c r="U33" s="23" t="s">
        <v>283</v>
      </c>
      <c r="V33" s="6" t="s">
        <v>348</v>
      </c>
    </row>
    <row r="34" spans="1:22" x14ac:dyDescent="0.35">
      <c r="A34" s="66"/>
      <c r="Q34" s="101"/>
      <c r="R34" s="184"/>
      <c r="S34" s="304"/>
      <c r="T34" s="308"/>
    </row>
    <row r="35" spans="1:22" x14ac:dyDescent="0.35">
      <c r="A35" s="66"/>
      <c r="B35" s="366" t="s">
        <v>542</v>
      </c>
      <c r="D35" s="50" t="s">
        <v>29</v>
      </c>
      <c r="E35" s="70">
        <f>1.03*2200</f>
        <v>2266</v>
      </c>
      <c r="F35" s="70"/>
      <c r="G35" s="70"/>
      <c r="H35" s="70">
        <f>1.03*2200</f>
        <v>2266</v>
      </c>
      <c r="I35" s="70">
        <f>1.03*975</f>
        <v>1004.25</v>
      </c>
      <c r="J35" s="70"/>
      <c r="K35" s="70">
        <f>1.03*2200</f>
        <v>2266</v>
      </c>
      <c r="L35" s="70"/>
      <c r="M35" s="70">
        <f>1.03*11700</f>
        <v>12051</v>
      </c>
      <c r="N35" s="70">
        <f>1.03*975</f>
        <v>1004.25</v>
      </c>
      <c r="O35" s="70"/>
      <c r="P35" s="70"/>
      <c r="Q35" s="195">
        <f>SUM(E35:P35)</f>
        <v>20857.5</v>
      </c>
      <c r="R35" s="186">
        <f t="shared" si="1"/>
        <v>0.28490349547186822</v>
      </c>
      <c r="S35" s="304"/>
      <c r="T35" s="308"/>
      <c r="U35" s="23" t="s">
        <v>283</v>
      </c>
      <c r="V35" s="6" t="s">
        <v>348</v>
      </c>
    </row>
    <row r="36" spans="1:22" x14ac:dyDescent="0.35">
      <c r="A36" s="66"/>
      <c r="B36" s="366" t="s">
        <v>542</v>
      </c>
      <c r="D36" s="51" t="s">
        <v>30</v>
      </c>
      <c r="E36" s="12">
        <f>1.03*1005</f>
        <v>1035.1500000000001</v>
      </c>
      <c r="F36" s="12">
        <f t="shared" ref="F36:L36" si="17">1.03*1005</f>
        <v>1035.1500000000001</v>
      </c>
      <c r="G36" s="12">
        <f t="shared" si="17"/>
        <v>1035.1500000000001</v>
      </c>
      <c r="H36" s="12">
        <f t="shared" si="17"/>
        <v>1035.1500000000001</v>
      </c>
      <c r="I36" s="12">
        <f t="shared" si="17"/>
        <v>1035.1500000000001</v>
      </c>
      <c r="J36" s="12">
        <f t="shared" si="17"/>
        <v>1035.1500000000001</v>
      </c>
      <c r="K36" s="12">
        <f t="shared" si="17"/>
        <v>1035.1500000000001</v>
      </c>
      <c r="L36" s="12">
        <f t="shared" si="17"/>
        <v>1035.1500000000001</v>
      </c>
      <c r="M36" s="12">
        <f>1.03*1905</f>
        <v>1962.15</v>
      </c>
      <c r="N36" s="12">
        <f t="shared" ref="N36:P36" si="18">1.03*1005</f>
        <v>1035.1500000000001</v>
      </c>
      <c r="O36" s="12">
        <f t="shared" si="18"/>
        <v>1035.1500000000001</v>
      </c>
      <c r="P36" s="12">
        <f t="shared" si="18"/>
        <v>1035.1500000000001</v>
      </c>
      <c r="Q36" s="196">
        <f>SUM(E36:P36)</f>
        <v>13348.799999999997</v>
      </c>
      <c r="R36" s="187">
        <f t="shared" si="1"/>
        <v>0.18233823710199562</v>
      </c>
      <c r="S36" s="304"/>
      <c r="T36" s="308"/>
      <c r="U36" s="23" t="s">
        <v>283</v>
      </c>
      <c r="V36" s="6" t="s">
        <v>348</v>
      </c>
    </row>
    <row r="37" spans="1:22" x14ac:dyDescent="0.35">
      <c r="A37" s="66"/>
      <c r="B37" s="366" t="s">
        <v>537</v>
      </c>
      <c r="D37" s="51" t="s">
        <v>350</v>
      </c>
      <c r="E37" s="12">
        <f>1.03*800</f>
        <v>824</v>
      </c>
      <c r="F37" s="12">
        <f>1.03*875</f>
        <v>901.25</v>
      </c>
      <c r="G37" s="12">
        <f>1.03*50</f>
        <v>51.5</v>
      </c>
      <c r="H37" s="12">
        <f>1.03*800</f>
        <v>824</v>
      </c>
      <c r="I37" s="12">
        <f>1.03*1325</f>
        <v>1364.75</v>
      </c>
      <c r="J37" s="12">
        <f>1.03*50</f>
        <v>51.5</v>
      </c>
      <c r="K37" s="12">
        <f>1.03*800</f>
        <v>824</v>
      </c>
      <c r="L37" s="12">
        <f>1.03*875</f>
        <v>901.25</v>
      </c>
      <c r="M37" s="12">
        <f>1.03*50</f>
        <v>51.5</v>
      </c>
      <c r="N37" s="12">
        <f>1.03*800</f>
        <v>824</v>
      </c>
      <c r="O37" s="12">
        <f>1.03*875</f>
        <v>901.25</v>
      </c>
      <c r="P37" s="12">
        <f>1.03*50</f>
        <v>51.5</v>
      </c>
      <c r="Q37" s="196">
        <f>SUM(E37:P37)</f>
        <v>7570.5</v>
      </c>
      <c r="R37" s="187"/>
      <c r="S37" s="304"/>
      <c r="T37" s="308"/>
      <c r="U37" s="23" t="s">
        <v>283</v>
      </c>
      <c r="V37" s="6" t="s">
        <v>348</v>
      </c>
    </row>
    <row r="38" spans="1:22" x14ac:dyDescent="0.35">
      <c r="A38" s="66"/>
      <c r="B38" s="366" t="s">
        <v>542</v>
      </c>
      <c r="D38" s="52" t="s">
        <v>31</v>
      </c>
      <c r="E38" s="14"/>
      <c r="F38" s="14"/>
      <c r="G38" s="14">
        <f>1.03*20000</f>
        <v>20600</v>
      </c>
      <c r="H38" s="14"/>
      <c r="I38" s="14"/>
      <c r="J38" s="14"/>
      <c r="K38" s="14"/>
      <c r="L38" s="14"/>
      <c r="M38" s="14">
        <f>1.03*20000</f>
        <v>20600</v>
      </c>
      <c r="N38" s="14"/>
      <c r="O38" s="14"/>
      <c r="P38" s="14"/>
      <c r="Q38" s="197">
        <f>SUM(E38:P38)</f>
        <v>41200</v>
      </c>
      <c r="R38" s="188">
        <f t="shared" si="1"/>
        <v>0.56277233673455451</v>
      </c>
      <c r="S38" s="304"/>
      <c r="T38" s="308"/>
      <c r="U38" s="23" t="s">
        <v>283</v>
      </c>
      <c r="V38" s="6" t="s">
        <v>348</v>
      </c>
    </row>
    <row r="39" spans="1:22" x14ac:dyDescent="0.35">
      <c r="A39" s="66" t="s">
        <v>104</v>
      </c>
      <c r="B39" s="366" t="s">
        <v>536</v>
      </c>
      <c r="C39" s="6" t="s">
        <v>32</v>
      </c>
      <c r="E39" s="15">
        <f t="shared" ref="E39:P39" si="19">SUM(E35:E38)</f>
        <v>4125.1499999999996</v>
      </c>
      <c r="F39" s="15">
        <f t="shared" si="19"/>
        <v>1936.4</v>
      </c>
      <c r="G39" s="15">
        <f>SUM(G35:G38)</f>
        <v>21686.65</v>
      </c>
      <c r="H39" s="15">
        <f t="shared" si="19"/>
        <v>4125.1499999999996</v>
      </c>
      <c r="I39" s="15">
        <f t="shared" si="19"/>
        <v>3404.15</v>
      </c>
      <c r="J39" s="15">
        <f t="shared" si="19"/>
        <v>1086.6500000000001</v>
      </c>
      <c r="K39" s="15">
        <f>SUM(K35:K38)</f>
        <v>4125.1499999999996</v>
      </c>
      <c r="L39" s="15">
        <f t="shared" si="19"/>
        <v>1936.4</v>
      </c>
      <c r="M39" s="15">
        <f t="shared" si="19"/>
        <v>34664.65</v>
      </c>
      <c r="N39" s="15">
        <f t="shared" si="19"/>
        <v>2863.4</v>
      </c>
      <c r="O39" s="15">
        <f t="shared" si="19"/>
        <v>1936.4</v>
      </c>
      <c r="P39" s="15">
        <f t="shared" si="19"/>
        <v>1086.6500000000001</v>
      </c>
      <c r="Q39" s="108">
        <f>SUM(Q35:Q38)</f>
        <v>82976.799999999988</v>
      </c>
      <c r="R39" s="189">
        <f t="shared" si="1"/>
        <v>1.1334234861833925</v>
      </c>
      <c r="S39" s="309">
        <v>87950</v>
      </c>
      <c r="T39" s="310">
        <f>IFERROR(Q39/S39-1,"")</f>
        <v>-5.6545764638999518E-2</v>
      </c>
    </row>
    <row r="40" spans="1:22" x14ac:dyDescent="0.35">
      <c r="A40" s="66"/>
      <c r="Q40" s="101"/>
      <c r="R40" s="184"/>
      <c r="S40" s="304"/>
      <c r="T40" s="308"/>
    </row>
    <row r="41" spans="1:22" x14ac:dyDescent="0.35">
      <c r="A41" s="66" t="s">
        <v>136</v>
      </c>
      <c r="B41" s="366" t="s">
        <v>536</v>
      </c>
      <c r="C41" s="6" t="s">
        <v>34</v>
      </c>
      <c r="E41" s="12">
        <f>1.03*3100</f>
        <v>3193</v>
      </c>
      <c r="F41" s="12">
        <f>1.03*3100</f>
        <v>3193</v>
      </c>
      <c r="G41" s="12">
        <f>1.03*3300</f>
        <v>3399</v>
      </c>
      <c r="H41" s="12">
        <f>1.03*3100</f>
        <v>3193</v>
      </c>
      <c r="I41" s="12">
        <f>1.03*3100</f>
        <v>3193</v>
      </c>
      <c r="J41" s="12">
        <f>1.03*3100</f>
        <v>3193</v>
      </c>
      <c r="K41" s="12">
        <f>1.03*3300</f>
        <v>3399</v>
      </c>
      <c r="L41" s="12">
        <f>1.03*3100</f>
        <v>3193</v>
      </c>
      <c r="M41" s="12">
        <f>1.03*3100</f>
        <v>3193</v>
      </c>
      <c r="N41" s="12">
        <f>1.03*3100</f>
        <v>3193</v>
      </c>
      <c r="O41" s="12">
        <f>1.03*3300</f>
        <v>3399</v>
      </c>
      <c r="P41" s="12">
        <f>1.03*3100</f>
        <v>3193</v>
      </c>
      <c r="Q41" s="101">
        <f>SUM(E41:P41)</f>
        <v>38934</v>
      </c>
      <c r="R41" s="184">
        <f t="shared" si="1"/>
        <v>0.53181985821415401</v>
      </c>
      <c r="S41" s="304">
        <v>31609</v>
      </c>
      <c r="T41" s="308">
        <f>IFERROR(Q41/S41-1,"")</f>
        <v>0.23173779619728552</v>
      </c>
      <c r="U41" s="23" t="s">
        <v>283</v>
      </c>
      <c r="V41" s="6" t="s">
        <v>348</v>
      </c>
    </row>
    <row r="42" spans="1:22" x14ac:dyDescent="0.35">
      <c r="A42" s="66"/>
      <c r="Q42" s="101"/>
      <c r="R42" s="184"/>
      <c r="S42" s="304"/>
      <c r="T42" s="308"/>
    </row>
    <row r="43" spans="1:22" x14ac:dyDescent="0.35">
      <c r="A43" s="66"/>
      <c r="D43" s="50" t="s">
        <v>35</v>
      </c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195">
        <f>SUM(E43:P43)</f>
        <v>0</v>
      </c>
      <c r="R43" s="186">
        <f t="shared" si="1"/>
        <v>0</v>
      </c>
      <c r="S43" s="304"/>
      <c r="T43" s="308"/>
    </row>
    <row r="44" spans="1:22" x14ac:dyDescent="0.35">
      <c r="A44" s="66"/>
      <c r="D44" s="51" t="s">
        <v>36</v>
      </c>
      <c r="E44" s="12">
        <f>1.03*710</f>
        <v>731.30000000000007</v>
      </c>
      <c r="F44" s="12">
        <f t="shared" ref="F44:P44" si="20">1.03*710</f>
        <v>731.30000000000007</v>
      </c>
      <c r="G44" s="12">
        <f t="shared" si="20"/>
        <v>731.30000000000007</v>
      </c>
      <c r="H44" s="12">
        <f t="shared" si="20"/>
        <v>731.30000000000007</v>
      </c>
      <c r="I44" s="12">
        <f t="shared" si="20"/>
        <v>731.30000000000007</v>
      </c>
      <c r="J44" s="12">
        <f t="shared" si="20"/>
        <v>731.30000000000007</v>
      </c>
      <c r="K44" s="12">
        <f t="shared" si="20"/>
        <v>731.30000000000007</v>
      </c>
      <c r="L44" s="12">
        <f t="shared" si="20"/>
        <v>731.30000000000007</v>
      </c>
      <c r="M44" s="12">
        <f>1.03*1610</f>
        <v>1658.3</v>
      </c>
      <c r="N44" s="12">
        <f t="shared" si="20"/>
        <v>731.30000000000007</v>
      </c>
      <c r="O44" s="12">
        <f t="shared" si="20"/>
        <v>731.30000000000007</v>
      </c>
      <c r="P44" s="12">
        <f t="shared" si="20"/>
        <v>731.30000000000007</v>
      </c>
      <c r="Q44" s="196">
        <f>SUM(E44:P44)</f>
        <v>9702.5999999999985</v>
      </c>
      <c r="R44" s="187">
        <f t="shared" si="1"/>
        <v>0.13253288530098756</v>
      </c>
      <c r="S44" s="304"/>
      <c r="T44" s="308"/>
      <c r="U44" s="23" t="s">
        <v>283</v>
      </c>
      <c r="V44" s="6" t="s">
        <v>348</v>
      </c>
    </row>
    <row r="45" spans="1:22" x14ac:dyDescent="0.35">
      <c r="A45" s="66"/>
      <c r="D45" s="52" t="s">
        <v>37</v>
      </c>
      <c r="E45" s="14"/>
      <c r="F45" s="14"/>
      <c r="G45" s="14">
        <f>1.03*15000</f>
        <v>15450</v>
      </c>
      <c r="H45" s="14"/>
      <c r="I45" s="14"/>
      <c r="J45" s="14">
        <f>1.03*15000</f>
        <v>15450</v>
      </c>
      <c r="K45" s="14"/>
      <c r="L45" s="14"/>
      <c r="M45" s="14"/>
      <c r="N45" s="14">
        <f>1.03*20000</f>
        <v>20600</v>
      </c>
      <c r="O45" s="14"/>
      <c r="P45" s="14"/>
      <c r="Q45" s="197">
        <f>SUM(E45:P45)</f>
        <v>51500</v>
      </c>
      <c r="R45" s="188">
        <f t="shared" si="1"/>
        <v>0.70346542091819309</v>
      </c>
      <c r="S45" s="304"/>
      <c r="T45" s="308"/>
      <c r="U45" s="23" t="s">
        <v>283</v>
      </c>
      <c r="V45" s="6" t="s">
        <v>348</v>
      </c>
    </row>
    <row r="46" spans="1:22" x14ac:dyDescent="0.35">
      <c r="A46" s="66" t="s">
        <v>105</v>
      </c>
      <c r="B46" s="366" t="s">
        <v>536</v>
      </c>
      <c r="C46" s="6" t="s">
        <v>38</v>
      </c>
      <c r="E46" s="15">
        <f t="shared" ref="E46:Q46" si="21">SUM(E43:E45)</f>
        <v>731.30000000000007</v>
      </c>
      <c r="F46" s="15">
        <f t="shared" si="21"/>
        <v>731.30000000000007</v>
      </c>
      <c r="G46" s="15">
        <f t="shared" si="21"/>
        <v>16181.3</v>
      </c>
      <c r="H46" s="15">
        <f t="shared" si="21"/>
        <v>731.30000000000007</v>
      </c>
      <c r="I46" s="15">
        <f t="shared" si="21"/>
        <v>731.30000000000007</v>
      </c>
      <c r="J46" s="15">
        <f t="shared" si="21"/>
        <v>16181.3</v>
      </c>
      <c r="K46" s="15">
        <f t="shared" si="21"/>
        <v>731.30000000000007</v>
      </c>
      <c r="L46" s="15">
        <f t="shared" si="21"/>
        <v>731.30000000000007</v>
      </c>
      <c r="M46" s="15">
        <f t="shared" si="21"/>
        <v>1658.3</v>
      </c>
      <c r="N46" s="15">
        <f t="shared" si="21"/>
        <v>21331.3</v>
      </c>
      <c r="O46" s="15">
        <f t="shared" si="21"/>
        <v>731.30000000000007</v>
      </c>
      <c r="P46" s="15">
        <f t="shared" si="21"/>
        <v>731.30000000000007</v>
      </c>
      <c r="Q46" s="108">
        <f t="shared" si="21"/>
        <v>61202.6</v>
      </c>
      <c r="R46" s="189">
        <f t="shared" si="1"/>
        <v>0.8359983062191807</v>
      </c>
      <c r="S46" s="309">
        <v>28324</v>
      </c>
      <c r="T46" s="310">
        <f>IFERROR(Q46/S46-1,"")</f>
        <v>1.1608035588193757</v>
      </c>
    </row>
    <row r="47" spans="1:22" x14ac:dyDescent="0.35">
      <c r="A47" s="66"/>
      <c r="Q47" s="101"/>
      <c r="R47" s="184"/>
      <c r="S47" s="304"/>
      <c r="T47" s="308"/>
    </row>
    <row r="48" spans="1:22" x14ac:dyDescent="0.35">
      <c r="A48" s="66" t="s">
        <v>106</v>
      </c>
      <c r="B48" s="366" t="s">
        <v>536</v>
      </c>
      <c r="C48" s="6" t="s">
        <v>39</v>
      </c>
      <c r="E48" s="12">
        <f>1.03*16000</f>
        <v>16480</v>
      </c>
      <c r="F48" s="12">
        <f>1.03*16000</f>
        <v>16480</v>
      </c>
      <c r="G48" s="12">
        <f>1.03*2500</f>
        <v>2575</v>
      </c>
      <c r="H48" s="12"/>
      <c r="I48" s="12"/>
      <c r="J48" s="12"/>
      <c r="K48" s="12"/>
      <c r="L48" s="12"/>
      <c r="M48" s="12"/>
      <c r="N48" s="12"/>
      <c r="O48" s="12">
        <f>1.03*1000</f>
        <v>1030</v>
      </c>
      <c r="P48" s="12">
        <f>1.03*5000</f>
        <v>5150</v>
      </c>
      <c r="Q48" s="101">
        <f>SUM(E48:P48)</f>
        <v>41715</v>
      </c>
      <c r="R48" s="184">
        <f t="shared" si="1"/>
        <v>0.56980699094373644</v>
      </c>
      <c r="S48" s="304">
        <v>48844</v>
      </c>
      <c r="T48" s="308">
        <f>IFERROR(Q48/S48-1,"")</f>
        <v>-0.14595446728359673</v>
      </c>
      <c r="U48" s="23" t="s">
        <v>283</v>
      </c>
      <c r="V48" s="6" t="s">
        <v>348</v>
      </c>
    </row>
    <row r="49" spans="1:22" x14ac:dyDescent="0.35">
      <c r="A49" s="66"/>
      <c r="Q49" s="101"/>
      <c r="R49" s="184"/>
      <c r="S49" s="304"/>
      <c r="T49" s="308"/>
    </row>
    <row r="50" spans="1:22" x14ac:dyDescent="0.35">
      <c r="A50" s="66"/>
      <c r="D50" s="50" t="s">
        <v>40</v>
      </c>
      <c r="E50" s="70"/>
      <c r="F50" s="70"/>
      <c r="G50" s="70"/>
      <c r="H50" s="70">
        <f>1.03*1550</f>
        <v>1596.5</v>
      </c>
      <c r="I50" s="70">
        <f t="shared" ref="I50:N50" si="22">1.03*1550</f>
        <v>1596.5</v>
      </c>
      <c r="J50" s="70">
        <f t="shared" si="22"/>
        <v>1596.5</v>
      </c>
      <c r="K50" s="70">
        <f t="shared" si="22"/>
        <v>1596.5</v>
      </c>
      <c r="L50" s="70">
        <f t="shared" si="22"/>
        <v>1596.5</v>
      </c>
      <c r="M50" s="70">
        <f t="shared" si="22"/>
        <v>1596.5</v>
      </c>
      <c r="N50" s="70">
        <f t="shared" si="22"/>
        <v>1596.5</v>
      </c>
      <c r="O50" s="70"/>
      <c r="P50" s="70"/>
      <c r="Q50" s="195">
        <f>SUM(E50:P50)</f>
        <v>11175.5</v>
      </c>
      <c r="R50" s="186">
        <f t="shared" si="1"/>
        <v>0.15265199633924792</v>
      </c>
      <c r="S50" s="304"/>
      <c r="T50" s="308"/>
      <c r="U50" s="23" t="s">
        <v>283</v>
      </c>
      <c r="V50" s="6" t="s">
        <v>348</v>
      </c>
    </row>
    <row r="51" spans="1:22" x14ac:dyDescent="0.35">
      <c r="A51" s="66"/>
      <c r="D51" s="51" t="s">
        <v>41</v>
      </c>
      <c r="E51" s="12"/>
      <c r="F51" s="12"/>
      <c r="G51" s="12"/>
      <c r="H51" s="12">
        <f>1.03*100</f>
        <v>103</v>
      </c>
      <c r="I51" s="12">
        <f t="shared" ref="I51:N51" si="23">1.03*100</f>
        <v>103</v>
      </c>
      <c r="J51" s="12">
        <f t="shared" si="23"/>
        <v>103</v>
      </c>
      <c r="K51" s="12">
        <f t="shared" si="23"/>
        <v>103</v>
      </c>
      <c r="L51" s="12">
        <f t="shared" si="23"/>
        <v>103</v>
      </c>
      <c r="M51" s="12">
        <f t="shared" si="23"/>
        <v>103</v>
      </c>
      <c r="N51" s="12">
        <f t="shared" si="23"/>
        <v>103</v>
      </c>
      <c r="O51" s="12"/>
      <c r="P51" s="12"/>
      <c r="Q51" s="196">
        <f>SUM(E51:P51)</f>
        <v>721</v>
      </c>
      <c r="R51" s="187">
        <f t="shared" si="1"/>
        <v>9.8485158928547038E-3</v>
      </c>
      <c r="S51" s="304"/>
      <c r="T51" s="308"/>
      <c r="U51" s="23" t="s">
        <v>283</v>
      </c>
      <c r="V51" s="6" t="s">
        <v>348</v>
      </c>
    </row>
    <row r="52" spans="1:22" x14ac:dyDescent="0.35">
      <c r="A52" s="66"/>
      <c r="D52" s="52" t="s">
        <v>42</v>
      </c>
      <c r="E52" s="14"/>
      <c r="F52" s="14"/>
      <c r="G52" s="14"/>
      <c r="H52" s="14"/>
      <c r="I52" s="14">
        <f>1.03*10000</f>
        <v>10300</v>
      </c>
      <c r="J52" s="14"/>
      <c r="K52" s="14"/>
      <c r="L52" s="14"/>
      <c r="M52" s="14"/>
      <c r="N52" s="14"/>
      <c r="O52" s="14"/>
      <c r="P52" s="14"/>
      <c r="Q52" s="197">
        <f>SUM(E52:P52)</f>
        <v>10300</v>
      </c>
      <c r="R52" s="188">
        <f t="shared" si="1"/>
        <v>0.14069308418363863</v>
      </c>
      <c r="S52" s="304"/>
      <c r="T52" s="308"/>
      <c r="U52" s="23" t="s">
        <v>283</v>
      </c>
      <c r="V52" s="6" t="s">
        <v>348</v>
      </c>
    </row>
    <row r="53" spans="1:22" x14ac:dyDescent="0.35">
      <c r="A53" s="66" t="s">
        <v>107</v>
      </c>
      <c r="B53" s="366" t="s">
        <v>536</v>
      </c>
      <c r="C53" s="6" t="s">
        <v>43</v>
      </c>
      <c r="E53" s="15">
        <f t="shared" ref="E53:Q53" si="24">SUM(E50:E52)</f>
        <v>0</v>
      </c>
      <c r="F53" s="15">
        <f t="shared" si="24"/>
        <v>0</v>
      </c>
      <c r="G53" s="15">
        <f t="shared" si="24"/>
        <v>0</v>
      </c>
      <c r="H53" s="15">
        <f t="shared" si="24"/>
        <v>1699.5</v>
      </c>
      <c r="I53" s="15">
        <f t="shared" si="24"/>
        <v>11999.5</v>
      </c>
      <c r="J53" s="15">
        <f t="shared" si="24"/>
        <v>1699.5</v>
      </c>
      <c r="K53" s="15">
        <f t="shared" si="24"/>
        <v>1699.5</v>
      </c>
      <c r="L53" s="15">
        <f t="shared" si="24"/>
        <v>1699.5</v>
      </c>
      <c r="M53" s="15">
        <f t="shared" si="24"/>
        <v>1699.5</v>
      </c>
      <c r="N53" s="15">
        <f t="shared" si="24"/>
        <v>1699.5</v>
      </c>
      <c r="O53" s="15">
        <f t="shared" si="24"/>
        <v>0</v>
      </c>
      <c r="P53" s="15">
        <f t="shared" si="24"/>
        <v>0</v>
      </c>
      <c r="Q53" s="108">
        <f t="shared" si="24"/>
        <v>22196.5</v>
      </c>
      <c r="R53" s="189">
        <f t="shared" si="1"/>
        <v>0.30319359641574123</v>
      </c>
      <c r="S53" s="309">
        <v>17414</v>
      </c>
      <c r="T53" s="310">
        <f>IFERROR(Q53/S53-1,"")</f>
        <v>0.27463535086711843</v>
      </c>
    </row>
    <row r="54" spans="1:22" x14ac:dyDescent="0.35">
      <c r="A54" s="66"/>
      <c r="Q54" s="101"/>
      <c r="R54" s="184"/>
      <c r="S54" s="304"/>
      <c r="T54" s="308"/>
    </row>
    <row r="55" spans="1:22" x14ac:dyDescent="0.35">
      <c r="A55" s="66" t="s">
        <v>108</v>
      </c>
      <c r="B55" s="366" t="s">
        <v>536</v>
      </c>
      <c r="C55" s="6" t="s">
        <v>44</v>
      </c>
      <c r="E55" s="12">
        <v>12650</v>
      </c>
      <c r="F55" s="12">
        <v>12650</v>
      </c>
      <c r="G55" s="12">
        <v>12650</v>
      </c>
      <c r="H55" s="12">
        <v>12650</v>
      </c>
      <c r="I55" s="12">
        <v>12650</v>
      </c>
      <c r="J55" s="12">
        <v>12650</v>
      </c>
      <c r="K55" s="12">
        <v>12650</v>
      </c>
      <c r="L55" s="12">
        <v>12650</v>
      </c>
      <c r="M55" s="12">
        <v>12650</v>
      </c>
      <c r="N55" s="12">
        <v>12650</v>
      </c>
      <c r="O55" s="12">
        <v>12650</v>
      </c>
      <c r="P55" s="12">
        <v>12650</v>
      </c>
      <c r="Q55" s="101">
        <f>SUM(E55:P55)</f>
        <v>151800</v>
      </c>
      <c r="R55" s="184">
        <f t="shared" si="1"/>
        <v>2.0735155513666355</v>
      </c>
      <c r="S55" s="304">
        <v>151660</v>
      </c>
      <c r="T55" s="308">
        <f>IFERROR(Q55/S55-1,"")</f>
        <v>9.2311749967022294E-4</v>
      </c>
      <c r="U55" s="23" t="s">
        <v>283</v>
      </c>
      <c r="V55" s="6" t="s">
        <v>348</v>
      </c>
    </row>
    <row r="56" spans="1:22" x14ac:dyDescent="0.35">
      <c r="A56" s="66"/>
      <c r="Q56" s="101"/>
      <c r="R56" s="184"/>
      <c r="S56" s="304"/>
      <c r="T56" s="308"/>
    </row>
    <row r="57" spans="1:22" hidden="1" x14ac:dyDescent="0.35">
      <c r="A57" s="66" t="s">
        <v>109</v>
      </c>
      <c r="B57" s="6" t="s">
        <v>45</v>
      </c>
      <c r="C57" s="6" t="s">
        <v>46</v>
      </c>
      <c r="Q57" s="101">
        <f>SUM(E57:P57)</f>
        <v>0</v>
      </c>
      <c r="R57" s="184">
        <f t="shared" si="1"/>
        <v>0</v>
      </c>
      <c r="S57" s="304"/>
      <c r="T57" s="308" t="e">
        <f>R56/S57-1</f>
        <v>#DIV/0!</v>
      </c>
    </row>
    <row r="58" spans="1:22" hidden="1" x14ac:dyDescent="0.35">
      <c r="A58" s="66"/>
      <c r="Q58" s="101"/>
      <c r="R58" s="184"/>
      <c r="S58" s="304"/>
      <c r="T58" s="308"/>
    </row>
    <row r="59" spans="1:22" x14ac:dyDescent="0.35">
      <c r="A59" s="66" t="s">
        <v>110</v>
      </c>
      <c r="B59" s="366" t="s">
        <v>537</v>
      </c>
      <c r="C59" s="6" t="s">
        <v>47</v>
      </c>
      <c r="E59" s="12">
        <f>1.03*730</f>
        <v>751.9</v>
      </c>
      <c r="F59" s="12">
        <f t="shared" ref="F59:P59" si="25">1.03*730</f>
        <v>751.9</v>
      </c>
      <c r="G59" s="12">
        <f t="shared" si="25"/>
        <v>751.9</v>
      </c>
      <c r="H59" s="12">
        <f t="shared" si="25"/>
        <v>751.9</v>
      </c>
      <c r="I59" s="12">
        <f t="shared" si="25"/>
        <v>751.9</v>
      </c>
      <c r="J59" s="12">
        <f t="shared" si="25"/>
        <v>751.9</v>
      </c>
      <c r="K59" s="12">
        <f t="shared" si="25"/>
        <v>751.9</v>
      </c>
      <c r="L59" s="12">
        <f t="shared" si="25"/>
        <v>751.9</v>
      </c>
      <c r="M59" s="12">
        <f t="shared" si="25"/>
        <v>751.9</v>
      </c>
      <c r="N59" s="12">
        <f t="shared" si="25"/>
        <v>751.9</v>
      </c>
      <c r="O59" s="12">
        <f t="shared" si="25"/>
        <v>751.9</v>
      </c>
      <c r="P59" s="12">
        <f t="shared" si="25"/>
        <v>751.9</v>
      </c>
      <c r="Q59" s="101">
        <f>SUM(E59:P59)</f>
        <v>9022.7999999999975</v>
      </c>
      <c r="R59" s="184">
        <f t="shared" si="1"/>
        <v>0.12324714174486739</v>
      </c>
      <c r="S59" s="304">
        <v>6742</v>
      </c>
      <c r="T59" s="308">
        <f>IFERROR(Q59/S59-1,"")</f>
        <v>0.33829724117472515</v>
      </c>
      <c r="U59" s="23" t="s">
        <v>283</v>
      </c>
      <c r="V59" s="6" t="s">
        <v>348</v>
      </c>
    </row>
    <row r="60" spans="1:22" x14ac:dyDescent="0.35">
      <c r="A60" s="66"/>
      <c r="Q60" s="101"/>
      <c r="R60" s="184"/>
      <c r="S60" s="304"/>
      <c r="T60" s="308"/>
    </row>
    <row r="61" spans="1:22" x14ac:dyDescent="0.35">
      <c r="A61" s="66" t="s">
        <v>111</v>
      </c>
      <c r="B61" s="366" t="s">
        <v>536</v>
      </c>
      <c r="C61" s="6" t="s">
        <v>22</v>
      </c>
      <c r="E61" s="6">
        <f>+'INS RET DEBT'!E87</f>
        <v>13172.1175</v>
      </c>
      <c r="F61" s="6">
        <f>+'INS RET DEBT'!F87</f>
        <v>13172.1175</v>
      </c>
      <c r="G61" s="6">
        <f>+'INS RET DEBT'!G87</f>
        <v>13172.1175</v>
      </c>
      <c r="H61" s="6">
        <f>+'INS RET DEBT'!H87</f>
        <v>13172.1175</v>
      </c>
      <c r="I61" s="6">
        <f>+'INS RET DEBT'!I87</f>
        <v>13172.1175</v>
      </c>
      <c r="J61" s="6">
        <f>+'INS RET DEBT'!J87</f>
        <v>13172.1175</v>
      </c>
      <c r="K61" s="6">
        <f>+'INS RET DEBT'!K87</f>
        <v>13172.1175</v>
      </c>
      <c r="L61" s="6">
        <f>+'INS RET DEBT'!L87</f>
        <v>13172.1175</v>
      </c>
      <c r="M61" s="6">
        <f>+'INS RET DEBT'!M87</f>
        <v>13172.1175</v>
      </c>
      <c r="N61" s="6">
        <f>+'INS RET DEBT'!N87</f>
        <v>13172.1175</v>
      </c>
      <c r="O61" s="6">
        <f>+'INS RET DEBT'!O87</f>
        <v>13172.1175</v>
      </c>
      <c r="P61" s="6">
        <f>+'INS RET DEBT'!P87</f>
        <v>13172.1175</v>
      </c>
      <c r="Q61" s="101">
        <f>SUM(E61:P61)</f>
        <v>158065.40999999995</v>
      </c>
      <c r="R61" s="184">
        <f t="shared" si="1"/>
        <v>2.1590980617137228</v>
      </c>
      <c r="S61" s="304">
        <v>147458</v>
      </c>
      <c r="T61" s="308">
        <f>IFERROR(Q61/S61-1,"")</f>
        <v>7.1935127290482237E-2</v>
      </c>
    </row>
    <row r="62" spans="1:22" x14ac:dyDescent="0.35">
      <c r="A62" s="66"/>
      <c r="Q62" s="101"/>
      <c r="R62" s="184"/>
      <c r="S62" s="304"/>
      <c r="T62" s="308"/>
    </row>
    <row r="63" spans="1:22" x14ac:dyDescent="0.35">
      <c r="A63" s="66"/>
      <c r="D63" s="50" t="s">
        <v>48</v>
      </c>
      <c r="E63" s="45">
        <f>+'INS RET DEBT'!E41+'INS RET DEBT'!E42</f>
        <v>3574</v>
      </c>
      <c r="F63" s="45">
        <f>+'INS RET DEBT'!F41+'INS RET DEBT'!F42</f>
        <v>3574</v>
      </c>
      <c r="G63" s="45">
        <f>+'INS RET DEBT'!G41+'INS RET DEBT'!G42</f>
        <v>3574</v>
      </c>
      <c r="H63" s="45">
        <f>+'INS RET DEBT'!H41+'INS RET DEBT'!H42</f>
        <v>3574</v>
      </c>
      <c r="I63" s="45">
        <f>+'INS RET DEBT'!I41+'INS RET DEBT'!I42</f>
        <v>3574</v>
      </c>
      <c r="J63" s="45">
        <f>+'INS RET DEBT'!J41+'INS RET DEBT'!J42</f>
        <v>3574</v>
      </c>
      <c r="K63" s="45">
        <f>+'INS RET DEBT'!K41+'INS RET DEBT'!K42</f>
        <v>3574</v>
      </c>
      <c r="L63" s="45">
        <f>+'INS RET DEBT'!L41+'INS RET DEBT'!L42</f>
        <v>3574</v>
      </c>
      <c r="M63" s="45">
        <f>+'INS RET DEBT'!M41+'INS RET DEBT'!M42</f>
        <v>3574</v>
      </c>
      <c r="N63" s="45">
        <f>+'INS RET DEBT'!N41+'INS RET DEBT'!N42</f>
        <v>3574</v>
      </c>
      <c r="O63" s="45">
        <f>+'INS RET DEBT'!O41+'INS RET DEBT'!O42</f>
        <v>3645.48</v>
      </c>
      <c r="P63" s="45">
        <f>+'INS RET DEBT'!P41+'INS RET DEBT'!P42</f>
        <v>3645.48</v>
      </c>
      <c r="Q63" s="195">
        <f>SUM(E63:P63)</f>
        <v>43030.960000000006</v>
      </c>
      <c r="R63" s="186">
        <f t="shared" si="1"/>
        <v>0.58778237648376574</v>
      </c>
      <c r="S63" s="304"/>
      <c r="T63" s="308"/>
    </row>
    <row r="64" spans="1:22" x14ac:dyDescent="0.35">
      <c r="A64" s="66"/>
      <c r="D64" s="51" t="s">
        <v>89</v>
      </c>
      <c r="E64" s="6">
        <f>+'INS RET DEBT'!E44</f>
        <v>778</v>
      </c>
      <c r="F64" s="6">
        <f>+'INS RET DEBT'!F44</f>
        <v>778</v>
      </c>
      <c r="G64" s="6">
        <f>+'INS RET DEBT'!G44</f>
        <v>778</v>
      </c>
      <c r="H64" s="6">
        <f>+'INS RET DEBT'!H44</f>
        <v>778</v>
      </c>
      <c r="I64" s="6">
        <f>+'INS RET DEBT'!I44</f>
        <v>778</v>
      </c>
      <c r="J64" s="6">
        <f>+'INS RET DEBT'!J44</f>
        <v>778</v>
      </c>
      <c r="K64" s="6">
        <f>+'INS RET DEBT'!K44</f>
        <v>778</v>
      </c>
      <c r="L64" s="6">
        <f>+'INS RET DEBT'!L44</f>
        <v>778</v>
      </c>
      <c r="M64" s="6">
        <f>+'INS RET DEBT'!M44</f>
        <v>778</v>
      </c>
      <c r="N64" s="6">
        <f>+'INS RET DEBT'!N44</f>
        <v>778</v>
      </c>
      <c r="O64" s="6">
        <f>+'INS RET DEBT'!O44</f>
        <v>793.56000000000006</v>
      </c>
      <c r="P64" s="6">
        <f>+'INS RET DEBT'!P44</f>
        <v>793.56000000000006</v>
      </c>
      <c r="Q64" s="196">
        <f>SUM(E64:P64)</f>
        <v>9367.119999999999</v>
      </c>
      <c r="R64" s="187">
        <f t="shared" si="1"/>
        <v>0.12795038861342184</v>
      </c>
      <c r="S64" s="304"/>
      <c r="T64" s="308"/>
    </row>
    <row r="65" spans="1:22" x14ac:dyDescent="0.35">
      <c r="A65" s="66"/>
      <c r="D65" s="52" t="s">
        <v>50</v>
      </c>
      <c r="E65" s="15">
        <f>+'INS RET DEBT'!E45</f>
        <v>0</v>
      </c>
      <c r="F65" s="15">
        <f>+'INS RET DEBT'!F45</f>
        <v>0</v>
      </c>
      <c r="G65" s="15">
        <f>+'INS RET DEBT'!G45</f>
        <v>0</v>
      </c>
      <c r="H65" s="15">
        <f>+'INS RET DEBT'!H45</f>
        <v>0</v>
      </c>
      <c r="I65" s="15">
        <f>+'INS RET DEBT'!I45</f>
        <v>0</v>
      </c>
      <c r="J65" s="15">
        <f>+'INS RET DEBT'!J45</f>
        <v>0</v>
      </c>
      <c r="K65" s="15">
        <f>+'INS RET DEBT'!K45</f>
        <v>0</v>
      </c>
      <c r="L65" s="15">
        <f>+'INS RET DEBT'!L45</f>
        <v>0</v>
      </c>
      <c r="M65" s="15">
        <f>+'INS RET DEBT'!M45</f>
        <v>0</v>
      </c>
      <c r="N65" s="15">
        <f>+'INS RET DEBT'!N45</f>
        <v>0</v>
      </c>
      <c r="O65" s="15">
        <f>+'INS RET DEBT'!O45</f>
        <v>0</v>
      </c>
      <c r="P65" s="15">
        <f>+'INS RET DEBT'!P45</f>
        <v>0</v>
      </c>
      <c r="Q65" s="197">
        <f>SUM(E65:P65)</f>
        <v>0</v>
      </c>
      <c r="R65" s="188">
        <f t="shared" si="1"/>
        <v>0</v>
      </c>
      <c r="S65" s="304"/>
      <c r="T65" s="308"/>
    </row>
    <row r="66" spans="1:22" x14ac:dyDescent="0.35">
      <c r="A66" s="66" t="s">
        <v>112</v>
      </c>
      <c r="B66" s="366" t="s">
        <v>536</v>
      </c>
      <c r="C66" s="6" t="s">
        <v>23</v>
      </c>
      <c r="E66" s="15">
        <f t="shared" ref="E66:Q66" si="26">SUM(E63:E65)</f>
        <v>4352</v>
      </c>
      <c r="F66" s="15">
        <f t="shared" si="26"/>
        <v>4352</v>
      </c>
      <c r="G66" s="15">
        <f t="shared" si="26"/>
        <v>4352</v>
      </c>
      <c r="H66" s="15">
        <f t="shared" si="26"/>
        <v>4352</v>
      </c>
      <c r="I66" s="15">
        <f t="shared" si="26"/>
        <v>4352</v>
      </c>
      <c r="J66" s="15">
        <f t="shared" si="26"/>
        <v>4352</v>
      </c>
      <c r="K66" s="15">
        <f t="shared" si="26"/>
        <v>4352</v>
      </c>
      <c r="L66" s="15">
        <f t="shared" si="26"/>
        <v>4352</v>
      </c>
      <c r="M66" s="15">
        <f t="shared" si="26"/>
        <v>4352</v>
      </c>
      <c r="N66" s="15">
        <f t="shared" si="26"/>
        <v>4352</v>
      </c>
      <c r="O66" s="15">
        <f t="shared" si="26"/>
        <v>4439.04</v>
      </c>
      <c r="P66" s="15">
        <f t="shared" si="26"/>
        <v>4439.04</v>
      </c>
      <c r="Q66" s="108">
        <f t="shared" si="26"/>
        <v>52398.080000000002</v>
      </c>
      <c r="R66" s="189">
        <f t="shared" si="1"/>
        <v>0.71573276509718753</v>
      </c>
      <c r="S66" s="309">
        <v>52724</v>
      </c>
      <c r="T66" s="310">
        <f>IFERROR(Q66/S66-1,"")</f>
        <v>-6.1816250663834227E-3</v>
      </c>
    </row>
    <row r="67" spans="1:22" x14ac:dyDescent="0.35">
      <c r="A67" s="66"/>
      <c r="Q67" s="101"/>
      <c r="R67" s="184"/>
      <c r="S67" s="304"/>
      <c r="T67" s="308"/>
    </row>
    <row r="68" spans="1:22" x14ac:dyDescent="0.35">
      <c r="A68" s="66"/>
      <c r="D68" s="50" t="s">
        <v>51</v>
      </c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198">
        <f>SUM(E68:P68)</f>
        <v>0</v>
      </c>
      <c r="R68" s="186">
        <f t="shared" si="1"/>
        <v>0</v>
      </c>
      <c r="S68" s="304"/>
      <c r="T68" s="308"/>
    </row>
    <row r="69" spans="1:22" x14ac:dyDescent="0.35">
      <c r="A69" s="66"/>
      <c r="D69" s="52" t="s">
        <v>351</v>
      </c>
      <c r="E69" s="14">
        <f>1.03*2100</f>
        <v>2163</v>
      </c>
      <c r="F69" s="14">
        <f t="shared" ref="F69:P69" si="27">1.03*2100</f>
        <v>2163</v>
      </c>
      <c r="G69" s="14">
        <f t="shared" si="27"/>
        <v>2163</v>
      </c>
      <c r="H69" s="14">
        <f t="shared" si="27"/>
        <v>2163</v>
      </c>
      <c r="I69" s="14">
        <f t="shared" si="27"/>
        <v>2163</v>
      </c>
      <c r="J69" s="14">
        <f t="shared" si="27"/>
        <v>2163</v>
      </c>
      <c r="K69" s="14">
        <f t="shared" si="27"/>
        <v>2163</v>
      </c>
      <c r="L69" s="14">
        <f t="shared" si="27"/>
        <v>2163</v>
      </c>
      <c r="M69" s="14">
        <f t="shared" si="27"/>
        <v>2163</v>
      </c>
      <c r="N69" s="14">
        <f t="shared" si="27"/>
        <v>2163</v>
      </c>
      <c r="O69" s="14">
        <f t="shared" si="27"/>
        <v>2163</v>
      </c>
      <c r="P69" s="14">
        <f t="shared" si="27"/>
        <v>2163</v>
      </c>
      <c r="Q69" s="108">
        <f>SUM(E69:P69)</f>
        <v>25956</v>
      </c>
      <c r="R69" s="188">
        <f t="shared" si="1"/>
        <v>0.35454657214276936</v>
      </c>
      <c r="S69" s="304"/>
      <c r="T69" s="308"/>
      <c r="U69" s="23" t="s">
        <v>283</v>
      </c>
      <c r="V69" s="6" t="s">
        <v>348</v>
      </c>
    </row>
    <row r="70" spans="1:22" x14ac:dyDescent="0.35">
      <c r="A70" s="66" t="s">
        <v>113</v>
      </c>
      <c r="B70" s="366" t="s">
        <v>537</v>
      </c>
      <c r="C70" s="6" t="s">
        <v>51</v>
      </c>
      <c r="E70" s="15">
        <f t="shared" ref="E70:Q70" si="28">SUM(E68:E69)</f>
        <v>2163</v>
      </c>
      <c r="F70" s="15">
        <f t="shared" si="28"/>
        <v>2163</v>
      </c>
      <c r="G70" s="15">
        <f t="shared" si="28"/>
        <v>2163</v>
      </c>
      <c r="H70" s="15">
        <f t="shared" si="28"/>
        <v>2163</v>
      </c>
      <c r="I70" s="15">
        <f t="shared" si="28"/>
        <v>2163</v>
      </c>
      <c r="J70" s="15">
        <f t="shared" si="28"/>
        <v>2163</v>
      </c>
      <c r="K70" s="15">
        <f t="shared" si="28"/>
        <v>2163</v>
      </c>
      <c r="L70" s="15">
        <f t="shared" si="28"/>
        <v>2163</v>
      </c>
      <c r="M70" s="15">
        <f t="shared" si="28"/>
        <v>2163</v>
      </c>
      <c r="N70" s="15">
        <f t="shared" si="28"/>
        <v>2163</v>
      </c>
      <c r="O70" s="15">
        <f t="shared" si="28"/>
        <v>2163</v>
      </c>
      <c r="P70" s="15">
        <f t="shared" si="28"/>
        <v>2163</v>
      </c>
      <c r="Q70" s="108">
        <f t="shared" si="28"/>
        <v>25956</v>
      </c>
      <c r="R70" s="189">
        <f t="shared" si="1"/>
        <v>0.35454657214276936</v>
      </c>
      <c r="S70" s="309">
        <v>23846</v>
      </c>
      <c r="T70" s="310">
        <f>IFERROR(Q70/S70-1,"")</f>
        <v>8.8484441835108507E-2</v>
      </c>
    </row>
    <row r="71" spans="1:22" x14ac:dyDescent="0.35">
      <c r="A71" s="66"/>
      <c r="Q71" s="101"/>
      <c r="R71" s="184"/>
      <c r="S71" s="304"/>
      <c r="T71" s="308"/>
    </row>
    <row r="72" spans="1:22" x14ac:dyDescent="0.35">
      <c r="A72" s="66"/>
      <c r="B72" s="6" t="s">
        <v>33</v>
      </c>
      <c r="C72" s="6" t="s">
        <v>53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01">
        <f>SUM(E72:P72)</f>
        <v>0</v>
      </c>
      <c r="R72" s="184">
        <f t="shared" si="1"/>
        <v>0</v>
      </c>
      <c r="S72" s="304">
        <v>85801</v>
      </c>
      <c r="T72" s="308">
        <f>IFERROR(Q72/S72-1,"")</f>
        <v>-1</v>
      </c>
    </row>
    <row r="73" spans="1:22" x14ac:dyDescent="0.35">
      <c r="A73" s="66"/>
      <c r="Q73" s="108"/>
      <c r="R73" s="184"/>
      <c r="S73" s="304"/>
      <c r="T73" s="308"/>
    </row>
    <row r="74" spans="1:22" ht="18" x14ac:dyDescent="0.35">
      <c r="A74" s="66"/>
      <c r="C74" s="53" t="s">
        <v>54</v>
      </c>
      <c r="D74" s="54"/>
      <c r="E74" s="54">
        <f>+E27+E29+E33+E39+E41+E46+E48+E53+E55+E57+E59+E61+E66+E70+E72+E30+E31</f>
        <v>63580.931588083375</v>
      </c>
      <c r="F74" s="54">
        <f t="shared" ref="F74:P74" si="29">+F27+F29+F33+F39+F41+F46+F48+F53+F55+F57+F59+F61+F66+F70+F72+F30+F31</f>
        <v>61267.011588083369</v>
      </c>
      <c r="G74" s="54">
        <f t="shared" si="29"/>
        <v>82469.261588083376</v>
      </c>
      <c r="H74" s="54">
        <f t="shared" si="29"/>
        <v>47625.591588083371</v>
      </c>
      <c r="I74" s="54">
        <f t="shared" si="29"/>
        <v>57085.181588083375</v>
      </c>
      <c r="J74" s="54">
        <f t="shared" si="29"/>
        <v>60029.981588083378</v>
      </c>
      <c r="K74" s="54">
        <f t="shared" si="29"/>
        <v>48661.201588083371</v>
      </c>
      <c r="L74" s="54">
        <f t="shared" si="29"/>
        <v>45680.751588083374</v>
      </c>
      <c r="M74" s="54">
        <f t="shared" si="29"/>
        <v>79247.561588083379</v>
      </c>
      <c r="N74" s="54">
        <f t="shared" si="29"/>
        <v>67340.181588083375</v>
      </c>
      <c r="O74" s="54">
        <f t="shared" si="29"/>
        <v>45712.021588083371</v>
      </c>
      <c r="P74" s="54">
        <f t="shared" si="29"/>
        <v>49101.021588083371</v>
      </c>
      <c r="Q74" s="108">
        <f>+Q27+Q29+Q33+Q39+Q41+Q46+Q48+Q53+Q55+Q57+Q59+Q61+Q66+Q70+Q72+Q30+Q31</f>
        <v>707800.69905700046</v>
      </c>
      <c r="R74" s="190">
        <f t="shared" si="1"/>
        <v>9.6682197415208577</v>
      </c>
      <c r="S74" s="315">
        <f>+S27+S29+S33+S39+S41+S46+S48+S53+S55+S57+S59+S61+S66+S70+S72</f>
        <v>736065</v>
      </c>
      <c r="T74" s="310">
        <f>IFERROR(Q74/S74-1,"")</f>
        <v>-3.839919157003735E-2</v>
      </c>
    </row>
    <row r="75" spans="1:22" ht="18" x14ac:dyDescent="0.35">
      <c r="A75" s="66"/>
      <c r="P75" s="372"/>
      <c r="Q75" s="103"/>
      <c r="R75" s="185"/>
      <c r="S75" s="311"/>
      <c r="T75" s="312"/>
    </row>
    <row r="76" spans="1:22" ht="18" x14ac:dyDescent="0.35">
      <c r="A76" s="66"/>
      <c r="B76" s="7" t="s">
        <v>55</v>
      </c>
      <c r="Q76" s="101"/>
      <c r="R76" s="184"/>
      <c r="S76" s="304"/>
      <c r="T76" s="308"/>
    </row>
    <row r="77" spans="1:22" x14ac:dyDescent="0.35">
      <c r="A77" s="66"/>
      <c r="Q77" s="101"/>
      <c r="R77" s="184"/>
      <c r="S77" s="304"/>
      <c r="T77" s="308"/>
    </row>
    <row r="78" spans="1:22" x14ac:dyDescent="0.35">
      <c r="A78" s="66" t="s">
        <v>137</v>
      </c>
      <c r="C78" s="6" t="s">
        <v>56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01">
        <f>SUM(E78:P78)</f>
        <v>0</v>
      </c>
      <c r="R78" s="184">
        <f t="shared" ref="R78:R137" si="30">Q78/$B$4</f>
        <v>0</v>
      </c>
      <c r="S78" s="304">
        <v>0</v>
      </c>
      <c r="T78" s="308" t="str">
        <f>IFERROR(Q78/S78-1,"")</f>
        <v/>
      </c>
    </row>
    <row r="79" spans="1:22" x14ac:dyDescent="0.35">
      <c r="A79" s="66"/>
      <c r="Q79" s="101"/>
      <c r="R79" s="184"/>
      <c r="S79" s="304"/>
      <c r="T79" s="308"/>
    </row>
    <row r="80" spans="1:22" x14ac:dyDescent="0.35">
      <c r="A80" s="66" t="s">
        <v>114</v>
      </c>
      <c r="D80" s="6" t="s">
        <v>57</v>
      </c>
      <c r="E80" s="6">
        <f>VLOOKUP($B$1,'Allocated Expenses'!$B$20:$P$29,4,FALSE)</f>
        <v>5444.2676532853566</v>
      </c>
      <c r="F80" s="6">
        <f>VLOOKUP($B$1,'Allocated Expenses'!$B$20:$P$29,5,FALSE)</f>
        <v>5444.2676532853566</v>
      </c>
      <c r="G80" s="6">
        <f>VLOOKUP($B$1,'Allocated Expenses'!$B$20:$P$29,6,FALSE)</f>
        <v>5444.2676532853566</v>
      </c>
      <c r="H80" s="6">
        <f>VLOOKUP($B$1,'Allocated Expenses'!$B$20:$P$29,7,FALSE)</f>
        <v>5444.2676532853566</v>
      </c>
      <c r="I80" s="6">
        <f>VLOOKUP($B$1,'Allocated Expenses'!$B$20:$P$29,8,FALSE)</f>
        <v>5444.2676532853566</v>
      </c>
      <c r="J80" s="6">
        <f>VLOOKUP($B$1,'Allocated Expenses'!$B$20:$P$29,9,FALSE)</f>
        <v>5444.2676532853566</v>
      </c>
      <c r="K80" s="6">
        <f>VLOOKUP($B$1,'Allocated Expenses'!$B$20:$P$29,10,FALSE)</f>
        <v>5444.2676532853566</v>
      </c>
      <c r="L80" s="6">
        <f>VLOOKUP($B$1,'Allocated Expenses'!$B$20:$P$29,11,FALSE)</f>
        <v>5444.2676532853566</v>
      </c>
      <c r="M80" s="6">
        <f>VLOOKUP($B$1,'Allocated Expenses'!$B$20:$P$29,12,FALSE)</f>
        <v>5444.2676532853566</v>
      </c>
      <c r="N80" s="6">
        <f>VLOOKUP($B$1,'Allocated Expenses'!$B$20:$P$29,13,FALSE)</f>
        <v>5444.2676532853566</v>
      </c>
      <c r="O80" s="6">
        <f>VLOOKUP($B$1,'Allocated Expenses'!$B$20:$P$29,14,FALSE)</f>
        <v>5444.2676532853566</v>
      </c>
      <c r="P80" s="6">
        <f>VLOOKUP($B$1,'Allocated Expenses'!$B$20:$P$29,15,FALSE)</f>
        <v>5444.2676532853566</v>
      </c>
      <c r="Q80" s="101">
        <f>SUM(E80:P80)</f>
        <v>65331.211839424293</v>
      </c>
      <c r="R80" s="184">
        <f t="shared" si="30"/>
        <v>0.89239317350905345</v>
      </c>
      <c r="S80" s="304"/>
      <c r="T80" s="308"/>
    </row>
    <row r="81" spans="1:22" x14ac:dyDescent="0.35">
      <c r="A81" s="66" t="s">
        <v>115</v>
      </c>
      <c r="D81" s="6" t="s">
        <v>58</v>
      </c>
      <c r="E81" s="15">
        <f>VLOOKUP($B$1,'Allocated Expenses'!$B$132:$P$141,4,FALSE)</f>
        <v>0</v>
      </c>
      <c r="F81" s="15">
        <f>VLOOKUP($B$1,'Allocated Expenses'!$B$132:$P$141,5,FALSE)</f>
        <v>0</v>
      </c>
      <c r="G81" s="15">
        <f>VLOOKUP($B$1,'Allocated Expenses'!$B$132:$P$141,6,FALSE)</f>
        <v>0</v>
      </c>
      <c r="H81" s="15">
        <f>VLOOKUP($B$1,'Allocated Expenses'!$B$132:$P$141,7,FALSE)</f>
        <v>0</v>
      </c>
      <c r="I81" s="15">
        <f>VLOOKUP($B$1,'Allocated Expenses'!$B$132:$P$141,8,FALSE)</f>
        <v>0</v>
      </c>
      <c r="J81" s="15">
        <f>VLOOKUP($B$1,'Allocated Expenses'!$B$132:$P$141,9,FALSE)</f>
        <v>0</v>
      </c>
      <c r="K81" s="15">
        <f>VLOOKUP($B$1,'Allocated Expenses'!$B$132:$P$141,10,FALSE)</f>
        <v>0</v>
      </c>
      <c r="L81" s="15">
        <f>VLOOKUP($B$1,'Allocated Expenses'!$B$132:$P$141,11,FALSE)</f>
        <v>0</v>
      </c>
      <c r="M81" s="15">
        <f>VLOOKUP($B$1,'Allocated Expenses'!$B$132:$P$141,12,FALSE)</f>
        <v>0</v>
      </c>
      <c r="N81" s="15">
        <f>VLOOKUP($B$1,'Allocated Expenses'!$B$132:$P$141,13,FALSE)</f>
        <v>0</v>
      </c>
      <c r="O81" s="15">
        <f>VLOOKUP($B$1,'Allocated Expenses'!$B$132:$P$141,14,FALSE)</f>
        <v>0</v>
      </c>
      <c r="P81" s="15">
        <f>VLOOKUP($B$1,'Allocated Expenses'!$B$132:$P$141,15,FALSE)</f>
        <v>0</v>
      </c>
      <c r="Q81" s="108">
        <f>SUM(E81:P81)</f>
        <v>0</v>
      </c>
      <c r="R81" s="189">
        <f t="shared" si="30"/>
        <v>0</v>
      </c>
      <c r="S81" s="304"/>
      <c r="T81" s="308"/>
    </row>
    <row r="82" spans="1:22" x14ac:dyDescent="0.35">
      <c r="A82" s="66"/>
      <c r="C82" s="6" t="s">
        <v>59</v>
      </c>
      <c r="E82" s="15">
        <f t="shared" ref="E82:Q82" si="31">SUM(E80:E81)</f>
        <v>5444.2676532853566</v>
      </c>
      <c r="F82" s="15">
        <f t="shared" si="31"/>
        <v>5444.2676532853566</v>
      </c>
      <c r="G82" s="15">
        <f t="shared" si="31"/>
        <v>5444.2676532853566</v>
      </c>
      <c r="H82" s="15">
        <f t="shared" si="31"/>
        <v>5444.2676532853566</v>
      </c>
      <c r="I82" s="15">
        <f t="shared" si="31"/>
        <v>5444.2676532853566</v>
      </c>
      <c r="J82" s="15">
        <f t="shared" si="31"/>
        <v>5444.2676532853566</v>
      </c>
      <c r="K82" s="15">
        <f t="shared" si="31"/>
        <v>5444.2676532853566</v>
      </c>
      <c r="L82" s="15">
        <f t="shared" si="31"/>
        <v>5444.2676532853566</v>
      </c>
      <c r="M82" s="15">
        <f t="shared" si="31"/>
        <v>5444.2676532853566</v>
      </c>
      <c r="N82" s="15">
        <f t="shared" si="31"/>
        <v>5444.2676532853566</v>
      </c>
      <c r="O82" s="15">
        <f t="shared" si="31"/>
        <v>5444.2676532853566</v>
      </c>
      <c r="P82" s="15">
        <f t="shared" si="31"/>
        <v>5444.2676532853566</v>
      </c>
      <c r="Q82" s="108">
        <f t="shared" si="31"/>
        <v>65331.211839424293</v>
      </c>
      <c r="R82" s="189">
        <f t="shared" si="30"/>
        <v>0.89239317350905345</v>
      </c>
      <c r="S82" s="309">
        <v>76800</v>
      </c>
      <c r="T82" s="310">
        <f>IFERROR(Q82/S82-1,"")</f>
        <v>-0.14933317917416289</v>
      </c>
    </row>
    <row r="83" spans="1:22" x14ac:dyDescent="0.35">
      <c r="A83" s="66"/>
      <c r="Q83" s="101"/>
      <c r="R83" s="184"/>
      <c r="S83" s="304"/>
      <c r="T83" s="308"/>
    </row>
    <row r="84" spans="1:22" x14ac:dyDescent="0.35">
      <c r="A84" s="66" t="s">
        <v>138</v>
      </c>
      <c r="D84" s="6" t="s">
        <v>60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01">
        <f>SUM(E84:P84)</f>
        <v>0</v>
      </c>
      <c r="R84" s="184">
        <f t="shared" si="30"/>
        <v>0</v>
      </c>
      <c r="S84" s="304"/>
      <c r="T84" s="308"/>
    </row>
    <row r="85" spans="1:22" x14ac:dyDescent="0.35">
      <c r="A85" s="66" t="s">
        <v>139</v>
      </c>
      <c r="D85" s="6" t="s">
        <v>545</v>
      </c>
      <c r="E85" s="10">
        <f>(1-E6)*(E29+E31)</f>
        <v>354.40993500000008</v>
      </c>
      <c r="F85" s="10">
        <f t="shared" ref="F85:P85" si="32">(1-F6)*(F29+F31)</f>
        <v>310.27812</v>
      </c>
      <c r="G85" s="10">
        <f t="shared" si="32"/>
        <v>278.09634000000005</v>
      </c>
      <c r="H85" s="10">
        <f t="shared" si="32"/>
        <v>229.46305500000003</v>
      </c>
      <c r="I85" s="10">
        <f t="shared" si="32"/>
        <v>243.82548000000003</v>
      </c>
      <c r="J85" s="10">
        <f t="shared" si="32"/>
        <v>263.73391500000002</v>
      </c>
      <c r="K85" s="10">
        <f t="shared" si="32"/>
        <v>389.40202500000004</v>
      </c>
      <c r="L85" s="10">
        <f t="shared" si="32"/>
        <v>259.35679500000003</v>
      </c>
      <c r="M85" s="10">
        <f t="shared" si="32"/>
        <v>292.71990000000005</v>
      </c>
      <c r="N85" s="10">
        <f t="shared" si="32"/>
        <v>235.20802500000002</v>
      </c>
      <c r="O85" s="10">
        <f t="shared" si="32"/>
        <v>270.46125000000001</v>
      </c>
      <c r="P85" s="10">
        <f t="shared" si="32"/>
        <v>305.05542000000003</v>
      </c>
      <c r="Q85" s="101">
        <f>SUM(E85:P85)</f>
        <v>3432.01026</v>
      </c>
      <c r="R85" s="184">
        <f t="shared" si="30"/>
        <v>4.6879622177601117E-2</v>
      </c>
      <c r="S85" s="304"/>
      <c r="T85" s="308"/>
      <c r="U85" s="23" t="s">
        <v>283</v>
      </c>
      <c r="V85" s="6" t="s">
        <v>552</v>
      </c>
    </row>
    <row r="86" spans="1:22" x14ac:dyDescent="0.35">
      <c r="A86" s="66" t="s">
        <v>140</v>
      </c>
      <c r="D86" s="6" t="s">
        <v>28</v>
      </c>
      <c r="E86" s="14">
        <f>1.03*207</f>
        <v>213.21</v>
      </c>
      <c r="F86" s="14">
        <f>1.03*249</f>
        <v>256.47000000000003</v>
      </c>
      <c r="G86" s="14">
        <f>1.03*249</f>
        <v>256.47000000000003</v>
      </c>
      <c r="H86" s="14">
        <f>1.03*249</f>
        <v>256.47000000000003</v>
      </c>
      <c r="I86" s="14">
        <f>1.03*249</f>
        <v>256.47000000000003</v>
      </c>
      <c r="J86" s="14">
        <f>1.03*233</f>
        <v>239.99</v>
      </c>
      <c r="K86" s="14">
        <f>1.03*364</f>
        <v>374.92</v>
      </c>
      <c r="L86" s="14">
        <f>1.03*402</f>
        <v>414.06</v>
      </c>
      <c r="M86" s="14">
        <f>1.03*389</f>
        <v>400.67</v>
      </c>
      <c r="N86" s="14">
        <f>1.03*207</f>
        <v>213.21</v>
      </c>
      <c r="O86" s="14">
        <f>1.03*314</f>
        <v>323.42</v>
      </c>
      <c r="P86" s="14">
        <f>1.03*1858</f>
        <v>1913.74</v>
      </c>
      <c r="Q86" s="108">
        <f>SUM(E86:P86)</f>
        <v>5119.1000000000004</v>
      </c>
      <c r="R86" s="189">
        <f t="shared" si="30"/>
        <v>6.9924462839268398E-2</v>
      </c>
      <c r="S86" s="304"/>
      <c r="T86" s="308"/>
      <c r="U86" s="23" t="s">
        <v>283</v>
      </c>
      <c r="V86" s="6" t="s">
        <v>348</v>
      </c>
    </row>
    <row r="87" spans="1:22" x14ac:dyDescent="0.35">
      <c r="A87" s="66"/>
      <c r="C87" s="6" t="s">
        <v>61</v>
      </c>
      <c r="E87" s="15">
        <f t="shared" ref="E87:Q87" si="33">SUM(E84:E86)</f>
        <v>567.61993500000005</v>
      </c>
      <c r="F87" s="15">
        <f t="shared" si="33"/>
        <v>566.74811999999997</v>
      </c>
      <c r="G87" s="15">
        <f t="shared" si="33"/>
        <v>534.56634000000008</v>
      </c>
      <c r="H87" s="15">
        <f t="shared" si="33"/>
        <v>485.93305500000008</v>
      </c>
      <c r="I87" s="15">
        <f t="shared" si="33"/>
        <v>500.29548000000005</v>
      </c>
      <c r="J87" s="15">
        <f t="shared" si="33"/>
        <v>503.72391500000003</v>
      </c>
      <c r="K87" s="15">
        <f t="shared" si="33"/>
        <v>764.32202500000005</v>
      </c>
      <c r="L87" s="15">
        <f t="shared" si="33"/>
        <v>673.41679500000009</v>
      </c>
      <c r="M87" s="15">
        <f t="shared" si="33"/>
        <v>693.38990000000013</v>
      </c>
      <c r="N87" s="15">
        <f t="shared" si="33"/>
        <v>448.41802500000006</v>
      </c>
      <c r="O87" s="15">
        <f t="shared" si="33"/>
        <v>593.88125000000002</v>
      </c>
      <c r="P87" s="15">
        <f t="shared" si="33"/>
        <v>2218.7954199999999</v>
      </c>
      <c r="Q87" s="108">
        <f t="shared" si="33"/>
        <v>8551.1102600000013</v>
      </c>
      <c r="R87" s="189">
        <f t="shared" si="30"/>
        <v>0.11680408501686952</v>
      </c>
      <c r="S87" s="309">
        <v>12580</v>
      </c>
      <c r="T87" s="310">
        <f>IFERROR(Q87/S87-1,"")</f>
        <v>-0.32026150556438782</v>
      </c>
    </row>
    <row r="88" spans="1:22" x14ac:dyDescent="0.35">
      <c r="A88" s="66"/>
      <c r="Q88" s="101"/>
      <c r="R88" s="184"/>
      <c r="S88" s="304"/>
      <c r="T88" s="308"/>
    </row>
    <row r="89" spans="1:22" x14ac:dyDescent="0.35">
      <c r="A89" s="66"/>
      <c r="D89" s="50" t="s">
        <v>30</v>
      </c>
      <c r="E89" s="70">
        <f>1.03*850</f>
        <v>875.5</v>
      </c>
      <c r="F89" s="70">
        <f t="shared" ref="F89:P89" si="34">1.03*850</f>
        <v>875.5</v>
      </c>
      <c r="G89" s="70">
        <f t="shared" si="34"/>
        <v>875.5</v>
      </c>
      <c r="H89" s="70">
        <f t="shared" si="34"/>
        <v>875.5</v>
      </c>
      <c r="I89" s="70">
        <f t="shared" si="34"/>
        <v>875.5</v>
      </c>
      <c r="J89" s="70">
        <f t="shared" si="34"/>
        <v>875.5</v>
      </c>
      <c r="K89" s="70">
        <f t="shared" si="34"/>
        <v>875.5</v>
      </c>
      <c r="L89" s="70">
        <f t="shared" si="34"/>
        <v>875.5</v>
      </c>
      <c r="M89" s="70">
        <f t="shared" si="34"/>
        <v>875.5</v>
      </c>
      <c r="N89" s="70">
        <f t="shared" si="34"/>
        <v>875.5</v>
      </c>
      <c r="O89" s="70">
        <f t="shared" si="34"/>
        <v>875.5</v>
      </c>
      <c r="P89" s="70">
        <f t="shared" si="34"/>
        <v>875.5</v>
      </c>
      <c r="Q89" s="198">
        <f>SUM(E89:P89)</f>
        <v>10506</v>
      </c>
      <c r="R89" s="186">
        <f t="shared" si="30"/>
        <v>0.14350694586731139</v>
      </c>
      <c r="S89" s="304"/>
      <c r="T89" s="308"/>
      <c r="U89" s="23" t="s">
        <v>283</v>
      </c>
      <c r="V89" s="6" t="s">
        <v>348</v>
      </c>
    </row>
    <row r="90" spans="1:22" x14ac:dyDescent="0.35">
      <c r="A90" s="66"/>
      <c r="D90" s="52" t="s">
        <v>31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08">
        <f>SUM(E90:P90)</f>
        <v>0</v>
      </c>
      <c r="R90" s="188">
        <f t="shared" si="30"/>
        <v>0</v>
      </c>
      <c r="S90" s="304"/>
      <c r="T90" s="308"/>
    </row>
    <row r="91" spans="1:22" x14ac:dyDescent="0.35">
      <c r="A91" s="66" t="s">
        <v>116</v>
      </c>
      <c r="C91" s="6" t="s">
        <v>32</v>
      </c>
      <c r="E91" s="15">
        <f t="shared" ref="E91:Q91" si="35">SUM(E89:E90)</f>
        <v>875.5</v>
      </c>
      <c r="F91" s="15">
        <f t="shared" si="35"/>
        <v>875.5</v>
      </c>
      <c r="G91" s="15">
        <f t="shared" si="35"/>
        <v>875.5</v>
      </c>
      <c r="H91" s="15">
        <f t="shared" si="35"/>
        <v>875.5</v>
      </c>
      <c r="I91" s="15">
        <f t="shared" si="35"/>
        <v>875.5</v>
      </c>
      <c r="J91" s="15">
        <f t="shared" si="35"/>
        <v>875.5</v>
      </c>
      <c r="K91" s="15">
        <f t="shared" si="35"/>
        <v>875.5</v>
      </c>
      <c r="L91" s="15">
        <f t="shared" si="35"/>
        <v>875.5</v>
      </c>
      <c r="M91" s="15">
        <f t="shared" si="35"/>
        <v>875.5</v>
      </c>
      <c r="N91" s="15">
        <f t="shared" si="35"/>
        <v>875.5</v>
      </c>
      <c r="O91" s="15">
        <f t="shared" si="35"/>
        <v>875.5</v>
      </c>
      <c r="P91" s="15">
        <f t="shared" si="35"/>
        <v>875.5</v>
      </c>
      <c r="Q91" s="108">
        <f t="shared" si="35"/>
        <v>10506</v>
      </c>
      <c r="R91" s="189">
        <f t="shared" si="30"/>
        <v>0.14350694586731139</v>
      </c>
      <c r="S91" s="309">
        <v>26280</v>
      </c>
      <c r="T91" s="310">
        <f>IFERROR(Q91/S91-1,"")</f>
        <v>-0.60022831050228309</v>
      </c>
    </row>
    <row r="92" spans="1:22" x14ac:dyDescent="0.35">
      <c r="A92" s="66"/>
      <c r="Q92" s="101"/>
      <c r="R92" s="184"/>
      <c r="S92" s="304"/>
      <c r="T92" s="308"/>
    </row>
    <row r="93" spans="1:22" x14ac:dyDescent="0.35">
      <c r="A93" s="66" t="s">
        <v>141</v>
      </c>
      <c r="B93" s="6" t="s">
        <v>33</v>
      </c>
      <c r="C93" s="6" t="s">
        <v>62</v>
      </c>
      <c r="E93" s="6">
        <f>ROUND(E$24*0.06,0)</f>
        <v>7923</v>
      </c>
      <c r="F93" s="6">
        <f t="shared" ref="F93:P93" si="36">ROUND(F$24*0.06,0)</f>
        <v>7914</v>
      </c>
      <c r="G93" s="6">
        <f t="shared" si="36"/>
        <v>7905</v>
      </c>
      <c r="H93" s="6">
        <f t="shared" si="36"/>
        <v>7865</v>
      </c>
      <c r="I93" s="6">
        <f t="shared" si="36"/>
        <v>7865</v>
      </c>
      <c r="J93" s="6">
        <f t="shared" si="36"/>
        <v>7866</v>
      </c>
      <c r="K93" s="6">
        <f t="shared" si="36"/>
        <v>7956</v>
      </c>
      <c r="L93" s="6">
        <f t="shared" si="36"/>
        <v>7981</v>
      </c>
      <c r="M93" s="6">
        <f t="shared" si="36"/>
        <v>8032</v>
      </c>
      <c r="N93" s="6">
        <f t="shared" si="36"/>
        <v>8012</v>
      </c>
      <c r="O93" s="6">
        <f t="shared" si="36"/>
        <v>8020</v>
      </c>
      <c r="P93" s="6">
        <f t="shared" si="36"/>
        <v>8031</v>
      </c>
      <c r="Q93" s="101">
        <f>SUM(E93:P93)</f>
        <v>95370</v>
      </c>
      <c r="R93" s="184">
        <f t="shared" ref="R93" si="37">Q93/$B$4</f>
        <v>1.3027086833586035</v>
      </c>
      <c r="S93" s="304">
        <v>101192</v>
      </c>
      <c r="T93" s="308">
        <f>IFERROR(Q93/S93-1,"")</f>
        <v>-5.7534192426278774E-2</v>
      </c>
      <c r="U93" s="233"/>
    </row>
    <row r="94" spans="1:22" x14ac:dyDescent="0.35">
      <c r="A94" s="66"/>
      <c r="Q94" s="101"/>
      <c r="R94" s="184"/>
      <c r="S94" s="304"/>
      <c r="T94" s="308" t="str">
        <f>IFERROR(Q93/S94-1,"")</f>
        <v/>
      </c>
    </row>
    <row r="95" spans="1:22" x14ac:dyDescent="0.35">
      <c r="A95" s="66" t="s">
        <v>117</v>
      </c>
      <c r="C95" s="6" t="s">
        <v>63</v>
      </c>
      <c r="E95" s="6">
        <f>VLOOKUP($B$1,'Allocated Expenses'!$B$34:$P$43,4,FALSE)+VLOOKUP($B$1,'Allocated Expenses'!$B$48:$P$57,4,FALSE)</f>
        <v>1709.5043920969349</v>
      </c>
      <c r="F95" s="6">
        <f>VLOOKUP($B$1,'Allocated Expenses'!$B$34:$P$43,5,FALSE)+VLOOKUP($B$1,'Allocated Expenses'!$B$48:$P$57,5,FALSE)</f>
        <v>1709.5043920969349</v>
      </c>
      <c r="G95" s="6">
        <f>VLOOKUP($B$1,'Allocated Expenses'!$B$34:$P$43,6,FALSE)+VLOOKUP($B$1,'Allocated Expenses'!$B$48:$P$57,6,FALSE)</f>
        <v>1709.5043920969349</v>
      </c>
      <c r="H95" s="6">
        <f>VLOOKUP($B$1,'Allocated Expenses'!$B$34:$P$43,7,FALSE)+VLOOKUP($B$1,'Allocated Expenses'!$B$48:$P$57,7,FALSE)</f>
        <v>1709.5043920969349</v>
      </c>
      <c r="I95" s="6">
        <f>VLOOKUP($B$1,'Allocated Expenses'!$B$34:$P$43,8,FALSE)+VLOOKUP($B$1,'Allocated Expenses'!$B$48:$P$57,8,FALSE)</f>
        <v>1709.5043920969349</v>
      </c>
      <c r="J95" s="6">
        <f>VLOOKUP($B$1,'Allocated Expenses'!$B$34:$P$43,9,FALSE)+VLOOKUP($B$1,'Allocated Expenses'!$B$48:$P$57,9,FALSE)</f>
        <v>1709.5043920969349</v>
      </c>
      <c r="K95" s="6">
        <f>VLOOKUP($B$1,'Allocated Expenses'!$B$34:$P$43,10,FALSE)+VLOOKUP($B$1,'Allocated Expenses'!$B$48:$P$57,10,FALSE)</f>
        <v>1709.5043920969349</v>
      </c>
      <c r="L95" s="6">
        <f>VLOOKUP($B$1,'Allocated Expenses'!$B$34:$P$43,11,FALSE)+VLOOKUP($B$1,'Allocated Expenses'!$B$48:$P$57,11,FALSE)</f>
        <v>1709.5043920969349</v>
      </c>
      <c r="M95" s="6">
        <f>VLOOKUP($B$1,'Allocated Expenses'!$B$34:$P$43,12,FALSE)+VLOOKUP($B$1,'Allocated Expenses'!$B$48:$P$57,12,FALSE)</f>
        <v>1709.5043920969349</v>
      </c>
      <c r="N95" s="6">
        <f>VLOOKUP($B$1,'Allocated Expenses'!$B$34:$P$43,13,FALSE)+VLOOKUP($B$1,'Allocated Expenses'!$B$48:$P$57,13,FALSE)</f>
        <v>1709.5043920969349</v>
      </c>
      <c r="O95" s="6">
        <f>VLOOKUP($B$1,'Allocated Expenses'!$B$34:$P$43,14,FALSE)+VLOOKUP($B$1,'Allocated Expenses'!$B$48:$P$57,14,FALSE)</f>
        <v>1709.5043920969349</v>
      </c>
      <c r="P95" s="6">
        <f>VLOOKUP($B$1,'Allocated Expenses'!$B$34:$P$43,15,FALSE)+VLOOKUP($B$1,'Allocated Expenses'!$B$48:$P$57,15,FALSE)</f>
        <v>1709.5043920969349</v>
      </c>
      <c r="Q95" s="101">
        <f>SUM(E95:P95)</f>
        <v>20514.052705163223</v>
      </c>
      <c r="R95" s="184">
        <f t="shared" si="30"/>
        <v>0.28021216933933291</v>
      </c>
      <c r="S95" s="304">
        <v>9419</v>
      </c>
      <c r="T95" s="308">
        <f>IFERROR(Q95/S95-1,"")</f>
        <v>1.1779438056230198</v>
      </c>
    </row>
    <row r="96" spans="1:22" x14ac:dyDescent="0.35">
      <c r="A96" s="66"/>
      <c r="Q96" s="101"/>
      <c r="R96" s="184"/>
      <c r="S96" s="304"/>
      <c r="T96" s="308"/>
    </row>
    <row r="97" spans="1:22" x14ac:dyDescent="0.35">
      <c r="A97" s="66" t="s">
        <v>118</v>
      </c>
      <c r="C97" s="6" t="s">
        <v>64</v>
      </c>
      <c r="E97" s="12">
        <v>0</v>
      </c>
      <c r="F97" s="12">
        <v>0</v>
      </c>
      <c r="G97" s="12">
        <v>0</v>
      </c>
      <c r="H97" s="12">
        <f>1.03*26000</f>
        <v>26780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01">
        <f>SUM(E97:P97)</f>
        <v>26780</v>
      </c>
      <c r="R97" s="184">
        <f t="shared" ref="R97" si="38">Q97/$B$4</f>
        <v>0.36580201887746044</v>
      </c>
      <c r="S97" s="304">
        <v>0</v>
      </c>
      <c r="T97" s="308" t="str">
        <f>IFERROR(Q97/S97-1,"")</f>
        <v/>
      </c>
      <c r="U97" s="233" t="s">
        <v>283</v>
      </c>
      <c r="V97" s="6" t="s">
        <v>348</v>
      </c>
    </row>
    <row r="98" spans="1:22" x14ac:dyDescent="0.35">
      <c r="A98" s="66"/>
      <c r="Q98" s="101"/>
      <c r="R98" s="184"/>
      <c r="S98" s="304"/>
      <c r="T98" s="308"/>
    </row>
    <row r="99" spans="1:22" x14ac:dyDescent="0.35">
      <c r="A99" s="66" t="s">
        <v>119</v>
      </c>
      <c r="C99" s="6" t="s">
        <v>65</v>
      </c>
      <c r="E99" s="6">
        <f>VLOOKUP($B$1,'Allocated Expenses'!$B$62:$P$71,4,FALSE)</f>
        <v>1158.75</v>
      </c>
      <c r="F99" s="6">
        <f>VLOOKUP($B$1,'Allocated Expenses'!$B$62:$P$71,5,FALSE)</f>
        <v>1158.75</v>
      </c>
      <c r="G99" s="6">
        <f>VLOOKUP($B$1,'Allocated Expenses'!$B$62:$P$71,6,FALSE)</f>
        <v>1158.75</v>
      </c>
      <c r="H99" s="6">
        <f>VLOOKUP($B$1,'Allocated Expenses'!$B$62:$P$71,7,FALSE)</f>
        <v>1158.75</v>
      </c>
      <c r="I99" s="6">
        <f>VLOOKUP($B$1,'Allocated Expenses'!$B$62:$P$71,8,FALSE)</f>
        <v>1158.75</v>
      </c>
      <c r="J99" s="6">
        <f>VLOOKUP($B$1,'Allocated Expenses'!$B$62:$P$71,9,FALSE)</f>
        <v>1158.75</v>
      </c>
      <c r="K99" s="6">
        <f>VLOOKUP($B$1,'Allocated Expenses'!$B$62:$P$71,10,FALSE)</f>
        <v>1158.75</v>
      </c>
      <c r="L99" s="6">
        <f>VLOOKUP($B$1,'Allocated Expenses'!$B$62:$P$71,11,FALSE)</f>
        <v>1158.75</v>
      </c>
      <c r="M99" s="6">
        <f>VLOOKUP($B$1,'Allocated Expenses'!$B$62:$P$71,12,FALSE)</f>
        <v>1158.75</v>
      </c>
      <c r="N99" s="6">
        <f>VLOOKUP($B$1,'Allocated Expenses'!$B$62:$P$71,13,FALSE)</f>
        <v>1158.75</v>
      </c>
      <c r="O99" s="6">
        <f>VLOOKUP($B$1,'Allocated Expenses'!$B$62:$P$71,14,FALSE)</f>
        <v>1158.75</v>
      </c>
      <c r="P99" s="6">
        <f>VLOOKUP($B$1,'Allocated Expenses'!$B$62:$P$71,15,FALSE)</f>
        <v>1158.75</v>
      </c>
      <c r="Q99" s="101">
        <f>SUM(E99:P99)</f>
        <v>13905</v>
      </c>
      <c r="R99" s="184">
        <f t="shared" si="30"/>
        <v>0.18993566364791215</v>
      </c>
      <c r="S99" s="304">
        <v>11987</v>
      </c>
      <c r="T99" s="308">
        <f>IFERROR(Q99/S99-1,"")</f>
        <v>0.16000667389672141</v>
      </c>
    </row>
    <row r="100" spans="1:22" x14ac:dyDescent="0.35">
      <c r="A100" s="66"/>
      <c r="Q100" s="101"/>
      <c r="R100" s="184"/>
      <c r="S100" s="304"/>
      <c r="T100" s="308"/>
    </row>
    <row r="101" spans="1:22" x14ac:dyDescent="0.35">
      <c r="A101" s="66" t="s">
        <v>126</v>
      </c>
      <c r="D101" s="6" t="s">
        <v>66</v>
      </c>
      <c r="E101" s="6">
        <f>VLOOKUP($B$1,'Allocated Expenses'!$B$76:$P$85,4,FALSE)</f>
        <v>159.65</v>
      </c>
      <c r="F101" s="6">
        <f>VLOOKUP($B$1,'Allocated Expenses'!$B$76:$P$85,5,FALSE)</f>
        <v>159.65</v>
      </c>
      <c r="G101" s="6">
        <f>VLOOKUP($B$1,'Allocated Expenses'!$B$76:$P$85,6,FALSE)</f>
        <v>159.65</v>
      </c>
      <c r="H101" s="6">
        <f>VLOOKUP($B$1,'Allocated Expenses'!$B$76:$P$85,7,FALSE)</f>
        <v>159.65</v>
      </c>
      <c r="I101" s="6">
        <f>VLOOKUP($B$1,'Allocated Expenses'!$B$76:$P$85,8,FALSE)</f>
        <v>159.65</v>
      </c>
      <c r="J101" s="6">
        <f>VLOOKUP($B$1,'Allocated Expenses'!$B$76:$P$85,9,FALSE)</f>
        <v>159.65</v>
      </c>
      <c r="K101" s="6">
        <f>VLOOKUP($B$1,'Allocated Expenses'!$B$76:$P$85,10,FALSE)</f>
        <v>159.65</v>
      </c>
      <c r="L101" s="6">
        <f>VLOOKUP($B$1,'Allocated Expenses'!$B$76:$P$85,11,FALSE)</f>
        <v>159.65</v>
      </c>
      <c r="M101" s="6">
        <f>VLOOKUP($B$1,'Allocated Expenses'!$B$76:$P$85,12,FALSE)</f>
        <v>159.65</v>
      </c>
      <c r="N101" s="6">
        <f>VLOOKUP($B$1,'Allocated Expenses'!$B$76:$P$85,13,FALSE)</f>
        <v>159.65</v>
      </c>
      <c r="O101" s="6">
        <f>VLOOKUP($B$1,'Allocated Expenses'!$B$76:$P$85,14,FALSE)</f>
        <v>159.65</v>
      </c>
      <c r="P101" s="6">
        <f>VLOOKUP($B$1,'Allocated Expenses'!$B$76:$P$85,15,FALSE)</f>
        <v>159.65</v>
      </c>
      <c r="Q101" s="101">
        <f>SUM(E101:P101)</f>
        <v>1915.8000000000004</v>
      </c>
      <c r="R101" s="184">
        <f t="shared" si="30"/>
        <v>2.6168913658156788E-2</v>
      </c>
      <c r="S101" s="304"/>
      <c r="T101" s="308"/>
    </row>
    <row r="102" spans="1:22" x14ac:dyDescent="0.35">
      <c r="A102" s="66" t="s">
        <v>142</v>
      </c>
      <c r="D102" s="6" t="s">
        <v>67</v>
      </c>
      <c r="E102" s="6">
        <f>VLOOKUP($B$1,'Allocated Expenses'!$B$104:$P$113,4,FALSE)</f>
        <v>0</v>
      </c>
      <c r="F102" s="6">
        <f>VLOOKUP($B$1,'Allocated Expenses'!$B$104:$P$113,5,FALSE)</f>
        <v>0</v>
      </c>
      <c r="G102" s="6">
        <f>VLOOKUP($B$1,'Allocated Expenses'!$B$104:$P$113,6,FALSE)</f>
        <v>0</v>
      </c>
      <c r="H102" s="6">
        <f>VLOOKUP($B$1,'Allocated Expenses'!$B$104:$P$113,7,FALSE)</f>
        <v>0</v>
      </c>
      <c r="I102" s="6">
        <f>VLOOKUP($B$1,'Allocated Expenses'!$B$104:$P$113,8,FALSE)</f>
        <v>0</v>
      </c>
      <c r="J102" s="6">
        <f>VLOOKUP($B$1,'Allocated Expenses'!$B$104:$P$113,9,FALSE)</f>
        <v>0</v>
      </c>
      <c r="K102" s="6">
        <f>VLOOKUP($B$1,'Allocated Expenses'!$B$104:$P$113,10,FALSE)</f>
        <v>0</v>
      </c>
      <c r="L102" s="6">
        <f>VLOOKUP($B$1,'Allocated Expenses'!$B$104:$P$113,11,FALSE)</f>
        <v>0</v>
      </c>
      <c r="M102" s="6">
        <f>VLOOKUP($B$1,'Allocated Expenses'!$B$104:$P$113,12,FALSE)</f>
        <v>0</v>
      </c>
      <c r="N102" s="6">
        <f>VLOOKUP($B$1,'Allocated Expenses'!$B$104:$P$113,13,FALSE)</f>
        <v>0</v>
      </c>
      <c r="O102" s="6">
        <f>VLOOKUP($B$1,'Allocated Expenses'!$B$104:$P$113,14,FALSE)</f>
        <v>0</v>
      </c>
      <c r="P102" s="6">
        <f>VLOOKUP($B$1,'Allocated Expenses'!$B$104:$P$113,15,FALSE)</f>
        <v>0</v>
      </c>
      <c r="Q102" s="101">
        <f>SUM(E102:P102)</f>
        <v>0</v>
      </c>
      <c r="R102" s="184">
        <f t="shared" si="30"/>
        <v>0</v>
      </c>
      <c r="S102" s="304"/>
      <c r="T102" s="308"/>
    </row>
    <row r="103" spans="1:22" x14ac:dyDescent="0.35">
      <c r="A103" s="66" t="s">
        <v>143</v>
      </c>
      <c r="D103" s="6" t="s">
        <v>68</v>
      </c>
      <c r="E103" s="6">
        <f>VLOOKUP($B$1,'Allocated Expenses'!$B$90:$P$99,4,FALSE)</f>
        <v>0</v>
      </c>
      <c r="F103" s="6">
        <f>VLOOKUP($B$1,'Allocated Expenses'!$B$90:$P$99,5,FALSE)</f>
        <v>0</v>
      </c>
      <c r="G103" s="6">
        <f>VLOOKUP($B$1,'Allocated Expenses'!$B$90:$P$99,6,FALSE)</f>
        <v>0</v>
      </c>
      <c r="H103" s="6">
        <f>VLOOKUP($B$1,'Allocated Expenses'!$B$90:$P$99,7,FALSE)</f>
        <v>0</v>
      </c>
      <c r="I103" s="6">
        <f>VLOOKUP($B$1,'Allocated Expenses'!$B$90:$P$99,8,FALSE)</f>
        <v>0</v>
      </c>
      <c r="J103" s="6">
        <f>VLOOKUP($B$1,'Allocated Expenses'!$B$90:$P$99,9,FALSE)</f>
        <v>0</v>
      </c>
      <c r="K103" s="6">
        <f>VLOOKUP($B$1,'Allocated Expenses'!$B$90:$P$99,10,FALSE)</f>
        <v>0</v>
      </c>
      <c r="L103" s="6">
        <f>VLOOKUP($B$1,'Allocated Expenses'!$B$90:$P$99,11,FALSE)</f>
        <v>0</v>
      </c>
      <c r="M103" s="6">
        <f>VLOOKUP($B$1,'Allocated Expenses'!$B$90:$P$99,12,FALSE)</f>
        <v>0</v>
      </c>
      <c r="N103" s="6">
        <f>VLOOKUP($B$1,'Allocated Expenses'!$B$90:$P$99,13,FALSE)</f>
        <v>0</v>
      </c>
      <c r="O103" s="6">
        <f>VLOOKUP($B$1,'Allocated Expenses'!$B$90:$P$99,14,FALSE)</f>
        <v>0</v>
      </c>
      <c r="P103" s="6">
        <f>VLOOKUP($B$1,'Allocated Expenses'!$B$90:$P$99,15,FALSE)</f>
        <v>0</v>
      </c>
      <c r="Q103" s="101">
        <f>SUM(E103:P103)</f>
        <v>0</v>
      </c>
      <c r="R103" s="184">
        <f t="shared" si="30"/>
        <v>0</v>
      </c>
      <c r="S103" s="304"/>
      <c r="T103" s="308"/>
    </row>
    <row r="104" spans="1:22" x14ac:dyDescent="0.35">
      <c r="A104" s="66" t="s">
        <v>127</v>
      </c>
      <c r="D104" s="6" t="s">
        <v>69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01">
        <f>SUM(E104:P104)</f>
        <v>0</v>
      </c>
      <c r="R104" s="184">
        <f t="shared" si="30"/>
        <v>0</v>
      </c>
      <c r="S104" s="304"/>
      <c r="T104" s="308"/>
    </row>
    <row r="105" spans="1:22" x14ac:dyDescent="0.35">
      <c r="A105" s="66" t="s">
        <v>120</v>
      </c>
      <c r="D105" s="6" t="s">
        <v>70</v>
      </c>
      <c r="E105" s="15">
        <f>VLOOKUP($B$1,'Allocated Expenses'!$B$118:$P$127,4,FALSE)</f>
        <v>209.43333333333337</v>
      </c>
      <c r="F105" s="15">
        <f>VLOOKUP($B$1,'Allocated Expenses'!$B$118:$P$127,5,FALSE)</f>
        <v>209.43333333333337</v>
      </c>
      <c r="G105" s="15">
        <f>VLOOKUP($B$1,'Allocated Expenses'!$B$118:$P$127,6,FALSE)</f>
        <v>209.43333333333337</v>
      </c>
      <c r="H105" s="15">
        <f>VLOOKUP($B$1,'Allocated Expenses'!$B$118:$P$127,7,FALSE)</f>
        <v>209.43333333333337</v>
      </c>
      <c r="I105" s="15">
        <f>VLOOKUP($B$1,'Allocated Expenses'!$B$118:$P$127,8,FALSE)</f>
        <v>209.43333333333337</v>
      </c>
      <c r="J105" s="15">
        <f>VLOOKUP($B$1,'Allocated Expenses'!$B$118:$P$127,9,FALSE)</f>
        <v>209.43333333333337</v>
      </c>
      <c r="K105" s="15">
        <f>VLOOKUP($B$1,'Allocated Expenses'!$B$118:$P$127,10,FALSE)</f>
        <v>209.43333333333337</v>
      </c>
      <c r="L105" s="15">
        <f>VLOOKUP($B$1,'Allocated Expenses'!$B$118:$P$127,11,FALSE)</f>
        <v>209.43333333333337</v>
      </c>
      <c r="M105" s="15">
        <f>VLOOKUP($B$1,'Allocated Expenses'!$B$118:$P$127,12,FALSE)</f>
        <v>209.43333333333337</v>
      </c>
      <c r="N105" s="15">
        <f>VLOOKUP($B$1,'Allocated Expenses'!$B$118:$P$127,13,FALSE)</f>
        <v>209.43333333333337</v>
      </c>
      <c r="O105" s="15">
        <f>VLOOKUP($B$1,'Allocated Expenses'!$B$118:$P$127,14,FALSE)</f>
        <v>209.43333333333337</v>
      </c>
      <c r="P105" s="15">
        <f>VLOOKUP($B$1,'Allocated Expenses'!$B$118:$P$127,15,FALSE)</f>
        <v>209.43333333333337</v>
      </c>
      <c r="Q105" s="108">
        <f>SUM(E105:P105)</f>
        <v>2513.2000000000003</v>
      </c>
      <c r="R105" s="189">
        <f t="shared" si="30"/>
        <v>3.4329112540807831E-2</v>
      </c>
      <c r="S105" s="304"/>
      <c r="T105" s="308"/>
    </row>
    <row r="106" spans="1:22" x14ac:dyDescent="0.35">
      <c r="A106" s="66"/>
      <c r="C106" s="6" t="s">
        <v>71</v>
      </c>
      <c r="E106" s="15">
        <f t="shared" ref="E106:Q106" si="39">SUM(E101:E105)</f>
        <v>369.08333333333337</v>
      </c>
      <c r="F106" s="15">
        <f t="shared" si="39"/>
        <v>369.08333333333337</v>
      </c>
      <c r="G106" s="15">
        <f t="shared" si="39"/>
        <v>369.08333333333337</v>
      </c>
      <c r="H106" s="15">
        <f t="shared" si="39"/>
        <v>369.08333333333337</v>
      </c>
      <c r="I106" s="15">
        <f t="shared" si="39"/>
        <v>369.08333333333337</v>
      </c>
      <c r="J106" s="15">
        <f t="shared" si="39"/>
        <v>369.08333333333337</v>
      </c>
      <c r="K106" s="15">
        <f t="shared" si="39"/>
        <v>369.08333333333337</v>
      </c>
      <c r="L106" s="15">
        <f t="shared" si="39"/>
        <v>369.08333333333337</v>
      </c>
      <c r="M106" s="15">
        <f t="shared" si="39"/>
        <v>369.08333333333337</v>
      </c>
      <c r="N106" s="15">
        <f t="shared" si="39"/>
        <v>369.08333333333337</v>
      </c>
      <c r="O106" s="15">
        <f t="shared" si="39"/>
        <v>369.08333333333337</v>
      </c>
      <c r="P106" s="15">
        <f t="shared" si="39"/>
        <v>369.08333333333337</v>
      </c>
      <c r="Q106" s="108">
        <f t="shared" si="39"/>
        <v>4429.0000000000009</v>
      </c>
      <c r="R106" s="189">
        <f t="shared" si="30"/>
        <v>6.0498026198964619E-2</v>
      </c>
      <c r="S106" s="309">
        <v>36841</v>
      </c>
      <c r="T106" s="310">
        <f>IFERROR(Q106/S106-1,"")</f>
        <v>-0.87978067913465974</v>
      </c>
    </row>
    <row r="107" spans="1:22" x14ac:dyDescent="0.35">
      <c r="A107" s="66"/>
      <c r="Q107" s="101"/>
      <c r="R107" s="184"/>
      <c r="S107" s="304"/>
      <c r="T107" s="308"/>
    </row>
    <row r="108" spans="1:22" ht="18" x14ac:dyDescent="0.35">
      <c r="A108" s="66"/>
      <c r="C108" s="29" t="s">
        <v>72</v>
      </c>
      <c r="D108" s="54"/>
      <c r="E108" s="54">
        <f t="shared" ref="E108:Q108" si="40">+E78+E82+E87+E91+E93+E95+E97+E99+E106</f>
        <v>18047.725313715626</v>
      </c>
      <c r="F108" s="54">
        <f t="shared" si="40"/>
        <v>18037.853498715624</v>
      </c>
      <c r="G108" s="54">
        <f t="shared" si="40"/>
        <v>17996.671718715625</v>
      </c>
      <c r="H108" s="54">
        <f t="shared" si="40"/>
        <v>44688.038433715628</v>
      </c>
      <c r="I108" s="54">
        <f t="shared" si="40"/>
        <v>17922.400858715624</v>
      </c>
      <c r="J108" s="54">
        <f t="shared" si="40"/>
        <v>17926.829293715626</v>
      </c>
      <c r="K108" s="54">
        <f t="shared" si="40"/>
        <v>18277.427403715625</v>
      </c>
      <c r="L108" s="54">
        <f t="shared" si="40"/>
        <v>18211.522173715624</v>
      </c>
      <c r="M108" s="54">
        <f t="shared" si="40"/>
        <v>18282.495278715625</v>
      </c>
      <c r="N108" s="54">
        <f t="shared" si="40"/>
        <v>18017.523403715626</v>
      </c>
      <c r="O108" s="54">
        <f t="shared" si="40"/>
        <v>18170.986628715626</v>
      </c>
      <c r="P108" s="54">
        <f t="shared" si="40"/>
        <v>19806.900798715626</v>
      </c>
      <c r="Q108" s="109">
        <f t="shared" si="40"/>
        <v>245386.37480458751</v>
      </c>
      <c r="R108" s="190">
        <f t="shared" si="30"/>
        <v>3.3518607658155077</v>
      </c>
      <c r="S108" s="315">
        <f>+S78+S82+S87+S91+S93+S95+S97+S99+S106</f>
        <v>275099</v>
      </c>
      <c r="T108" s="310">
        <f>IFERROR(Q108/S108-1,"")</f>
        <v>-0.10800702727168221</v>
      </c>
    </row>
    <row r="109" spans="1:22" ht="18" x14ac:dyDescent="0.35">
      <c r="A109" s="66"/>
      <c r="Q109" s="103"/>
      <c r="R109" s="185"/>
      <c r="S109" s="311"/>
      <c r="T109" s="312"/>
    </row>
    <row r="110" spans="1:22" ht="16.5" thickBot="1" x14ac:dyDescent="0.4">
      <c r="A110" s="66"/>
      <c r="Q110" s="101"/>
      <c r="R110" s="184"/>
      <c r="S110" s="304"/>
      <c r="T110" s="308"/>
    </row>
    <row r="111" spans="1:22" s="8" customFormat="1" ht="18" thickBot="1" x14ac:dyDescent="0.4">
      <c r="A111" s="218"/>
      <c r="B111" s="219" t="s">
        <v>73</v>
      </c>
      <c r="C111" s="220"/>
      <c r="D111" s="220"/>
      <c r="E111" s="220">
        <f t="shared" ref="E111:Q111" si="41">+E74+E108</f>
        <v>81628.656901798997</v>
      </c>
      <c r="F111" s="220">
        <f t="shared" si="41"/>
        <v>79304.865086798993</v>
      </c>
      <c r="G111" s="220">
        <f t="shared" si="41"/>
        <v>100465.93330679901</v>
      </c>
      <c r="H111" s="220">
        <f t="shared" si="41"/>
        <v>92313.630021799006</v>
      </c>
      <c r="I111" s="220">
        <f t="shared" si="41"/>
        <v>75007.582446799002</v>
      </c>
      <c r="J111" s="220">
        <f t="shared" si="41"/>
        <v>77956.810881799</v>
      </c>
      <c r="K111" s="220">
        <f t="shared" si="41"/>
        <v>66938.628991798993</v>
      </c>
      <c r="L111" s="220">
        <f t="shared" si="41"/>
        <v>63892.273761798999</v>
      </c>
      <c r="M111" s="220">
        <f t="shared" si="41"/>
        <v>97530.056866799001</v>
      </c>
      <c r="N111" s="220">
        <f t="shared" si="41"/>
        <v>85357.704991798993</v>
      </c>
      <c r="O111" s="220">
        <f t="shared" si="41"/>
        <v>63883.008216798997</v>
      </c>
      <c r="P111" s="220">
        <f t="shared" si="41"/>
        <v>68907.922386798993</v>
      </c>
      <c r="Q111" s="221">
        <f t="shared" si="41"/>
        <v>953187.07386158803</v>
      </c>
      <c r="R111" s="222">
        <f t="shared" si="30"/>
        <v>13.020080507336367</v>
      </c>
      <c r="S111" s="313">
        <f>+S74+S108</f>
        <v>1011164</v>
      </c>
      <c r="T111" s="314">
        <f>Q111/S111-1</f>
        <v>-5.733681790333911E-2</v>
      </c>
      <c r="U111" s="238"/>
    </row>
    <row r="112" spans="1:22" ht="18" x14ac:dyDescent="0.35">
      <c r="A112" s="66"/>
      <c r="Q112" s="103"/>
      <c r="R112" s="185"/>
      <c r="S112" s="311"/>
      <c r="T112" s="312"/>
    </row>
    <row r="113" spans="1:21" ht="16.5" thickBot="1" x14ac:dyDescent="0.4">
      <c r="A113" s="66"/>
      <c r="Q113" s="101"/>
      <c r="R113" s="184"/>
      <c r="S113" s="304"/>
      <c r="T113" s="308"/>
    </row>
    <row r="114" spans="1:21" s="8" customFormat="1" ht="18" thickBot="1" x14ac:dyDescent="0.4">
      <c r="A114" s="218"/>
      <c r="B114" s="219" t="s">
        <v>74</v>
      </c>
      <c r="C114" s="220"/>
      <c r="D114" s="220"/>
      <c r="E114" s="220">
        <f t="shared" ref="E114:Q114" si="42">+E24-E111</f>
        <v>50418.833098200994</v>
      </c>
      <c r="F114" s="220">
        <f t="shared" si="42"/>
        <v>52597.274913201021</v>
      </c>
      <c r="G114" s="220">
        <f t="shared" si="42"/>
        <v>31292.356693201</v>
      </c>
      <c r="H114" s="220">
        <f t="shared" si="42"/>
        <v>38776.723311534326</v>
      </c>
      <c r="I114" s="220">
        <f t="shared" si="42"/>
        <v>56082.77088653433</v>
      </c>
      <c r="J114" s="220">
        <f t="shared" si="42"/>
        <v>53150.342451534321</v>
      </c>
      <c r="K114" s="220">
        <f t="shared" si="42"/>
        <v>65658.060174867656</v>
      </c>
      <c r="L114" s="220">
        <f t="shared" si="42"/>
        <v>69127.298738201003</v>
      </c>
      <c r="M114" s="220">
        <f t="shared" si="42"/>
        <v>36333.630633200999</v>
      </c>
      <c r="N114" s="220">
        <f t="shared" si="42"/>
        <v>48172.054174867662</v>
      </c>
      <c r="O114" s="220">
        <f t="shared" si="42"/>
        <v>69790.600949867658</v>
      </c>
      <c r="P114" s="220">
        <f t="shared" si="42"/>
        <v>64941.036779867674</v>
      </c>
      <c r="Q114" s="221">
        <f t="shared" si="42"/>
        <v>636340.98280507862</v>
      </c>
      <c r="R114" s="222">
        <f t="shared" si="30"/>
        <v>8.6921141226499277</v>
      </c>
      <c r="S114" s="313">
        <f>+S24-S111</f>
        <v>882100</v>
      </c>
      <c r="T114" s="314">
        <f>Q114/S114-1</f>
        <v>-0.27860675342355901</v>
      </c>
      <c r="U114" s="238"/>
    </row>
    <row r="115" spans="1:21" ht="18" x14ac:dyDescent="0.35">
      <c r="A115" s="66"/>
      <c r="Q115" s="103"/>
      <c r="R115" s="185"/>
      <c r="S115" s="311"/>
      <c r="T115" s="312"/>
    </row>
    <row r="116" spans="1:21" x14ac:dyDescent="0.35">
      <c r="A116" s="66" t="s">
        <v>121</v>
      </c>
      <c r="D116" s="6" t="s">
        <v>75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01">
        <f>SUM(E116:P116)</f>
        <v>0</v>
      </c>
      <c r="R116" s="184">
        <f t="shared" si="30"/>
        <v>0</v>
      </c>
      <c r="S116" s="304"/>
      <c r="T116" s="308"/>
    </row>
    <row r="117" spans="1:21" x14ac:dyDescent="0.35">
      <c r="A117" s="66" t="s">
        <v>122</v>
      </c>
      <c r="D117" s="6" t="s">
        <v>76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01">
        <f>SUM(E117:P117)</f>
        <v>0</v>
      </c>
      <c r="R117" s="184">
        <f t="shared" si="30"/>
        <v>0</v>
      </c>
      <c r="S117" s="304"/>
      <c r="T117" s="308"/>
    </row>
    <row r="118" spans="1:21" x14ac:dyDescent="0.35">
      <c r="A118" s="66" t="s">
        <v>123</v>
      </c>
      <c r="D118" s="6" t="s">
        <v>77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01">
        <f>SUM(E118:P118)</f>
        <v>0</v>
      </c>
      <c r="R118" s="184">
        <f t="shared" si="30"/>
        <v>0</v>
      </c>
      <c r="S118" s="304"/>
      <c r="T118" s="308"/>
    </row>
    <row r="119" spans="1:21" x14ac:dyDescent="0.35">
      <c r="A119" s="66" t="s">
        <v>129</v>
      </c>
      <c r="D119" s="6" t="s">
        <v>78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08">
        <f>SUM(E119:P119)</f>
        <v>0</v>
      </c>
      <c r="R119" s="189">
        <f t="shared" si="30"/>
        <v>0</v>
      </c>
      <c r="S119" s="304"/>
      <c r="T119" s="308"/>
    </row>
    <row r="120" spans="1:21" x14ac:dyDescent="0.35">
      <c r="A120" s="66"/>
      <c r="C120" s="6" t="s">
        <v>78</v>
      </c>
      <c r="E120" s="15">
        <f t="shared" ref="E120:Q120" si="43">SUM(E116:E119)</f>
        <v>0</v>
      </c>
      <c r="F120" s="15">
        <f t="shared" si="43"/>
        <v>0</v>
      </c>
      <c r="G120" s="15">
        <f t="shared" si="43"/>
        <v>0</v>
      </c>
      <c r="H120" s="15">
        <f t="shared" si="43"/>
        <v>0</v>
      </c>
      <c r="I120" s="15">
        <f t="shared" si="43"/>
        <v>0</v>
      </c>
      <c r="J120" s="15">
        <f t="shared" si="43"/>
        <v>0</v>
      </c>
      <c r="K120" s="15">
        <f t="shared" si="43"/>
        <v>0</v>
      </c>
      <c r="L120" s="15">
        <f t="shared" si="43"/>
        <v>0</v>
      </c>
      <c r="M120" s="15">
        <f t="shared" si="43"/>
        <v>0</v>
      </c>
      <c r="N120" s="15">
        <f t="shared" si="43"/>
        <v>0</v>
      </c>
      <c r="O120" s="15">
        <f t="shared" si="43"/>
        <v>0</v>
      </c>
      <c r="P120" s="15">
        <f t="shared" si="43"/>
        <v>0</v>
      </c>
      <c r="Q120" s="108">
        <f t="shared" si="43"/>
        <v>0</v>
      </c>
      <c r="R120" s="189">
        <f t="shared" si="30"/>
        <v>0</v>
      </c>
      <c r="S120" s="309">
        <v>6517</v>
      </c>
      <c r="T120" s="310">
        <f>IFERROR(Q120/S120-1,"")</f>
        <v>-1</v>
      </c>
    </row>
    <row r="121" spans="1:21" x14ac:dyDescent="0.35">
      <c r="A121" s="66"/>
      <c r="Q121" s="101"/>
      <c r="R121" s="184"/>
      <c r="S121" s="304"/>
      <c r="T121" s="308"/>
    </row>
    <row r="122" spans="1:21" x14ac:dyDescent="0.35">
      <c r="A122" s="66" t="s">
        <v>124</v>
      </c>
      <c r="C122" s="6" t="s">
        <v>79</v>
      </c>
      <c r="E122" s="6">
        <f>'Renew &amp; Vac '!AJ121</f>
        <v>0</v>
      </c>
      <c r="F122" s="6">
        <f>'Renew &amp; Vac '!AK121</f>
        <v>0</v>
      </c>
      <c r="G122" s="6">
        <f>'Renew &amp; Vac '!AL121</f>
        <v>0</v>
      </c>
      <c r="H122" s="6">
        <f>'Renew &amp; Vac '!AM121</f>
        <v>0</v>
      </c>
      <c r="I122" s="6">
        <f>'Renew &amp; Vac '!AN121</f>
        <v>0</v>
      </c>
      <c r="J122" s="6">
        <f>'Renew &amp; Vac '!AO121</f>
        <v>0</v>
      </c>
      <c r="K122" s="6">
        <f>'Renew &amp; Vac '!AP121</f>
        <v>0</v>
      </c>
      <c r="L122" s="6">
        <f>'Renew &amp; Vac '!AQ121</f>
        <v>16560</v>
      </c>
      <c r="M122" s="6">
        <f>'Renew &amp; Vac '!AR121</f>
        <v>0</v>
      </c>
      <c r="N122" s="6">
        <f>'Renew &amp; Vac '!AS121</f>
        <v>0</v>
      </c>
      <c r="O122" s="6">
        <f>'Renew &amp; Vac '!AT121</f>
        <v>0</v>
      </c>
      <c r="P122" s="6">
        <f>'Renew &amp; Vac '!AU121</f>
        <v>0</v>
      </c>
      <c r="Q122" s="101">
        <f>SUM(E122:P122)</f>
        <v>16560</v>
      </c>
      <c r="R122" s="184">
        <f t="shared" si="30"/>
        <v>0.22620169651272384</v>
      </c>
      <c r="S122" s="304">
        <v>33597</v>
      </c>
      <c r="T122" s="308">
        <f>IFERROR(Q122/S122-1,"")</f>
        <v>-0.50709884811143846</v>
      </c>
    </row>
    <row r="123" spans="1:21" ht="18" x14ac:dyDescent="0.35">
      <c r="A123" s="6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11"/>
      <c r="R123" s="192"/>
      <c r="S123" s="317"/>
      <c r="T123" s="318"/>
    </row>
    <row r="124" spans="1:21" ht="18" x14ac:dyDescent="0.35">
      <c r="A124" s="66" t="s">
        <v>125</v>
      </c>
      <c r="D124" s="6" t="s">
        <v>80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03">
        <f>SUM(E124:P124)</f>
        <v>0</v>
      </c>
      <c r="R124" s="185">
        <f t="shared" si="30"/>
        <v>0</v>
      </c>
      <c r="S124" s="311"/>
      <c r="T124" s="312"/>
    </row>
    <row r="125" spans="1:21" x14ac:dyDescent="0.35">
      <c r="A125" s="66" t="s">
        <v>125</v>
      </c>
      <c r="B125" s="8"/>
      <c r="D125" s="6" t="s">
        <v>81</v>
      </c>
      <c r="E125" s="15">
        <f>'Renew &amp; Vac '!AJ122</f>
        <v>0</v>
      </c>
      <c r="F125" s="15">
        <f>'Renew &amp; Vac '!AK122</f>
        <v>0</v>
      </c>
      <c r="G125" s="15">
        <f>'Renew &amp; Vac '!AL122</f>
        <v>0</v>
      </c>
      <c r="H125" s="15">
        <f>'Renew &amp; Vac '!AM122</f>
        <v>0</v>
      </c>
      <c r="I125" s="15">
        <f>'Renew &amp; Vac '!AN122</f>
        <v>0</v>
      </c>
      <c r="J125" s="15">
        <f>'Renew &amp; Vac '!AO122</f>
        <v>0</v>
      </c>
      <c r="K125" s="15">
        <f>'Renew &amp; Vac '!AP122</f>
        <v>0</v>
      </c>
      <c r="L125" s="15">
        <f>'Renew &amp; Vac '!AQ122</f>
        <v>0</v>
      </c>
      <c r="M125" s="15">
        <f>'Renew &amp; Vac '!AR122</f>
        <v>0</v>
      </c>
      <c r="N125" s="15">
        <f>'Renew &amp; Vac '!AS122</f>
        <v>0</v>
      </c>
      <c r="O125" s="15">
        <f>'Renew &amp; Vac '!AT122</f>
        <v>0</v>
      </c>
      <c r="P125" s="15">
        <f>'Renew &amp; Vac '!AU122</f>
        <v>0</v>
      </c>
      <c r="Q125" s="108">
        <f>SUM(E125:P125)</f>
        <v>0</v>
      </c>
      <c r="R125" s="189">
        <f t="shared" si="30"/>
        <v>0</v>
      </c>
      <c r="S125" s="319"/>
      <c r="T125" s="320"/>
    </row>
    <row r="126" spans="1:21" x14ac:dyDescent="0.35">
      <c r="A126" s="66"/>
      <c r="C126" s="6" t="s">
        <v>81</v>
      </c>
      <c r="D126" s="30"/>
      <c r="E126" s="6">
        <f>SUM(E124:E124)</f>
        <v>0</v>
      </c>
      <c r="F126" s="6">
        <f>SUM(F124:F125)</f>
        <v>0</v>
      </c>
      <c r="G126" s="6">
        <f>SUM(G124:G125)</f>
        <v>0</v>
      </c>
      <c r="H126" s="6">
        <f>SUM(H124:H125)</f>
        <v>0</v>
      </c>
      <c r="I126" s="6">
        <f t="shared" ref="I126:P126" si="44">SUM(I124:I125)</f>
        <v>0</v>
      </c>
      <c r="J126" s="6">
        <f t="shared" si="44"/>
        <v>0</v>
      </c>
      <c r="K126" s="6">
        <f t="shared" si="44"/>
        <v>0</v>
      </c>
      <c r="L126" s="6">
        <f t="shared" si="44"/>
        <v>0</v>
      </c>
      <c r="M126" s="6">
        <f t="shared" si="44"/>
        <v>0</v>
      </c>
      <c r="N126" s="6">
        <f t="shared" si="44"/>
        <v>0</v>
      </c>
      <c r="O126" s="6">
        <f t="shared" si="44"/>
        <v>0</v>
      </c>
      <c r="P126" s="6">
        <f t="shared" si="44"/>
        <v>0</v>
      </c>
      <c r="Q126" s="101">
        <f>SUM(Q124:Q125)</f>
        <v>0</v>
      </c>
      <c r="R126" s="184">
        <f t="shared" si="30"/>
        <v>0</v>
      </c>
      <c r="S126" s="309"/>
      <c r="T126" s="308" t="str">
        <f>IFERROR(Q126/S126-1,"")</f>
        <v/>
      </c>
    </row>
    <row r="127" spans="1:21" s="8" customFormat="1" ht="18.5" thickBot="1" x14ac:dyDescent="0.4">
      <c r="A127" s="67"/>
      <c r="Q127" s="113"/>
      <c r="R127" s="194"/>
      <c r="S127" s="321"/>
      <c r="T127" s="322"/>
      <c r="U127" s="238"/>
    </row>
    <row r="128" spans="1:21" s="8" customFormat="1" ht="18" thickBot="1" x14ac:dyDescent="0.4">
      <c r="A128" s="218"/>
      <c r="B128" s="219" t="s">
        <v>82</v>
      </c>
      <c r="C128" s="220"/>
      <c r="D128" s="220"/>
      <c r="E128" s="220">
        <f t="shared" ref="E128:Q128" si="45">+E114-E120-E122-E126</f>
        <v>50418.833098200994</v>
      </c>
      <c r="F128" s="220">
        <f t="shared" si="45"/>
        <v>52597.274913201021</v>
      </c>
      <c r="G128" s="220">
        <f t="shared" si="45"/>
        <v>31292.356693201</v>
      </c>
      <c r="H128" s="220">
        <f t="shared" si="45"/>
        <v>38776.723311534326</v>
      </c>
      <c r="I128" s="220">
        <f t="shared" si="45"/>
        <v>56082.77088653433</v>
      </c>
      <c r="J128" s="220">
        <f t="shared" si="45"/>
        <v>53150.342451534321</v>
      </c>
      <c r="K128" s="220">
        <f t="shared" si="45"/>
        <v>65658.060174867656</v>
      </c>
      <c r="L128" s="220">
        <f t="shared" si="45"/>
        <v>52567.298738201003</v>
      </c>
      <c r="M128" s="220">
        <f t="shared" si="45"/>
        <v>36333.630633200999</v>
      </c>
      <c r="N128" s="220">
        <f t="shared" si="45"/>
        <v>48172.054174867662</v>
      </c>
      <c r="O128" s="220">
        <f t="shared" si="45"/>
        <v>69790.600949867658</v>
      </c>
      <c r="P128" s="220">
        <f t="shared" si="45"/>
        <v>64941.036779867674</v>
      </c>
      <c r="Q128" s="221">
        <f t="shared" si="45"/>
        <v>619780.98280507862</v>
      </c>
      <c r="R128" s="225">
        <f t="shared" si="30"/>
        <v>8.465912426137205</v>
      </c>
      <c r="S128" s="313">
        <f>+S114-S120-S122-S126</f>
        <v>841986</v>
      </c>
      <c r="T128" s="314">
        <f>Q128/S128-1</f>
        <v>-0.2639058335826503</v>
      </c>
      <c r="U128" s="238"/>
    </row>
    <row r="129" spans="1:21" ht="18" x14ac:dyDescent="0.35">
      <c r="A129" s="66"/>
      <c r="Q129" s="101"/>
      <c r="R129" s="184"/>
      <c r="S129" s="311"/>
      <c r="T129" s="312"/>
    </row>
    <row r="130" spans="1:21" x14ac:dyDescent="0.35">
      <c r="A130" s="66"/>
      <c r="B130" s="6" t="s">
        <v>83</v>
      </c>
      <c r="Q130" s="101"/>
      <c r="R130" s="184"/>
      <c r="S130" s="304"/>
      <c r="T130" s="308"/>
    </row>
    <row r="131" spans="1:21" x14ac:dyDescent="0.35">
      <c r="A131" s="66" t="s">
        <v>128</v>
      </c>
      <c r="C131" s="6" t="s">
        <v>84</v>
      </c>
      <c r="E131" s="6">
        <f>VLOOKUP($B$1,'INS RET DEBT'!$C$98:$Q$107,3,FALSE)</f>
        <v>11855.239978325679</v>
      </c>
      <c r="F131" s="6">
        <f>VLOOKUP($B$1,'INS RET DEBT'!$C$98:$Q$107,4,FALSE)</f>
        <v>11820.46053779943</v>
      </c>
      <c r="G131" s="6">
        <f>VLOOKUP($B$1,'INS RET DEBT'!$C$98:$Q$107,5,FALSE)</f>
        <v>11785.579657238311</v>
      </c>
      <c r="H131" s="6">
        <f>VLOOKUP($B$1,'INS RET DEBT'!$C$98:$Q$107,6,FALSE)</f>
        <v>11750.597040775556</v>
      </c>
      <c r="I131" s="6">
        <f>VLOOKUP($B$1,'INS RET DEBT'!$C$98:$Q$107,7,FALSE)</f>
        <v>11715.51239168145</v>
      </c>
      <c r="J131" s="6">
        <f>VLOOKUP($B$1,'INS RET DEBT'!$C$98:$Q$107,8,FALSE)</f>
        <v>11680.325412360822</v>
      </c>
      <c r="K131" s="6">
        <f>VLOOKUP($B$1,'INS RET DEBT'!$C$98:$Q$107,9,FALSE)</f>
        <v>11645.035804350508</v>
      </c>
      <c r="L131" s="6">
        <f>VLOOKUP($B$1,'INS RET DEBT'!$C$98:$Q$107,10,FALSE)</f>
        <v>11609.64326831683</v>
      </c>
      <c r="M131" s="6">
        <f>VLOOKUP($B$1,'INS RET DEBT'!$C$98:$Q$107,11,FALSE)</f>
        <v>11574.147504053051</v>
      </c>
      <c r="N131" s="6">
        <f>VLOOKUP($B$1,'INS RET DEBT'!$C$98:$Q$107,12,FALSE)</f>
        <v>11538.548210476842</v>
      </c>
      <c r="O131" s="6">
        <f>VLOOKUP($B$1,'INS RET DEBT'!$C$98:$Q$107,13,FALSE)</f>
        <v>11502.845085627696</v>
      </c>
      <c r="P131" s="6">
        <f>VLOOKUP($B$1,'INS RET DEBT'!$C$98:$Q$107,14,FALSE)</f>
        <v>11467.037826664409</v>
      </c>
      <c r="Q131" s="101">
        <f>SUM(E131:P131)</f>
        <v>139944.97271767058</v>
      </c>
      <c r="R131" s="184">
        <f t="shared" si="30"/>
        <v>1.911581536664489</v>
      </c>
      <c r="S131" s="304">
        <v>132397</v>
      </c>
      <c r="T131" s="308">
        <f t="shared" ref="T131:T132" si="46">IFERROR(Q131/S131-1,"")</f>
        <v>5.7010149154970158E-2</v>
      </c>
    </row>
    <row r="132" spans="1:21" x14ac:dyDescent="0.35">
      <c r="A132" s="66" t="s">
        <v>145</v>
      </c>
      <c r="C132" s="6" t="s">
        <v>85</v>
      </c>
      <c r="E132" s="6">
        <f>VLOOKUP($B$1,'INS RET DEBT'!$C$113:$Q$122,3,FALSE)</f>
        <v>11924.379609000229</v>
      </c>
      <c r="F132" s="6">
        <f>VLOOKUP($B$1,'INS RET DEBT'!$C$113:$Q$122,4,FALSE)</f>
        <v>11959.159049526481</v>
      </c>
      <c r="G132" s="6">
        <f>VLOOKUP($B$1,'INS RET DEBT'!$C$113:$Q$122,5,FALSE)</f>
        <v>11994.0399300876</v>
      </c>
      <c r="H132" s="6">
        <f>VLOOKUP($B$1,'INS RET DEBT'!$C$113:$Q$122,6,FALSE)</f>
        <v>12029.022546550357</v>
      </c>
      <c r="I132" s="6">
        <f>VLOOKUP($B$1,'INS RET DEBT'!$C$113:$Q$122,7,FALSE)</f>
        <v>12064.107195644461</v>
      </c>
      <c r="J132" s="6">
        <f>VLOOKUP($B$1,'INS RET DEBT'!$C$113:$Q$122,8,FALSE)</f>
        <v>12099.294174965089</v>
      </c>
      <c r="K132" s="6">
        <f>VLOOKUP($B$1,'INS RET DEBT'!$C$113:$Q$122,9,FALSE)</f>
        <v>12134.583782975405</v>
      </c>
      <c r="L132" s="6">
        <f>VLOOKUP($B$1,'INS RET DEBT'!$C$113:$Q$122,10,FALSE)</f>
        <v>12169.976319009083</v>
      </c>
      <c r="M132" s="6">
        <f>VLOOKUP($B$1,'INS RET DEBT'!$C$113:$Q$122,11,FALSE)</f>
        <v>12205.47208327286</v>
      </c>
      <c r="N132" s="6">
        <f>VLOOKUP($B$1,'INS RET DEBT'!$C$113:$Q$122,12,FALSE)</f>
        <v>12241.071376849073</v>
      </c>
      <c r="O132" s="6">
        <f>VLOOKUP($B$1,'INS RET DEBT'!$C$113:$Q$122,13,FALSE)</f>
        <v>12276.774501698215</v>
      </c>
      <c r="P132" s="6">
        <f>VLOOKUP($B$1,'INS RET DEBT'!$C$113:$Q$122,14,FALSE)</f>
        <v>12312.581760661502</v>
      </c>
      <c r="Q132" s="101">
        <f>SUM(E132:P132)</f>
        <v>145410.46233024038</v>
      </c>
      <c r="R132" s="184">
        <f t="shared" si="30"/>
        <v>1.9862375162922643</v>
      </c>
      <c r="S132" s="304">
        <v>129178</v>
      </c>
      <c r="T132" s="308">
        <f t="shared" si="46"/>
        <v>0.12565965048414118</v>
      </c>
    </row>
    <row r="133" spans="1:21" x14ac:dyDescent="0.35">
      <c r="A133" s="66" t="s">
        <v>146</v>
      </c>
      <c r="C133" s="6" t="s">
        <v>86</v>
      </c>
      <c r="Q133" s="101">
        <f>SUM(E133:P133)</f>
        <v>0</v>
      </c>
      <c r="R133" s="184">
        <f t="shared" si="30"/>
        <v>0</v>
      </c>
      <c r="S133" s="304"/>
      <c r="T133" s="308"/>
    </row>
    <row r="134" spans="1:21" x14ac:dyDescent="0.35">
      <c r="A134" s="66"/>
      <c r="C134" s="6" t="s">
        <v>87</v>
      </c>
      <c r="E134" s="28">
        <f t="shared" ref="E134:Q134" si="47">SUM(E131:E133)</f>
        <v>23779.619587325906</v>
      </c>
      <c r="F134" s="28">
        <f t="shared" si="47"/>
        <v>23779.619587325913</v>
      </c>
      <c r="G134" s="28">
        <f t="shared" si="47"/>
        <v>23779.619587325913</v>
      </c>
      <c r="H134" s="28">
        <f t="shared" si="47"/>
        <v>23779.619587325913</v>
      </c>
      <c r="I134" s="28">
        <f t="shared" si="47"/>
        <v>23779.619587325913</v>
      </c>
      <c r="J134" s="28">
        <f t="shared" si="47"/>
        <v>23779.619587325913</v>
      </c>
      <c r="K134" s="28">
        <f t="shared" si="47"/>
        <v>23779.619587325913</v>
      </c>
      <c r="L134" s="28">
        <f t="shared" si="47"/>
        <v>23779.619587325913</v>
      </c>
      <c r="M134" s="28">
        <f t="shared" si="47"/>
        <v>23779.619587325913</v>
      </c>
      <c r="N134" s="28">
        <f t="shared" si="47"/>
        <v>23779.619587325913</v>
      </c>
      <c r="O134" s="28">
        <f t="shared" si="47"/>
        <v>23779.619587325913</v>
      </c>
      <c r="P134" s="28">
        <f t="shared" si="47"/>
        <v>23779.619587325913</v>
      </c>
      <c r="Q134" s="110">
        <f t="shared" si="47"/>
        <v>285355.43504791096</v>
      </c>
      <c r="R134" s="191">
        <f t="shared" si="30"/>
        <v>3.8978190529567533</v>
      </c>
      <c r="S134" s="309">
        <f>SUM(S131:S132)</f>
        <v>261575</v>
      </c>
      <c r="T134" s="310">
        <f>IFERROR(Q134/S134-1,"")</f>
        <v>9.0912491820361208E-2</v>
      </c>
    </row>
    <row r="135" spans="1:21" ht="18" x14ac:dyDescent="0.35">
      <c r="A135" s="66"/>
      <c r="Q135" s="101"/>
      <c r="R135" s="184"/>
      <c r="S135" s="311"/>
      <c r="T135" s="312"/>
    </row>
    <row r="136" spans="1:21" ht="18.5" thickBot="1" x14ac:dyDescent="0.4">
      <c r="A136" s="67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12"/>
      <c r="R136" s="193"/>
      <c r="S136" s="311"/>
      <c r="T136" s="312"/>
    </row>
    <row r="137" spans="1:21" s="8" customFormat="1" ht="18" thickBot="1" x14ac:dyDescent="0.4">
      <c r="A137" s="218"/>
      <c r="B137" s="219" t="s">
        <v>88</v>
      </c>
      <c r="C137" s="220"/>
      <c r="D137" s="220"/>
      <c r="E137" s="220">
        <f t="shared" ref="E137:Q137" si="48">+E128-E134</f>
        <v>26639.213510875088</v>
      </c>
      <c r="F137" s="220">
        <f t="shared" si="48"/>
        <v>28817.655325875108</v>
      </c>
      <c r="G137" s="220">
        <f t="shared" si="48"/>
        <v>7512.7371058750869</v>
      </c>
      <c r="H137" s="220">
        <f t="shared" si="48"/>
        <v>14997.103724208413</v>
      </c>
      <c r="I137" s="220">
        <f t="shared" si="48"/>
        <v>32303.151299208417</v>
      </c>
      <c r="J137" s="220">
        <f t="shared" si="48"/>
        <v>29370.722864208408</v>
      </c>
      <c r="K137" s="220">
        <f t="shared" si="48"/>
        <v>41878.440587541743</v>
      </c>
      <c r="L137" s="220">
        <f t="shared" si="48"/>
        <v>28787.67915087509</v>
      </c>
      <c r="M137" s="220">
        <f t="shared" si="48"/>
        <v>12554.011045875086</v>
      </c>
      <c r="N137" s="220">
        <f t="shared" si="48"/>
        <v>24392.434587541749</v>
      </c>
      <c r="O137" s="220">
        <f t="shared" si="48"/>
        <v>46010.981362541745</v>
      </c>
      <c r="P137" s="220">
        <f t="shared" si="48"/>
        <v>41161.417192541761</v>
      </c>
      <c r="Q137" s="221">
        <f t="shared" si="48"/>
        <v>334425.54775716766</v>
      </c>
      <c r="R137" s="225">
        <f t="shared" si="30"/>
        <v>4.5680933731804512</v>
      </c>
      <c r="S137" s="313">
        <f>+S128-S134</f>
        <v>580411</v>
      </c>
      <c r="T137" s="314">
        <f>Q137/S137-1</f>
        <v>-0.42381252636981781</v>
      </c>
      <c r="U137" s="238"/>
    </row>
    <row r="138" spans="1:21" ht="18" x14ac:dyDescent="0.35">
      <c r="A138" s="68"/>
      <c r="B138" s="289" t="s">
        <v>538</v>
      </c>
      <c r="C138" s="32"/>
      <c r="S138" s="328"/>
      <c r="T138" s="329"/>
    </row>
    <row r="139" spans="1:21" s="8" customFormat="1" ht="17.5" x14ac:dyDescent="0.3">
      <c r="A139" s="68"/>
      <c r="C139" s="32"/>
      <c r="D139" s="33"/>
      <c r="S139" s="328"/>
      <c r="T139" s="329"/>
      <c r="U139" s="238"/>
    </row>
    <row r="140" spans="1:21" ht="18" x14ac:dyDescent="0.35">
      <c r="A140" s="66"/>
      <c r="S140" s="328"/>
      <c r="T140" s="329"/>
    </row>
    <row r="141" spans="1:21" x14ac:dyDescent="0.35">
      <c r="A141" s="47"/>
    </row>
    <row r="142" spans="1:21" x14ac:dyDescent="0.35">
      <c r="A142" s="47"/>
      <c r="S142" s="330"/>
    </row>
    <row r="143" spans="1:21" ht="17.5" x14ac:dyDescent="0.35">
      <c r="B143" s="9" t="s">
        <v>530</v>
      </c>
      <c r="E143" s="349"/>
      <c r="F143" s="350"/>
      <c r="G143" s="350"/>
      <c r="H143" s="350"/>
      <c r="I143" s="350"/>
      <c r="J143" s="350"/>
      <c r="K143" s="350"/>
      <c r="L143" s="350"/>
      <c r="M143" s="350"/>
      <c r="N143" s="350"/>
      <c r="O143" s="350"/>
      <c r="P143" s="350"/>
      <c r="T143" s="6"/>
      <c r="U143" s="6"/>
    </row>
    <row r="144" spans="1:21" x14ac:dyDescent="0.35">
      <c r="B144" s="15" t="s">
        <v>503</v>
      </c>
      <c r="C144" s="15"/>
      <c r="D144" s="15" t="s">
        <v>302</v>
      </c>
      <c r="E144" s="338">
        <f>E180</f>
        <v>46023</v>
      </c>
      <c r="F144" s="338">
        <f t="shared" ref="F144:P144" si="49">F180</f>
        <v>46054</v>
      </c>
      <c r="G144" s="338">
        <f t="shared" si="49"/>
        <v>46082</v>
      </c>
      <c r="H144" s="338">
        <f t="shared" si="49"/>
        <v>46113</v>
      </c>
      <c r="I144" s="338">
        <f t="shared" si="49"/>
        <v>46143</v>
      </c>
      <c r="J144" s="338">
        <f t="shared" si="49"/>
        <v>46174</v>
      </c>
      <c r="K144" s="338">
        <f t="shared" si="49"/>
        <v>46204</v>
      </c>
      <c r="L144" s="338">
        <f t="shared" si="49"/>
        <v>46235</v>
      </c>
      <c r="M144" s="338">
        <f t="shared" si="49"/>
        <v>46266</v>
      </c>
      <c r="N144" s="338">
        <f t="shared" si="49"/>
        <v>46296</v>
      </c>
      <c r="O144" s="338">
        <f t="shared" si="49"/>
        <v>46327</v>
      </c>
      <c r="P144" s="338">
        <f t="shared" si="49"/>
        <v>46357</v>
      </c>
      <c r="Q144" s="285" t="s">
        <v>12</v>
      </c>
      <c r="T144" s="6"/>
      <c r="U144" s="6"/>
    </row>
    <row r="145" spans="2:21" x14ac:dyDescent="0.35">
      <c r="B145" s="357" t="str">
        <f>B181</f>
        <v>7010-201</v>
      </c>
      <c r="C145" s="45"/>
      <c r="D145" s="45" t="str">
        <f t="shared" ref="D145:D175" si="50">IF(D181="None",D217,D181)</f>
        <v>Foot and Ankle Center of Phila</v>
      </c>
      <c r="E145" s="45">
        <f t="shared" ref="E145:P154" si="51">SUMIF($B$181:$B$211,$B145,E$181:E$211)+SUMIF($B$217:$B$247,$B145,E$217:E$247)</f>
        <v>5125</v>
      </c>
      <c r="F145" s="45">
        <f t="shared" si="51"/>
        <v>5125</v>
      </c>
      <c r="G145" s="45">
        <f t="shared" si="51"/>
        <v>5125</v>
      </c>
      <c r="H145" s="45">
        <f t="shared" si="51"/>
        <v>5125</v>
      </c>
      <c r="I145" s="45">
        <f t="shared" si="51"/>
        <v>5125</v>
      </c>
      <c r="J145" s="45">
        <f t="shared" si="51"/>
        <v>5125</v>
      </c>
      <c r="K145" s="45">
        <f t="shared" si="51"/>
        <v>5248.8158333333331</v>
      </c>
      <c r="L145" s="45">
        <f t="shared" si="51"/>
        <v>5248.8158333333331</v>
      </c>
      <c r="M145" s="45">
        <f t="shared" si="51"/>
        <v>5248.8158333333331</v>
      </c>
      <c r="N145" s="45">
        <f t="shared" si="51"/>
        <v>5248.8158333333331</v>
      </c>
      <c r="O145" s="45">
        <f t="shared" si="51"/>
        <v>5248.8158333333331</v>
      </c>
      <c r="P145" s="45">
        <f t="shared" si="51"/>
        <v>5248.8158333333331</v>
      </c>
      <c r="Q145" s="87">
        <f>SUM(E145:P145)</f>
        <v>62242.895000000004</v>
      </c>
      <c r="T145" s="6"/>
      <c r="U145" s="6"/>
    </row>
    <row r="146" spans="2:21" x14ac:dyDescent="0.35">
      <c r="B146" s="79" t="str">
        <f t="shared" ref="B146:B175" si="52">B182</f>
        <v>7010-203</v>
      </c>
      <c r="D146" s="6" t="str">
        <f t="shared" si="50"/>
        <v>Parkwood Medical Practice P.C.</v>
      </c>
      <c r="E146" s="6">
        <f t="shared" si="51"/>
        <v>3977.98</v>
      </c>
      <c r="F146" s="6">
        <f t="shared" si="51"/>
        <v>3977.98</v>
      </c>
      <c r="G146" s="6">
        <f t="shared" si="51"/>
        <v>3977.98</v>
      </c>
      <c r="H146" s="6">
        <f t="shared" si="51"/>
        <v>3977.98</v>
      </c>
      <c r="I146" s="6">
        <f t="shared" si="51"/>
        <v>3977.98</v>
      </c>
      <c r="J146" s="6">
        <f t="shared" si="51"/>
        <v>3977.98</v>
      </c>
      <c r="K146" s="6">
        <f t="shared" si="51"/>
        <v>3977.98</v>
      </c>
      <c r="L146" s="6">
        <f t="shared" si="51"/>
        <v>3977.98</v>
      </c>
      <c r="M146" s="6">
        <f t="shared" si="51"/>
        <v>3977.98</v>
      </c>
      <c r="N146" s="6">
        <f t="shared" si="51"/>
        <v>3160.0049999999997</v>
      </c>
      <c r="O146" s="6">
        <f t="shared" si="51"/>
        <v>3160.0049999999997</v>
      </c>
      <c r="P146" s="6">
        <f t="shared" si="51"/>
        <v>3160.0049999999997</v>
      </c>
      <c r="Q146" s="8">
        <f t="shared" ref="Q146:Q175" si="53">SUM(E146:P146)</f>
        <v>45281.834999999992</v>
      </c>
    </row>
    <row r="147" spans="2:21" x14ac:dyDescent="0.35">
      <c r="B147" s="79" t="str">
        <f t="shared" si="52"/>
        <v>7010-205</v>
      </c>
      <c r="D147" s="6" t="str">
        <f t="shared" si="50"/>
        <v>VACANT</v>
      </c>
      <c r="E147" s="6">
        <f t="shared" si="51"/>
        <v>0</v>
      </c>
      <c r="F147" s="6">
        <f t="shared" si="51"/>
        <v>0</v>
      </c>
      <c r="G147" s="6">
        <f t="shared" si="51"/>
        <v>0</v>
      </c>
      <c r="H147" s="6">
        <f t="shared" si="51"/>
        <v>0</v>
      </c>
      <c r="I147" s="6">
        <f t="shared" si="51"/>
        <v>0</v>
      </c>
      <c r="J147" s="6">
        <f t="shared" si="51"/>
        <v>0</v>
      </c>
      <c r="K147" s="6">
        <f t="shared" si="51"/>
        <v>0</v>
      </c>
      <c r="L147" s="6">
        <f t="shared" si="51"/>
        <v>0</v>
      </c>
      <c r="M147" s="6">
        <f t="shared" si="51"/>
        <v>0</v>
      </c>
      <c r="N147" s="6">
        <f t="shared" si="51"/>
        <v>0</v>
      </c>
      <c r="O147" s="6">
        <f t="shared" si="51"/>
        <v>0</v>
      </c>
      <c r="P147" s="6">
        <f t="shared" si="51"/>
        <v>0</v>
      </c>
      <c r="Q147" s="8">
        <f t="shared" si="53"/>
        <v>0</v>
      </c>
    </row>
    <row r="148" spans="2:21" x14ac:dyDescent="0.35">
      <c r="B148" s="79" t="str">
        <f t="shared" si="52"/>
        <v>7010-206</v>
      </c>
      <c r="D148" s="6" t="str">
        <f t="shared" si="50"/>
        <v>VACANT</v>
      </c>
      <c r="E148" s="6">
        <f t="shared" si="51"/>
        <v>0</v>
      </c>
      <c r="F148" s="6">
        <f t="shared" si="51"/>
        <v>0</v>
      </c>
      <c r="G148" s="6">
        <f t="shared" si="51"/>
        <v>0</v>
      </c>
      <c r="H148" s="6">
        <f t="shared" si="51"/>
        <v>0</v>
      </c>
      <c r="I148" s="6">
        <f t="shared" si="51"/>
        <v>0</v>
      </c>
      <c r="J148" s="6">
        <f t="shared" si="51"/>
        <v>0</v>
      </c>
      <c r="K148" s="6">
        <f t="shared" si="51"/>
        <v>0</v>
      </c>
      <c r="L148" s="6">
        <f t="shared" si="51"/>
        <v>0</v>
      </c>
      <c r="M148" s="6">
        <f t="shared" si="51"/>
        <v>0</v>
      </c>
      <c r="N148" s="6">
        <f t="shared" si="51"/>
        <v>0</v>
      </c>
      <c r="O148" s="6">
        <f t="shared" si="51"/>
        <v>0</v>
      </c>
      <c r="P148" s="6">
        <f t="shared" si="51"/>
        <v>0</v>
      </c>
      <c r="Q148" s="8">
        <f t="shared" si="53"/>
        <v>0</v>
      </c>
    </row>
    <row r="149" spans="2:21" x14ac:dyDescent="0.35">
      <c r="B149" s="79" t="str">
        <f t="shared" si="52"/>
        <v>7010-208</v>
      </c>
      <c r="D149" s="6" t="str">
        <f t="shared" si="50"/>
        <v>VACANT</v>
      </c>
      <c r="E149" s="6">
        <f t="shared" si="51"/>
        <v>0</v>
      </c>
      <c r="F149" s="6">
        <f t="shared" si="51"/>
        <v>0</v>
      </c>
      <c r="G149" s="6">
        <f t="shared" si="51"/>
        <v>0</v>
      </c>
      <c r="H149" s="6">
        <f t="shared" si="51"/>
        <v>0</v>
      </c>
      <c r="I149" s="6">
        <f t="shared" si="51"/>
        <v>0</v>
      </c>
      <c r="J149" s="6">
        <f t="shared" si="51"/>
        <v>0</v>
      </c>
      <c r="K149" s="6">
        <f t="shared" si="51"/>
        <v>0</v>
      </c>
      <c r="L149" s="6">
        <f t="shared" si="51"/>
        <v>0</v>
      </c>
      <c r="M149" s="6">
        <f t="shared" si="51"/>
        <v>0</v>
      </c>
      <c r="N149" s="6">
        <f t="shared" si="51"/>
        <v>0</v>
      </c>
      <c r="O149" s="6">
        <f t="shared" si="51"/>
        <v>0</v>
      </c>
      <c r="P149" s="6">
        <f t="shared" si="51"/>
        <v>0</v>
      </c>
      <c r="Q149" s="8">
        <f t="shared" si="53"/>
        <v>0</v>
      </c>
    </row>
    <row r="150" spans="2:21" x14ac:dyDescent="0.35">
      <c r="B150" s="79" t="str">
        <f t="shared" si="52"/>
        <v>7010-210</v>
      </c>
      <c r="D150" s="6" t="str">
        <f t="shared" si="50"/>
        <v>VACANT</v>
      </c>
      <c r="E150" s="6">
        <f t="shared" si="51"/>
        <v>0</v>
      </c>
      <c r="F150" s="6">
        <f t="shared" si="51"/>
        <v>0</v>
      </c>
      <c r="G150" s="6">
        <f t="shared" si="51"/>
        <v>0</v>
      </c>
      <c r="H150" s="6">
        <f t="shared" si="51"/>
        <v>0</v>
      </c>
      <c r="I150" s="6">
        <f t="shared" si="51"/>
        <v>0</v>
      </c>
      <c r="J150" s="6">
        <f t="shared" si="51"/>
        <v>0</v>
      </c>
      <c r="K150" s="6">
        <f t="shared" si="51"/>
        <v>0</v>
      </c>
      <c r="L150" s="6">
        <f t="shared" si="51"/>
        <v>0</v>
      </c>
      <c r="M150" s="6">
        <f t="shared" si="51"/>
        <v>0</v>
      </c>
      <c r="N150" s="6">
        <f t="shared" si="51"/>
        <v>0</v>
      </c>
      <c r="O150" s="6">
        <f t="shared" si="51"/>
        <v>0</v>
      </c>
      <c r="P150" s="6">
        <f t="shared" si="51"/>
        <v>0</v>
      </c>
      <c r="Q150" s="8">
        <f t="shared" si="53"/>
        <v>0</v>
      </c>
    </row>
    <row r="151" spans="2:21" x14ac:dyDescent="0.35">
      <c r="B151" s="79" t="str">
        <f t="shared" si="52"/>
        <v>7010-212</v>
      </c>
      <c r="D151" s="6" t="str">
        <f t="shared" si="50"/>
        <v>VACANT</v>
      </c>
      <c r="E151" s="6">
        <f t="shared" si="51"/>
        <v>0</v>
      </c>
      <c r="F151" s="6">
        <f t="shared" si="51"/>
        <v>0</v>
      </c>
      <c r="G151" s="6">
        <f t="shared" si="51"/>
        <v>0</v>
      </c>
      <c r="H151" s="6">
        <f t="shared" si="51"/>
        <v>0</v>
      </c>
      <c r="I151" s="6">
        <f t="shared" si="51"/>
        <v>0</v>
      </c>
      <c r="J151" s="6">
        <f t="shared" si="51"/>
        <v>0</v>
      </c>
      <c r="K151" s="6">
        <f t="shared" si="51"/>
        <v>0</v>
      </c>
      <c r="L151" s="6">
        <f t="shared" si="51"/>
        <v>0</v>
      </c>
      <c r="M151" s="6">
        <f t="shared" si="51"/>
        <v>0</v>
      </c>
      <c r="N151" s="6">
        <f t="shared" si="51"/>
        <v>0</v>
      </c>
      <c r="O151" s="6">
        <f t="shared" si="51"/>
        <v>0</v>
      </c>
      <c r="P151" s="6">
        <f t="shared" si="51"/>
        <v>0</v>
      </c>
      <c r="Q151" s="8">
        <f t="shared" si="53"/>
        <v>0</v>
      </c>
    </row>
    <row r="152" spans="2:21" x14ac:dyDescent="0.35">
      <c r="B152" s="79" t="str">
        <f t="shared" si="52"/>
        <v>7010-214</v>
      </c>
      <c r="D152" s="6" t="str">
        <f t="shared" si="50"/>
        <v>VACANT</v>
      </c>
      <c r="E152" s="6">
        <f t="shared" si="51"/>
        <v>0</v>
      </c>
      <c r="F152" s="6">
        <f t="shared" si="51"/>
        <v>0</v>
      </c>
      <c r="G152" s="6">
        <f t="shared" si="51"/>
        <v>0</v>
      </c>
      <c r="H152" s="6">
        <f t="shared" si="51"/>
        <v>0</v>
      </c>
      <c r="I152" s="6">
        <f t="shared" si="51"/>
        <v>0</v>
      </c>
      <c r="J152" s="6">
        <f t="shared" si="51"/>
        <v>0</v>
      </c>
      <c r="K152" s="6">
        <f t="shared" si="51"/>
        <v>0</v>
      </c>
      <c r="L152" s="6">
        <f t="shared" si="51"/>
        <v>0</v>
      </c>
      <c r="M152" s="6">
        <f t="shared" si="51"/>
        <v>0</v>
      </c>
      <c r="N152" s="6">
        <f t="shared" si="51"/>
        <v>0</v>
      </c>
      <c r="O152" s="6">
        <f t="shared" si="51"/>
        <v>0</v>
      </c>
      <c r="P152" s="6">
        <f t="shared" si="51"/>
        <v>0</v>
      </c>
      <c r="Q152" s="8">
        <f t="shared" si="53"/>
        <v>0</v>
      </c>
    </row>
    <row r="153" spans="2:21" x14ac:dyDescent="0.35">
      <c r="B153" s="227" t="str">
        <f t="shared" si="52"/>
        <v>7010-216</v>
      </c>
      <c r="C153" s="15"/>
      <c r="D153" s="15" t="str">
        <f t="shared" si="50"/>
        <v>VACANT</v>
      </c>
      <c r="E153" s="15">
        <f t="shared" si="51"/>
        <v>0</v>
      </c>
      <c r="F153" s="15">
        <f t="shared" si="51"/>
        <v>0</v>
      </c>
      <c r="G153" s="15">
        <f t="shared" si="51"/>
        <v>0</v>
      </c>
      <c r="H153" s="15">
        <f t="shared" si="51"/>
        <v>0</v>
      </c>
      <c r="I153" s="15">
        <f t="shared" si="51"/>
        <v>0</v>
      </c>
      <c r="J153" s="15">
        <f t="shared" si="51"/>
        <v>0</v>
      </c>
      <c r="K153" s="15">
        <f t="shared" si="51"/>
        <v>0</v>
      </c>
      <c r="L153" s="15">
        <f t="shared" si="51"/>
        <v>0</v>
      </c>
      <c r="M153" s="15">
        <f t="shared" si="51"/>
        <v>0</v>
      </c>
      <c r="N153" s="15">
        <f t="shared" si="51"/>
        <v>0</v>
      </c>
      <c r="O153" s="15">
        <f t="shared" si="51"/>
        <v>0</v>
      </c>
      <c r="P153" s="15">
        <f t="shared" si="51"/>
        <v>0</v>
      </c>
      <c r="Q153" s="49">
        <f t="shared" si="53"/>
        <v>0</v>
      </c>
    </row>
    <row r="154" spans="2:21" x14ac:dyDescent="0.35">
      <c r="B154" s="79" t="str">
        <f t="shared" si="52"/>
        <v>7010-1230A</v>
      </c>
      <c r="D154" s="6" t="str">
        <f t="shared" si="50"/>
        <v>Wawa, Inc #8035</v>
      </c>
      <c r="E154" s="6">
        <f t="shared" si="51"/>
        <v>9347.5</v>
      </c>
      <c r="F154" s="6">
        <f t="shared" si="51"/>
        <v>9347.5</v>
      </c>
      <c r="G154" s="6">
        <f t="shared" si="51"/>
        <v>9347.5</v>
      </c>
      <c r="H154" s="6">
        <f t="shared" si="51"/>
        <v>9347.5</v>
      </c>
      <c r="I154" s="6">
        <f t="shared" si="51"/>
        <v>9347.5</v>
      </c>
      <c r="J154" s="6">
        <f t="shared" si="51"/>
        <v>9347.5</v>
      </c>
      <c r="K154" s="6">
        <f t="shared" si="51"/>
        <v>9347.5</v>
      </c>
      <c r="L154" s="6">
        <f t="shared" si="51"/>
        <v>9347.5</v>
      </c>
      <c r="M154" s="6">
        <f t="shared" si="51"/>
        <v>10467.765000000001</v>
      </c>
      <c r="N154" s="6">
        <f t="shared" si="51"/>
        <v>10467.765000000001</v>
      </c>
      <c r="O154" s="6">
        <f t="shared" si="51"/>
        <v>10467.765000000001</v>
      </c>
      <c r="P154" s="6">
        <f t="shared" si="51"/>
        <v>10467.765000000001</v>
      </c>
      <c r="Q154" s="8">
        <f t="shared" si="53"/>
        <v>116651.06</v>
      </c>
    </row>
    <row r="155" spans="2:21" x14ac:dyDescent="0.35">
      <c r="B155" s="79" t="str">
        <f t="shared" si="52"/>
        <v>7010-12311</v>
      </c>
      <c r="D155" s="6" t="str">
        <f t="shared" si="50"/>
        <v>Rite Aid Corp-Store# 01956</v>
      </c>
      <c r="E155" s="6">
        <f t="shared" ref="E155:P164" si="54">SUMIF($B$181:$B$211,$B155,E$181:E$211)+SUMIF($B$217:$B$247,$B155,E$217:E$247)</f>
        <v>0</v>
      </c>
      <c r="F155" s="6">
        <f t="shared" si="54"/>
        <v>0</v>
      </c>
      <c r="G155" s="6">
        <f t="shared" si="54"/>
        <v>0</v>
      </c>
      <c r="H155" s="6">
        <f t="shared" si="54"/>
        <v>0</v>
      </c>
      <c r="I155" s="6">
        <f t="shared" si="54"/>
        <v>0</v>
      </c>
      <c r="J155" s="6">
        <f t="shared" si="54"/>
        <v>0</v>
      </c>
      <c r="K155" s="6">
        <f t="shared" si="54"/>
        <v>0</v>
      </c>
      <c r="L155" s="6">
        <f t="shared" si="54"/>
        <v>0</v>
      </c>
      <c r="M155" s="6">
        <f t="shared" si="54"/>
        <v>0</v>
      </c>
      <c r="N155" s="6">
        <f t="shared" si="54"/>
        <v>0</v>
      </c>
      <c r="O155" s="6">
        <f t="shared" si="54"/>
        <v>0</v>
      </c>
      <c r="P155" s="6">
        <f t="shared" si="54"/>
        <v>0</v>
      </c>
      <c r="Q155" s="8">
        <f t="shared" si="53"/>
        <v>0</v>
      </c>
    </row>
    <row r="156" spans="2:21" x14ac:dyDescent="0.35">
      <c r="B156" s="79" t="str">
        <f t="shared" si="52"/>
        <v>7010-12315</v>
      </c>
      <c r="D156" s="6" t="str">
        <f t="shared" si="50"/>
        <v>Pat's Pizzeria</v>
      </c>
      <c r="E156" s="6">
        <f t="shared" si="54"/>
        <v>6400</v>
      </c>
      <c r="F156" s="6">
        <f t="shared" si="54"/>
        <v>6400</v>
      </c>
      <c r="G156" s="6">
        <f t="shared" si="54"/>
        <v>6400</v>
      </c>
      <c r="H156" s="6">
        <f t="shared" si="54"/>
        <v>6400</v>
      </c>
      <c r="I156" s="6">
        <f t="shared" si="54"/>
        <v>6400</v>
      </c>
      <c r="J156" s="6">
        <f t="shared" si="54"/>
        <v>6400</v>
      </c>
      <c r="K156" s="6">
        <f t="shared" si="54"/>
        <v>6400</v>
      </c>
      <c r="L156" s="6">
        <f t="shared" si="54"/>
        <v>6400</v>
      </c>
      <c r="M156" s="6">
        <f t="shared" si="54"/>
        <v>6400</v>
      </c>
      <c r="N156" s="6">
        <f t="shared" si="54"/>
        <v>6400</v>
      </c>
      <c r="O156" s="6">
        <f t="shared" si="54"/>
        <v>6400</v>
      </c>
      <c r="P156" s="6">
        <f t="shared" si="54"/>
        <v>6400</v>
      </c>
      <c r="Q156" s="8">
        <f t="shared" si="53"/>
        <v>76800</v>
      </c>
    </row>
    <row r="157" spans="2:21" x14ac:dyDescent="0.35">
      <c r="B157" s="79" t="str">
        <f t="shared" si="52"/>
        <v>7010-12319</v>
      </c>
      <c r="D157" s="6" t="str">
        <f t="shared" si="50"/>
        <v>Reen's Deli</v>
      </c>
      <c r="E157" s="6">
        <f t="shared" si="54"/>
        <v>7866.13</v>
      </c>
      <c r="F157" s="6">
        <f t="shared" si="54"/>
        <v>7866.13</v>
      </c>
      <c r="G157" s="6">
        <f t="shared" si="54"/>
        <v>7866.13</v>
      </c>
      <c r="H157" s="6">
        <f t="shared" si="54"/>
        <v>7866.13</v>
      </c>
      <c r="I157" s="6">
        <f t="shared" si="54"/>
        <v>7866.13</v>
      </c>
      <c r="J157" s="6">
        <f t="shared" si="54"/>
        <v>7866.13</v>
      </c>
      <c r="K157" s="6">
        <f t="shared" si="54"/>
        <v>8680</v>
      </c>
      <c r="L157" s="6">
        <f t="shared" si="54"/>
        <v>8680</v>
      </c>
      <c r="M157" s="6">
        <f t="shared" si="54"/>
        <v>8680</v>
      </c>
      <c r="N157" s="6">
        <f t="shared" si="54"/>
        <v>8680</v>
      </c>
      <c r="O157" s="6">
        <f t="shared" si="54"/>
        <v>8680</v>
      </c>
      <c r="P157" s="6">
        <f t="shared" si="54"/>
        <v>8680</v>
      </c>
      <c r="Q157" s="8">
        <f t="shared" si="53"/>
        <v>99276.78</v>
      </c>
    </row>
    <row r="158" spans="2:21" x14ac:dyDescent="0.35">
      <c r="B158" s="79" t="str">
        <f t="shared" si="52"/>
        <v>7010-12325</v>
      </c>
      <c r="D158" s="6" t="str">
        <f t="shared" si="50"/>
        <v>Parkwood Pack and Ship</v>
      </c>
      <c r="E158" s="6">
        <f t="shared" si="54"/>
        <v>2300</v>
      </c>
      <c r="F158" s="6">
        <f t="shared" si="54"/>
        <v>2300</v>
      </c>
      <c r="G158" s="6">
        <f t="shared" si="54"/>
        <v>2300</v>
      </c>
      <c r="H158" s="6">
        <f t="shared" si="54"/>
        <v>2300</v>
      </c>
      <c r="I158" s="6">
        <f t="shared" si="54"/>
        <v>2300</v>
      </c>
      <c r="J158" s="6">
        <f t="shared" si="54"/>
        <v>2300</v>
      </c>
      <c r="K158" s="6">
        <f t="shared" si="54"/>
        <v>2300</v>
      </c>
      <c r="L158" s="6">
        <f t="shared" si="54"/>
        <v>2300</v>
      </c>
      <c r="M158" s="6">
        <f t="shared" si="54"/>
        <v>2300</v>
      </c>
      <c r="N158" s="6">
        <f t="shared" si="54"/>
        <v>2300</v>
      </c>
      <c r="O158" s="6">
        <f t="shared" si="54"/>
        <v>2300</v>
      </c>
      <c r="P158" s="6">
        <f t="shared" si="54"/>
        <v>2300</v>
      </c>
      <c r="Q158" s="8">
        <f t="shared" si="53"/>
        <v>27600</v>
      </c>
    </row>
    <row r="159" spans="2:21" x14ac:dyDescent="0.35">
      <c r="B159" s="79" t="str">
        <f t="shared" si="52"/>
        <v>7010-12327</v>
      </c>
      <c r="D159" s="6" t="str">
        <f t="shared" si="50"/>
        <v>The Forge MMA</v>
      </c>
      <c r="E159" s="6">
        <f t="shared" si="54"/>
        <v>2645.33</v>
      </c>
      <c r="F159" s="6">
        <f t="shared" si="54"/>
        <v>2645.33</v>
      </c>
      <c r="G159" s="6">
        <f t="shared" si="54"/>
        <v>2645.33</v>
      </c>
      <c r="H159" s="6">
        <f t="shared" si="54"/>
        <v>2645.33</v>
      </c>
      <c r="I159" s="6">
        <f t="shared" si="54"/>
        <v>2645.33</v>
      </c>
      <c r="J159" s="6">
        <f t="shared" si="54"/>
        <v>2645.33</v>
      </c>
      <c r="K159" s="6">
        <f t="shared" si="54"/>
        <v>2645.33</v>
      </c>
      <c r="L159" s="6">
        <f t="shared" si="54"/>
        <v>2645.33</v>
      </c>
      <c r="M159" s="6">
        <f t="shared" si="54"/>
        <v>2645.33</v>
      </c>
      <c r="N159" s="6">
        <f t="shared" si="54"/>
        <v>2645.33</v>
      </c>
      <c r="O159" s="6">
        <f t="shared" si="54"/>
        <v>2645.33</v>
      </c>
      <c r="P159" s="6">
        <f t="shared" si="54"/>
        <v>2645.33</v>
      </c>
      <c r="Q159" s="8">
        <f t="shared" si="53"/>
        <v>31743.960000000006</v>
      </c>
    </row>
    <row r="160" spans="2:21" x14ac:dyDescent="0.35">
      <c r="B160" s="79" t="str">
        <f t="shared" si="52"/>
        <v>7010-12329</v>
      </c>
      <c r="D160" s="6" t="str">
        <f t="shared" si="50"/>
        <v>Parkwood Valet Cleaners</v>
      </c>
      <c r="E160" s="6">
        <f t="shared" si="54"/>
        <v>2400</v>
      </c>
      <c r="F160" s="6">
        <f t="shared" si="54"/>
        <v>2400</v>
      </c>
      <c r="G160" s="6">
        <f t="shared" si="54"/>
        <v>2400</v>
      </c>
      <c r="H160" s="6">
        <f t="shared" si="54"/>
        <v>2400</v>
      </c>
      <c r="I160" s="6">
        <f t="shared" si="54"/>
        <v>2400</v>
      </c>
      <c r="J160" s="6">
        <f t="shared" si="54"/>
        <v>2400</v>
      </c>
      <c r="K160" s="6">
        <f t="shared" si="54"/>
        <v>2400</v>
      </c>
      <c r="L160" s="6">
        <f t="shared" si="54"/>
        <v>2400</v>
      </c>
      <c r="M160" s="6">
        <f t="shared" si="54"/>
        <v>2400</v>
      </c>
      <c r="N160" s="6">
        <f t="shared" si="54"/>
        <v>2400</v>
      </c>
      <c r="O160" s="6">
        <f t="shared" si="54"/>
        <v>2400</v>
      </c>
      <c r="P160" s="6">
        <f t="shared" si="54"/>
        <v>2400</v>
      </c>
      <c r="Q160" s="8">
        <f t="shared" si="53"/>
        <v>28800</v>
      </c>
    </row>
    <row r="161" spans="2:17" x14ac:dyDescent="0.35">
      <c r="B161" s="79" t="str">
        <f t="shared" si="52"/>
        <v>7010-12331</v>
      </c>
      <c r="D161" s="6" t="str">
        <f t="shared" si="50"/>
        <v>Petroski Physiotherapy</v>
      </c>
      <c r="E161" s="6">
        <f t="shared" si="54"/>
        <v>3200</v>
      </c>
      <c r="F161" s="6">
        <f t="shared" si="54"/>
        <v>3200</v>
      </c>
      <c r="G161" s="6">
        <f t="shared" si="54"/>
        <v>3200</v>
      </c>
      <c r="H161" s="6">
        <f t="shared" si="54"/>
        <v>3200</v>
      </c>
      <c r="I161" s="6">
        <f t="shared" si="54"/>
        <v>3200</v>
      </c>
      <c r="J161" s="6">
        <f t="shared" si="54"/>
        <v>3200</v>
      </c>
      <c r="K161" s="6">
        <f t="shared" si="54"/>
        <v>3200</v>
      </c>
      <c r="L161" s="6">
        <f t="shared" si="54"/>
        <v>3200</v>
      </c>
      <c r="M161" s="6">
        <f t="shared" si="54"/>
        <v>3200</v>
      </c>
      <c r="N161" s="6">
        <f t="shared" si="54"/>
        <v>3200</v>
      </c>
      <c r="O161" s="6">
        <f t="shared" si="54"/>
        <v>3200</v>
      </c>
      <c r="P161" s="6">
        <f t="shared" si="54"/>
        <v>3200</v>
      </c>
      <c r="Q161" s="8">
        <f t="shared" si="53"/>
        <v>38400</v>
      </c>
    </row>
    <row r="162" spans="2:17" x14ac:dyDescent="0.35">
      <c r="B162" s="79" t="str">
        <f t="shared" si="52"/>
        <v>7010-12333</v>
      </c>
      <c r="D162" s="6" t="str">
        <f t="shared" si="50"/>
        <v>Hong Kong Chinese Rest</v>
      </c>
      <c r="E162" s="6">
        <f t="shared" si="54"/>
        <v>2730</v>
      </c>
      <c r="F162" s="6">
        <f t="shared" si="54"/>
        <v>2760</v>
      </c>
      <c r="G162" s="6">
        <f t="shared" si="54"/>
        <v>2760</v>
      </c>
      <c r="H162" s="6">
        <f t="shared" si="54"/>
        <v>2760</v>
      </c>
      <c r="I162" s="6">
        <f t="shared" si="54"/>
        <v>2760</v>
      </c>
      <c r="J162" s="6">
        <f t="shared" si="54"/>
        <v>2760</v>
      </c>
      <c r="K162" s="6">
        <f t="shared" si="54"/>
        <v>2760</v>
      </c>
      <c r="L162" s="6">
        <f t="shared" si="54"/>
        <v>2760</v>
      </c>
      <c r="M162" s="6">
        <f t="shared" si="54"/>
        <v>2760</v>
      </c>
      <c r="N162" s="6">
        <f t="shared" si="54"/>
        <v>2760</v>
      </c>
      <c r="O162" s="6">
        <f t="shared" si="54"/>
        <v>2760</v>
      </c>
      <c r="P162" s="6">
        <f t="shared" si="54"/>
        <v>2760</v>
      </c>
      <c r="Q162" s="8">
        <f t="shared" si="53"/>
        <v>33090</v>
      </c>
    </row>
    <row r="163" spans="2:17" x14ac:dyDescent="0.35">
      <c r="B163" s="79" t="str">
        <f t="shared" si="52"/>
        <v>7010-12337</v>
      </c>
      <c r="D163" s="6" t="str">
        <f t="shared" si="50"/>
        <v>Parkwood Hairstylist</v>
      </c>
      <c r="E163" s="6">
        <f t="shared" si="54"/>
        <v>3200</v>
      </c>
      <c r="F163" s="6">
        <f t="shared" si="54"/>
        <v>3200</v>
      </c>
      <c r="G163" s="6">
        <f t="shared" si="54"/>
        <v>3200</v>
      </c>
      <c r="H163" s="6">
        <f t="shared" si="54"/>
        <v>3200</v>
      </c>
      <c r="I163" s="6">
        <f t="shared" si="54"/>
        <v>3200</v>
      </c>
      <c r="J163" s="6">
        <f t="shared" si="54"/>
        <v>3200</v>
      </c>
      <c r="K163" s="6">
        <f t="shared" si="54"/>
        <v>3200</v>
      </c>
      <c r="L163" s="6">
        <f t="shared" si="54"/>
        <v>3200</v>
      </c>
      <c r="M163" s="6">
        <f t="shared" si="54"/>
        <v>3200</v>
      </c>
      <c r="N163" s="6">
        <f t="shared" si="54"/>
        <v>3200</v>
      </c>
      <c r="O163" s="6">
        <f t="shared" si="54"/>
        <v>3200</v>
      </c>
      <c r="P163" s="6">
        <f t="shared" si="54"/>
        <v>3200</v>
      </c>
      <c r="Q163" s="8">
        <f t="shared" si="53"/>
        <v>38400</v>
      </c>
    </row>
    <row r="164" spans="2:17" x14ac:dyDescent="0.35">
      <c r="B164" s="79" t="str">
        <f t="shared" si="52"/>
        <v>7010-12339</v>
      </c>
      <c r="D164" s="6" t="str">
        <f t="shared" si="50"/>
        <v>CBRO, LLC</v>
      </c>
      <c r="E164" s="6">
        <f t="shared" si="54"/>
        <v>2096.67</v>
      </c>
      <c r="F164" s="6">
        <f t="shared" si="54"/>
        <v>2096.67</v>
      </c>
      <c r="G164" s="6">
        <f t="shared" si="54"/>
        <v>2096.67</v>
      </c>
      <c r="H164" s="6">
        <f t="shared" si="54"/>
        <v>2096.67</v>
      </c>
      <c r="I164" s="6">
        <f t="shared" si="54"/>
        <v>2096.67</v>
      </c>
      <c r="J164" s="6">
        <f t="shared" si="54"/>
        <v>2096.67</v>
      </c>
      <c r="K164" s="6">
        <f t="shared" si="54"/>
        <v>2096.67</v>
      </c>
      <c r="L164" s="6">
        <f t="shared" si="54"/>
        <v>2096.67</v>
      </c>
      <c r="M164" s="6">
        <f t="shared" si="54"/>
        <v>2096.67</v>
      </c>
      <c r="N164" s="6">
        <f t="shared" si="54"/>
        <v>2096.67</v>
      </c>
      <c r="O164" s="6">
        <f t="shared" si="54"/>
        <v>2096.67</v>
      </c>
      <c r="P164" s="6">
        <f t="shared" si="54"/>
        <v>2096.67</v>
      </c>
      <c r="Q164" s="8">
        <f t="shared" si="53"/>
        <v>25160.039999999994</v>
      </c>
    </row>
    <row r="165" spans="2:17" x14ac:dyDescent="0.35">
      <c r="B165" s="79" t="str">
        <f t="shared" si="52"/>
        <v>7010-12341</v>
      </c>
      <c r="D165" s="6" t="str">
        <f t="shared" si="50"/>
        <v>Hair Wizards</v>
      </c>
      <c r="E165" s="6">
        <f t="shared" ref="E165:P175" si="55">SUMIF($B$181:$B$211,$B165,E$181:E$211)+SUMIF($B$217:$B$247,$B165,E$217:E$247)</f>
        <v>2096.67</v>
      </c>
      <c r="F165" s="6">
        <f t="shared" si="55"/>
        <v>2096.67</v>
      </c>
      <c r="G165" s="6">
        <f t="shared" si="55"/>
        <v>2096.67</v>
      </c>
      <c r="H165" s="6">
        <f t="shared" si="55"/>
        <v>2096.67</v>
      </c>
      <c r="I165" s="6">
        <f t="shared" si="55"/>
        <v>2096.67</v>
      </c>
      <c r="J165" s="6">
        <f t="shared" si="55"/>
        <v>2096.67</v>
      </c>
      <c r="K165" s="6">
        <f t="shared" si="55"/>
        <v>2096.67</v>
      </c>
      <c r="L165" s="6">
        <f t="shared" si="55"/>
        <v>2096.67</v>
      </c>
      <c r="M165" s="6">
        <f t="shared" si="55"/>
        <v>2096.67</v>
      </c>
      <c r="N165" s="6">
        <f t="shared" si="55"/>
        <v>2096.6666666666665</v>
      </c>
      <c r="O165" s="6">
        <f t="shared" si="55"/>
        <v>2096.6666666666665</v>
      </c>
      <c r="P165" s="6">
        <f t="shared" si="55"/>
        <v>2096.6666666666665</v>
      </c>
      <c r="Q165" s="8">
        <f t="shared" si="53"/>
        <v>25160.030000000002</v>
      </c>
    </row>
    <row r="166" spans="2:17" x14ac:dyDescent="0.35">
      <c r="B166" s="79" t="str">
        <f t="shared" si="52"/>
        <v>7010-12343</v>
      </c>
      <c r="D166" s="6" t="str">
        <f t="shared" si="50"/>
        <v>Philadelphia Flower Co.</v>
      </c>
      <c r="E166" s="6">
        <f t="shared" si="55"/>
        <v>2400</v>
      </c>
      <c r="F166" s="6">
        <f t="shared" si="55"/>
        <v>2400</v>
      </c>
      <c r="G166" s="6">
        <f t="shared" si="55"/>
        <v>2400</v>
      </c>
      <c r="H166" s="6">
        <f t="shared" si="55"/>
        <v>2400</v>
      </c>
      <c r="I166" s="6">
        <f t="shared" si="55"/>
        <v>2400</v>
      </c>
      <c r="J166" s="6">
        <f t="shared" si="55"/>
        <v>2400</v>
      </c>
      <c r="K166" s="6">
        <f t="shared" si="55"/>
        <v>2400</v>
      </c>
      <c r="L166" s="6">
        <f t="shared" si="55"/>
        <v>2400</v>
      </c>
      <c r="M166" s="6">
        <f t="shared" si="55"/>
        <v>2400</v>
      </c>
      <c r="N166" s="6">
        <f t="shared" si="55"/>
        <v>2400</v>
      </c>
      <c r="O166" s="6">
        <f t="shared" si="55"/>
        <v>2400</v>
      </c>
      <c r="P166" s="6">
        <f t="shared" si="55"/>
        <v>2400</v>
      </c>
      <c r="Q166" s="8">
        <f t="shared" si="53"/>
        <v>28800</v>
      </c>
    </row>
    <row r="167" spans="2:17" x14ac:dyDescent="0.35">
      <c r="B167" s="79" t="str">
        <f t="shared" si="52"/>
        <v>7010-12345</v>
      </c>
      <c r="D167" s="6" t="str">
        <f t="shared" si="50"/>
        <v>Nail Time</v>
      </c>
      <c r="E167" s="6">
        <f t="shared" si="55"/>
        <v>2520</v>
      </c>
      <c r="F167" s="6">
        <f t="shared" si="55"/>
        <v>2520</v>
      </c>
      <c r="G167" s="6">
        <f t="shared" si="55"/>
        <v>2520</v>
      </c>
      <c r="H167" s="6">
        <f t="shared" si="55"/>
        <v>2520</v>
      </c>
      <c r="I167" s="6">
        <f t="shared" si="55"/>
        <v>2520</v>
      </c>
      <c r="J167" s="6">
        <f t="shared" si="55"/>
        <v>2520</v>
      </c>
      <c r="K167" s="6">
        <f t="shared" si="55"/>
        <v>2760</v>
      </c>
      <c r="L167" s="6">
        <f t="shared" si="55"/>
        <v>2760</v>
      </c>
      <c r="M167" s="6">
        <f t="shared" si="55"/>
        <v>2760</v>
      </c>
      <c r="N167" s="6">
        <f t="shared" si="55"/>
        <v>2760</v>
      </c>
      <c r="O167" s="6">
        <f t="shared" si="55"/>
        <v>2760</v>
      </c>
      <c r="P167" s="6">
        <f t="shared" si="55"/>
        <v>2760</v>
      </c>
      <c r="Q167" s="8">
        <f t="shared" si="53"/>
        <v>31680</v>
      </c>
    </row>
    <row r="168" spans="2:17" x14ac:dyDescent="0.35">
      <c r="B168" s="79" t="str">
        <f t="shared" si="52"/>
        <v>7010-12347</v>
      </c>
      <c r="D168" s="6" t="str">
        <f t="shared" si="50"/>
        <v>North, Inc.</v>
      </c>
      <c r="E168" s="6">
        <f t="shared" si="55"/>
        <v>6398.33</v>
      </c>
      <c r="F168" s="6">
        <f t="shared" si="55"/>
        <v>6398.33</v>
      </c>
      <c r="G168" s="6">
        <f t="shared" si="55"/>
        <v>6398.33</v>
      </c>
      <c r="H168" s="6">
        <f t="shared" si="55"/>
        <v>6398.33</v>
      </c>
      <c r="I168" s="6">
        <f t="shared" si="55"/>
        <v>6398.33</v>
      </c>
      <c r="J168" s="6">
        <f t="shared" si="55"/>
        <v>6398.33</v>
      </c>
      <c r="K168" s="6">
        <f t="shared" si="55"/>
        <v>6398.33</v>
      </c>
      <c r="L168" s="6">
        <f t="shared" si="55"/>
        <v>6398.33</v>
      </c>
      <c r="M168" s="6">
        <f t="shared" si="55"/>
        <v>6398.33</v>
      </c>
      <c r="N168" s="6">
        <f t="shared" si="55"/>
        <v>6398.33</v>
      </c>
      <c r="O168" s="6">
        <f t="shared" si="55"/>
        <v>6398.33</v>
      </c>
      <c r="P168" s="6">
        <f t="shared" si="55"/>
        <v>6398.33</v>
      </c>
      <c r="Q168" s="8">
        <f t="shared" si="53"/>
        <v>76779.960000000006</v>
      </c>
    </row>
    <row r="169" spans="2:17" x14ac:dyDescent="0.35">
      <c r="B169" s="79" t="str">
        <f t="shared" si="52"/>
        <v>7010-12353</v>
      </c>
      <c r="D169" s="6" t="str">
        <f t="shared" si="50"/>
        <v>Zen Serenity Massage &amp; Facial</v>
      </c>
      <c r="E169" s="6">
        <f t="shared" si="55"/>
        <v>2799.04</v>
      </c>
      <c r="F169" s="6">
        <f t="shared" si="55"/>
        <v>2799.04</v>
      </c>
      <c r="G169" s="6">
        <f t="shared" si="55"/>
        <v>2799.04</v>
      </c>
      <c r="H169" s="6">
        <f t="shared" si="55"/>
        <v>2799.04</v>
      </c>
      <c r="I169" s="6">
        <f t="shared" si="55"/>
        <v>2799.04</v>
      </c>
      <c r="J169" s="6">
        <f t="shared" si="55"/>
        <v>2799.04</v>
      </c>
      <c r="K169" s="6">
        <f t="shared" si="55"/>
        <v>2799.04</v>
      </c>
      <c r="L169" s="6">
        <f t="shared" si="55"/>
        <v>2799.04</v>
      </c>
      <c r="M169" s="6">
        <f t="shared" si="55"/>
        <v>2799.04</v>
      </c>
      <c r="N169" s="6">
        <f t="shared" si="55"/>
        <v>2799.04</v>
      </c>
      <c r="O169" s="6">
        <f t="shared" si="55"/>
        <v>2799.04</v>
      </c>
      <c r="P169" s="6">
        <f t="shared" si="55"/>
        <v>2799.04</v>
      </c>
      <c r="Q169" s="8">
        <f t="shared" si="53"/>
        <v>33588.480000000003</v>
      </c>
    </row>
    <row r="170" spans="2:17" x14ac:dyDescent="0.35">
      <c r="B170" s="79" t="str">
        <f t="shared" si="52"/>
        <v>7010-12355</v>
      </c>
      <c r="D170" s="6" t="str">
        <f t="shared" si="50"/>
        <v>Shake4u</v>
      </c>
      <c r="E170" s="6">
        <f t="shared" si="55"/>
        <v>2016</v>
      </c>
      <c r="F170" s="6">
        <f t="shared" si="55"/>
        <v>2016</v>
      </c>
      <c r="G170" s="6">
        <f t="shared" si="55"/>
        <v>2016</v>
      </c>
      <c r="H170" s="6">
        <f t="shared" si="55"/>
        <v>2016</v>
      </c>
      <c r="I170" s="6">
        <f t="shared" si="55"/>
        <v>2016</v>
      </c>
      <c r="J170" s="6">
        <f t="shared" si="55"/>
        <v>2016</v>
      </c>
      <c r="K170" s="6">
        <f t="shared" si="55"/>
        <v>2016</v>
      </c>
      <c r="L170" s="6">
        <f t="shared" si="55"/>
        <v>2016</v>
      </c>
      <c r="M170" s="6">
        <f t="shared" si="55"/>
        <v>2016</v>
      </c>
      <c r="N170" s="6">
        <f t="shared" si="55"/>
        <v>2016</v>
      </c>
      <c r="O170" s="6">
        <f t="shared" si="55"/>
        <v>2016</v>
      </c>
      <c r="P170" s="6">
        <f t="shared" si="55"/>
        <v>2016</v>
      </c>
      <c r="Q170" s="8">
        <f t="shared" si="53"/>
        <v>24192</v>
      </c>
    </row>
    <row r="171" spans="2:17" x14ac:dyDescent="0.35">
      <c r="B171" s="79" t="str">
        <f t="shared" si="52"/>
        <v>7010-12357</v>
      </c>
      <c r="D171" s="6" t="str">
        <f t="shared" si="50"/>
        <v>We Rock the Spectrum</v>
      </c>
      <c r="E171" s="6">
        <f t="shared" si="55"/>
        <v>4976.28</v>
      </c>
      <c r="F171" s="6">
        <f t="shared" si="55"/>
        <v>4976.28</v>
      </c>
      <c r="G171" s="6">
        <f t="shared" si="55"/>
        <v>4976.28</v>
      </c>
      <c r="H171" s="6">
        <f t="shared" si="55"/>
        <v>4976.28</v>
      </c>
      <c r="I171" s="6">
        <f t="shared" si="55"/>
        <v>4976.28</v>
      </c>
      <c r="J171" s="6">
        <f t="shared" si="55"/>
        <v>4976.28</v>
      </c>
      <c r="K171" s="6">
        <f t="shared" si="55"/>
        <v>4976.28</v>
      </c>
      <c r="L171" s="6">
        <f t="shared" si="55"/>
        <v>5037</v>
      </c>
      <c r="M171" s="6">
        <f t="shared" si="55"/>
        <v>5037</v>
      </c>
      <c r="N171" s="6">
        <f t="shared" si="55"/>
        <v>5037</v>
      </c>
      <c r="O171" s="6">
        <f t="shared" si="55"/>
        <v>5037</v>
      </c>
      <c r="P171" s="6">
        <f t="shared" si="55"/>
        <v>5037</v>
      </c>
      <c r="Q171" s="8">
        <f t="shared" si="53"/>
        <v>60018.96</v>
      </c>
    </row>
    <row r="172" spans="2:17" x14ac:dyDescent="0.35">
      <c r="B172" s="79" t="str">
        <f t="shared" si="52"/>
        <v>7010-12360</v>
      </c>
      <c r="D172" s="6" t="str">
        <f t="shared" si="50"/>
        <v>Trumark Financial Credit Union</v>
      </c>
      <c r="E172" s="6">
        <f t="shared" si="55"/>
        <v>5000</v>
      </c>
      <c r="F172" s="6">
        <f t="shared" si="55"/>
        <v>5000</v>
      </c>
      <c r="G172" s="6">
        <f t="shared" si="55"/>
        <v>5000</v>
      </c>
      <c r="H172" s="6">
        <f t="shared" si="55"/>
        <v>5000</v>
      </c>
      <c r="I172" s="6">
        <f t="shared" si="55"/>
        <v>5000</v>
      </c>
      <c r="J172" s="6">
        <f t="shared" si="55"/>
        <v>5000</v>
      </c>
      <c r="K172" s="6">
        <f t="shared" si="55"/>
        <v>5000</v>
      </c>
      <c r="L172" s="6">
        <f t="shared" si="55"/>
        <v>5000</v>
      </c>
      <c r="M172" s="6">
        <f t="shared" si="55"/>
        <v>5000</v>
      </c>
      <c r="N172" s="6">
        <f t="shared" si="55"/>
        <v>5000</v>
      </c>
      <c r="O172" s="6">
        <f t="shared" si="55"/>
        <v>5000</v>
      </c>
      <c r="P172" s="6">
        <f t="shared" si="55"/>
        <v>5000</v>
      </c>
      <c r="Q172" s="8">
        <f t="shared" si="53"/>
        <v>60000</v>
      </c>
    </row>
    <row r="173" spans="2:17" x14ac:dyDescent="0.35">
      <c r="B173" s="79" t="str">
        <f t="shared" si="52"/>
        <v>7010-12361</v>
      </c>
      <c r="D173" s="6" t="str">
        <f t="shared" si="50"/>
        <v>Senator Joseph S. Picozzi</v>
      </c>
      <c r="E173" s="6">
        <f t="shared" si="55"/>
        <v>3418.14</v>
      </c>
      <c r="F173" s="6">
        <f t="shared" si="55"/>
        <v>3418.14</v>
      </c>
      <c r="G173" s="6">
        <f t="shared" si="55"/>
        <v>3418.14</v>
      </c>
      <c r="H173" s="6">
        <f t="shared" si="55"/>
        <v>3418.14</v>
      </c>
      <c r="I173" s="6">
        <f t="shared" si="55"/>
        <v>3418.14</v>
      </c>
      <c r="J173" s="6">
        <f t="shared" si="55"/>
        <v>3418.14</v>
      </c>
      <c r="K173" s="6">
        <f t="shared" si="55"/>
        <v>3418.14</v>
      </c>
      <c r="L173" s="6">
        <f t="shared" si="55"/>
        <v>3418.14</v>
      </c>
      <c r="M173" s="6">
        <f t="shared" si="55"/>
        <v>3418.14</v>
      </c>
      <c r="N173" s="6">
        <f t="shared" si="55"/>
        <v>3418.14</v>
      </c>
      <c r="O173" s="6">
        <f t="shared" si="55"/>
        <v>3418.14</v>
      </c>
      <c r="P173" s="6">
        <f t="shared" si="55"/>
        <v>3418.14</v>
      </c>
      <c r="Q173" s="8">
        <f t="shared" si="53"/>
        <v>41017.68</v>
      </c>
    </row>
    <row r="174" spans="2:17" x14ac:dyDescent="0.35">
      <c r="B174" s="79" t="str">
        <f t="shared" si="52"/>
        <v>7010-12363</v>
      </c>
      <c r="D174" s="6" t="str">
        <f t="shared" si="50"/>
        <v>Philly Soft Pretzel Factory</v>
      </c>
      <c r="E174" s="6">
        <f t="shared" si="55"/>
        <v>3313.33</v>
      </c>
      <c r="F174" s="6">
        <f t="shared" si="55"/>
        <v>3313.33</v>
      </c>
      <c r="G174" s="6">
        <f t="shared" si="55"/>
        <v>3313.33</v>
      </c>
      <c r="H174" s="6">
        <f t="shared" si="55"/>
        <v>3129.4433333333332</v>
      </c>
      <c r="I174" s="6">
        <f t="shared" si="55"/>
        <v>3129.4433333333332</v>
      </c>
      <c r="J174" s="6">
        <f t="shared" si="55"/>
        <v>3129.4433333333332</v>
      </c>
      <c r="K174" s="6">
        <f t="shared" si="55"/>
        <v>3129.4433333333332</v>
      </c>
      <c r="L174" s="6">
        <f t="shared" si="55"/>
        <v>3129.4433333333332</v>
      </c>
      <c r="M174" s="6">
        <f t="shared" si="55"/>
        <v>3129.4433333333332</v>
      </c>
      <c r="N174" s="6">
        <f t="shared" si="55"/>
        <v>3129.4433333333332</v>
      </c>
      <c r="O174" s="6">
        <f t="shared" si="55"/>
        <v>3129.4433333333332</v>
      </c>
      <c r="P174" s="6">
        <f t="shared" si="55"/>
        <v>3129.4433333333332</v>
      </c>
      <c r="Q174" s="8">
        <f t="shared" si="53"/>
        <v>38104.980000000003</v>
      </c>
    </row>
    <row r="175" spans="2:17" x14ac:dyDescent="0.35">
      <c r="B175" s="227" t="str">
        <f t="shared" si="52"/>
        <v>7010-12375</v>
      </c>
      <c r="C175" s="15"/>
      <c r="D175" s="15" t="str">
        <f t="shared" si="50"/>
        <v>Dunkin Donuts</v>
      </c>
      <c r="E175" s="15">
        <f t="shared" si="55"/>
        <v>5166.67</v>
      </c>
      <c r="F175" s="15">
        <f t="shared" si="55"/>
        <v>5166.67</v>
      </c>
      <c r="G175" s="15">
        <f t="shared" si="55"/>
        <v>5166.67</v>
      </c>
      <c r="H175" s="15">
        <f t="shared" si="55"/>
        <v>5166.67</v>
      </c>
      <c r="I175" s="15">
        <f t="shared" si="55"/>
        <v>5166.67</v>
      </c>
      <c r="J175" s="15">
        <f t="shared" si="55"/>
        <v>5166.67</v>
      </c>
      <c r="K175" s="15">
        <f t="shared" si="55"/>
        <v>5166.67</v>
      </c>
      <c r="L175" s="15">
        <f t="shared" si="55"/>
        <v>5581.333333333333</v>
      </c>
      <c r="M175" s="15">
        <f t="shared" si="55"/>
        <v>5581.333333333333</v>
      </c>
      <c r="N175" s="15">
        <f t="shared" si="55"/>
        <v>5581.333333333333</v>
      </c>
      <c r="O175" s="15">
        <f t="shared" si="55"/>
        <v>5581.333333333333</v>
      </c>
      <c r="P175" s="15">
        <f t="shared" si="55"/>
        <v>5581.333333333333</v>
      </c>
      <c r="Q175" s="49">
        <f t="shared" si="53"/>
        <v>64073.356666666674</v>
      </c>
    </row>
    <row r="176" spans="2:17" x14ac:dyDescent="0.35">
      <c r="B176" s="3"/>
      <c r="D176" s="16"/>
      <c r="E176" s="8">
        <f t="shared" ref="E176:Q176" si="56">SUM(E145:E175)</f>
        <v>91393.069999999992</v>
      </c>
      <c r="F176" s="8">
        <f t="shared" si="56"/>
        <v>91423.069999999992</v>
      </c>
      <c r="G176" s="8">
        <f t="shared" si="56"/>
        <v>91423.069999999992</v>
      </c>
      <c r="H176" s="8">
        <f t="shared" si="56"/>
        <v>91239.18333333332</v>
      </c>
      <c r="I176" s="8">
        <f t="shared" si="56"/>
        <v>91239.18333333332</v>
      </c>
      <c r="J176" s="8">
        <f t="shared" si="56"/>
        <v>91239.18333333332</v>
      </c>
      <c r="K176" s="8">
        <f t="shared" si="56"/>
        <v>92416.869166666656</v>
      </c>
      <c r="L176" s="8">
        <f t="shared" si="56"/>
        <v>92892.252499999988</v>
      </c>
      <c r="M176" s="8">
        <f t="shared" si="56"/>
        <v>94012.517499999987</v>
      </c>
      <c r="N176" s="8">
        <f t="shared" si="56"/>
        <v>93194.53916666664</v>
      </c>
      <c r="O176" s="8">
        <f t="shared" si="56"/>
        <v>93194.53916666664</v>
      </c>
      <c r="P176" s="8">
        <f t="shared" si="56"/>
        <v>93194.53916666664</v>
      </c>
      <c r="Q176" s="8">
        <f t="shared" si="56"/>
        <v>1106862.0166666666</v>
      </c>
    </row>
    <row r="177" spans="1:21" x14ac:dyDescent="0.35">
      <c r="B177" s="3"/>
      <c r="E177" s="55">
        <f t="shared" ref="E177:Q177" si="57">(E10+E11)-E176</f>
        <v>0</v>
      </c>
      <c r="F177" s="55">
        <f t="shared" si="57"/>
        <v>0</v>
      </c>
      <c r="G177" s="55">
        <f t="shared" si="57"/>
        <v>0</v>
      </c>
      <c r="H177" s="55">
        <f t="shared" si="57"/>
        <v>0</v>
      </c>
      <c r="I177" s="55">
        <f t="shared" si="57"/>
        <v>0</v>
      </c>
      <c r="J177" s="55">
        <f t="shared" si="57"/>
        <v>0</v>
      </c>
      <c r="K177" s="55">
        <f t="shared" si="57"/>
        <v>0</v>
      </c>
      <c r="L177" s="55">
        <f t="shared" si="57"/>
        <v>0</v>
      </c>
      <c r="M177" s="55">
        <f t="shared" si="57"/>
        <v>0</v>
      </c>
      <c r="N177" s="55">
        <f t="shared" si="57"/>
        <v>0</v>
      </c>
      <c r="O177" s="55">
        <f t="shared" si="57"/>
        <v>0</v>
      </c>
      <c r="P177" s="55">
        <f t="shared" si="57"/>
        <v>0</v>
      </c>
      <c r="Q177" s="55">
        <f t="shared" si="57"/>
        <v>0</v>
      </c>
    </row>
    <row r="178" spans="1:21" x14ac:dyDescent="0.35">
      <c r="B178" s="3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</row>
    <row r="179" spans="1:21" ht="17.5" x14ac:dyDescent="0.35">
      <c r="A179" s="356"/>
      <c r="B179" s="352" t="s">
        <v>159</v>
      </c>
      <c r="E179" s="336"/>
      <c r="F179" s="336"/>
      <c r="G179" s="336"/>
      <c r="H179" s="336"/>
      <c r="I179" s="336"/>
      <c r="J179" s="336"/>
      <c r="K179" s="336"/>
      <c r="L179" s="336"/>
      <c r="M179" s="336"/>
      <c r="N179" s="336"/>
      <c r="O179" s="336"/>
      <c r="P179" s="336"/>
      <c r="S179" s="23"/>
      <c r="T179" s="6"/>
      <c r="U179" s="6"/>
    </row>
    <row r="180" spans="1:21" hidden="1" outlineLevel="1" x14ac:dyDescent="0.35">
      <c r="B180" s="15" t="s">
        <v>503</v>
      </c>
      <c r="C180" s="15"/>
      <c r="D180" s="15" t="s">
        <v>302</v>
      </c>
      <c r="E180" s="338">
        <v>46023</v>
      </c>
      <c r="F180" s="338">
        <v>46054</v>
      </c>
      <c r="G180" s="338">
        <v>46082</v>
      </c>
      <c r="H180" s="338">
        <v>46113</v>
      </c>
      <c r="I180" s="338">
        <v>46143</v>
      </c>
      <c r="J180" s="338">
        <v>46174</v>
      </c>
      <c r="K180" s="338">
        <v>46204</v>
      </c>
      <c r="L180" s="338">
        <v>46235</v>
      </c>
      <c r="M180" s="338">
        <v>46266</v>
      </c>
      <c r="N180" s="338">
        <v>46296</v>
      </c>
      <c r="O180" s="338">
        <v>46327</v>
      </c>
      <c r="P180" s="338">
        <v>46357</v>
      </c>
      <c r="Q180" s="285" t="s">
        <v>12</v>
      </c>
      <c r="R180" s="23"/>
      <c r="S180" s="23"/>
      <c r="T180" s="6"/>
      <c r="U180" s="6"/>
    </row>
    <row r="181" spans="1:21" hidden="1" outlineLevel="1" x14ac:dyDescent="0.35">
      <c r="B181" s="339" t="s">
        <v>398</v>
      </c>
      <c r="C181" s="341"/>
      <c r="D181" s="6" t="str">
        <f>IFERROR(VLOOKUP(B181,'In Place Revenue'!$B$2:$H$630,2,FALSE),VLOOKUP(B181,$B$217:$D$247,3,FALSE))</f>
        <v>Foot and Ankle Center of Phila</v>
      </c>
      <c r="E181" s="6">
        <f>SUMIFS('In Place Revenue'!$G$2:$G$764,'In Place Revenue'!$B$2:$B$764,$B181,'In Place Revenue'!$D$2:$D$764,E$180)</f>
        <v>5125</v>
      </c>
      <c r="F181" s="6">
        <f>SUMIFS('In Place Revenue'!$G$2:$G$764,'In Place Revenue'!$B$2:$B$764,$B181,'In Place Revenue'!$D$2:$D$764,F$180)</f>
        <v>5125</v>
      </c>
      <c r="G181" s="6">
        <f>SUMIFS('In Place Revenue'!$G$2:$G$764,'In Place Revenue'!$B$2:$B$764,$B181,'In Place Revenue'!$D$2:$D$764,G$180)</f>
        <v>5125</v>
      </c>
      <c r="H181" s="6">
        <f>SUMIFS('In Place Revenue'!$G$2:$G$764,'In Place Revenue'!$B$2:$B$764,$B181,'In Place Revenue'!$D$2:$D$764,H$180)</f>
        <v>5125</v>
      </c>
      <c r="I181" s="6">
        <f>SUMIFS('In Place Revenue'!$G$2:$G$764,'In Place Revenue'!$B$2:$B$764,$B181,'In Place Revenue'!$D$2:$D$764,I$180)</f>
        <v>5125</v>
      </c>
      <c r="J181" s="6">
        <f>SUMIFS('In Place Revenue'!$G$2:$G$764,'In Place Revenue'!$B$2:$B$764,$B181,'In Place Revenue'!$D$2:$D$764,J$180)</f>
        <v>5125</v>
      </c>
      <c r="K181" s="6">
        <f>SUMIFS('In Place Revenue'!$G$2:$G$764,'In Place Revenue'!$B$2:$B$764,$B181,'In Place Revenue'!$D$2:$D$764,K$180)</f>
        <v>0</v>
      </c>
      <c r="L181" s="6">
        <f>SUMIFS('In Place Revenue'!$G$2:$G$764,'In Place Revenue'!$B$2:$B$764,$B181,'In Place Revenue'!$D$2:$D$764,L$180)</f>
        <v>0</v>
      </c>
      <c r="M181" s="6">
        <f>SUMIFS('In Place Revenue'!$G$2:$G$764,'In Place Revenue'!$B$2:$B$764,$B181,'In Place Revenue'!$D$2:$D$764,M$180)</f>
        <v>0</v>
      </c>
      <c r="N181" s="6">
        <f>SUMIFS('In Place Revenue'!$G$2:$G$764,'In Place Revenue'!$B$2:$B$764,$B181,'In Place Revenue'!$D$2:$D$764,N$180)</f>
        <v>0</v>
      </c>
      <c r="O181" s="6">
        <f>SUMIFS('In Place Revenue'!$G$2:$G$764,'In Place Revenue'!$B$2:$B$764,$B181,'In Place Revenue'!$D$2:$D$764,O$180)</f>
        <v>0</v>
      </c>
      <c r="P181" s="6">
        <f>SUMIFS('In Place Revenue'!$G$2:$G$764,'In Place Revenue'!$B$2:$B$764,$B181,'In Place Revenue'!$D$2:$D$764,P$180)</f>
        <v>0</v>
      </c>
      <c r="Q181" s="8">
        <f>SUM(E181:P181)</f>
        <v>30750</v>
      </c>
    </row>
    <row r="182" spans="1:21" hidden="1" outlineLevel="1" x14ac:dyDescent="0.35">
      <c r="B182" s="339" t="s">
        <v>399</v>
      </c>
      <c r="C182" s="341"/>
      <c r="D182" s="6" t="str">
        <f>IFERROR(VLOOKUP(B182,'In Place Revenue'!$B$2:$H$630,2,FALSE),VLOOKUP(B182,$B$217:$D$247,3,FALSE))</f>
        <v>Parkwood Medical Practice P.C.</v>
      </c>
      <c r="E182" s="6">
        <f>SUMIFS('In Place Revenue'!$G$2:$G$764,'In Place Revenue'!$B$2:$B$764,$B182,'In Place Revenue'!$D$2:$D$764,E$180)</f>
        <v>3977.98</v>
      </c>
      <c r="F182" s="6">
        <f>SUMIFS('In Place Revenue'!$G$2:$G$764,'In Place Revenue'!$B$2:$B$764,$B182,'In Place Revenue'!$D$2:$D$764,F$180)</f>
        <v>3977.98</v>
      </c>
      <c r="G182" s="6">
        <f>SUMIFS('In Place Revenue'!$G$2:$G$764,'In Place Revenue'!$B$2:$B$764,$B182,'In Place Revenue'!$D$2:$D$764,G$180)</f>
        <v>3977.98</v>
      </c>
      <c r="H182" s="6">
        <f>SUMIFS('In Place Revenue'!$G$2:$G$764,'In Place Revenue'!$B$2:$B$764,$B182,'In Place Revenue'!$D$2:$D$764,H$180)</f>
        <v>3977.98</v>
      </c>
      <c r="I182" s="6">
        <f>SUMIFS('In Place Revenue'!$G$2:$G$764,'In Place Revenue'!$B$2:$B$764,$B182,'In Place Revenue'!$D$2:$D$764,I$180)</f>
        <v>3977.98</v>
      </c>
      <c r="J182" s="6">
        <f>SUMIFS('In Place Revenue'!$G$2:$G$764,'In Place Revenue'!$B$2:$B$764,$B182,'In Place Revenue'!$D$2:$D$764,J$180)</f>
        <v>3977.98</v>
      </c>
      <c r="K182" s="6">
        <f>SUMIFS('In Place Revenue'!$G$2:$G$764,'In Place Revenue'!$B$2:$B$764,$B182,'In Place Revenue'!$D$2:$D$764,K$180)</f>
        <v>3977.98</v>
      </c>
      <c r="L182" s="6">
        <f>SUMIFS('In Place Revenue'!$G$2:$G$764,'In Place Revenue'!$B$2:$B$764,$B182,'In Place Revenue'!$D$2:$D$764,L$180)</f>
        <v>3977.98</v>
      </c>
      <c r="M182" s="6">
        <f>SUMIFS('In Place Revenue'!$G$2:$G$764,'In Place Revenue'!$B$2:$B$764,$B182,'In Place Revenue'!$D$2:$D$764,M$180)</f>
        <v>3977.98</v>
      </c>
      <c r="N182" s="6">
        <f>SUMIFS('In Place Revenue'!$G$2:$G$764,'In Place Revenue'!$B$2:$B$764,$B182,'In Place Revenue'!$D$2:$D$764,N$180)</f>
        <v>0</v>
      </c>
      <c r="O182" s="6">
        <f>SUMIFS('In Place Revenue'!$G$2:$G$764,'In Place Revenue'!$B$2:$B$764,$B182,'In Place Revenue'!$D$2:$D$764,O$180)</f>
        <v>0</v>
      </c>
      <c r="P182" s="6">
        <f>SUMIFS('In Place Revenue'!$G$2:$G$764,'In Place Revenue'!$B$2:$B$764,$B182,'In Place Revenue'!$D$2:$D$764,P$180)</f>
        <v>0</v>
      </c>
      <c r="Q182" s="8">
        <f t="shared" ref="Q182:Q211" si="58">SUM(E182:P182)</f>
        <v>35801.82</v>
      </c>
    </row>
    <row r="183" spans="1:21" hidden="1" outlineLevel="1" x14ac:dyDescent="0.35">
      <c r="B183" s="339" t="s">
        <v>510</v>
      </c>
      <c r="C183" s="341"/>
      <c r="D183" s="6" t="str">
        <f>IFERROR(VLOOKUP(B183,'In Place Revenue'!$B$2:$H$630,2,FALSE),VLOOKUP(B183,$B$217:$D$247,3,FALSE))</f>
        <v>VACANT</v>
      </c>
      <c r="E183" s="6">
        <f>SUMIFS('In Place Revenue'!$G$2:$G$764,'In Place Revenue'!$B$2:$B$764,$B183,'In Place Revenue'!$D$2:$D$764,E$180)</f>
        <v>0</v>
      </c>
      <c r="F183" s="6">
        <f>SUMIFS('In Place Revenue'!$G$2:$G$764,'In Place Revenue'!$B$2:$B$764,$B183,'In Place Revenue'!$D$2:$D$764,F$180)</f>
        <v>0</v>
      </c>
      <c r="G183" s="6">
        <f>SUMIFS('In Place Revenue'!$G$2:$G$764,'In Place Revenue'!$B$2:$B$764,$B183,'In Place Revenue'!$D$2:$D$764,G$180)</f>
        <v>0</v>
      </c>
      <c r="H183" s="6">
        <f>SUMIFS('In Place Revenue'!$G$2:$G$764,'In Place Revenue'!$B$2:$B$764,$B183,'In Place Revenue'!$D$2:$D$764,H$180)</f>
        <v>0</v>
      </c>
      <c r="I183" s="6">
        <f>SUMIFS('In Place Revenue'!$G$2:$G$764,'In Place Revenue'!$B$2:$B$764,$B183,'In Place Revenue'!$D$2:$D$764,I$180)</f>
        <v>0</v>
      </c>
      <c r="J183" s="6">
        <f>SUMIFS('In Place Revenue'!$G$2:$G$764,'In Place Revenue'!$B$2:$B$764,$B183,'In Place Revenue'!$D$2:$D$764,J$180)</f>
        <v>0</v>
      </c>
      <c r="K183" s="6">
        <f>SUMIFS('In Place Revenue'!$G$2:$G$764,'In Place Revenue'!$B$2:$B$764,$B183,'In Place Revenue'!$D$2:$D$764,K$180)</f>
        <v>0</v>
      </c>
      <c r="L183" s="6">
        <f>SUMIFS('In Place Revenue'!$G$2:$G$764,'In Place Revenue'!$B$2:$B$764,$B183,'In Place Revenue'!$D$2:$D$764,L$180)</f>
        <v>0</v>
      </c>
      <c r="M183" s="6">
        <f>SUMIFS('In Place Revenue'!$G$2:$G$764,'In Place Revenue'!$B$2:$B$764,$B183,'In Place Revenue'!$D$2:$D$764,M$180)</f>
        <v>0</v>
      </c>
      <c r="N183" s="6">
        <f>SUMIFS('In Place Revenue'!$G$2:$G$764,'In Place Revenue'!$B$2:$B$764,$B183,'In Place Revenue'!$D$2:$D$764,N$180)</f>
        <v>0</v>
      </c>
      <c r="O183" s="6">
        <f>SUMIFS('In Place Revenue'!$G$2:$G$764,'In Place Revenue'!$B$2:$B$764,$B183,'In Place Revenue'!$D$2:$D$764,O$180)</f>
        <v>0</v>
      </c>
      <c r="P183" s="6">
        <f>SUMIFS('In Place Revenue'!$G$2:$G$764,'In Place Revenue'!$B$2:$B$764,$B183,'In Place Revenue'!$D$2:$D$764,P$180)</f>
        <v>0</v>
      </c>
      <c r="Q183" s="8">
        <f t="shared" ref="Q183:Q189" si="59">SUM(E183:P183)</f>
        <v>0</v>
      </c>
    </row>
    <row r="184" spans="1:21" hidden="1" outlineLevel="1" x14ac:dyDescent="0.35">
      <c r="B184" s="339" t="s">
        <v>511</v>
      </c>
      <c r="C184" s="341"/>
      <c r="D184" s="6" t="str">
        <f>IFERROR(VLOOKUP(B184,'In Place Revenue'!$B$2:$H$630,2,FALSE),VLOOKUP(B184,$B$217:$D$247,3,FALSE))</f>
        <v>VACANT</v>
      </c>
      <c r="E184" s="6">
        <f>SUMIFS('In Place Revenue'!$G$2:$G$764,'In Place Revenue'!$B$2:$B$764,$B184,'In Place Revenue'!$D$2:$D$764,E$180)</f>
        <v>0</v>
      </c>
      <c r="F184" s="6">
        <f>SUMIFS('In Place Revenue'!$G$2:$G$764,'In Place Revenue'!$B$2:$B$764,$B184,'In Place Revenue'!$D$2:$D$764,F$180)</f>
        <v>0</v>
      </c>
      <c r="G184" s="6">
        <f>SUMIFS('In Place Revenue'!$G$2:$G$764,'In Place Revenue'!$B$2:$B$764,$B184,'In Place Revenue'!$D$2:$D$764,G$180)</f>
        <v>0</v>
      </c>
      <c r="H184" s="6">
        <f>SUMIFS('In Place Revenue'!$G$2:$G$764,'In Place Revenue'!$B$2:$B$764,$B184,'In Place Revenue'!$D$2:$D$764,H$180)</f>
        <v>0</v>
      </c>
      <c r="I184" s="6">
        <f>SUMIFS('In Place Revenue'!$G$2:$G$764,'In Place Revenue'!$B$2:$B$764,$B184,'In Place Revenue'!$D$2:$D$764,I$180)</f>
        <v>0</v>
      </c>
      <c r="J184" s="6">
        <f>SUMIFS('In Place Revenue'!$G$2:$G$764,'In Place Revenue'!$B$2:$B$764,$B184,'In Place Revenue'!$D$2:$D$764,J$180)</f>
        <v>0</v>
      </c>
      <c r="K184" s="6">
        <f>SUMIFS('In Place Revenue'!$G$2:$G$764,'In Place Revenue'!$B$2:$B$764,$B184,'In Place Revenue'!$D$2:$D$764,K$180)</f>
        <v>0</v>
      </c>
      <c r="L184" s="6">
        <f>SUMIFS('In Place Revenue'!$G$2:$G$764,'In Place Revenue'!$B$2:$B$764,$B184,'In Place Revenue'!$D$2:$D$764,L$180)</f>
        <v>0</v>
      </c>
      <c r="M184" s="6">
        <f>SUMIFS('In Place Revenue'!$G$2:$G$764,'In Place Revenue'!$B$2:$B$764,$B184,'In Place Revenue'!$D$2:$D$764,M$180)</f>
        <v>0</v>
      </c>
      <c r="N184" s="6">
        <f>SUMIFS('In Place Revenue'!$G$2:$G$764,'In Place Revenue'!$B$2:$B$764,$B184,'In Place Revenue'!$D$2:$D$764,N$180)</f>
        <v>0</v>
      </c>
      <c r="O184" s="6">
        <f>SUMIFS('In Place Revenue'!$G$2:$G$764,'In Place Revenue'!$B$2:$B$764,$B184,'In Place Revenue'!$D$2:$D$764,O$180)</f>
        <v>0</v>
      </c>
      <c r="P184" s="6">
        <f>SUMIFS('In Place Revenue'!$G$2:$G$764,'In Place Revenue'!$B$2:$B$764,$B184,'In Place Revenue'!$D$2:$D$764,P$180)</f>
        <v>0</v>
      </c>
      <c r="Q184" s="8">
        <f t="shared" si="59"/>
        <v>0</v>
      </c>
    </row>
    <row r="185" spans="1:21" hidden="1" outlineLevel="1" x14ac:dyDescent="0.35">
      <c r="B185" s="339" t="s">
        <v>512</v>
      </c>
      <c r="C185" s="341"/>
      <c r="D185" s="6" t="str">
        <f>IFERROR(VLOOKUP(B185,'In Place Revenue'!$B$2:$H$630,2,FALSE),VLOOKUP(B185,$B$217:$D$247,3,FALSE))</f>
        <v>VACANT</v>
      </c>
      <c r="E185" s="6">
        <f>SUMIFS('In Place Revenue'!$G$2:$G$764,'In Place Revenue'!$B$2:$B$764,$B185,'In Place Revenue'!$D$2:$D$764,E$180)</f>
        <v>0</v>
      </c>
      <c r="F185" s="6">
        <f>SUMIFS('In Place Revenue'!$G$2:$G$764,'In Place Revenue'!$B$2:$B$764,$B185,'In Place Revenue'!$D$2:$D$764,F$180)</f>
        <v>0</v>
      </c>
      <c r="G185" s="6">
        <f>SUMIFS('In Place Revenue'!$G$2:$G$764,'In Place Revenue'!$B$2:$B$764,$B185,'In Place Revenue'!$D$2:$D$764,G$180)</f>
        <v>0</v>
      </c>
      <c r="H185" s="6">
        <f>SUMIFS('In Place Revenue'!$G$2:$G$764,'In Place Revenue'!$B$2:$B$764,$B185,'In Place Revenue'!$D$2:$D$764,H$180)</f>
        <v>0</v>
      </c>
      <c r="I185" s="6">
        <f>SUMIFS('In Place Revenue'!$G$2:$G$764,'In Place Revenue'!$B$2:$B$764,$B185,'In Place Revenue'!$D$2:$D$764,I$180)</f>
        <v>0</v>
      </c>
      <c r="J185" s="6">
        <f>SUMIFS('In Place Revenue'!$G$2:$G$764,'In Place Revenue'!$B$2:$B$764,$B185,'In Place Revenue'!$D$2:$D$764,J$180)</f>
        <v>0</v>
      </c>
      <c r="K185" s="6">
        <f>SUMIFS('In Place Revenue'!$G$2:$G$764,'In Place Revenue'!$B$2:$B$764,$B185,'In Place Revenue'!$D$2:$D$764,K$180)</f>
        <v>0</v>
      </c>
      <c r="L185" s="6">
        <f>SUMIFS('In Place Revenue'!$G$2:$G$764,'In Place Revenue'!$B$2:$B$764,$B185,'In Place Revenue'!$D$2:$D$764,L$180)</f>
        <v>0</v>
      </c>
      <c r="M185" s="6">
        <f>SUMIFS('In Place Revenue'!$G$2:$G$764,'In Place Revenue'!$B$2:$B$764,$B185,'In Place Revenue'!$D$2:$D$764,M$180)</f>
        <v>0</v>
      </c>
      <c r="N185" s="6">
        <f>SUMIFS('In Place Revenue'!$G$2:$G$764,'In Place Revenue'!$B$2:$B$764,$B185,'In Place Revenue'!$D$2:$D$764,N$180)</f>
        <v>0</v>
      </c>
      <c r="O185" s="6">
        <f>SUMIFS('In Place Revenue'!$G$2:$G$764,'In Place Revenue'!$B$2:$B$764,$B185,'In Place Revenue'!$D$2:$D$764,O$180)</f>
        <v>0</v>
      </c>
      <c r="P185" s="6">
        <f>SUMIFS('In Place Revenue'!$G$2:$G$764,'In Place Revenue'!$B$2:$B$764,$B185,'In Place Revenue'!$D$2:$D$764,P$180)</f>
        <v>0</v>
      </c>
      <c r="Q185" s="8">
        <f t="shared" si="59"/>
        <v>0</v>
      </c>
    </row>
    <row r="186" spans="1:21" hidden="1" outlineLevel="1" x14ac:dyDescent="0.35">
      <c r="B186" s="339" t="s">
        <v>513</v>
      </c>
      <c r="C186" s="341"/>
      <c r="D186" s="6" t="str">
        <f>IFERROR(VLOOKUP(B186,'In Place Revenue'!$B$2:$H$630,2,FALSE),VLOOKUP(B186,$B$217:$D$247,3,FALSE))</f>
        <v>VACANT</v>
      </c>
      <c r="E186" s="6">
        <f>SUMIFS('In Place Revenue'!$G$2:$G$764,'In Place Revenue'!$B$2:$B$764,$B186,'In Place Revenue'!$D$2:$D$764,E$180)</f>
        <v>0</v>
      </c>
      <c r="F186" s="6">
        <f>SUMIFS('In Place Revenue'!$G$2:$G$764,'In Place Revenue'!$B$2:$B$764,$B186,'In Place Revenue'!$D$2:$D$764,F$180)</f>
        <v>0</v>
      </c>
      <c r="G186" s="6">
        <f>SUMIFS('In Place Revenue'!$G$2:$G$764,'In Place Revenue'!$B$2:$B$764,$B186,'In Place Revenue'!$D$2:$D$764,G$180)</f>
        <v>0</v>
      </c>
      <c r="H186" s="6">
        <f>SUMIFS('In Place Revenue'!$G$2:$G$764,'In Place Revenue'!$B$2:$B$764,$B186,'In Place Revenue'!$D$2:$D$764,H$180)</f>
        <v>0</v>
      </c>
      <c r="I186" s="6">
        <f>SUMIFS('In Place Revenue'!$G$2:$G$764,'In Place Revenue'!$B$2:$B$764,$B186,'In Place Revenue'!$D$2:$D$764,I$180)</f>
        <v>0</v>
      </c>
      <c r="J186" s="6">
        <f>SUMIFS('In Place Revenue'!$G$2:$G$764,'In Place Revenue'!$B$2:$B$764,$B186,'In Place Revenue'!$D$2:$D$764,J$180)</f>
        <v>0</v>
      </c>
      <c r="K186" s="6">
        <f>SUMIFS('In Place Revenue'!$G$2:$G$764,'In Place Revenue'!$B$2:$B$764,$B186,'In Place Revenue'!$D$2:$D$764,K$180)</f>
        <v>0</v>
      </c>
      <c r="L186" s="6">
        <f>SUMIFS('In Place Revenue'!$G$2:$G$764,'In Place Revenue'!$B$2:$B$764,$B186,'In Place Revenue'!$D$2:$D$764,L$180)</f>
        <v>0</v>
      </c>
      <c r="M186" s="6">
        <f>SUMIFS('In Place Revenue'!$G$2:$G$764,'In Place Revenue'!$B$2:$B$764,$B186,'In Place Revenue'!$D$2:$D$764,M$180)</f>
        <v>0</v>
      </c>
      <c r="N186" s="6">
        <f>SUMIFS('In Place Revenue'!$G$2:$G$764,'In Place Revenue'!$B$2:$B$764,$B186,'In Place Revenue'!$D$2:$D$764,N$180)</f>
        <v>0</v>
      </c>
      <c r="O186" s="6">
        <f>SUMIFS('In Place Revenue'!$G$2:$G$764,'In Place Revenue'!$B$2:$B$764,$B186,'In Place Revenue'!$D$2:$D$764,O$180)</f>
        <v>0</v>
      </c>
      <c r="P186" s="6">
        <f>SUMIFS('In Place Revenue'!$G$2:$G$764,'In Place Revenue'!$B$2:$B$764,$B186,'In Place Revenue'!$D$2:$D$764,P$180)</f>
        <v>0</v>
      </c>
      <c r="Q186" s="8">
        <f t="shared" si="59"/>
        <v>0</v>
      </c>
    </row>
    <row r="187" spans="1:21" hidden="1" outlineLevel="1" x14ac:dyDescent="0.35">
      <c r="B187" s="339" t="s">
        <v>514</v>
      </c>
      <c r="C187" s="341"/>
      <c r="D187" s="6" t="str">
        <f>IFERROR(VLOOKUP(B187,'In Place Revenue'!$B$2:$H$630,2,FALSE),VLOOKUP(B187,$B$217:$D$247,3,FALSE))</f>
        <v>VACANT</v>
      </c>
      <c r="E187" s="6">
        <f>SUMIFS('In Place Revenue'!$G$2:$G$764,'In Place Revenue'!$B$2:$B$764,$B187,'In Place Revenue'!$D$2:$D$764,E$180)</f>
        <v>0</v>
      </c>
      <c r="F187" s="6">
        <f>SUMIFS('In Place Revenue'!$G$2:$G$764,'In Place Revenue'!$B$2:$B$764,$B187,'In Place Revenue'!$D$2:$D$764,F$180)</f>
        <v>0</v>
      </c>
      <c r="G187" s="6">
        <f>SUMIFS('In Place Revenue'!$G$2:$G$764,'In Place Revenue'!$B$2:$B$764,$B187,'In Place Revenue'!$D$2:$D$764,G$180)</f>
        <v>0</v>
      </c>
      <c r="H187" s="6">
        <f>SUMIFS('In Place Revenue'!$G$2:$G$764,'In Place Revenue'!$B$2:$B$764,$B187,'In Place Revenue'!$D$2:$D$764,H$180)</f>
        <v>0</v>
      </c>
      <c r="I187" s="6">
        <f>SUMIFS('In Place Revenue'!$G$2:$G$764,'In Place Revenue'!$B$2:$B$764,$B187,'In Place Revenue'!$D$2:$D$764,I$180)</f>
        <v>0</v>
      </c>
      <c r="J187" s="6">
        <f>SUMIFS('In Place Revenue'!$G$2:$G$764,'In Place Revenue'!$B$2:$B$764,$B187,'In Place Revenue'!$D$2:$D$764,J$180)</f>
        <v>0</v>
      </c>
      <c r="K187" s="6">
        <f>SUMIFS('In Place Revenue'!$G$2:$G$764,'In Place Revenue'!$B$2:$B$764,$B187,'In Place Revenue'!$D$2:$D$764,K$180)</f>
        <v>0</v>
      </c>
      <c r="L187" s="6">
        <f>SUMIFS('In Place Revenue'!$G$2:$G$764,'In Place Revenue'!$B$2:$B$764,$B187,'In Place Revenue'!$D$2:$D$764,L$180)</f>
        <v>0</v>
      </c>
      <c r="M187" s="6">
        <f>SUMIFS('In Place Revenue'!$G$2:$G$764,'In Place Revenue'!$B$2:$B$764,$B187,'In Place Revenue'!$D$2:$D$764,M$180)</f>
        <v>0</v>
      </c>
      <c r="N187" s="6">
        <f>SUMIFS('In Place Revenue'!$G$2:$G$764,'In Place Revenue'!$B$2:$B$764,$B187,'In Place Revenue'!$D$2:$D$764,N$180)</f>
        <v>0</v>
      </c>
      <c r="O187" s="6">
        <f>SUMIFS('In Place Revenue'!$G$2:$G$764,'In Place Revenue'!$B$2:$B$764,$B187,'In Place Revenue'!$D$2:$D$764,O$180)</f>
        <v>0</v>
      </c>
      <c r="P187" s="6">
        <f>SUMIFS('In Place Revenue'!$G$2:$G$764,'In Place Revenue'!$B$2:$B$764,$B187,'In Place Revenue'!$D$2:$D$764,P$180)</f>
        <v>0</v>
      </c>
      <c r="Q187" s="8">
        <f t="shared" si="59"/>
        <v>0</v>
      </c>
    </row>
    <row r="188" spans="1:21" hidden="1" outlineLevel="1" x14ac:dyDescent="0.35">
      <c r="B188" s="339" t="s">
        <v>515</v>
      </c>
      <c r="C188" s="341"/>
      <c r="D188" s="6" t="str">
        <f>IFERROR(VLOOKUP(B188,'In Place Revenue'!$B$2:$H$630,2,FALSE),VLOOKUP(B188,$B$217:$D$247,3,FALSE))</f>
        <v>VACANT</v>
      </c>
      <c r="E188" s="6">
        <f>SUMIFS('In Place Revenue'!$G$2:$G$764,'In Place Revenue'!$B$2:$B$764,$B188,'In Place Revenue'!$D$2:$D$764,E$180)</f>
        <v>0</v>
      </c>
      <c r="F188" s="6">
        <f>SUMIFS('In Place Revenue'!$G$2:$G$764,'In Place Revenue'!$B$2:$B$764,$B188,'In Place Revenue'!$D$2:$D$764,F$180)</f>
        <v>0</v>
      </c>
      <c r="G188" s="6">
        <f>SUMIFS('In Place Revenue'!$G$2:$G$764,'In Place Revenue'!$B$2:$B$764,$B188,'In Place Revenue'!$D$2:$D$764,G$180)</f>
        <v>0</v>
      </c>
      <c r="H188" s="6">
        <f>SUMIFS('In Place Revenue'!$G$2:$G$764,'In Place Revenue'!$B$2:$B$764,$B188,'In Place Revenue'!$D$2:$D$764,H$180)</f>
        <v>0</v>
      </c>
      <c r="I188" s="6">
        <f>SUMIFS('In Place Revenue'!$G$2:$G$764,'In Place Revenue'!$B$2:$B$764,$B188,'In Place Revenue'!$D$2:$D$764,I$180)</f>
        <v>0</v>
      </c>
      <c r="J188" s="6">
        <f>SUMIFS('In Place Revenue'!$G$2:$G$764,'In Place Revenue'!$B$2:$B$764,$B188,'In Place Revenue'!$D$2:$D$764,J$180)</f>
        <v>0</v>
      </c>
      <c r="K188" s="6">
        <f>SUMIFS('In Place Revenue'!$G$2:$G$764,'In Place Revenue'!$B$2:$B$764,$B188,'In Place Revenue'!$D$2:$D$764,K$180)</f>
        <v>0</v>
      </c>
      <c r="L188" s="6">
        <f>SUMIFS('In Place Revenue'!$G$2:$G$764,'In Place Revenue'!$B$2:$B$764,$B188,'In Place Revenue'!$D$2:$D$764,L$180)</f>
        <v>0</v>
      </c>
      <c r="M188" s="6">
        <f>SUMIFS('In Place Revenue'!$G$2:$G$764,'In Place Revenue'!$B$2:$B$764,$B188,'In Place Revenue'!$D$2:$D$764,M$180)</f>
        <v>0</v>
      </c>
      <c r="N188" s="6">
        <f>SUMIFS('In Place Revenue'!$G$2:$G$764,'In Place Revenue'!$B$2:$B$764,$B188,'In Place Revenue'!$D$2:$D$764,N$180)</f>
        <v>0</v>
      </c>
      <c r="O188" s="6">
        <f>SUMIFS('In Place Revenue'!$G$2:$G$764,'In Place Revenue'!$B$2:$B$764,$B188,'In Place Revenue'!$D$2:$D$764,O$180)</f>
        <v>0</v>
      </c>
      <c r="P188" s="6">
        <f>SUMIFS('In Place Revenue'!$G$2:$G$764,'In Place Revenue'!$B$2:$B$764,$B188,'In Place Revenue'!$D$2:$D$764,P$180)</f>
        <v>0</v>
      </c>
      <c r="Q188" s="8">
        <f t="shared" si="59"/>
        <v>0</v>
      </c>
    </row>
    <row r="189" spans="1:21" hidden="1" outlineLevel="1" x14ac:dyDescent="0.35">
      <c r="B189" s="340" t="s">
        <v>516</v>
      </c>
      <c r="C189" s="342"/>
      <c r="D189" s="15" t="str">
        <f>IFERROR(VLOOKUP(B189,'In Place Revenue'!$B$2:$H$630,2,FALSE),VLOOKUP(B189,$B$217:$D$247,3,FALSE))</f>
        <v>VACANT</v>
      </c>
      <c r="E189" s="15">
        <f>SUMIFS('In Place Revenue'!$G$2:$G$764,'In Place Revenue'!$B$2:$B$764,$B189,'In Place Revenue'!$D$2:$D$764,E$180)</f>
        <v>0</v>
      </c>
      <c r="F189" s="15">
        <f>SUMIFS('In Place Revenue'!$G$2:$G$764,'In Place Revenue'!$B$2:$B$764,$B189,'In Place Revenue'!$D$2:$D$764,F$180)</f>
        <v>0</v>
      </c>
      <c r="G189" s="15">
        <f>SUMIFS('In Place Revenue'!$G$2:$G$764,'In Place Revenue'!$B$2:$B$764,$B189,'In Place Revenue'!$D$2:$D$764,G$180)</f>
        <v>0</v>
      </c>
      <c r="H189" s="15">
        <f>SUMIFS('In Place Revenue'!$G$2:$G$764,'In Place Revenue'!$B$2:$B$764,$B189,'In Place Revenue'!$D$2:$D$764,H$180)</f>
        <v>0</v>
      </c>
      <c r="I189" s="15">
        <f>SUMIFS('In Place Revenue'!$G$2:$G$764,'In Place Revenue'!$B$2:$B$764,$B189,'In Place Revenue'!$D$2:$D$764,I$180)</f>
        <v>0</v>
      </c>
      <c r="J189" s="15">
        <f>SUMIFS('In Place Revenue'!$G$2:$G$764,'In Place Revenue'!$B$2:$B$764,$B189,'In Place Revenue'!$D$2:$D$764,J$180)</f>
        <v>0</v>
      </c>
      <c r="K189" s="15">
        <f>SUMIFS('In Place Revenue'!$G$2:$G$764,'In Place Revenue'!$B$2:$B$764,$B189,'In Place Revenue'!$D$2:$D$764,K$180)</f>
        <v>0</v>
      </c>
      <c r="L189" s="15">
        <f>SUMIFS('In Place Revenue'!$G$2:$G$764,'In Place Revenue'!$B$2:$B$764,$B189,'In Place Revenue'!$D$2:$D$764,L$180)</f>
        <v>0</v>
      </c>
      <c r="M189" s="15">
        <f>SUMIFS('In Place Revenue'!$G$2:$G$764,'In Place Revenue'!$B$2:$B$764,$B189,'In Place Revenue'!$D$2:$D$764,M$180)</f>
        <v>0</v>
      </c>
      <c r="N189" s="15">
        <f>SUMIFS('In Place Revenue'!$G$2:$G$764,'In Place Revenue'!$B$2:$B$764,$B189,'In Place Revenue'!$D$2:$D$764,N$180)</f>
        <v>0</v>
      </c>
      <c r="O189" s="15">
        <f>SUMIFS('In Place Revenue'!$G$2:$G$764,'In Place Revenue'!$B$2:$B$764,$B189,'In Place Revenue'!$D$2:$D$764,O$180)</f>
        <v>0</v>
      </c>
      <c r="P189" s="15">
        <f>SUMIFS('In Place Revenue'!$G$2:$G$764,'In Place Revenue'!$B$2:$B$764,$B189,'In Place Revenue'!$D$2:$D$764,P$180)</f>
        <v>0</v>
      </c>
      <c r="Q189" s="49">
        <f t="shared" si="59"/>
        <v>0</v>
      </c>
    </row>
    <row r="190" spans="1:21" hidden="1" outlineLevel="1" x14ac:dyDescent="0.35">
      <c r="B190" s="339" t="s">
        <v>401</v>
      </c>
      <c r="C190" s="341"/>
      <c r="D190" s="6" t="str">
        <f>IFERROR(VLOOKUP(B190,'In Place Revenue'!$B$2:$H$630,2,FALSE),VLOOKUP(B190,$B$217:$D$247,3,FALSE))</f>
        <v>Wawa, Inc #8035</v>
      </c>
      <c r="E190" s="6">
        <f>SUMIFS('In Place Revenue'!$G$2:$G$764,'In Place Revenue'!$B$2:$B$764,$B190,'In Place Revenue'!$D$2:$D$764,E$180)</f>
        <v>9347.5</v>
      </c>
      <c r="F190" s="6">
        <f>SUMIFS('In Place Revenue'!$G$2:$G$764,'In Place Revenue'!$B$2:$B$764,$B190,'In Place Revenue'!$D$2:$D$764,F$180)</f>
        <v>9347.5</v>
      </c>
      <c r="G190" s="6">
        <f>SUMIFS('In Place Revenue'!$G$2:$G$764,'In Place Revenue'!$B$2:$B$764,$B190,'In Place Revenue'!$D$2:$D$764,G$180)</f>
        <v>9347.5</v>
      </c>
      <c r="H190" s="6">
        <f>SUMIFS('In Place Revenue'!$G$2:$G$764,'In Place Revenue'!$B$2:$B$764,$B190,'In Place Revenue'!$D$2:$D$764,H$180)</f>
        <v>9347.5</v>
      </c>
      <c r="I190" s="6">
        <f>SUMIFS('In Place Revenue'!$G$2:$G$764,'In Place Revenue'!$B$2:$B$764,$B190,'In Place Revenue'!$D$2:$D$764,I$180)</f>
        <v>9347.5</v>
      </c>
      <c r="J190" s="6">
        <f>SUMIFS('In Place Revenue'!$G$2:$G$764,'In Place Revenue'!$B$2:$B$764,$B190,'In Place Revenue'!$D$2:$D$764,J$180)</f>
        <v>9347.5</v>
      </c>
      <c r="K190" s="6">
        <f>SUMIFS('In Place Revenue'!$G$2:$G$764,'In Place Revenue'!$B$2:$B$764,$B190,'In Place Revenue'!$D$2:$D$764,K$180)</f>
        <v>9347.5</v>
      </c>
      <c r="L190" s="6">
        <f>SUMIFS('In Place Revenue'!$G$2:$G$764,'In Place Revenue'!$B$2:$B$764,$B190,'In Place Revenue'!$D$2:$D$764,L$180)</f>
        <v>9347.5</v>
      </c>
      <c r="M190" s="6">
        <f>SUMIFS('In Place Revenue'!$G$2:$G$764,'In Place Revenue'!$B$2:$B$764,$B190,'In Place Revenue'!$D$2:$D$764,M$180)</f>
        <v>0</v>
      </c>
      <c r="N190" s="6">
        <f>SUMIFS('In Place Revenue'!$G$2:$G$764,'In Place Revenue'!$B$2:$B$764,$B190,'In Place Revenue'!$D$2:$D$764,N$180)</f>
        <v>0</v>
      </c>
      <c r="O190" s="6">
        <f>SUMIFS('In Place Revenue'!$G$2:$G$764,'In Place Revenue'!$B$2:$B$764,$B190,'In Place Revenue'!$D$2:$D$764,O$180)</f>
        <v>0</v>
      </c>
      <c r="P190" s="6">
        <f>SUMIFS('In Place Revenue'!$G$2:$G$764,'In Place Revenue'!$B$2:$B$764,$B190,'In Place Revenue'!$D$2:$D$764,P$180)</f>
        <v>0</v>
      </c>
      <c r="Q190" s="8">
        <f t="shared" ref="Q190" si="60">SUM(E190:P190)</f>
        <v>74780</v>
      </c>
    </row>
    <row r="191" spans="1:21" hidden="1" outlineLevel="1" x14ac:dyDescent="0.35">
      <c r="B191" s="339" t="s">
        <v>403</v>
      </c>
      <c r="C191" s="341"/>
      <c r="D191" s="6" t="str">
        <f>IFERROR(VLOOKUP(B191,'In Place Revenue'!$B$2:$H$630,2,FALSE),VLOOKUP(B191,$B$217:$D$247,3,FALSE))</f>
        <v>Rite Aid Corp-Store# 01956</v>
      </c>
      <c r="E191" s="6">
        <f>SUMIFS('In Place Revenue'!$G$2:$G$764,'In Place Revenue'!$B$2:$B$764,$B191,'In Place Revenue'!$D$2:$D$764,E$180)</f>
        <v>0</v>
      </c>
      <c r="F191" s="6">
        <f>SUMIFS('In Place Revenue'!$G$2:$G$764,'In Place Revenue'!$B$2:$B$764,$B191,'In Place Revenue'!$D$2:$D$764,F$180)</f>
        <v>0</v>
      </c>
      <c r="G191" s="6">
        <f>SUMIFS('In Place Revenue'!$G$2:$G$764,'In Place Revenue'!$B$2:$B$764,$B191,'In Place Revenue'!$D$2:$D$764,G$180)</f>
        <v>0</v>
      </c>
      <c r="H191" s="6">
        <f>SUMIFS('In Place Revenue'!$G$2:$G$764,'In Place Revenue'!$B$2:$B$764,$B191,'In Place Revenue'!$D$2:$D$764,H$180)</f>
        <v>0</v>
      </c>
      <c r="I191" s="6">
        <f>SUMIFS('In Place Revenue'!$G$2:$G$764,'In Place Revenue'!$B$2:$B$764,$B191,'In Place Revenue'!$D$2:$D$764,I$180)</f>
        <v>0</v>
      </c>
      <c r="J191" s="6">
        <f>SUMIFS('In Place Revenue'!$G$2:$G$764,'In Place Revenue'!$B$2:$B$764,$B191,'In Place Revenue'!$D$2:$D$764,J$180)</f>
        <v>0</v>
      </c>
      <c r="K191" s="6">
        <f>SUMIFS('In Place Revenue'!$G$2:$G$764,'In Place Revenue'!$B$2:$B$764,$B191,'In Place Revenue'!$D$2:$D$764,K$180)</f>
        <v>0</v>
      </c>
      <c r="L191" s="6">
        <f>SUMIFS('In Place Revenue'!$G$2:$G$764,'In Place Revenue'!$B$2:$B$764,$B191,'In Place Revenue'!$D$2:$D$764,L$180)</f>
        <v>0</v>
      </c>
      <c r="M191" s="6">
        <f>SUMIFS('In Place Revenue'!$G$2:$G$764,'In Place Revenue'!$B$2:$B$764,$B191,'In Place Revenue'!$D$2:$D$764,M$180)</f>
        <v>0</v>
      </c>
      <c r="N191" s="6">
        <f>SUMIFS('In Place Revenue'!$G$2:$G$764,'In Place Revenue'!$B$2:$B$764,$B191,'In Place Revenue'!$D$2:$D$764,N$180)</f>
        <v>0</v>
      </c>
      <c r="O191" s="6">
        <f>SUMIFS('In Place Revenue'!$G$2:$G$764,'In Place Revenue'!$B$2:$B$764,$B191,'In Place Revenue'!$D$2:$D$764,O$180)</f>
        <v>0</v>
      </c>
      <c r="P191" s="6">
        <f>SUMIFS('In Place Revenue'!$G$2:$G$764,'In Place Revenue'!$B$2:$B$764,$B191,'In Place Revenue'!$D$2:$D$764,P$180)</f>
        <v>0</v>
      </c>
      <c r="Q191" s="8">
        <f t="shared" ref="Q191:Q209" si="61">SUM(E191:P191)</f>
        <v>0</v>
      </c>
    </row>
    <row r="192" spans="1:21" hidden="1" outlineLevel="1" x14ac:dyDescent="0.35">
      <c r="B192" s="339" t="s">
        <v>405</v>
      </c>
      <c r="C192" s="341"/>
      <c r="D192" s="6" t="str">
        <f>IFERROR(VLOOKUP(B192,'In Place Revenue'!$B$2:$H$630,2,FALSE),VLOOKUP(B192,$B$217:$D$247,3,FALSE))</f>
        <v>Pat's Pizzeria</v>
      </c>
      <c r="E192" s="6">
        <f>SUMIFS('In Place Revenue'!$G$2:$G$764,'In Place Revenue'!$B$2:$B$764,$B192,'In Place Revenue'!$D$2:$D$764,E$180)</f>
        <v>6400</v>
      </c>
      <c r="F192" s="6">
        <f>SUMIFS('In Place Revenue'!$G$2:$G$764,'In Place Revenue'!$B$2:$B$764,$B192,'In Place Revenue'!$D$2:$D$764,F$180)</f>
        <v>6400</v>
      </c>
      <c r="G192" s="6">
        <f>SUMIFS('In Place Revenue'!$G$2:$G$764,'In Place Revenue'!$B$2:$B$764,$B192,'In Place Revenue'!$D$2:$D$764,G$180)</f>
        <v>6400</v>
      </c>
      <c r="H192" s="6">
        <f>SUMIFS('In Place Revenue'!$G$2:$G$764,'In Place Revenue'!$B$2:$B$764,$B192,'In Place Revenue'!$D$2:$D$764,H$180)</f>
        <v>6400</v>
      </c>
      <c r="I192" s="6">
        <f>SUMIFS('In Place Revenue'!$G$2:$G$764,'In Place Revenue'!$B$2:$B$764,$B192,'In Place Revenue'!$D$2:$D$764,I$180)</f>
        <v>6400</v>
      </c>
      <c r="J192" s="6">
        <f>SUMIFS('In Place Revenue'!$G$2:$G$764,'In Place Revenue'!$B$2:$B$764,$B192,'In Place Revenue'!$D$2:$D$764,J$180)</f>
        <v>6400</v>
      </c>
      <c r="K192" s="6">
        <f>SUMIFS('In Place Revenue'!$G$2:$G$764,'In Place Revenue'!$B$2:$B$764,$B192,'In Place Revenue'!$D$2:$D$764,K$180)</f>
        <v>6400</v>
      </c>
      <c r="L192" s="6">
        <f>SUMIFS('In Place Revenue'!$G$2:$G$764,'In Place Revenue'!$B$2:$B$764,$B192,'In Place Revenue'!$D$2:$D$764,L$180)</f>
        <v>6400</v>
      </c>
      <c r="M192" s="6">
        <f>SUMIFS('In Place Revenue'!$G$2:$G$764,'In Place Revenue'!$B$2:$B$764,$B192,'In Place Revenue'!$D$2:$D$764,M$180)</f>
        <v>6400</v>
      </c>
      <c r="N192" s="6">
        <f>SUMIFS('In Place Revenue'!$G$2:$G$764,'In Place Revenue'!$B$2:$B$764,$B192,'In Place Revenue'!$D$2:$D$764,N$180)</f>
        <v>6400</v>
      </c>
      <c r="O192" s="6">
        <f>SUMIFS('In Place Revenue'!$G$2:$G$764,'In Place Revenue'!$B$2:$B$764,$B192,'In Place Revenue'!$D$2:$D$764,O$180)</f>
        <v>6400</v>
      </c>
      <c r="P192" s="6">
        <f>SUMIFS('In Place Revenue'!$G$2:$G$764,'In Place Revenue'!$B$2:$B$764,$B192,'In Place Revenue'!$D$2:$D$764,P$180)</f>
        <v>6400</v>
      </c>
      <c r="Q192" s="8">
        <f t="shared" si="61"/>
        <v>76800</v>
      </c>
    </row>
    <row r="193" spans="2:17" hidden="1" outlineLevel="1" x14ac:dyDescent="0.35">
      <c r="B193" s="339" t="s">
        <v>407</v>
      </c>
      <c r="C193" s="341"/>
      <c r="D193" s="6" t="str">
        <f>IFERROR(VLOOKUP(B193,'In Place Revenue'!$B$2:$H$630,2,FALSE),VLOOKUP(B193,$B$217:$D$247,3,FALSE))</f>
        <v>Reen's Deli</v>
      </c>
      <c r="E193" s="6">
        <f>SUMIFS('In Place Revenue'!$G$2:$G$764,'In Place Revenue'!$B$2:$B$764,$B193,'In Place Revenue'!$D$2:$D$764,E$180)</f>
        <v>7866.13</v>
      </c>
      <c r="F193" s="6">
        <f>SUMIFS('In Place Revenue'!$G$2:$G$764,'In Place Revenue'!$B$2:$B$764,$B193,'In Place Revenue'!$D$2:$D$764,F$180)</f>
        <v>7866.13</v>
      </c>
      <c r="G193" s="6">
        <f>SUMIFS('In Place Revenue'!$G$2:$G$764,'In Place Revenue'!$B$2:$B$764,$B193,'In Place Revenue'!$D$2:$D$764,G$180)</f>
        <v>7866.13</v>
      </c>
      <c r="H193" s="6">
        <f>SUMIFS('In Place Revenue'!$G$2:$G$764,'In Place Revenue'!$B$2:$B$764,$B193,'In Place Revenue'!$D$2:$D$764,H$180)</f>
        <v>7866.13</v>
      </c>
      <c r="I193" s="6">
        <f>SUMIFS('In Place Revenue'!$G$2:$G$764,'In Place Revenue'!$B$2:$B$764,$B193,'In Place Revenue'!$D$2:$D$764,I$180)</f>
        <v>7866.13</v>
      </c>
      <c r="J193" s="6">
        <f>SUMIFS('In Place Revenue'!$G$2:$G$764,'In Place Revenue'!$B$2:$B$764,$B193,'In Place Revenue'!$D$2:$D$764,J$180)</f>
        <v>7866.13</v>
      </c>
      <c r="K193" s="6">
        <f>SUMIFS('In Place Revenue'!$G$2:$G$764,'In Place Revenue'!$B$2:$B$764,$B193,'In Place Revenue'!$D$2:$D$764,K$180)</f>
        <v>8680</v>
      </c>
      <c r="L193" s="6">
        <f>SUMIFS('In Place Revenue'!$G$2:$G$764,'In Place Revenue'!$B$2:$B$764,$B193,'In Place Revenue'!$D$2:$D$764,L$180)</f>
        <v>8680</v>
      </c>
      <c r="M193" s="6">
        <f>SUMIFS('In Place Revenue'!$G$2:$G$764,'In Place Revenue'!$B$2:$B$764,$B193,'In Place Revenue'!$D$2:$D$764,M$180)</f>
        <v>8680</v>
      </c>
      <c r="N193" s="6">
        <f>SUMIFS('In Place Revenue'!$G$2:$G$764,'In Place Revenue'!$B$2:$B$764,$B193,'In Place Revenue'!$D$2:$D$764,N$180)</f>
        <v>8680</v>
      </c>
      <c r="O193" s="6">
        <f>SUMIFS('In Place Revenue'!$G$2:$G$764,'In Place Revenue'!$B$2:$B$764,$B193,'In Place Revenue'!$D$2:$D$764,O$180)</f>
        <v>8680</v>
      </c>
      <c r="P193" s="6">
        <f>SUMIFS('In Place Revenue'!$G$2:$G$764,'In Place Revenue'!$B$2:$B$764,$B193,'In Place Revenue'!$D$2:$D$764,P$180)</f>
        <v>8680</v>
      </c>
      <c r="Q193" s="8">
        <f t="shared" si="61"/>
        <v>99276.78</v>
      </c>
    </row>
    <row r="194" spans="2:17" hidden="1" outlineLevel="1" x14ac:dyDescent="0.35">
      <c r="B194" s="339" t="s">
        <v>409</v>
      </c>
      <c r="C194" s="341"/>
      <c r="D194" s="6" t="str">
        <f>IFERROR(VLOOKUP(B194,'In Place Revenue'!$B$2:$H$630,2,FALSE),VLOOKUP(B194,$B$217:$D$247,3,FALSE))</f>
        <v>Parkwood Pack and Ship</v>
      </c>
      <c r="E194" s="6">
        <f>SUMIFS('In Place Revenue'!$G$2:$G$764,'In Place Revenue'!$B$2:$B$764,$B194,'In Place Revenue'!$D$2:$D$764,E$180)</f>
        <v>2300</v>
      </c>
      <c r="F194" s="6">
        <f>SUMIFS('In Place Revenue'!$G$2:$G$764,'In Place Revenue'!$B$2:$B$764,$B194,'In Place Revenue'!$D$2:$D$764,F$180)</f>
        <v>2300</v>
      </c>
      <c r="G194" s="6">
        <f>SUMIFS('In Place Revenue'!$G$2:$G$764,'In Place Revenue'!$B$2:$B$764,$B194,'In Place Revenue'!$D$2:$D$764,G$180)</f>
        <v>2300</v>
      </c>
      <c r="H194" s="6">
        <f>SUMIFS('In Place Revenue'!$G$2:$G$764,'In Place Revenue'!$B$2:$B$764,$B194,'In Place Revenue'!$D$2:$D$764,H$180)</f>
        <v>2300</v>
      </c>
      <c r="I194" s="6">
        <f>SUMIFS('In Place Revenue'!$G$2:$G$764,'In Place Revenue'!$B$2:$B$764,$B194,'In Place Revenue'!$D$2:$D$764,I$180)</f>
        <v>2300</v>
      </c>
      <c r="J194" s="6">
        <f>SUMIFS('In Place Revenue'!$G$2:$G$764,'In Place Revenue'!$B$2:$B$764,$B194,'In Place Revenue'!$D$2:$D$764,J$180)</f>
        <v>2300</v>
      </c>
      <c r="K194" s="6">
        <f>SUMIFS('In Place Revenue'!$G$2:$G$764,'In Place Revenue'!$B$2:$B$764,$B194,'In Place Revenue'!$D$2:$D$764,K$180)</f>
        <v>2300</v>
      </c>
      <c r="L194" s="6">
        <f>SUMIFS('In Place Revenue'!$G$2:$G$764,'In Place Revenue'!$B$2:$B$764,$B194,'In Place Revenue'!$D$2:$D$764,L$180)</f>
        <v>2300</v>
      </c>
      <c r="M194" s="6">
        <f>SUMIFS('In Place Revenue'!$G$2:$G$764,'In Place Revenue'!$B$2:$B$764,$B194,'In Place Revenue'!$D$2:$D$764,M$180)</f>
        <v>2300</v>
      </c>
      <c r="N194" s="6">
        <f>SUMIFS('In Place Revenue'!$G$2:$G$764,'In Place Revenue'!$B$2:$B$764,$B194,'In Place Revenue'!$D$2:$D$764,N$180)</f>
        <v>2300</v>
      </c>
      <c r="O194" s="6">
        <f>SUMIFS('In Place Revenue'!$G$2:$G$764,'In Place Revenue'!$B$2:$B$764,$B194,'In Place Revenue'!$D$2:$D$764,O$180)</f>
        <v>2300</v>
      </c>
      <c r="P194" s="6">
        <f>SUMIFS('In Place Revenue'!$G$2:$G$764,'In Place Revenue'!$B$2:$B$764,$B194,'In Place Revenue'!$D$2:$D$764,P$180)</f>
        <v>2300</v>
      </c>
      <c r="Q194" s="8">
        <f t="shared" si="61"/>
        <v>27600</v>
      </c>
    </row>
    <row r="195" spans="2:17" hidden="1" outlineLevel="1" x14ac:dyDescent="0.35">
      <c r="B195" s="339" t="s">
        <v>411</v>
      </c>
      <c r="C195" s="341"/>
      <c r="D195" s="6" t="str">
        <f>IFERROR(VLOOKUP(B195,'In Place Revenue'!$B$2:$H$630,2,FALSE),VLOOKUP(B195,$B$217:$D$247,3,FALSE))</f>
        <v>The Forge MMA</v>
      </c>
      <c r="E195" s="6">
        <f>SUMIFS('In Place Revenue'!$G$2:$G$764,'In Place Revenue'!$B$2:$B$764,$B195,'In Place Revenue'!$D$2:$D$764,E$180)</f>
        <v>2645.33</v>
      </c>
      <c r="F195" s="6">
        <f>SUMIFS('In Place Revenue'!$G$2:$G$764,'In Place Revenue'!$B$2:$B$764,$B195,'In Place Revenue'!$D$2:$D$764,F$180)</f>
        <v>2645.33</v>
      </c>
      <c r="G195" s="6">
        <f>SUMIFS('In Place Revenue'!$G$2:$G$764,'In Place Revenue'!$B$2:$B$764,$B195,'In Place Revenue'!$D$2:$D$764,G$180)</f>
        <v>2645.33</v>
      </c>
      <c r="H195" s="6">
        <f>SUMIFS('In Place Revenue'!$G$2:$G$764,'In Place Revenue'!$B$2:$B$764,$B195,'In Place Revenue'!$D$2:$D$764,H$180)</f>
        <v>2645.33</v>
      </c>
      <c r="I195" s="6">
        <f>SUMIFS('In Place Revenue'!$G$2:$G$764,'In Place Revenue'!$B$2:$B$764,$B195,'In Place Revenue'!$D$2:$D$764,I$180)</f>
        <v>2645.33</v>
      </c>
      <c r="J195" s="6">
        <f>SUMIFS('In Place Revenue'!$G$2:$G$764,'In Place Revenue'!$B$2:$B$764,$B195,'In Place Revenue'!$D$2:$D$764,J$180)</f>
        <v>2645.33</v>
      </c>
      <c r="K195" s="6">
        <f>SUMIFS('In Place Revenue'!$G$2:$G$764,'In Place Revenue'!$B$2:$B$764,$B195,'In Place Revenue'!$D$2:$D$764,K$180)</f>
        <v>2645.33</v>
      </c>
      <c r="L195" s="6">
        <f>SUMIFS('In Place Revenue'!$G$2:$G$764,'In Place Revenue'!$B$2:$B$764,$B195,'In Place Revenue'!$D$2:$D$764,L$180)</f>
        <v>2645.33</v>
      </c>
      <c r="M195" s="6">
        <f>SUMIFS('In Place Revenue'!$G$2:$G$764,'In Place Revenue'!$B$2:$B$764,$B195,'In Place Revenue'!$D$2:$D$764,M$180)</f>
        <v>2645.33</v>
      </c>
      <c r="N195" s="6">
        <f>SUMIFS('In Place Revenue'!$G$2:$G$764,'In Place Revenue'!$B$2:$B$764,$B195,'In Place Revenue'!$D$2:$D$764,N$180)</f>
        <v>2645.33</v>
      </c>
      <c r="O195" s="6">
        <f>SUMIFS('In Place Revenue'!$G$2:$G$764,'In Place Revenue'!$B$2:$B$764,$B195,'In Place Revenue'!$D$2:$D$764,O$180)</f>
        <v>2645.33</v>
      </c>
      <c r="P195" s="6">
        <f>SUMIFS('In Place Revenue'!$G$2:$G$764,'In Place Revenue'!$B$2:$B$764,$B195,'In Place Revenue'!$D$2:$D$764,P$180)</f>
        <v>2645.33</v>
      </c>
      <c r="Q195" s="8">
        <f t="shared" si="61"/>
        <v>31743.960000000006</v>
      </c>
    </row>
    <row r="196" spans="2:17" hidden="1" outlineLevel="1" x14ac:dyDescent="0.35">
      <c r="B196" s="339" t="s">
        <v>413</v>
      </c>
      <c r="C196" s="341"/>
      <c r="D196" s="6" t="str">
        <f>IFERROR(VLOOKUP(B196,'In Place Revenue'!$B$2:$H$630,2,FALSE),VLOOKUP(B196,$B$217:$D$247,3,FALSE))</f>
        <v>Parkwood Valet Cleaners</v>
      </c>
      <c r="E196" s="6">
        <f>SUMIFS('In Place Revenue'!$G$2:$G$764,'In Place Revenue'!$B$2:$B$764,$B196,'In Place Revenue'!$D$2:$D$764,E$180)</f>
        <v>2400</v>
      </c>
      <c r="F196" s="6">
        <f>SUMIFS('In Place Revenue'!$G$2:$G$764,'In Place Revenue'!$B$2:$B$764,$B196,'In Place Revenue'!$D$2:$D$764,F$180)</f>
        <v>2400</v>
      </c>
      <c r="G196" s="6">
        <f>SUMIFS('In Place Revenue'!$G$2:$G$764,'In Place Revenue'!$B$2:$B$764,$B196,'In Place Revenue'!$D$2:$D$764,G$180)</f>
        <v>2400</v>
      </c>
      <c r="H196" s="6">
        <f>SUMIFS('In Place Revenue'!$G$2:$G$764,'In Place Revenue'!$B$2:$B$764,$B196,'In Place Revenue'!$D$2:$D$764,H$180)</f>
        <v>2400</v>
      </c>
      <c r="I196" s="6">
        <f>SUMIFS('In Place Revenue'!$G$2:$G$764,'In Place Revenue'!$B$2:$B$764,$B196,'In Place Revenue'!$D$2:$D$764,I$180)</f>
        <v>2400</v>
      </c>
      <c r="J196" s="6">
        <f>SUMIFS('In Place Revenue'!$G$2:$G$764,'In Place Revenue'!$B$2:$B$764,$B196,'In Place Revenue'!$D$2:$D$764,J$180)</f>
        <v>2400</v>
      </c>
      <c r="K196" s="6">
        <f>SUMIFS('In Place Revenue'!$G$2:$G$764,'In Place Revenue'!$B$2:$B$764,$B196,'In Place Revenue'!$D$2:$D$764,K$180)</f>
        <v>2400</v>
      </c>
      <c r="L196" s="6">
        <f>SUMIFS('In Place Revenue'!$G$2:$G$764,'In Place Revenue'!$B$2:$B$764,$B196,'In Place Revenue'!$D$2:$D$764,L$180)</f>
        <v>2400</v>
      </c>
      <c r="M196" s="6">
        <f>SUMIFS('In Place Revenue'!$G$2:$G$764,'In Place Revenue'!$B$2:$B$764,$B196,'In Place Revenue'!$D$2:$D$764,M$180)</f>
        <v>2400</v>
      </c>
      <c r="N196" s="6">
        <f>SUMIFS('In Place Revenue'!$G$2:$G$764,'In Place Revenue'!$B$2:$B$764,$B196,'In Place Revenue'!$D$2:$D$764,N$180)</f>
        <v>2400</v>
      </c>
      <c r="O196" s="6">
        <f>SUMIFS('In Place Revenue'!$G$2:$G$764,'In Place Revenue'!$B$2:$B$764,$B196,'In Place Revenue'!$D$2:$D$764,O$180)</f>
        <v>2400</v>
      </c>
      <c r="P196" s="6">
        <f>SUMIFS('In Place Revenue'!$G$2:$G$764,'In Place Revenue'!$B$2:$B$764,$B196,'In Place Revenue'!$D$2:$D$764,P$180)</f>
        <v>2400</v>
      </c>
      <c r="Q196" s="8">
        <f t="shared" si="61"/>
        <v>28800</v>
      </c>
    </row>
    <row r="197" spans="2:17" hidden="1" outlineLevel="1" x14ac:dyDescent="0.35">
      <c r="B197" s="339" t="s">
        <v>517</v>
      </c>
      <c r="C197" s="341"/>
      <c r="D197" s="6" t="str">
        <f>IFERROR(VLOOKUP(B197,'In Place Revenue'!$B$2:$H$630,2,FALSE),VLOOKUP(B197,$B$217:$D$247,3,FALSE))</f>
        <v>Petroski Physiotherapy</v>
      </c>
      <c r="E197" s="6">
        <f>SUMIFS('In Place Revenue'!$G$2:$G$764,'In Place Revenue'!$B$2:$B$764,$B197,'In Place Revenue'!$D$2:$D$764,E$180)</f>
        <v>0</v>
      </c>
      <c r="F197" s="6">
        <f>SUMIFS('In Place Revenue'!$G$2:$G$764,'In Place Revenue'!$B$2:$B$764,$B197,'In Place Revenue'!$D$2:$D$764,F$180)</f>
        <v>0</v>
      </c>
      <c r="G197" s="6">
        <f>SUMIFS('In Place Revenue'!$G$2:$G$764,'In Place Revenue'!$B$2:$B$764,$B197,'In Place Revenue'!$D$2:$D$764,G$180)</f>
        <v>0</v>
      </c>
      <c r="H197" s="6">
        <f>SUMIFS('In Place Revenue'!$G$2:$G$764,'In Place Revenue'!$B$2:$B$764,$B197,'In Place Revenue'!$D$2:$D$764,H$180)</f>
        <v>0</v>
      </c>
      <c r="I197" s="6">
        <f>SUMIFS('In Place Revenue'!$G$2:$G$764,'In Place Revenue'!$B$2:$B$764,$B197,'In Place Revenue'!$D$2:$D$764,I$180)</f>
        <v>0</v>
      </c>
      <c r="J197" s="6">
        <f>SUMIFS('In Place Revenue'!$G$2:$G$764,'In Place Revenue'!$B$2:$B$764,$B197,'In Place Revenue'!$D$2:$D$764,J$180)</f>
        <v>0</v>
      </c>
      <c r="K197" s="6">
        <f>SUMIFS('In Place Revenue'!$G$2:$G$764,'In Place Revenue'!$B$2:$B$764,$B197,'In Place Revenue'!$D$2:$D$764,K$180)</f>
        <v>0</v>
      </c>
      <c r="L197" s="6">
        <f>SUMIFS('In Place Revenue'!$G$2:$G$764,'In Place Revenue'!$B$2:$B$764,$B197,'In Place Revenue'!$D$2:$D$764,L$180)</f>
        <v>0</v>
      </c>
      <c r="M197" s="6">
        <f>SUMIFS('In Place Revenue'!$G$2:$G$764,'In Place Revenue'!$B$2:$B$764,$B197,'In Place Revenue'!$D$2:$D$764,M$180)</f>
        <v>0</v>
      </c>
      <c r="N197" s="6">
        <f>SUMIFS('In Place Revenue'!$G$2:$G$764,'In Place Revenue'!$B$2:$B$764,$B197,'In Place Revenue'!$D$2:$D$764,N$180)</f>
        <v>0</v>
      </c>
      <c r="O197" s="6">
        <f>SUMIFS('In Place Revenue'!$G$2:$G$764,'In Place Revenue'!$B$2:$B$764,$B197,'In Place Revenue'!$D$2:$D$764,O$180)</f>
        <v>0</v>
      </c>
      <c r="P197" s="6">
        <f>SUMIFS('In Place Revenue'!$G$2:$G$764,'In Place Revenue'!$B$2:$B$764,$B197,'In Place Revenue'!$D$2:$D$764,P$180)</f>
        <v>0</v>
      </c>
      <c r="Q197" s="8">
        <f t="shared" ref="Q197" si="62">SUM(E197:P197)</f>
        <v>0</v>
      </c>
    </row>
    <row r="198" spans="2:17" hidden="1" outlineLevel="1" x14ac:dyDescent="0.35">
      <c r="B198" s="339" t="s">
        <v>415</v>
      </c>
      <c r="C198" s="341"/>
      <c r="D198" s="6" t="str">
        <f>IFERROR(VLOOKUP(B198,'In Place Revenue'!$B$2:$H$630,2,FALSE),VLOOKUP(B198,$B$217:$D$247,3,FALSE))</f>
        <v>Hong Kong Chinese Rest</v>
      </c>
      <c r="E198" s="6">
        <f>SUMIFS('In Place Revenue'!$G$2:$G$764,'In Place Revenue'!$B$2:$B$764,$B198,'In Place Revenue'!$D$2:$D$764,E$180)</f>
        <v>2730</v>
      </c>
      <c r="F198" s="6">
        <f>SUMIFS('In Place Revenue'!$G$2:$G$764,'In Place Revenue'!$B$2:$B$764,$B198,'In Place Revenue'!$D$2:$D$764,F$180)</f>
        <v>2760</v>
      </c>
      <c r="G198" s="6">
        <f>SUMIFS('In Place Revenue'!$G$2:$G$764,'In Place Revenue'!$B$2:$B$764,$B198,'In Place Revenue'!$D$2:$D$764,G$180)</f>
        <v>2760</v>
      </c>
      <c r="H198" s="6">
        <f>SUMIFS('In Place Revenue'!$G$2:$G$764,'In Place Revenue'!$B$2:$B$764,$B198,'In Place Revenue'!$D$2:$D$764,H$180)</f>
        <v>2760</v>
      </c>
      <c r="I198" s="6">
        <f>SUMIFS('In Place Revenue'!$G$2:$G$764,'In Place Revenue'!$B$2:$B$764,$B198,'In Place Revenue'!$D$2:$D$764,I$180)</f>
        <v>2760</v>
      </c>
      <c r="J198" s="6">
        <f>SUMIFS('In Place Revenue'!$G$2:$G$764,'In Place Revenue'!$B$2:$B$764,$B198,'In Place Revenue'!$D$2:$D$764,J$180)</f>
        <v>2760</v>
      </c>
      <c r="K198" s="6">
        <f>SUMIFS('In Place Revenue'!$G$2:$G$764,'In Place Revenue'!$B$2:$B$764,$B198,'In Place Revenue'!$D$2:$D$764,K$180)</f>
        <v>2760</v>
      </c>
      <c r="L198" s="6">
        <f>SUMIFS('In Place Revenue'!$G$2:$G$764,'In Place Revenue'!$B$2:$B$764,$B198,'In Place Revenue'!$D$2:$D$764,L$180)</f>
        <v>2760</v>
      </c>
      <c r="M198" s="6">
        <f>SUMIFS('In Place Revenue'!$G$2:$G$764,'In Place Revenue'!$B$2:$B$764,$B198,'In Place Revenue'!$D$2:$D$764,M$180)</f>
        <v>2760</v>
      </c>
      <c r="N198" s="6">
        <f>SUMIFS('In Place Revenue'!$G$2:$G$764,'In Place Revenue'!$B$2:$B$764,$B198,'In Place Revenue'!$D$2:$D$764,N$180)</f>
        <v>2760</v>
      </c>
      <c r="O198" s="6">
        <f>SUMIFS('In Place Revenue'!$G$2:$G$764,'In Place Revenue'!$B$2:$B$764,$B198,'In Place Revenue'!$D$2:$D$764,O$180)</f>
        <v>2760</v>
      </c>
      <c r="P198" s="6">
        <f>SUMIFS('In Place Revenue'!$G$2:$G$764,'In Place Revenue'!$B$2:$B$764,$B198,'In Place Revenue'!$D$2:$D$764,P$180)</f>
        <v>2760</v>
      </c>
      <c r="Q198" s="8">
        <f t="shared" si="61"/>
        <v>33090</v>
      </c>
    </row>
    <row r="199" spans="2:17" hidden="1" outlineLevel="1" x14ac:dyDescent="0.35">
      <c r="B199" s="339" t="s">
        <v>417</v>
      </c>
      <c r="C199" s="341"/>
      <c r="D199" s="6" t="str">
        <f>IFERROR(VLOOKUP(B199,'In Place Revenue'!$B$2:$H$630,2,FALSE),VLOOKUP(B199,$B$217:$D$247,3,FALSE))</f>
        <v>Parkwood Hairstylist</v>
      </c>
      <c r="E199" s="6">
        <f>SUMIFS('In Place Revenue'!$G$2:$G$764,'In Place Revenue'!$B$2:$B$764,$B199,'In Place Revenue'!$D$2:$D$764,E$180)</f>
        <v>3200</v>
      </c>
      <c r="F199" s="6">
        <f>SUMIFS('In Place Revenue'!$G$2:$G$764,'In Place Revenue'!$B$2:$B$764,$B199,'In Place Revenue'!$D$2:$D$764,F$180)</f>
        <v>3200</v>
      </c>
      <c r="G199" s="6">
        <f>SUMIFS('In Place Revenue'!$G$2:$G$764,'In Place Revenue'!$B$2:$B$764,$B199,'In Place Revenue'!$D$2:$D$764,G$180)</f>
        <v>3200</v>
      </c>
      <c r="H199" s="6">
        <f>SUMIFS('In Place Revenue'!$G$2:$G$764,'In Place Revenue'!$B$2:$B$764,$B199,'In Place Revenue'!$D$2:$D$764,H$180)</f>
        <v>3200</v>
      </c>
      <c r="I199" s="6">
        <f>SUMIFS('In Place Revenue'!$G$2:$G$764,'In Place Revenue'!$B$2:$B$764,$B199,'In Place Revenue'!$D$2:$D$764,I$180)</f>
        <v>3200</v>
      </c>
      <c r="J199" s="6">
        <f>SUMIFS('In Place Revenue'!$G$2:$G$764,'In Place Revenue'!$B$2:$B$764,$B199,'In Place Revenue'!$D$2:$D$764,J$180)</f>
        <v>3200</v>
      </c>
      <c r="K199" s="6">
        <f>SUMIFS('In Place Revenue'!$G$2:$G$764,'In Place Revenue'!$B$2:$B$764,$B199,'In Place Revenue'!$D$2:$D$764,K$180)</f>
        <v>3200</v>
      </c>
      <c r="L199" s="6">
        <f>SUMIFS('In Place Revenue'!$G$2:$G$764,'In Place Revenue'!$B$2:$B$764,$B199,'In Place Revenue'!$D$2:$D$764,L$180)</f>
        <v>3200</v>
      </c>
      <c r="M199" s="6">
        <f>SUMIFS('In Place Revenue'!$G$2:$G$764,'In Place Revenue'!$B$2:$B$764,$B199,'In Place Revenue'!$D$2:$D$764,M$180)</f>
        <v>3200</v>
      </c>
      <c r="N199" s="6">
        <f>SUMIFS('In Place Revenue'!$G$2:$G$764,'In Place Revenue'!$B$2:$B$764,$B199,'In Place Revenue'!$D$2:$D$764,N$180)</f>
        <v>3200</v>
      </c>
      <c r="O199" s="6">
        <f>SUMIFS('In Place Revenue'!$G$2:$G$764,'In Place Revenue'!$B$2:$B$764,$B199,'In Place Revenue'!$D$2:$D$764,O$180)</f>
        <v>3200</v>
      </c>
      <c r="P199" s="6">
        <f>SUMIFS('In Place Revenue'!$G$2:$G$764,'In Place Revenue'!$B$2:$B$764,$B199,'In Place Revenue'!$D$2:$D$764,P$180)</f>
        <v>3200</v>
      </c>
      <c r="Q199" s="8">
        <f t="shared" si="61"/>
        <v>38400</v>
      </c>
    </row>
    <row r="200" spans="2:17" hidden="1" outlineLevel="1" x14ac:dyDescent="0.35">
      <c r="B200" s="339" t="s">
        <v>419</v>
      </c>
      <c r="C200" s="341"/>
      <c r="D200" s="6" t="str">
        <f>IFERROR(VLOOKUP(B200,'In Place Revenue'!$B$2:$H$630,2,FALSE),VLOOKUP(B200,$B$217:$D$247,3,FALSE))</f>
        <v>CBRO, LLC</v>
      </c>
      <c r="E200" s="6">
        <f>SUMIFS('In Place Revenue'!$G$2:$G$764,'In Place Revenue'!$B$2:$B$764,$B200,'In Place Revenue'!$D$2:$D$764,E$180)</f>
        <v>2096.67</v>
      </c>
      <c r="F200" s="6">
        <f>SUMIFS('In Place Revenue'!$G$2:$G$764,'In Place Revenue'!$B$2:$B$764,$B200,'In Place Revenue'!$D$2:$D$764,F$180)</f>
        <v>2096.67</v>
      </c>
      <c r="G200" s="6">
        <f>SUMIFS('In Place Revenue'!$G$2:$G$764,'In Place Revenue'!$B$2:$B$764,$B200,'In Place Revenue'!$D$2:$D$764,G$180)</f>
        <v>2096.67</v>
      </c>
      <c r="H200" s="6">
        <f>SUMIFS('In Place Revenue'!$G$2:$G$764,'In Place Revenue'!$B$2:$B$764,$B200,'In Place Revenue'!$D$2:$D$764,H$180)</f>
        <v>2096.67</v>
      </c>
      <c r="I200" s="6">
        <f>SUMIFS('In Place Revenue'!$G$2:$G$764,'In Place Revenue'!$B$2:$B$764,$B200,'In Place Revenue'!$D$2:$D$764,I$180)</f>
        <v>2096.67</v>
      </c>
      <c r="J200" s="6">
        <f>SUMIFS('In Place Revenue'!$G$2:$G$764,'In Place Revenue'!$B$2:$B$764,$B200,'In Place Revenue'!$D$2:$D$764,J$180)</f>
        <v>2096.67</v>
      </c>
      <c r="K200" s="6">
        <f>SUMIFS('In Place Revenue'!$G$2:$G$764,'In Place Revenue'!$B$2:$B$764,$B200,'In Place Revenue'!$D$2:$D$764,K$180)</f>
        <v>2096.67</v>
      </c>
      <c r="L200" s="6">
        <f>SUMIFS('In Place Revenue'!$G$2:$G$764,'In Place Revenue'!$B$2:$B$764,$B200,'In Place Revenue'!$D$2:$D$764,L$180)</f>
        <v>2096.67</v>
      </c>
      <c r="M200" s="6">
        <f>SUMIFS('In Place Revenue'!$G$2:$G$764,'In Place Revenue'!$B$2:$B$764,$B200,'In Place Revenue'!$D$2:$D$764,M$180)</f>
        <v>2096.67</v>
      </c>
      <c r="N200" s="6">
        <f>SUMIFS('In Place Revenue'!$G$2:$G$764,'In Place Revenue'!$B$2:$B$764,$B200,'In Place Revenue'!$D$2:$D$764,N$180)</f>
        <v>2096.67</v>
      </c>
      <c r="O200" s="6">
        <f>SUMIFS('In Place Revenue'!$G$2:$G$764,'In Place Revenue'!$B$2:$B$764,$B200,'In Place Revenue'!$D$2:$D$764,O$180)</f>
        <v>2096.67</v>
      </c>
      <c r="P200" s="6">
        <f>SUMIFS('In Place Revenue'!$G$2:$G$764,'In Place Revenue'!$B$2:$B$764,$B200,'In Place Revenue'!$D$2:$D$764,P$180)</f>
        <v>2096.67</v>
      </c>
      <c r="Q200" s="8">
        <f t="shared" si="61"/>
        <v>25160.039999999994</v>
      </c>
    </row>
    <row r="201" spans="2:17" hidden="1" outlineLevel="1" x14ac:dyDescent="0.35">
      <c r="B201" s="339" t="s">
        <v>421</v>
      </c>
      <c r="C201" s="341"/>
      <c r="D201" s="6" t="str">
        <f>IFERROR(VLOOKUP(B201,'In Place Revenue'!$B$2:$H$630,2,FALSE),VLOOKUP(B201,$B$217:$D$247,3,FALSE))</f>
        <v>Hair Wizards</v>
      </c>
      <c r="E201" s="6">
        <f>SUMIFS('In Place Revenue'!$G$2:$G$764,'In Place Revenue'!$B$2:$B$764,$B201,'In Place Revenue'!$D$2:$D$764,E$180)</f>
        <v>2096.67</v>
      </c>
      <c r="F201" s="6">
        <f>SUMIFS('In Place Revenue'!$G$2:$G$764,'In Place Revenue'!$B$2:$B$764,$B201,'In Place Revenue'!$D$2:$D$764,F$180)</f>
        <v>2096.67</v>
      </c>
      <c r="G201" s="6">
        <f>SUMIFS('In Place Revenue'!$G$2:$G$764,'In Place Revenue'!$B$2:$B$764,$B201,'In Place Revenue'!$D$2:$D$764,G$180)</f>
        <v>2096.67</v>
      </c>
      <c r="H201" s="6">
        <f>SUMIFS('In Place Revenue'!$G$2:$G$764,'In Place Revenue'!$B$2:$B$764,$B201,'In Place Revenue'!$D$2:$D$764,H$180)</f>
        <v>2096.67</v>
      </c>
      <c r="I201" s="6">
        <f>SUMIFS('In Place Revenue'!$G$2:$G$764,'In Place Revenue'!$B$2:$B$764,$B201,'In Place Revenue'!$D$2:$D$764,I$180)</f>
        <v>2096.67</v>
      </c>
      <c r="J201" s="6">
        <f>SUMIFS('In Place Revenue'!$G$2:$G$764,'In Place Revenue'!$B$2:$B$764,$B201,'In Place Revenue'!$D$2:$D$764,J$180)</f>
        <v>2096.67</v>
      </c>
      <c r="K201" s="6">
        <f>SUMIFS('In Place Revenue'!$G$2:$G$764,'In Place Revenue'!$B$2:$B$764,$B201,'In Place Revenue'!$D$2:$D$764,K$180)</f>
        <v>2096.67</v>
      </c>
      <c r="L201" s="6">
        <f>SUMIFS('In Place Revenue'!$G$2:$G$764,'In Place Revenue'!$B$2:$B$764,$B201,'In Place Revenue'!$D$2:$D$764,L$180)</f>
        <v>2096.67</v>
      </c>
      <c r="M201" s="6">
        <f>SUMIFS('In Place Revenue'!$G$2:$G$764,'In Place Revenue'!$B$2:$B$764,$B201,'In Place Revenue'!$D$2:$D$764,M$180)</f>
        <v>2096.67</v>
      </c>
      <c r="N201" s="6">
        <f>SUMIFS('In Place Revenue'!$G$2:$G$764,'In Place Revenue'!$B$2:$B$764,$B201,'In Place Revenue'!$D$2:$D$764,N$180)</f>
        <v>0</v>
      </c>
      <c r="O201" s="6">
        <f>SUMIFS('In Place Revenue'!$G$2:$G$764,'In Place Revenue'!$B$2:$B$764,$B201,'In Place Revenue'!$D$2:$D$764,O$180)</f>
        <v>0</v>
      </c>
      <c r="P201" s="6">
        <f>SUMIFS('In Place Revenue'!$G$2:$G$764,'In Place Revenue'!$B$2:$B$764,$B201,'In Place Revenue'!$D$2:$D$764,P$180)</f>
        <v>0</v>
      </c>
      <c r="Q201" s="8">
        <f t="shared" si="61"/>
        <v>18870.03</v>
      </c>
    </row>
    <row r="202" spans="2:17" hidden="1" outlineLevel="1" x14ac:dyDescent="0.35">
      <c r="B202" s="339" t="s">
        <v>422</v>
      </c>
      <c r="C202" s="341"/>
      <c r="D202" s="6" t="str">
        <f>IFERROR(VLOOKUP(B202,'In Place Revenue'!$B$2:$H$630,2,FALSE),VLOOKUP(B202,$B$217:$D$247,3,FALSE))</f>
        <v>Philadelphia Flower Co.</v>
      </c>
      <c r="E202" s="6">
        <f>SUMIFS('In Place Revenue'!$G$2:$G$764,'In Place Revenue'!$B$2:$B$764,$B202,'In Place Revenue'!$D$2:$D$764,E$180)</f>
        <v>2400</v>
      </c>
      <c r="F202" s="6">
        <f>SUMIFS('In Place Revenue'!$G$2:$G$764,'In Place Revenue'!$B$2:$B$764,$B202,'In Place Revenue'!$D$2:$D$764,F$180)</f>
        <v>2400</v>
      </c>
      <c r="G202" s="6">
        <f>SUMIFS('In Place Revenue'!$G$2:$G$764,'In Place Revenue'!$B$2:$B$764,$B202,'In Place Revenue'!$D$2:$D$764,G$180)</f>
        <v>2400</v>
      </c>
      <c r="H202" s="6">
        <f>SUMIFS('In Place Revenue'!$G$2:$G$764,'In Place Revenue'!$B$2:$B$764,$B202,'In Place Revenue'!$D$2:$D$764,H$180)</f>
        <v>2400</v>
      </c>
      <c r="I202" s="6">
        <f>SUMIFS('In Place Revenue'!$G$2:$G$764,'In Place Revenue'!$B$2:$B$764,$B202,'In Place Revenue'!$D$2:$D$764,I$180)</f>
        <v>2400</v>
      </c>
      <c r="J202" s="6">
        <f>SUMIFS('In Place Revenue'!$G$2:$G$764,'In Place Revenue'!$B$2:$B$764,$B202,'In Place Revenue'!$D$2:$D$764,J$180)</f>
        <v>2400</v>
      </c>
      <c r="K202" s="6">
        <f>SUMIFS('In Place Revenue'!$G$2:$G$764,'In Place Revenue'!$B$2:$B$764,$B202,'In Place Revenue'!$D$2:$D$764,K$180)</f>
        <v>2400</v>
      </c>
      <c r="L202" s="6">
        <f>SUMIFS('In Place Revenue'!$G$2:$G$764,'In Place Revenue'!$B$2:$B$764,$B202,'In Place Revenue'!$D$2:$D$764,L$180)</f>
        <v>2400</v>
      </c>
      <c r="M202" s="6">
        <f>SUMIFS('In Place Revenue'!$G$2:$G$764,'In Place Revenue'!$B$2:$B$764,$B202,'In Place Revenue'!$D$2:$D$764,M$180)</f>
        <v>0</v>
      </c>
      <c r="N202" s="6">
        <f>SUMIFS('In Place Revenue'!$G$2:$G$764,'In Place Revenue'!$B$2:$B$764,$B202,'In Place Revenue'!$D$2:$D$764,N$180)</f>
        <v>0</v>
      </c>
      <c r="O202" s="6">
        <f>SUMIFS('In Place Revenue'!$G$2:$G$764,'In Place Revenue'!$B$2:$B$764,$B202,'In Place Revenue'!$D$2:$D$764,O$180)</f>
        <v>0</v>
      </c>
      <c r="P202" s="6">
        <f>SUMIFS('In Place Revenue'!$G$2:$G$764,'In Place Revenue'!$B$2:$B$764,$B202,'In Place Revenue'!$D$2:$D$764,P$180)</f>
        <v>0</v>
      </c>
      <c r="Q202" s="8">
        <f t="shared" si="61"/>
        <v>19200</v>
      </c>
    </row>
    <row r="203" spans="2:17" hidden="1" outlineLevel="1" x14ac:dyDescent="0.35">
      <c r="B203" s="339" t="s">
        <v>424</v>
      </c>
      <c r="C203" s="341"/>
      <c r="D203" s="6" t="str">
        <f>IFERROR(VLOOKUP(B203,'In Place Revenue'!$B$2:$H$630,2,FALSE),VLOOKUP(B203,$B$217:$D$247,3,FALSE))</f>
        <v>Nail Time</v>
      </c>
      <c r="E203" s="6">
        <f>SUMIFS('In Place Revenue'!$G$2:$G$764,'In Place Revenue'!$B$2:$B$764,$B203,'In Place Revenue'!$D$2:$D$764,E$180)</f>
        <v>2520</v>
      </c>
      <c r="F203" s="6">
        <f>SUMIFS('In Place Revenue'!$G$2:$G$764,'In Place Revenue'!$B$2:$B$764,$B203,'In Place Revenue'!$D$2:$D$764,F$180)</f>
        <v>2520</v>
      </c>
      <c r="G203" s="6">
        <f>SUMIFS('In Place Revenue'!$G$2:$G$764,'In Place Revenue'!$B$2:$B$764,$B203,'In Place Revenue'!$D$2:$D$764,G$180)</f>
        <v>2520</v>
      </c>
      <c r="H203" s="6">
        <f>SUMIFS('In Place Revenue'!$G$2:$G$764,'In Place Revenue'!$B$2:$B$764,$B203,'In Place Revenue'!$D$2:$D$764,H$180)</f>
        <v>2520</v>
      </c>
      <c r="I203" s="6">
        <f>SUMIFS('In Place Revenue'!$G$2:$G$764,'In Place Revenue'!$B$2:$B$764,$B203,'In Place Revenue'!$D$2:$D$764,I$180)</f>
        <v>2520</v>
      </c>
      <c r="J203" s="6">
        <f>SUMIFS('In Place Revenue'!$G$2:$G$764,'In Place Revenue'!$B$2:$B$764,$B203,'In Place Revenue'!$D$2:$D$764,J$180)</f>
        <v>2520</v>
      </c>
      <c r="K203" s="6">
        <f>SUMIFS('In Place Revenue'!$G$2:$G$764,'In Place Revenue'!$B$2:$B$764,$B203,'In Place Revenue'!$D$2:$D$764,K$180)</f>
        <v>2760</v>
      </c>
      <c r="L203" s="6">
        <f>SUMIFS('In Place Revenue'!$G$2:$G$764,'In Place Revenue'!$B$2:$B$764,$B203,'In Place Revenue'!$D$2:$D$764,L$180)</f>
        <v>2760</v>
      </c>
      <c r="M203" s="6">
        <f>SUMIFS('In Place Revenue'!$G$2:$G$764,'In Place Revenue'!$B$2:$B$764,$B203,'In Place Revenue'!$D$2:$D$764,M$180)</f>
        <v>2760</v>
      </c>
      <c r="N203" s="6">
        <f>SUMIFS('In Place Revenue'!$G$2:$G$764,'In Place Revenue'!$B$2:$B$764,$B203,'In Place Revenue'!$D$2:$D$764,N$180)</f>
        <v>2760</v>
      </c>
      <c r="O203" s="6">
        <f>SUMIFS('In Place Revenue'!$G$2:$G$764,'In Place Revenue'!$B$2:$B$764,$B203,'In Place Revenue'!$D$2:$D$764,O$180)</f>
        <v>2760</v>
      </c>
      <c r="P203" s="6">
        <f>SUMIFS('In Place Revenue'!$G$2:$G$764,'In Place Revenue'!$B$2:$B$764,$B203,'In Place Revenue'!$D$2:$D$764,P$180)</f>
        <v>2760</v>
      </c>
      <c r="Q203" s="8">
        <f t="shared" si="61"/>
        <v>31680</v>
      </c>
    </row>
    <row r="204" spans="2:17" hidden="1" outlineLevel="1" x14ac:dyDescent="0.35">
      <c r="B204" s="339" t="s">
        <v>426</v>
      </c>
      <c r="C204" s="341"/>
      <c r="D204" s="6" t="str">
        <f>IFERROR(VLOOKUP(B204,'In Place Revenue'!$B$2:$H$630,2,FALSE),VLOOKUP(B204,$B$217:$D$247,3,FALSE))</f>
        <v>North, Inc.</v>
      </c>
      <c r="E204" s="6">
        <f>SUMIFS('In Place Revenue'!$G$2:$G$764,'In Place Revenue'!$B$2:$B$764,$B204,'In Place Revenue'!$D$2:$D$764,E$180)</f>
        <v>6398.33</v>
      </c>
      <c r="F204" s="6">
        <f>SUMIFS('In Place Revenue'!$G$2:$G$764,'In Place Revenue'!$B$2:$B$764,$B204,'In Place Revenue'!$D$2:$D$764,F$180)</f>
        <v>6398.33</v>
      </c>
      <c r="G204" s="6">
        <f>SUMIFS('In Place Revenue'!$G$2:$G$764,'In Place Revenue'!$B$2:$B$764,$B204,'In Place Revenue'!$D$2:$D$764,G$180)</f>
        <v>6398.33</v>
      </c>
      <c r="H204" s="6">
        <f>SUMIFS('In Place Revenue'!$G$2:$G$764,'In Place Revenue'!$B$2:$B$764,$B204,'In Place Revenue'!$D$2:$D$764,H$180)</f>
        <v>6398.33</v>
      </c>
      <c r="I204" s="6">
        <f>SUMIFS('In Place Revenue'!$G$2:$G$764,'In Place Revenue'!$B$2:$B$764,$B204,'In Place Revenue'!$D$2:$D$764,I$180)</f>
        <v>6398.33</v>
      </c>
      <c r="J204" s="6">
        <f>SUMIFS('In Place Revenue'!$G$2:$G$764,'In Place Revenue'!$B$2:$B$764,$B204,'In Place Revenue'!$D$2:$D$764,J$180)</f>
        <v>6398.33</v>
      </c>
      <c r="K204" s="6">
        <f>SUMIFS('In Place Revenue'!$G$2:$G$764,'In Place Revenue'!$B$2:$B$764,$B204,'In Place Revenue'!$D$2:$D$764,K$180)</f>
        <v>6398.33</v>
      </c>
      <c r="L204" s="6">
        <f>SUMIFS('In Place Revenue'!$G$2:$G$764,'In Place Revenue'!$B$2:$B$764,$B204,'In Place Revenue'!$D$2:$D$764,L$180)</f>
        <v>6398.33</v>
      </c>
      <c r="M204" s="6">
        <f>SUMIFS('In Place Revenue'!$G$2:$G$764,'In Place Revenue'!$B$2:$B$764,$B204,'In Place Revenue'!$D$2:$D$764,M$180)</f>
        <v>6398.33</v>
      </c>
      <c r="N204" s="6">
        <f>SUMIFS('In Place Revenue'!$G$2:$G$764,'In Place Revenue'!$B$2:$B$764,$B204,'In Place Revenue'!$D$2:$D$764,N$180)</f>
        <v>6398.33</v>
      </c>
      <c r="O204" s="6">
        <f>SUMIFS('In Place Revenue'!$G$2:$G$764,'In Place Revenue'!$B$2:$B$764,$B204,'In Place Revenue'!$D$2:$D$764,O$180)</f>
        <v>6398.33</v>
      </c>
      <c r="P204" s="6">
        <f>SUMIFS('In Place Revenue'!$G$2:$G$764,'In Place Revenue'!$B$2:$B$764,$B204,'In Place Revenue'!$D$2:$D$764,P$180)</f>
        <v>6398.33</v>
      </c>
      <c r="Q204" s="8">
        <f t="shared" si="61"/>
        <v>76779.960000000006</v>
      </c>
    </row>
    <row r="205" spans="2:17" hidden="1" outlineLevel="1" x14ac:dyDescent="0.35">
      <c r="B205" s="339" t="s">
        <v>428</v>
      </c>
      <c r="C205" s="341"/>
      <c r="D205" s="6" t="str">
        <f>IFERROR(VLOOKUP(B205,'In Place Revenue'!$B$2:$H$630,2,FALSE),VLOOKUP(B205,$B$217:$D$247,3,FALSE))</f>
        <v>Zen Serenity Massage &amp; Facial</v>
      </c>
      <c r="E205" s="6">
        <f>SUMIFS('In Place Revenue'!$G$2:$G$764,'In Place Revenue'!$B$2:$B$764,$B205,'In Place Revenue'!$D$2:$D$764,E$180)</f>
        <v>2799.04</v>
      </c>
      <c r="F205" s="6">
        <f>SUMIFS('In Place Revenue'!$G$2:$G$764,'In Place Revenue'!$B$2:$B$764,$B205,'In Place Revenue'!$D$2:$D$764,F$180)</f>
        <v>2799.04</v>
      </c>
      <c r="G205" s="6">
        <f>SUMIFS('In Place Revenue'!$G$2:$G$764,'In Place Revenue'!$B$2:$B$764,$B205,'In Place Revenue'!$D$2:$D$764,G$180)</f>
        <v>2799.04</v>
      </c>
      <c r="H205" s="6">
        <f>SUMIFS('In Place Revenue'!$G$2:$G$764,'In Place Revenue'!$B$2:$B$764,$B205,'In Place Revenue'!$D$2:$D$764,H$180)</f>
        <v>2799.04</v>
      </c>
      <c r="I205" s="6">
        <f>SUMIFS('In Place Revenue'!$G$2:$G$764,'In Place Revenue'!$B$2:$B$764,$B205,'In Place Revenue'!$D$2:$D$764,I$180)</f>
        <v>2799.04</v>
      </c>
      <c r="J205" s="6">
        <f>SUMIFS('In Place Revenue'!$G$2:$G$764,'In Place Revenue'!$B$2:$B$764,$B205,'In Place Revenue'!$D$2:$D$764,J$180)</f>
        <v>2799.04</v>
      </c>
      <c r="K205" s="6">
        <f>SUMIFS('In Place Revenue'!$G$2:$G$764,'In Place Revenue'!$B$2:$B$764,$B205,'In Place Revenue'!$D$2:$D$764,K$180)</f>
        <v>2799.04</v>
      </c>
      <c r="L205" s="6">
        <f>SUMIFS('In Place Revenue'!$G$2:$G$764,'In Place Revenue'!$B$2:$B$764,$B205,'In Place Revenue'!$D$2:$D$764,L$180)</f>
        <v>2799.04</v>
      </c>
      <c r="M205" s="6">
        <f>SUMIFS('In Place Revenue'!$G$2:$G$764,'In Place Revenue'!$B$2:$B$764,$B205,'In Place Revenue'!$D$2:$D$764,M$180)</f>
        <v>2799.04</v>
      </c>
      <c r="N205" s="6">
        <f>SUMIFS('In Place Revenue'!$G$2:$G$764,'In Place Revenue'!$B$2:$B$764,$B205,'In Place Revenue'!$D$2:$D$764,N$180)</f>
        <v>2799.04</v>
      </c>
      <c r="O205" s="6">
        <f>SUMIFS('In Place Revenue'!$G$2:$G$764,'In Place Revenue'!$B$2:$B$764,$B205,'In Place Revenue'!$D$2:$D$764,O$180)</f>
        <v>2799.04</v>
      </c>
      <c r="P205" s="6">
        <f>SUMIFS('In Place Revenue'!$G$2:$G$764,'In Place Revenue'!$B$2:$B$764,$B205,'In Place Revenue'!$D$2:$D$764,P$180)</f>
        <v>2799.04</v>
      </c>
      <c r="Q205" s="8">
        <f t="shared" si="61"/>
        <v>33588.480000000003</v>
      </c>
    </row>
    <row r="206" spans="2:17" hidden="1" outlineLevel="1" x14ac:dyDescent="0.35">
      <c r="B206" s="339" t="s">
        <v>528</v>
      </c>
      <c r="C206" s="341"/>
      <c r="D206" s="6" t="str">
        <f>IFERROR(VLOOKUP(B206,'In Place Revenue'!$B$2:$H$630,2,FALSE),VLOOKUP(B206,$B$217:$D$247,3,FALSE))</f>
        <v>Shake4u</v>
      </c>
      <c r="E206" s="6">
        <f>SUMIFS('In Place Revenue'!$G$2:$G$764,'In Place Revenue'!$B$2:$B$764,$B206,'In Place Revenue'!$D$2:$D$764,E$180)</f>
        <v>0</v>
      </c>
      <c r="F206" s="6">
        <f>SUMIFS('In Place Revenue'!$G$2:$G$764,'In Place Revenue'!$B$2:$B$764,$B206,'In Place Revenue'!$D$2:$D$764,F$180)</f>
        <v>0</v>
      </c>
      <c r="G206" s="6">
        <f>SUMIFS('In Place Revenue'!$G$2:$G$764,'In Place Revenue'!$B$2:$B$764,$B206,'In Place Revenue'!$D$2:$D$764,G$180)</f>
        <v>0</v>
      </c>
      <c r="H206" s="6">
        <f>SUMIFS('In Place Revenue'!$G$2:$G$764,'In Place Revenue'!$B$2:$B$764,$B206,'In Place Revenue'!$D$2:$D$764,H$180)</f>
        <v>0</v>
      </c>
      <c r="I206" s="6">
        <f>SUMIFS('In Place Revenue'!$G$2:$G$764,'In Place Revenue'!$B$2:$B$764,$B206,'In Place Revenue'!$D$2:$D$764,I$180)</f>
        <v>0</v>
      </c>
      <c r="J206" s="6">
        <f>SUMIFS('In Place Revenue'!$G$2:$G$764,'In Place Revenue'!$B$2:$B$764,$B206,'In Place Revenue'!$D$2:$D$764,J$180)</f>
        <v>0</v>
      </c>
      <c r="K206" s="6">
        <f>SUMIFS('In Place Revenue'!$G$2:$G$764,'In Place Revenue'!$B$2:$B$764,$B206,'In Place Revenue'!$D$2:$D$764,K$180)</f>
        <v>0</v>
      </c>
      <c r="L206" s="6">
        <f>SUMIFS('In Place Revenue'!$G$2:$G$764,'In Place Revenue'!$B$2:$B$764,$B206,'In Place Revenue'!$D$2:$D$764,L$180)</f>
        <v>0</v>
      </c>
      <c r="M206" s="6">
        <f>SUMIFS('In Place Revenue'!$G$2:$G$764,'In Place Revenue'!$B$2:$B$764,$B206,'In Place Revenue'!$D$2:$D$764,M$180)</f>
        <v>0</v>
      </c>
      <c r="N206" s="6">
        <f>SUMIFS('In Place Revenue'!$G$2:$G$764,'In Place Revenue'!$B$2:$B$764,$B206,'In Place Revenue'!$D$2:$D$764,N$180)</f>
        <v>0</v>
      </c>
      <c r="O206" s="6">
        <f>SUMIFS('In Place Revenue'!$G$2:$G$764,'In Place Revenue'!$B$2:$B$764,$B206,'In Place Revenue'!$D$2:$D$764,O$180)</f>
        <v>0</v>
      </c>
      <c r="P206" s="6">
        <f>SUMIFS('In Place Revenue'!$G$2:$G$764,'In Place Revenue'!$B$2:$B$764,$B206,'In Place Revenue'!$D$2:$D$764,P$180)</f>
        <v>0</v>
      </c>
      <c r="Q206" s="8">
        <f t="shared" ref="Q206" si="63">SUM(E206:P206)</f>
        <v>0</v>
      </c>
    </row>
    <row r="207" spans="2:17" hidden="1" outlineLevel="1" x14ac:dyDescent="0.35">
      <c r="B207" s="339" t="s">
        <v>430</v>
      </c>
      <c r="C207" s="341"/>
      <c r="D207" s="6" t="str">
        <f>IFERROR(VLOOKUP(B207,'In Place Revenue'!$B$2:$H$630,2,FALSE),VLOOKUP(B207,$B$217:$D$247,3,FALSE))</f>
        <v>We Rock the Spectrum</v>
      </c>
      <c r="E207" s="6">
        <f>SUMIFS('In Place Revenue'!$G$2:$G$764,'In Place Revenue'!$B$2:$B$764,$B207,'In Place Revenue'!$D$2:$D$764,E$180)</f>
        <v>4976.28</v>
      </c>
      <c r="F207" s="6">
        <f>SUMIFS('In Place Revenue'!$G$2:$G$764,'In Place Revenue'!$B$2:$B$764,$B207,'In Place Revenue'!$D$2:$D$764,F$180)</f>
        <v>4976.28</v>
      </c>
      <c r="G207" s="6">
        <f>SUMIFS('In Place Revenue'!$G$2:$G$764,'In Place Revenue'!$B$2:$B$764,$B207,'In Place Revenue'!$D$2:$D$764,G$180)</f>
        <v>4976.28</v>
      </c>
      <c r="H207" s="6">
        <f>SUMIFS('In Place Revenue'!$G$2:$G$764,'In Place Revenue'!$B$2:$B$764,$B207,'In Place Revenue'!$D$2:$D$764,H$180)</f>
        <v>4976.28</v>
      </c>
      <c r="I207" s="6">
        <f>SUMIFS('In Place Revenue'!$G$2:$G$764,'In Place Revenue'!$B$2:$B$764,$B207,'In Place Revenue'!$D$2:$D$764,I$180)</f>
        <v>4976.28</v>
      </c>
      <c r="J207" s="6">
        <f>SUMIFS('In Place Revenue'!$G$2:$G$764,'In Place Revenue'!$B$2:$B$764,$B207,'In Place Revenue'!$D$2:$D$764,J$180)</f>
        <v>4976.28</v>
      </c>
      <c r="K207" s="6">
        <f>SUMIFS('In Place Revenue'!$G$2:$G$764,'In Place Revenue'!$B$2:$B$764,$B207,'In Place Revenue'!$D$2:$D$764,K$180)</f>
        <v>4976.28</v>
      </c>
      <c r="L207" s="6">
        <f>SUMIFS('In Place Revenue'!$G$2:$G$764,'In Place Revenue'!$B$2:$B$764,$B207,'In Place Revenue'!$D$2:$D$764,L$180)</f>
        <v>0</v>
      </c>
      <c r="M207" s="6">
        <f>SUMIFS('In Place Revenue'!$G$2:$G$764,'In Place Revenue'!$B$2:$B$764,$B207,'In Place Revenue'!$D$2:$D$764,M$180)</f>
        <v>0</v>
      </c>
      <c r="N207" s="6">
        <f>SUMIFS('In Place Revenue'!$G$2:$G$764,'In Place Revenue'!$B$2:$B$764,$B207,'In Place Revenue'!$D$2:$D$764,N$180)</f>
        <v>0</v>
      </c>
      <c r="O207" s="6">
        <f>SUMIFS('In Place Revenue'!$G$2:$G$764,'In Place Revenue'!$B$2:$B$764,$B207,'In Place Revenue'!$D$2:$D$764,O$180)</f>
        <v>0</v>
      </c>
      <c r="P207" s="6">
        <f>SUMIFS('In Place Revenue'!$G$2:$G$764,'In Place Revenue'!$B$2:$B$764,$B207,'In Place Revenue'!$D$2:$D$764,P$180)</f>
        <v>0</v>
      </c>
      <c r="Q207" s="8">
        <f t="shared" si="61"/>
        <v>34833.96</v>
      </c>
    </row>
    <row r="208" spans="2:17" hidden="1" outlineLevel="1" x14ac:dyDescent="0.35">
      <c r="B208" s="339" t="s">
        <v>431</v>
      </c>
      <c r="C208" s="341"/>
      <c r="D208" s="6" t="str">
        <f>IFERROR(VLOOKUP(B208,'In Place Revenue'!$B$2:$H$630,2,FALSE),VLOOKUP(B208,$B$217:$D$247,3,FALSE))</f>
        <v>Trumark Financial Credit Union</v>
      </c>
      <c r="E208" s="6">
        <f>SUMIFS('In Place Revenue'!$G$2:$G$764,'In Place Revenue'!$B$2:$B$764,$B208,'In Place Revenue'!$D$2:$D$764,E$180)</f>
        <v>5000</v>
      </c>
      <c r="F208" s="6">
        <f>SUMIFS('In Place Revenue'!$G$2:$G$764,'In Place Revenue'!$B$2:$B$764,$B208,'In Place Revenue'!$D$2:$D$764,F$180)</f>
        <v>5000</v>
      </c>
      <c r="G208" s="6">
        <f>SUMIFS('In Place Revenue'!$G$2:$G$764,'In Place Revenue'!$B$2:$B$764,$B208,'In Place Revenue'!$D$2:$D$764,G$180)</f>
        <v>5000</v>
      </c>
      <c r="H208" s="6">
        <f>SUMIFS('In Place Revenue'!$G$2:$G$764,'In Place Revenue'!$B$2:$B$764,$B208,'In Place Revenue'!$D$2:$D$764,H$180)</f>
        <v>5000</v>
      </c>
      <c r="I208" s="6">
        <f>SUMIFS('In Place Revenue'!$G$2:$G$764,'In Place Revenue'!$B$2:$B$764,$B208,'In Place Revenue'!$D$2:$D$764,I$180)</f>
        <v>5000</v>
      </c>
      <c r="J208" s="6">
        <f>SUMIFS('In Place Revenue'!$G$2:$G$764,'In Place Revenue'!$B$2:$B$764,$B208,'In Place Revenue'!$D$2:$D$764,J$180)</f>
        <v>5000</v>
      </c>
      <c r="K208" s="6">
        <f>SUMIFS('In Place Revenue'!$G$2:$G$764,'In Place Revenue'!$B$2:$B$764,$B208,'In Place Revenue'!$D$2:$D$764,K$180)</f>
        <v>5000</v>
      </c>
      <c r="L208" s="6">
        <f>SUMIFS('In Place Revenue'!$G$2:$G$764,'In Place Revenue'!$B$2:$B$764,$B208,'In Place Revenue'!$D$2:$D$764,L$180)</f>
        <v>5000</v>
      </c>
      <c r="M208" s="6">
        <f>SUMIFS('In Place Revenue'!$G$2:$G$764,'In Place Revenue'!$B$2:$B$764,$B208,'In Place Revenue'!$D$2:$D$764,M$180)</f>
        <v>5000</v>
      </c>
      <c r="N208" s="6">
        <f>SUMIFS('In Place Revenue'!$G$2:$G$764,'In Place Revenue'!$B$2:$B$764,$B208,'In Place Revenue'!$D$2:$D$764,N$180)</f>
        <v>5000</v>
      </c>
      <c r="O208" s="6">
        <f>SUMIFS('In Place Revenue'!$G$2:$G$764,'In Place Revenue'!$B$2:$B$764,$B208,'In Place Revenue'!$D$2:$D$764,O$180)</f>
        <v>5000</v>
      </c>
      <c r="P208" s="6">
        <f>SUMIFS('In Place Revenue'!$G$2:$G$764,'In Place Revenue'!$B$2:$B$764,$B208,'In Place Revenue'!$D$2:$D$764,P$180)</f>
        <v>5000</v>
      </c>
      <c r="Q208" s="8">
        <f t="shared" si="61"/>
        <v>60000</v>
      </c>
    </row>
    <row r="209" spans="2:21" hidden="1" outlineLevel="1" x14ac:dyDescent="0.35">
      <c r="B209" s="339" t="s">
        <v>433</v>
      </c>
      <c r="C209" s="341"/>
      <c r="D209" s="6" t="str">
        <f>IFERROR(VLOOKUP(B209,'In Place Revenue'!$B$2:$H$630,2,FALSE),VLOOKUP(B209,$B$217:$D$247,3,FALSE))</f>
        <v>Senator Joseph S. Picozzi</v>
      </c>
      <c r="E209" s="6">
        <f>SUMIFS('In Place Revenue'!$G$2:$G$764,'In Place Revenue'!$B$2:$B$764,$B209,'In Place Revenue'!$D$2:$D$764,E$180)</f>
        <v>3418.14</v>
      </c>
      <c r="F209" s="6">
        <f>SUMIFS('In Place Revenue'!$G$2:$G$764,'In Place Revenue'!$B$2:$B$764,$B209,'In Place Revenue'!$D$2:$D$764,F$180)</f>
        <v>3418.14</v>
      </c>
      <c r="G209" s="6">
        <f>SUMIFS('In Place Revenue'!$G$2:$G$764,'In Place Revenue'!$B$2:$B$764,$B209,'In Place Revenue'!$D$2:$D$764,G$180)</f>
        <v>3418.14</v>
      </c>
      <c r="H209" s="6">
        <f>SUMIFS('In Place Revenue'!$G$2:$G$764,'In Place Revenue'!$B$2:$B$764,$B209,'In Place Revenue'!$D$2:$D$764,H$180)</f>
        <v>3418.14</v>
      </c>
      <c r="I209" s="6">
        <f>SUMIFS('In Place Revenue'!$G$2:$G$764,'In Place Revenue'!$B$2:$B$764,$B209,'In Place Revenue'!$D$2:$D$764,I$180)</f>
        <v>3418.14</v>
      </c>
      <c r="J209" s="6">
        <f>SUMIFS('In Place Revenue'!$G$2:$G$764,'In Place Revenue'!$B$2:$B$764,$B209,'In Place Revenue'!$D$2:$D$764,J$180)</f>
        <v>3418.14</v>
      </c>
      <c r="K209" s="6">
        <f>SUMIFS('In Place Revenue'!$G$2:$G$764,'In Place Revenue'!$B$2:$B$764,$B209,'In Place Revenue'!$D$2:$D$764,K$180)</f>
        <v>3418.14</v>
      </c>
      <c r="L209" s="6">
        <f>SUMIFS('In Place Revenue'!$G$2:$G$764,'In Place Revenue'!$B$2:$B$764,$B209,'In Place Revenue'!$D$2:$D$764,L$180)</f>
        <v>3418.14</v>
      </c>
      <c r="M209" s="6">
        <f>SUMIFS('In Place Revenue'!$G$2:$G$764,'In Place Revenue'!$B$2:$B$764,$B209,'In Place Revenue'!$D$2:$D$764,M$180)</f>
        <v>3418.14</v>
      </c>
      <c r="N209" s="6">
        <f>SUMIFS('In Place Revenue'!$G$2:$G$764,'In Place Revenue'!$B$2:$B$764,$B209,'In Place Revenue'!$D$2:$D$764,N$180)</f>
        <v>3418.14</v>
      </c>
      <c r="O209" s="6">
        <f>SUMIFS('In Place Revenue'!$G$2:$G$764,'In Place Revenue'!$B$2:$B$764,$B209,'In Place Revenue'!$D$2:$D$764,O$180)</f>
        <v>3418.14</v>
      </c>
      <c r="P209" s="6">
        <f>SUMIFS('In Place Revenue'!$G$2:$G$764,'In Place Revenue'!$B$2:$B$764,$B209,'In Place Revenue'!$D$2:$D$764,P$180)</f>
        <v>3418.14</v>
      </c>
      <c r="Q209" s="8">
        <f t="shared" si="61"/>
        <v>41017.68</v>
      </c>
    </row>
    <row r="210" spans="2:21" hidden="1" outlineLevel="1" x14ac:dyDescent="0.35">
      <c r="B210" s="339" t="s">
        <v>435</v>
      </c>
      <c r="C210" s="341"/>
      <c r="D210" s="6" t="str">
        <f>IFERROR(VLOOKUP(B210,'In Place Revenue'!$B$2:$H$630,2,FALSE),VLOOKUP(B210,$B$217:$D$247,3,FALSE))</f>
        <v>Philly Soft Pretzel Factory</v>
      </c>
      <c r="E210" s="6">
        <f>SUMIFS('In Place Revenue'!$G$2:$G$764,'In Place Revenue'!$B$2:$B$764,$B210,'In Place Revenue'!$D$2:$D$764,E$180)</f>
        <v>3313.33</v>
      </c>
      <c r="F210" s="6">
        <f>SUMIFS('In Place Revenue'!$G$2:$G$764,'In Place Revenue'!$B$2:$B$764,$B210,'In Place Revenue'!$D$2:$D$764,F$180)</f>
        <v>3313.33</v>
      </c>
      <c r="G210" s="6">
        <f>SUMIFS('In Place Revenue'!$G$2:$G$764,'In Place Revenue'!$B$2:$B$764,$B210,'In Place Revenue'!$D$2:$D$764,G$180)</f>
        <v>3313.33</v>
      </c>
      <c r="H210" s="6">
        <f>SUMIFS('In Place Revenue'!$G$2:$G$764,'In Place Revenue'!$B$2:$B$764,$B210,'In Place Revenue'!$D$2:$D$764,H$180)</f>
        <v>0</v>
      </c>
      <c r="I210" s="6">
        <f>SUMIFS('In Place Revenue'!$G$2:$G$764,'In Place Revenue'!$B$2:$B$764,$B210,'In Place Revenue'!$D$2:$D$764,I$180)</f>
        <v>0</v>
      </c>
      <c r="J210" s="6">
        <f>SUMIFS('In Place Revenue'!$G$2:$G$764,'In Place Revenue'!$B$2:$B$764,$B210,'In Place Revenue'!$D$2:$D$764,J$180)</f>
        <v>0</v>
      </c>
      <c r="K210" s="6">
        <f>SUMIFS('In Place Revenue'!$G$2:$G$764,'In Place Revenue'!$B$2:$B$764,$B210,'In Place Revenue'!$D$2:$D$764,K$180)</f>
        <v>0</v>
      </c>
      <c r="L210" s="6">
        <f>SUMIFS('In Place Revenue'!$G$2:$G$764,'In Place Revenue'!$B$2:$B$764,$B210,'In Place Revenue'!$D$2:$D$764,L$180)</f>
        <v>0</v>
      </c>
      <c r="M210" s="6">
        <f>SUMIFS('In Place Revenue'!$G$2:$G$764,'In Place Revenue'!$B$2:$B$764,$B210,'In Place Revenue'!$D$2:$D$764,M$180)</f>
        <v>0</v>
      </c>
      <c r="N210" s="6">
        <f>SUMIFS('In Place Revenue'!$G$2:$G$764,'In Place Revenue'!$B$2:$B$764,$B210,'In Place Revenue'!$D$2:$D$764,N$180)</f>
        <v>0</v>
      </c>
      <c r="O210" s="6">
        <f>SUMIFS('In Place Revenue'!$G$2:$G$764,'In Place Revenue'!$B$2:$B$764,$B210,'In Place Revenue'!$D$2:$D$764,O$180)</f>
        <v>0</v>
      </c>
      <c r="P210" s="6">
        <f>SUMIFS('In Place Revenue'!$G$2:$G$764,'In Place Revenue'!$B$2:$B$764,$B210,'In Place Revenue'!$D$2:$D$764,P$180)</f>
        <v>0</v>
      </c>
      <c r="Q210" s="8">
        <f t="shared" si="58"/>
        <v>9939.99</v>
      </c>
    </row>
    <row r="211" spans="2:21" hidden="1" outlineLevel="1" x14ac:dyDescent="0.35">
      <c r="B211" s="340" t="s">
        <v>436</v>
      </c>
      <c r="C211" s="342"/>
      <c r="D211" s="15" t="str">
        <f>IFERROR(VLOOKUP(B211,'In Place Revenue'!$B$2:$H$630,2,FALSE),VLOOKUP(B211,$B$217:$D$247,3,FALSE))</f>
        <v>Dunkin Donuts</v>
      </c>
      <c r="E211" s="15">
        <f>SUMIFS('In Place Revenue'!$G$2:$G$764,'In Place Revenue'!$B$2:$B$764,$B211,'In Place Revenue'!$D$2:$D$764,E$180)</f>
        <v>5166.67</v>
      </c>
      <c r="F211" s="15">
        <f>SUMIFS('In Place Revenue'!$G$2:$G$764,'In Place Revenue'!$B$2:$B$764,$B211,'In Place Revenue'!$D$2:$D$764,F$180)</f>
        <v>5166.67</v>
      </c>
      <c r="G211" s="15">
        <f>SUMIFS('In Place Revenue'!$G$2:$G$764,'In Place Revenue'!$B$2:$B$764,$B211,'In Place Revenue'!$D$2:$D$764,G$180)</f>
        <v>5166.67</v>
      </c>
      <c r="H211" s="15">
        <f>SUMIFS('In Place Revenue'!$G$2:$G$764,'In Place Revenue'!$B$2:$B$764,$B211,'In Place Revenue'!$D$2:$D$764,H$180)</f>
        <v>5166.67</v>
      </c>
      <c r="I211" s="15">
        <f>SUMIFS('In Place Revenue'!$G$2:$G$764,'In Place Revenue'!$B$2:$B$764,$B211,'In Place Revenue'!$D$2:$D$764,I$180)</f>
        <v>5166.67</v>
      </c>
      <c r="J211" s="15">
        <f>SUMIFS('In Place Revenue'!$G$2:$G$764,'In Place Revenue'!$B$2:$B$764,$B211,'In Place Revenue'!$D$2:$D$764,J$180)</f>
        <v>5166.67</v>
      </c>
      <c r="K211" s="15">
        <f>SUMIFS('In Place Revenue'!$G$2:$G$764,'In Place Revenue'!$B$2:$B$764,$B211,'In Place Revenue'!$D$2:$D$764,K$180)</f>
        <v>5166.67</v>
      </c>
      <c r="L211" s="15">
        <f>SUMIFS('In Place Revenue'!$G$2:$G$764,'In Place Revenue'!$B$2:$B$764,$B211,'In Place Revenue'!$D$2:$D$764,L$180)</f>
        <v>0</v>
      </c>
      <c r="M211" s="15">
        <f>SUMIFS('In Place Revenue'!$G$2:$G$764,'In Place Revenue'!$B$2:$B$764,$B211,'In Place Revenue'!$D$2:$D$764,M$180)</f>
        <v>0</v>
      </c>
      <c r="N211" s="15">
        <f>SUMIFS('In Place Revenue'!$G$2:$G$764,'In Place Revenue'!$B$2:$B$764,$B211,'In Place Revenue'!$D$2:$D$764,N$180)</f>
        <v>0</v>
      </c>
      <c r="O211" s="15">
        <f>SUMIFS('In Place Revenue'!$G$2:$G$764,'In Place Revenue'!$B$2:$B$764,$B211,'In Place Revenue'!$D$2:$D$764,O$180)</f>
        <v>0</v>
      </c>
      <c r="P211" s="15">
        <f>SUMIFS('In Place Revenue'!$G$2:$G$764,'In Place Revenue'!$B$2:$B$764,$B211,'In Place Revenue'!$D$2:$D$764,P$180)</f>
        <v>0</v>
      </c>
      <c r="Q211" s="49">
        <f t="shared" si="58"/>
        <v>36166.689999999995</v>
      </c>
    </row>
    <row r="212" spans="2:21" hidden="1" outlineLevel="1" x14ac:dyDescent="0.35">
      <c r="B212" s="3"/>
      <c r="D212" s="16" t="s">
        <v>12</v>
      </c>
      <c r="E212" s="8">
        <f t="shared" ref="E212:Q212" si="64">SUM(E181:E211)</f>
        <v>86177.07</v>
      </c>
      <c r="F212" s="8">
        <f t="shared" si="64"/>
        <v>86207.07</v>
      </c>
      <c r="G212" s="8">
        <f t="shared" si="64"/>
        <v>86207.07</v>
      </c>
      <c r="H212" s="8">
        <f t="shared" si="64"/>
        <v>82893.740000000005</v>
      </c>
      <c r="I212" s="8">
        <f t="shared" si="64"/>
        <v>82893.740000000005</v>
      </c>
      <c r="J212" s="8">
        <f t="shared" si="64"/>
        <v>82893.740000000005</v>
      </c>
      <c r="K212" s="8">
        <f t="shared" si="64"/>
        <v>78822.609999999986</v>
      </c>
      <c r="L212" s="8">
        <f t="shared" si="64"/>
        <v>68679.66</v>
      </c>
      <c r="M212" s="8">
        <f t="shared" si="64"/>
        <v>56932.159999999996</v>
      </c>
      <c r="N212" s="8">
        <f t="shared" si="64"/>
        <v>50857.51</v>
      </c>
      <c r="O212" s="8">
        <f t="shared" si="64"/>
        <v>50857.51</v>
      </c>
      <c r="P212" s="8">
        <f t="shared" si="64"/>
        <v>50857.51</v>
      </c>
      <c r="Q212" s="8">
        <f t="shared" si="64"/>
        <v>864279.3899999999</v>
      </c>
    </row>
    <row r="213" spans="2:21" hidden="1" outlineLevel="1" x14ac:dyDescent="0.35">
      <c r="E213" s="55">
        <f t="shared" ref="E213:Q213" si="65">E10-E212</f>
        <v>0</v>
      </c>
      <c r="F213" s="55">
        <f t="shared" si="65"/>
        <v>0</v>
      </c>
      <c r="G213" s="55">
        <f t="shared" si="65"/>
        <v>0</v>
      </c>
      <c r="H213" s="55">
        <f t="shared" si="65"/>
        <v>0</v>
      </c>
      <c r="I213" s="55">
        <f t="shared" si="65"/>
        <v>0</v>
      </c>
      <c r="J213" s="55">
        <f t="shared" si="65"/>
        <v>0</v>
      </c>
      <c r="K213" s="55">
        <f t="shared" si="65"/>
        <v>0</v>
      </c>
      <c r="L213" s="55">
        <f t="shared" si="65"/>
        <v>0</v>
      </c>
      <c r="M213" s="55">
        <f t="shared" si="65"/>
        <v>0</v>
      </c>
      <c r="N213" s="55">
        <f t="shared" si="65"/>
        <v>0</v>
      </c>
      <c r="O213" s="55">
        <f t="shared" si="65"/>
        <v>0</v>
      </c>
      <c r="P213" s="55">
        <f t="shared" si="65"/>
        <v>0</v>
      </c>
      <c r="Q213" s="6">
        <f t="shared" si="65"/>
        <v>0</v>
      </c>
      <c r="T213" s="6"/>
      <c r="U213" s="6"/>
    </row>
    <row r="214" spans="2:21" collapsed="1" x14ac:dyDescent="0.35"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T214" s="6"/>
      <c r="U214" s="6"/>
    </row>
    <row r="215" spans="2:21" ht="17.5" x14ac:dyDescent="0.35">
      <c r="B215" s="352" t="s">
        <v>160</v>
      </c>
      <c r="E215" s="336"/>
      <c r="F215" s="336"/>
      <c r="G215" s="336"/>
      <c r="H215" s="336"/>
      <c r="I215" s="336"/>
      <c r="J215" s="336"/>
      <c r="K215" s="336"/>
      <c r="L215" s="336"/>
      <c r="M215" s="336"/>
      <c r="N215" s="336"/>
      <c r="O215" s="336"/>
      <c r="P215" s="336"/>
      <c r="S215" s="23"/>
      <c r="T215" s="6"/>
      <c r="U215" s="6"/>
    </row>
    <row r="216" spans="2:21" hidden="1" outlineLevel="1" x14ac:dyDescent="0.35">
      <c r="B216" s="15" t="s">
        <v>503</v>
      </c>
      <c r="C216" s="15"/>
      <c r="D216" s="15" t="s">
        <v>302</v>
      </c>
      <c r="E216" s="338">
        <v>46023</v>
      </c>
      <c r="F216" s="338">
        <v>46054</v>
      </c>
      <c r="G216" s="338">
        <v>46082</v>
      </c>
      <c r="H216" s="338">
        <v>46113</v>
      </c>
      <c r="I216" s="338">
        <v>46143</v>
      </c>
      <c r="J216" s="338">
        <v>46174</v>
      </c>
      <c r="K216" s="338">
        <v>46204</v>
      </c>
      <c r="L216" s="338">
        <v>46235</v>
      </c>
      <c r="M216" s="338">
        <v>46266</v>
      </c>
      <c r="N216" s="338">
        <v>46296</v>
      </c>
      <c r="O216" s="338">
        <v>46327</v>
      </c>
      <c r="P216" s="338">
        <v>46357</v>
      </c>
      <c r="Q216" s="285" t="s">
        <v>12</v>
      </c>
      <c r="R216" s="23"/>
      <c r="S216" s="23"/>
      <c r="T216" s="6"/>
      <c r="U216" s="6"/>
    </row>
    <row r="217" spans="2:21" hidden="1" outlineLevel="1" x14ac:dyDescent="0.35">
      <c r="B217" s="355" t="str">
        <f t="shared" ref="B217:B247" si="66">B181</f>
        <v>7010-201</v>
      </c>
      <c r="C217" s="341"/>
      <c r="D217" s="79" t="str">
        <f>IFERROR(VLOOKUP(B217,'Renew &amp; Vac '!$L$119:$M$133,2,FALSE),IFERROR(VLOOKUP(B217,'Renew &amp; Vac '!$A$119:$B$133,2,FALSE),VLOOKUP(B217,$B$181:$D$211,3,FALSE)))</f>
        <v>Foot and Ankle Center of Phila</v>
      </c>
      <c r="E217" s="6">
        <f>SUMIFS('Renew &amp; Vac '!$S$119:$S$133,'Renew &amp; Vac '!$L$119:$L$133,$B217,'Renew &amp; Vac '!$O$119:$O$133,"&lt;="&amp;E$216,'Renew &amp; Vac '!$P$119:$P$133,"&gt;="&amp;E$216)+SUMIFS('Renew &amp; Vac '!$H$119:$H$133,'Renew &amp; Vac '!$A$119:$A$133,$B217,'Renew &amp; Vac '!$D$119:$D$133,"&lt;="&amp;E$216,'Renew &amp; Vac '!$E$119:$E$133,"&gt;="&amp;E$216)</f>
        <v>0</v>
      </c>
      <c r="F217" s="6">
        <f>SUMIFS('Renew &amp; Vac '!$S$119:$S$133,'Renew &amp; Vac '!$L$119:$L$133,$B217,'Renew &amp; Vac '!$O$119:$O$133,"&lt;="&amp;F$216,'Renew &amp; Vac '!$P$119:$P$133,"&gt;="&amp;F$216)+SUMIFS('Renew &amp; Vac '!$H$119:$H$133,'Renew &amp; Vac '!$A$119:$A$133,$B217,'Renew &amp; Vac '!$D$119:$D$133,"&lt;="&amp;F$216,'Renew &amp; Vac '!$E$119:$E$133,"&gt;="&amp;F$216)</f>
        <v>0</v>
      </c>
      <c r="G217" s="6">
        <f>SUMIFS('Renew &amp; Vac '!$S$119:$S$133,'Renew &amp; Vac '!$L$119:$L$133,$B217,'Renew &amp; Vac '!$O$119:$O$133,"&lt;="&amp;G$216,'Renew &amp; Vac '!$P$119:$P$133,"&gt;="&amp;G$216)+SUMIFS('Renew &amp; Vac '!$H$119:$H$133,'Renew &amp; Vac '!$A$119:$A$133,$B217,'Renew &amp; Vac '!$D$119:$D$133,"&lt;="&amp;G$216,'Renew &amp; Vac '!$E$119:$E$133,"&gt;="&amp;G$216)</f>
        <v>0</v>
      </c>
      <c r="H217" s="6">
        <f>SUMIFS('Renew &amp; Vac '!$S$119:$S$133,'Renew &amp; Vac '!$L$119:$L$133,$B217,'Renew &amp; Vac '!$O$119:$O$133,"&lt;="&amp;H$216,'Renew &amp; Vac '!$P$119:$P$133,"&gt;="&amp;H$216)+SUMIFS('Renew &amp; Vac '!$H$119:$H$133,'Renew &amp; Vac '!$A$119:$A$133,$B217,'Renew &amp; Vac '!$D$119:$D$133,"&lt;="&amp;H$216,'Renew &amp; Vac '!$E$119:$E$133,"&gt;="&amp;H$216)</f>
        <v>0</v>
      </c>
      <c r="I217" s="6">
        <f>SUMIFS('Renew &amp; Vac '!$S$119:$S$133,'Renew &amp; Vac '!$L$119:$L$133,$B217,'Renew &amp; Vac '!$O$119:$O$133,"&lt;="&amp;I$216,'Renew &amp; Vac '!$P$119:$P$133,"&gt;="&amp;I$216)+SUMIFS('Renew &amp; Vac '!$H$119:$H$133,'Renew &amp; Vac '!$A$119:$A$133,$B217,'Renew &amp; Vac '!$D$119:$D$133,"&lt;="&amp;I$216,'Renew &amp; Vac '!$E$119:$E$133,"&gt;="&amp;I$216)</f>
        <v>0</v>
      </c>
      <c r="J217" s="6">
        <f>SUMIFS('Renew &amp; Vac '!$S$119:$S$133,'Renew &amp; Vac '!$L$119:$L$133,$B217,'Renew &amp; Vac '!$O$119:$O$133,"&lt;="&amp;J$216,'Renew &amp; Vac '!$P$119:$P$133,"&gt;="&amp;J$216)+SUMIFS('Renew &amp; Vac '!$H$119:$H$133,'Renew &amp; Vac '!$A$119:$A$133,$B217,'Renew &amp; Vac '!$D$119:$D$133,"&lt;="&amp;J$216,'Renew &amp; Vac '!$E$119:$E$133,"&gt;="&amp;J$216)</f>
        <v>0</v>
      </c>
      <c r="K217" s="6">
        <f>SUMIFS('Renew &amp; Vac '!$S$119:$S$133,'Renew &amp; Vac '!$L$119:$L$133,$B217,'Renew &amp; Vac '!$O$119:$O$133,"&lt;="&amp;K$216,'Renew &amp; Vac '!$P$119:$P$133,"&gt;="&amp;K$216)+SUMIFS('Renew &amp; Vac '!$H$119:$H$133,'Renew &amp; Vac '!$A$119:$A$133,$B217,'Renew &amp; Vac '!$D$119:$D$133,"&lt;="&amp;K$216,'Renew &amp; Vac '!$E$119:$E$133,"&gt;="&amp;K$216)</f>
        <v>5248.8158333333331</v>
      </c>
      <c r="L217" s="6">
        <f>SUMIFS('Renew &amp; Vac '!$S$119:$S$133,'Renew &amp; Vac '!$L$119:$L$133,$B217,'Renew &amp; Vac '!$O$119:$O$133,"&lt;="&amp;L$216,'Renew &amp; Vac '!$P$119:$P$133,"&gt;="&amp;L$216)+SUMIFS('Renew &amp; Vac '!$H$119:$H$133,'Renew &amp; Vac '!$A$119:$A$133,$B217,'Renew &amp; Vac '!$D$119:$D$133,"&lt;="&amp;L$216,'Renew &amp; Vac '!$E$119:$E$133,"&gt;="&amp;L$216)</f>
        <v>5248.8158333333331</v>
      </c>
      <c r="M217" s="6">
        <f>SUMIFS('Renew &amp; Vac '!$S$119:$S$133,'Renew &amp; Vac '!$L$119:$L$133,$B217,'Renew &amp; Vac '!$O$119:$O$133,"&lt;="&amp;M$216,'Renew &amp; Vac '!$P$119:$P$133,"&gt;="&amp;M$216)+SUMIFS('Renew &amp; Vac '!$H$119:$H$133,'Renew &amp; Vac '!$A$119:$A$133,$B217,'Renew &amp; Vac '!$D$119:$D$133,"&lt;="&amp;M$216,'Renew &amp; Vac '!$E$119:$E$133,"&gt;="&amp;M$216)</f>
        <v>5248.8158333333331</v>
      </c>
      <c r="N217" s="6">
        <f>SUMIFS('Renew &amp; Vac '!$S$119:$S$133,'Renew &amp; Vac '!$L$119:$L$133,$B217,'Renew &amp; Vac '!$O$119:$O$133,"&lt;="&amp;N$216,'Renew &amp; Vac '!$P$119:$P$133,"&gt;="&amp;N$216)+SUMIFS('Renew &amp; Vac '!$H$119:$H$133,'Renew &amp; Vac '!$A$119:$A$133,$B217,'Renew &amp; Vac '!$D$119:$D$133,"&lt;="&amp;N$216,'Renew &amp; Vac '!$E$119:$E$133,"&gt;="&amp;N$216)</f>
        <v>5248.8158333333331</v>
      </c>
      <c r="O217" s="6">
        <f>SUMIFS('Renew &amp; Vac '!$S$119:$S$133,'Renew &amp; Vac '!$L$119:$L$133,$B217,'Renew &amp; Vac '!$O$119:$O$133,"&lt;="&amp;O$216,'Renew &amp; Vac '!$P$119:$P$133,"&gt;="&amp;O$216)+SUMIFS('Renew &amp; Vac '!$H$119:$H$133,'Renew &amp; Vac '!$A$119:$A$133,$B217,'Renew &amp; Vac '!$D$119:$D$133,"&lt;="&amp;O$216,'Renew &amp; Vac '!$E$119:$E$133,"&gt;="&amp;O$216)</f>
        <v>5248.8158333333331</v>
      </c>
      <c r="P217" s="6">
        <f>SUMIFS('Renew &amp; Vac '!$S$119:$S$133,'Renew &amp; Vac '!$L$119:$L$133,$B217,'Renew &amp; Vac '!$O$119:$O$133,"&lt;="&amp;P$216,'Renew &amp; Vac '!$P$119:$P$133,"&gt;="&amp;P$216)+SUMIFS('Renew &amp; Vac '!$H$119:$H$133,'Renew &amp; Vac '!$A$119:$A$133,$B217,'Renew &amp; Vac '!$D$119:$D$133,"&lt;="&amp;P$216,'Renew &amp; Vac '!$E$119:$E$133,"&gt;="&amp;P$216)</f>
        <v>5248.8158333333331</v>
      </c>
      <c r="Q217" s="8">
        <f>SUM(E217:P217)</f>
        <v>31492.895</v>
      </c>
    </row>
    <row r="218" spans="2:21" hidden="1" outlineLevel="1" x14ac:dyDescent="0.35">
      <c r="B218" s="339" t="str">
        <f t="shared" si="66"/>
        <v>7010-203</v>
      </c>
      <c r="C218" s="341"/>
      <c r="D218" s="79" t="str">
        <f>IFERROR(VLOOKUP(B218,'Renew &amp; Vac '!$L$119:$M$133,2,FALSE),IFERROR(VLOOKUP(B218,'Renew &amp; Vac '!$A$119:$B$133,2,FALSE),VLOOKUP(B218,$B$181:$D$211,3,FALSE)))</f>
        <v>Parkwood Medical Practice</v>
      </c>
      <c r="E218" s="6">
        <f>SUMIFS('Renew &amp; Vac '!$S$119:$S$133,'Renew &amp; Vac '!$L$119:$L$133,$B218,'Renew &amp; Vac '!$O$119:$O$133,"&lt;="&amp;E$216,'Renew &amp; Vac '!$P$119:$P$133,"&gt;="&amp;E$216)+SUMIFS('Renew &amp; Vac '!$H$119:$H$133,'Renew &amp; Vac '!$A$119:$A$133,$B218,'Renew &amp; Vac '!$D$119:$D$133,"&lt;="&amp;E$216,'Renew &amp; Vac '!$E$119:$E$133,"&gt;="&amp;E$216)</f>
        <v>0</v>
      </c>
      <c r="F218" s="6">
        <f>SUMIFS('Renew &amp; Vac '!$S$119:$S$133,'Renew &amp; Vac '!$L$119:$L$133,$B218,'Renew &amp; Vac '!$O$119:$O$133,"&lt;="&amp;F$216,'Renew &amp; Vac '!$P$119:$P$133,"&gt;="&amp;F$216)+SUMIFS('Renew &amp; Vac '!$H$119:$H$133,'Renew &amp; Vac '!$A$119:$A$133,$B218,'Renew &amp; Vac '!$D$119:$D$133,"&lt;="&amp;F$216,'Renew &amp; Vac '!$E$119:$E$133,"&gt;="&amp;F$216)</f>
        <v>0</v>
      </c>
      <c r="G218" s="6">
        <f>SUMIFS('Renew &amp; Vac '!$S$119:$S$133,'Renew &amp; Vac '!$L$119:$L$133,$B218,'Renew &amp; Vac '!$O$119:$O$133,"&lt;="&amp;G$216,'Renew &amp; Vac '!$P$119:$P$133,"&gt;="&amp;G$216)+SUMIFS('Renew &amp; Vac '!$H$119:$H$133,'Renew &amp; Vac '!$A$119:$A$133,$B218,'Renew &amp; Vac '!$D$119:$D$133,"&lt;="&amp;G$216,'Renew &amp; Vac '!$E$119:$E$133,"&gt;="&amp;G$216)</f>
        <v>0</v>
      </c>
      <c r="H218" s="6">
        <f>SUMIFS('Renew &amp; Vac '!$S$119:$S$133,'Renew &amp; Vac '!$L$119:$L$133,$B218,'Renew &amp; Vac '!$O$119:$O$133,"&lt;="&amp;H$216,'Renew &amp; Vac '!$P$119:$P$133,"&gt;="&amp;H$216)+SUMIFS('Renew &amp; Vac '!$H$119:$H$133,'Renew &amp; Vac '!$A$119:$A$133,$B218,'Renew &amp; Vac '!$D$119:$D$133,"&lt;="&amp;H$216,'Renew &amp; Vac '!$E$119:$E$133,"&gt;="&amp;H$216)</f>
        <v>0</v>
      </c>
      <c r="I218" s="6">
        <f>SUMIFS('Renew &amp; Vac '!$S$119:$S$133,'Renew &amp; Vac '!$L$119:$L$133,$B218,'Renew &amp; Vac '!$O$119:$O$133,"&lt;="&amp;I$216,'Renew &amp; Vac '!$P$119:$P$133,"&gt;="&amp;I$216)+SUMIFS('Renew &amp; Vac '!$H$119:$H$133,'Renew &amp; Vac '!$A$119:$A$133,$B218,'Renew &amp; Vac '!$D$119:$D$133,"&lt;="&amp;I$216,'Renew &amp; Vac '!$E$119:$E$133,"&gt;="&amp;I$216)</f>
        <v>0</v>
      </c>
      <c r="J218" s="6">
        <f>SUMIFS('Renew &amp; Vac '!$S$119:$S$133,'Renew &amp; Vac '!$L$119:$L$133,$B218,'Renew &amp; Vac '!$O$119:$O$133,"&lt;="&amp;J$216,'Renew &amp; Vac '!$P$119:$P$133,"&gt;="&amp;J$216)+SUMIFS('Renew &amp; Vac '!$H$119:$H$133,'Renew &amp; Vac '!$A$119:$A$133,$B218,'Renew &amp; Vac '!$D$119:$D$133,"&lt;="&amp;J$216,'Renew &amp; Vac '!$E$119:$E$133,"&gt;="&amp;J$216)</f>
        <v>0</v>
      </c>
      <c r="K218" s="6">
        <f>SUMIFS('Renew &amp; Vac '!$S$119:$S$133,'Renew &amp; Vac '!$L$119:$L$133,$B218,'Renew &amp; Vac '!$O$119:$O$133,"&lt;="&amp;K$216,'Renew &amp; Vac '!$P$119:$P$133,"&gt;="&amp;K$216)+SUMIFS('Renew &amp; Vac '!$H$119:$H$133,'Renew &amp; Vac '!$A$119:$A$133,$B218,'Renew &amp; Vac '!$D$119:$D$133,"&lt;="&amp;K$216,'Renew &amp; Vac '!$E$119:$E$133,"&gt;="&amp;K$216)</f>
        <v>0</v>
      </c>
      <c r="L218" s="6">
        <f>SUMIFS('Renew &amp; Vac '!$S$119:$S$133,'Renew &amp; Vac '!$L$119:$L$133,$B218,'Renew &amp; Vac '!$O$119:$O$133,"&lt;="&amp;L$216,'Renew &amp; Vac '!$P$119:$P$133,"&gt;="&amp;L$216)+SUMIFS('Renew &amp; Vac '!$H$119:$H$133,'Renew &amp; Vac '!$A$119:$A$133,$B218,'Renew &amp; Vac '!$D$119:$D$133,"&lt;="&amp;L$216,'Renew &amp; Vac '!$E$119:$E$133,"&gt;="&amp;L$216)</f>
        <v>0</v>
      </c>
      <c r="M218" s="6">
        <f>SUMIFS('Renew &amp; Vac '!$S$119:$S$133,'Renew &amp; Vac '!$L$119:$L$133,$B218,'Renew &amp; Vac '!$O$119:$O$133,"&lt;="&amp;M$216,'Renew &amp; Vac '!$P$119:$P$133,"&gt;="&amp;M$216)+SUMIFS('Renew &amp; Vac '!$H$119:$H$133,'Renew &amp; Vac '!$A$119:$A$133,$B218,'Renew &amp; Vac '!$D$119:$D$133,"&lt;="&amp;M$216,'Renew &amp; Vac '!$E$119:$E$133,"&gt;="&amp;M$216)</f>
        <v>0</v>
      </c>
      <c r="N218" s="6">
        <f>SUMIFS('Renew &amp; Vac '!$S$119:$S$133,'Renew &amp; Vac '!$L$119:$L$133,$B218,'Renew &amp; Vac '!$O$119:$O$133,"&lt;="&amp;N$216,'Renew &amp; Vac '!$P$119:$P$133,"&gt;="&amp;N$216)+SUMIFS('Renew &amp; Vac '!$H$119:$H$133,'Renew &amp; Vac '!$A$119:$A$133,$B218,'Renew &amp; Vac '!$D$119:$D$133,"&lt;="&amp;N$216,'Renew &amp; Vac '!$E$119:$E$133,"&gt;="&amp;N$216)</f>
        <v>3160.0049999999997</v>
      </c>
      <c r="O218" s="6">
        <f>SUMIFS('Renew &amp; Vac '!$S$119:$S$133,'Renew &amp; Vac '!$L$119:$L$133,$B218,'Renew &amp; Vac '!$O$119:$O$133,"&lt;="&amp;O$216,'Renew &amp; Vac '!$P$119:$P$133,"&gt;="&amp;O$216)+SUMIFS('Renew &amp; Vac '!$H$119:$H$133,'Renew &amp; Vac '!$A$119:$A$133,$B218,'Renew &amp; Vac '!$D$119:$D$133,"&lt;="&amp;O$216,'Renew &amp; Vac '!$E$119:$E$133,"&gt;="&amp;O$216)</f>
        <v>3160.0049999999997</v>
      </c>
      <c r="P218" s="6">
        <f>SUMIFS('Renew &amp; Vac '!$S$119:$S$133,'Renew &amp; Vac '!$L$119:$L$133,$B218,'Renew &amp; Vac '!$O$119:$O$133,"&lt;="&amp;P$216,'Renew &amp; Vac '!$P$119:$P$133,"&gt;="&amp;P$216)+SUMIFS('Renew &amp; Vac '!$H$119:$H$133,'Renew &amp; Vac '!$A$119:$A$133,$B218,'Renew &amp; Vac '!$D$119:$D$133,"&lt;="&amp;P$216,'Renew &amp; Vac '!$E$119:$E$133,"&gt;="&amp;P$216)</f>
        <v>3160.0049999999997</v>
      </c>
      <c r="Q218" s="8">
        <f t="shared" ref="Q218:Q247" si="67">SUM(E218:P218)</f>
        <v>9480.0149999999994</v>
      </c>
    </row>
    <row r="219" spans="2:21" hidden="1" outlineLevel="1" x14ac:dyDescent="0.35">
      <c r="B219" s="339" t="str">
        <f t="shared" si="66"/>
        <v>7010-205</v>
      </c>
      <c r="C219" s="341"/>
      <c r="D219" s="79" t="str">
        <f>IFERROR(VLOOKUP(B219,'Renew &amp; Vac '!$L$119:$M$133,2,FALSE),IFERROR(VLOOKUP(B219,'Renew &amp; Vac '!$A$119:$B$133,2,FALSE),VLOOKUP(B219,$B$181:$D$211,3,FALSE)))</f>
        <v>VACANT</v>
      </c>
      <c r="E219" s="6">
        <f>SUMIFS('Renew &amp; Vac '!$S$119:$S$133,'Renew &amp; Vac '!$L$119:$L$133,$B219,'Renew &amp; Vac '!$O$119:$O$133,"&lt;="&amp;E$216,'Renew &amp; Vac '!$P$119:$P$133,"&gt;="&amp;E$216)+SUMIFS('Renew &amp; Vac '!$H$119:$H$133,'Renew &amp; Vac '!$A$119:$A$133,$B219,'Renew &amp; Vac '!$D$119:$D$133,"&lt;="&amp;E$216,'Renew &amp; Vac '!$E$119:$E$133,"&gt;="&amp;E$216)</f>
        <v>0</v>
      </c>
      <c r="F219" s="6">
        <f>SUMIFS('Renew &amp; Vac '!$S$119:$S$133,'Renew &amp; Vac '!$L$119:$L$133,$B219,'Renew &amp; Vac '!$O$119:$O$133,"&lt;="&amp;F$216,'Renew &amp; Vac '!$P$119:$P$133,"&gt;="&amp;F$216)+SUMIFS('Renew &amp; Vac '!$H$119:$H$133,'Renew &amp; Vac '!$A$119:$A$133,$B219,'Renew &amp; Vac '!$D$119:$D$133,"&lt;="&amp;F$216,'Renew &amp; Vac '!$E$119:$E$133,"&gt;="&amp;F$216)</f>
        <v>0</v>
      </c>
      <c r="G219" s="6">
        <f>SUMIFS('Renew &amp; Vac '!$S$119:$S$133,'Renew &amp; Vac '!$L$119:$L$133,$B219,'Renew &amp; Vac '!$O$119:$O$133,"&lt;="&amp;G$216,'Renew &amp; Vac '!$P$119:$P$133,"&gt;="&amp;G$216)+SUMIFS('Renew &amp; Vac '!$H$119:$H$133,'Renew &amp; Vac '!$A$119:$A$133,$B219,'Renew &amp; Vac '!$D$119:$D$133,"&lt;="&amp;G$216,'Renew &amp; Vac '!$E$119:$E$133,"&gt;="&amp;G$216)</f>
        <v>0</v>
      </c>
      <c r="H219" s="6">
        <f>SUMIFS('Renew &amp; Vac '!$S$119:$S$133,'Renew &amp; Vac '!$L$119:$L$133,$B219,'Renew &amp; Vac '!$O$119:$O$133,"&lt;="&amp;H$216,'Renew &amp; Vac '!$P$119:$P$133,"&gt;="&amp;H$216)+SUMIFS('Renew &amp; Vac '!$H$119:$H$133,'Renew &amp; Vac '!$A$119:$A$133,$B219,'Renew &amp; Vac '!$D$119:$D$133,"&lt;="&amp;H$216,'Renew &amp; Vac '!$E$119:$E$133,"&gt;="&amp;H$216)</f>
        <v>0</v>
      </c>
      <c r="I219" s="6">
        <f>SUMIFS('Renew &amp; Vac '!$S$119:$S$133,'Renew &amp; Vac '!$L$119:$L$133,$B219,'Renew &amp; Vac '!$O$119:$O$133,"&lt;="&amp;I$216,'Renew &amp; Vac '!$P$119:$P$133,"&gt;="&amp;I$216)+SUMIFS('Renew &amp; Vac '!$H$119:$H$133,'Renew &amp; Vac '!$A$119:$A$133,$B219,'Renew &amp; Vac '!$D$119:$D$133,"&lt;="&amp;I$216,'Renew &amp; Vac '!$E$119:$E$133,"&gt;="&amp;I$216)</f>
        <v>0</v>
      </c>
      <c r="J219" s="6">
        <f>SUMIFS('Renew &amp; Vac '!$S$119:$S$133,'Renew &amp; Vac '!$L$119:$L$133,$B219,'Renew &amp; Vac '!$O$119:$O$133,"&lt;="&amp;J$216,'Renew &amp; Vac '!$P$119:$P$133,"&gt;="&amp;J$216)+SUMIFS('Renew &amp; Vac '!$H$119:$H$133,'Renew &amp; Vac '!$A$119:$A$133,$B219,'Renew &amp; Vac '!$D$119:$D$133,"&lt;="&amp;J$216,'Renew &amp; Vac '!$E$119:$E$133,"&gt;="&amp;J$216)</f>
        <v>0</v>
      </c>
      <c r="K219" s="6">
        <f>SUMIFS('Renew &amp; Vac '!$S$119:$S$133,'Renew &amp; Vac '!$L$119:$L$133,$B219,'Renew &amp; Vac '!$O$119:$O$133,"&lt;="&amp;K$216,'Renew &amp; Vac '!$P$119:$P$133,"&gt;="&amp;K$216)+SUMIFS('Renew &amp; Vac '!$H$119:$H$133,'Renew &amp; Vac '!$A$119:$A$133,$B219,'Renew &amp; Vac '!$D$119:$D$133,"&lt;="&amp;K$216,'Renew &amp; Vac '!$E$119:$E$133,"&gt;="&amp;K$216)</f>
        <v>0</v>
      </c>
      <c r="L219" s="6">
        <f>SUMIFS('Renew &amp; Vac '!$S$119:$S$133,'Renew &amp; Vac '!$L$119:$L$133,$B219,'Renew &amp; Vac '!$O$119:$O$133,"&lt;="&amp;L$216,'Renew &amp; Vac '!$P$119:$P$133,"&gt;="&amp;L$216)+SUMIFS('Renew &amp; Vac '!$H$119:$H$133,'Renew &amp; Vac '!$A$119:$A$133,$B219,'Renew &amp; Vac '!$D$119:$D$133,"&lt;="&amp;L$216,'Renew &amp; Vac '!$E$119:$E$133,"&gt;="&amp;L$216)</f>
        <v>0</v>
      </c>
      <c r="M219" s="6">
        <f>SUMIFS('Renew &amp; Vac '!$S$119:$S$133,'Renew &amp; Vac '!$L$119:$L$133,$B219,'Renew &amp; Vac '!$O$119:$O$133,"&lt;="&amp;M$216,'Renew &amp; Vac '!$P$119:$P$133,"&gt;="&amp;M$216)+SUMIFS('Renew &amp; Vac '!$H$119:$H$133,'Renew &amp; Vac '!$A$119:$A$133,$B219,'Renew &amp; Vac '!$D$119:$D$133,"&lt;="&amp;M$216,'Renew &amp; Vac '!$E$119:$E$133,"&gt;="&amp;M$216)</f>
        <v>0</v>
      </c>
      <c r="N219" s="6">
        <f>SUMIFS('Renew &amp; Vac '!$S$119:$S$133,'Renew &amp; Vac '!$L$119:$L$133,$B219,'Renew &amp; Vac '!$O$119:$O$133,"&lt;="&amp;N$216,'Renew &amp; Vac '!$P$119:$P$133,"&gt;="&amp;N$216)+SUMIFS('Renew &amp; Vac '!$H$119:$H$133,'Renew &amp; Vac '!$A$119:$A$133,$B219,'Renew &amp; Vac '!$D$119:$D$133,"&lt;="&amp;N$216,'Renew &amp; Vac '!$E$119:$E$133,"&gt;="&amp;N$216)</f>
        <v>0</v>
      </c>
      <c r="O219" s="6">
        <f>SUMIFS('Renew &amp; Vac '!$S$119:$S$133,'Renew &amp; Vac '!$L$119:$L$133,$B219,'Renew &amp; Vac '!$O$119:$O$133,"&lt;="&amp;O$216,'Renew &amp; Vac '!$P$119:$P$133,"&gt;="&amp;O$216)+SUMIFS('Renew &amp; Vac '!$H$119:$H$133,'Renew &amp; Vac '!$A$119:$A$133,$B219,'Renew &amp; Vac '!$D$119:$D$133,"&lt;="&amp;O$216,'Renew &amp; Vac '!$E$119:$E$133,"&gt;="&amp;O$216)</f>
        <v>0</v>
      </c>
      <c r="P219" s="6">
        <f>SUMIFS('Renew &amp; Vac '!$S$119:$S$133,'Renew &amp; Vac '!$L$119:$L$133,$B219,'Renew &amp; Vac '!$O$119:$O$133,"&lt;="&amp;P$216,'Renew &amp; Vac '!$P$119:$P$133,"&gt;="&amp;P$216)+SUMIFS('Renew &amp; Vac '!$H$119:$H$133,'Renew &amp; Vac '!$A$119:$A$133,$B219,'Renew &amp; Vac '!$D$119:$D$133,"&lt;="&amp;P$216,'Renew &amp; Vac '!$E$119:$E$133,"&gt;="&amp;P$216)</f>
        <v>0</v>
      </c>
      <c r="Q219" s="8">
        <f t="shared" si="67"/>
        <v>0</v>
      </c>
    </row>
    <row r="220" spans="2:21" hidden="1" outlineLevel="1" x14ac:dyDescent="0.35">
      <c r="B220" s="339" t="str">
        <f t="shared" si="66"/>
        <v>7010-206</v>
      </c>
      <c r="C220" s="341"/>
      <c r="D220" s="79" t="str">
        <f>IFERROR(VLOOKUP(B220,'Renew &amp; Vac '!$L$119:$M$133,2,FALSE),IFERROR(VLOOKUP(B220,'Renew &amp; Vac '!$A$119:$B$133,2,FALSE),VLOOKUP(B220,$B$181:$D$211,3,FALSE)))</f>
        <v>VACANT</v>
      </c>
      <c r="E220" s="6">
        <f>SUMIFS('Renew &amp; Vac '!$S$119:$S$133,'Renew &amp; Vac '!$L$119:$L$133,$B220,'Renew &amp; Vac '!$O$119:$O$133,"&lt;="&amp;E$216,'Renew &amp; Vac '!$P$119:$P$133,"&gt;="&amp;E$216)+SUMIFS('Renew &amp; Vac '!$H$119:$H$133,'Renew &amp; Vac '!$A$119:$A$133,$B220,'Renew &amp; Vac '!$D$119:$D$133,"&lt;="&amp;E$216,'Renew &amp; Vac '!$E$119:$E$133,"&gt;="&amp;E$216)</f>
        <v>0</v>
      </c>
      <c r="F220" s="6">
        <f>SUMIFS('Renew &amp; Vac '!$S$119:$S$133,'Renew &amp; Vac '!$L$119:$L$133,$B220,'Renew &amp; Vac '!$O$119:$O$133,"&lt;="&amp;F$216,'Renew &amp; Vac '!$P$119:$P$133,"&gt;="&amp;F$216)+SUMIFS('Renew &amp; Vac '!$H$119:$H$133,'Renew &amp; Vac '!$A$119:$A$133,$B220,'Renew &amp; Vac '!$D$119:$D$133,"&lt;="&amp;F$216,'Renew &amp; Vac '!$E$119:$E$133,"&gt;="&amp;F$216)</f>
        <v>0</v>
      </c>
      <c r="G220" s="6">
        <f>SUMIFS('Renew &amp; Vac '!$S$119:$S$133,'Renew &amp; Vac '!$L$119:$L$133,$B220,'Renew &amp; Vac '!$O$119:$O$133,"&lt;="&amp;G$216,'Renew &amp; Vac '!$P$119:$P$133,"&gt;="&amp;G$216)+SUMIFS('Renew &amp; Vac '!$H$119:$H$133,'Renew &amp; Vac '!$A$119:$A$133,$B220,'Renew &amp; Vac '!$D$119:$D$133,"&lt;="&amp;G$216,'Renew &amp; Vac '!$E$119:$E$133,"&gt;="&amp;G$216)</f>
        <v>0</v>
      </c>
      <c r="H220" s="6">
        <f>SUMIFS('Renew &amp; Vac '!$S$119:$S$133,'Renew &amp; Vac '!$L$119:$L$133,$B220,'Renew &amp; Vac '!$O$119:$O$133,"&lt;="&amp;H$216,'Renew &amp; Vac '!$P$119:$P$133,"&gt;="&amp;H$216)+SUMIFS('Renew &amp; Vac '!$H$119:$H$133,'Renew &amp; Vac '!$A$119:$A$133,$B220,'Renew &amp; Vac '!$D$119:$D$133,"&lt;="&amp;H$216,'Renew &amp; Vac '!$E$119:$E$133,"&gt;="&amp;H$216)</f>
        <v>0</v>
      </c>
      <c r="I220" s="6">
        <f>SUMIFS('Renew &amp; Vac '!$S$119:$S$133,'Renew &amp; Vac '!$L$119:$L$133,$B220,'Renew &amp; Vac '!$O$119:$O$133,"&lt;="&amp;I$216,'Renew &amp; Vac '!$P$119:$P$133,"&gt;="&amp;I$216)+SUMIFS('Renew &amp; Vac '!$H$119:$H$133,'Renew &amp; Vac '!$A$119:$A$133,$B220,'Renew &amp; Vac '!$D$119:$D$133,"&lt;="&amp;I$216,'Renew &amp; Vac '!$E$119:$E$133,"&gt;="&amp;I$216)</f>
        <v>0</v>
      </c>
      <c r="J220" s="6">
        <f>SUMIFS('Renew &amp; Vac '!$S$119:$S$133,'Renew &amp; Vac '!$L$119:$L$133,$B220,'Renew &amp; Vac '!$O$119:$O$133,"&lt;="&amp;J$216,'Renew &amp; Vac '!$P$119:$P$133,"&gt;="&amp;J$216)+SUMIFS('Renew &amp; Vac '!$H$119:$H$133,'Renew &amp; Vac '!$A$119:$A$133,$B220,'Renew &amp; Vac '!$D$119:$D$133,"&lt;="&amp;J$216,'Renew &amp; Vac '!$E$119:$E$133,"&gt;="&amp;J$216)</f>
        <v>0</v>
      </c>
      <c r="K220" s="6">
        <f>SUMIFS('Renew &amp; Vac '!$S$119:$S$133,'Renew &amp; Vac '!$L$119:$L$133,$B220,'Renew &amp; Vac '!$O$119:$O$133,"&lt;="&amp;K$216,'Renew &amp; Vac '!$P$119:$P$133,"&gt;="&amp;K$216)+SUMIFS('Renew &amp; Vac '!$H$119:$H$133,'Renew &amp; Vac '!$A$119:$A$133,$B220,'Renew &amp; Vac '!$D$119:$D$133,"&lt;="&amp;K$216,'Renew &amp; Vac '!$E$119:$E$133,"&gt;="&amp;K$216)</f>
        <v>0</v>
      </c>
      <c r="L220" s="6">
        <f>SUMIFS('Renew &amp; Vac '!$S$119:$S$133,'Renew &amp; Vac '!$L$119:$L$133,$B220,'Renew &amp; Vac '!$O$119:$O$133,"&lt;="&amp;L$216,'Renew &amp; Vac '!$P$119:$P$133,"&gt;="&amp;L$216)+SUMIFS('Renew &amp; Vac '!$H$119:$H$133,'Renew &amp; Vac '!$A$119:$A$133,$B220,'Renew &amp; Vac '!$D$119:$D$133,"&lt;="&amp;L$216,'Renew &amp; Vac '!$E$119:$E$133,"&gt;="&amp;L$216)</f>
        <v>0</v>
      </c>
      <c r="M220" s="6">
        <f>SUMIFS('Renew &amp; Vac '!$S$119:$S$133,'Renew &amp; Vac '!$L$119:$L$133,$B220,'Renew &amp; Vac '!$O$119:$O$133,"&lt;="&amp;M$216,'Renew &amp; Vac '!$P$119:$P$133,"&gt;="&amp;M$216)+SUMIFS('Renew &amp; Vac '!$H$119:$H$133,'Renew &amp; Vac '!$A$119:$A$133,$B220,'Renew &amp; Vac '!$D$119:$D$133,"&lt;="&amp;M$216,'Renew &amp; Vac '!$E$119:$E$133,"&gt;="&amp;M$216)</f>
        <v>0</v>
      </c>
      <c r="N220" s="6">
        <f>SUMIFS('Renew &amp; Vac '!$S$119:$S$133,'Renew &amp; Vac '!$L$119:$L$133,$B220,'Renew &amp; Vac '!$O$119:$O$133,"&lt;="&amp;N$216,'Renew &amp; Vac '!$P$119:$P$133,"&gt;="&amp;N$216)+SUMIFS('Renew &amp; Vac '!$H$119:$H$133,'Renew &amp; Vac '!$A$119:$A$133,$B220,'Renew &amp; Vac '!$D$119:$D$133,"&lt;="&amp;N$216,'Renew &amp; Vac '!$E$119:$E$133,"&gt;="&amp;N$216)</f>
        <v>0</v>
      </c>
      <c r="O220" s="6">
        <f>SUMIFS('Renew &amp; Vac '!$S$119:$S$133,'Renew &amp; Vac '!$L$119:$L$133,$B220,'Renew &amp; Vac '!$O$119:$O$133,"&lt;="&amp;O$216,'Renew &amp; Vac '!$P$119:$P$133,"&gt;="&amp;O$216)+SUMIFS('Renew &amp; Vac '!$H$119:$H$133,'Renew &amp; Vac '!$A$119:$A$133,$B220,'Renew &amp; Vac '!$D$119:$D$133,"&lt;="&amp;O$216,'Renew &amp; Vac '!$E$119:$E$133,"&gt;="&amp;O$216)</f>
        <v>0</v>
      </c>
      <c r="P220" s="6">
        <f>SUMIFS('Renew &amp; Vac '!$S$119:$S$133,'Renew &amp; Vac '!$L$119:$L$133,$B220,'Renew &amp; Vac '!$O$119:$O$133,"&lt;="&amp;P$216,'Renew &amp; Vac '!$P$119:$P$133,"&gt;="&amp;P$216)+SUMIFS('Renew &amp; Vac '!$H$119:$H$133,'Renew &amp; Vac '!$A$119:$A$133,$B220,'Renew &amp; Vac '!$D$119:$D$133,"&lt;="&amp;P$216,'Renew &amp; Vac '!$E$119:$E$133,"&gt;="&amp;P$216)</f>
        <v>0</v>
      </c>
      <c r="Q220" s="8">
        <f t="shared" si="67"/>
        <v>0</v>
      </c>
    </row>
    <row r="221" spans="2:21" hidden="1" outlineLevel="1" x14ac:dyDescent="0.35">
      <c r="B221" s="339" t="str">
        <f t="shared" si="66"/>
        <v>7010-208</v>
      </c>
      <c r="C221" s="341"/>
      <c r="D221" s="79" t="str">
        <f>IFERROR(VLOOKUP(B221,'Renew &amp; Vac '!$L$119:$M$133,2,FALSE),IFERROR(VLOOKUP(B221,'Renew &amp; Vac '!$A$119:$B$133,2,FALSE),VLOOKUP(B221,$B$181:$D$211,3,FALSE)))</f>
        <v>VACANT</v>
      </c>
      <c r="E221" s="6">
        <f>SUMIFS('Renew &amp; Vac '!$S$119:$S$133,'Renew &amp; Vac '!$L$119:$L$133,$B221,'Renew &amp; Vac '!$O$119:$O$133,"&lt;="&amp;E$216,'Renew &amp; Vac '!$P$119:$P$133,"&gt;="&amp;E$216)+SUMIFS('Renew &amp; Vac '!$H$119:$H$133,'Renew &amp; Vac '!$A$119:$A$133,$B221,'Renew &amp; Vac '!$D$119:$D$133,"&lt;="&amp;E$216,'Renew &amp; Vac '!$E$119:$E$133,"&gt;="&amp;E$216)</f>
        <v>0</v>
      </c>
      <c r="F221" s="6">
        <f>SUMIFS('Renew &amp; Vac '!$S$119:$S$133,'Renew &amp; Vac '!$L$119:$L$133,$B221,'Renew &amp; Vac '!$O$119:$O$133,"&lt;="&amp;F$216,'Renew &amp; Vac '!$P$119:$P$133,"&gt;="&amp;F$216)+SUMIFS('Renew &amp; Vac '!$H$119:$H$133,'Renew &amp; Vac '!$A$119:$A$133,$B221,'Renew &amp; Vac '!$D$119:$D$133,"&lt;="&amp;F$216,'Renew &amp; Vac '!$E$119:$E$133,"&gt;="&amp;F$216)</f>
        <v>0</v>
      </c>
      <c r="G221" s="6">
        <f>SUMIFS('Renew &amp; Vac '!$S$119:$S$133,'Renew &amp; Vac '!$L$119:$L$133,$B221,'Renew &amp; Vac '!$O$119:$O$133,"&lt;="&amp;G$216,'Renew &amp; Vac '!$P$119:$P$133,"&gt;="&amp;G$216)+SUMIFS('Renew &amp; Vac '!$H$119:$H$133,'Renew &amp; Vac '!$A$119:$A$133,$B221,'Renew &amp; Vac '!$D$119:$D$133,"&lt;="&amp;G$216,'Renew &amp; Vac '!$E$119:$E$133,"&gt;="&amp;G$216)</f>
        <v>0</v>
      </c>
      <c r="H221" s="6">
        <f>SUMIFS('Renew &amp; Vac '!$S$119:$S$133,'Renew &amp; Vac '!$L$119:$L$133,$B221,'Renew &amp; Vac '!$O$119:$O$133,"&lt;="&amp;H$216,'Renew &amp; Vac '!$P$119:$P$133,"&gt;="&amp;H$216)+SUMIFS('Renew &amp; Vac '!$H$119:$H$133,'Renew &amp; Vac '!$A$119:$A$133,$B221,'Renew &amp; Vac '!$D$119:$D$133,"&lt;="&amp;H$216,'Renew &amp; Vac '!$E$119:$E$133,"&gt;="&amp;H$216)</f>
        <v>0</v>
      </c>
      <c r="I221" s="6">
        <f>SUMIFS('Renew &amp; Vac '!$S$119:$S$133,'Renew &amp; Vac '!$L$119:$L$133,$B221,'Renew &amp; Vac '!$O$119:$O$133,"&lt;="&amp;I$216,'Renew &amp; Vac '!$P$119:$P$133,"&gt;="&amp;I$216)+SUMIFS('Renew &amp; Vac '!$H$119:$H$133,'Renew &amp; Vac '!$A$119:$A$133,$B221,'Renew &amp; Vac '!$D$119:$D$133,"&lt;="&amp;I$216,'Renew &amp; Vac '!$E$119:$E$133,"&gt;="&amp;I$216)</f>
        <v>0</v>
      </c>
      <c r="J221" s="6">
        <f>SUMIFS('Renew &amp; Vac '!$S$119:$S$133,'Renew &amp; Vac '!$L$119:$L$133,$B221,'Renew &amp; Vac '!$O$119:$O$133,"&lt;="&amp;J$216,'Renew &amp; Vac '!$P$119:$P$133,"&gt;="&amp;J$216)+SUMIFS('Renew &amp; Vac '!$H$119:$H$133,'Renew &amp; Vac '!$A$119:$A$133,$B221,'Renew &amp; Vac '!$D$119:$D$133,"&lt;="&amp;J$216,'Renew &amp; Vac '!$E$119:$E$133,"&gt;="&amp;J$216)</f>
        <v>0</v>
      </c>
      <c r="K221" s="6">
        <f>SUMIFS('Renew &amp; Vac '!$S$119:$S$133,'Renew &amp; Vac '!$L$119:$L$133,$B221,'Renew &amp; Vac '!$O$119:$O$133,"&lt;="&amp;K$216,'Renew &amp; Vac '!$P$119:$P$133,"&gt;="&amp;K$216)+SUMIFS('Renew &amp; Vac '!$H$119:$H$133,'Renew &amp; Vac '!$A$119:$A$133,$B221,'Renew &amp; Vac '!$D$119:$D$133,"&lt;="&amp;K$216,'Renew &amp; Vac '!$E$119:$E$133,"&gt;="&amp;K$216)</f>
        <v>0</v>
      </c>
      <c r="L221" s="6">
        <f>SUMIFS('Renew &amp; Vac '!$S$119:$S$133,'Renew &amp; Vac '!$L$119:$L$133,$B221,'Renew &amp; Vac '!$O$119:$O$133,"&lt;="&amp;L$216,'Renew &amp; Vac '!$P$119:$P$133,"&gt;="&amp;L$216)+SUMIFS('Renew &amp; Vac '!$H$119:$H$133,'Renew &amp; Vac '!$A$119:$A$133,$B221,'Renew &amp; Vac '!$D$119:$D$133,"&lt;="&amp;L$216,'Renew &amp; Vac '!$E$119:$E$133,"&gt;="&amp;L$216)</f>
        <v>0</v>
      </c>
      <c r="M221" s="6">
        <f>SUMIFS('Renew &amp; Vac '!$S$119:$S$133,'Renew &amp; Vac '!$L$119:$L$133,$B221,'Renew &amp; Vac '!$O$119:$O$133,"&lt;="&amp;M$216,'Renew &amp; Vac '!$P$119:$P$133,"&gt;="&amp;M$216)+SUMIFS('Renew &amp; Vac '!$H$119:$H$133,'Renew &amp; Vac '!$A$119:$A$133,$B221,'Renew &amp; Vac '!$D$119:$D$133,"&lt;="&amp;M$216,'Renew &amp; Vac '!$E$119:$E$133,"&gt;="&amp;M$216)</f>
        <v>0</v>
      </c>
      <c r="N221" s="6">
        <f>SUMIFS('Renew &amp; Vac '!$S$119:$S$133,'Renew &amp; Vac '!$L$119:$L$133,$B221,'Renew &amp; Vac '!$O$119:$O$133,"&lt;="&amp;N$216,'Renew &amp; Vac '!$P$119:$P$133,"&gt;="&amp;N$216)+SUMIFS('Renew &amp; Vac '!$H$119:$H$133,'Renew &amp; Vac '!$A$119:$A$133,$B221,'Renew &amp; Vac '!$D$119:$D$133,"&lt;="&amp;N$216,'Renew &amp; Vac '!$E$119:$E$133,"&gt;="&amp;N$216)</f>
        <v>0</v>
      </c>
      <c r="O221" s="6">
        <f>SUMIFS('Renew &amp; Vac '!$S$119:$S$133,'Renew &amp; Vac '!$L$119:$L$133,$B221,'Renew &amp; Vac '!$O$119:$O$133,"&lt;="&amp;O$216,'Renew &amp; Vac '!$P$119:$P$133,"&gt;="&amp;O$216)+SUMIFS('Renew &amp; Vac '!$H$119:$H$133,'Renew &amp; Vac '!$A$119:$A$133,$B221,'Renew &amp; Vac '!$D$119:$D$133,"&lt;="&amp;O$216,'Renew &amp; Vac '!$E$119:$E$133,"&gt;="&amp;O$216)</f>
        <v>0</v>
      </c>
      <c r="P221" s="6">
        <f>SUMIFS('Renew &amp; Vac '!$S$119:$S$133,'Renew &amp; Vac '!$L$119:$L$133,$B221,'Renew &amp; Vac '!$O$119:$O$133,"&lt;="&amp;P$216,'Renew &amp; Vac '!$P$119:$P$133,"&gt;="&amp;P$216)+SUMIFS('Renew &amp; Vac '!$H$119:$H$133,'Renew &amp; Vac '!$A$119:$A$133,$B221,'Renew &amp; Vac '!$D$119:$D$133,"&lt;="&amp;P$216,'Renew &amp; Vac '!$E$119:$E$133,"&gt;="&amp;P$216)</f>
        <v>0</v>
      </c>
      <c r="Q221" s="8">
        <f t="shared" si="67"/>
        <v>0</v>
      </c>
    </row>
    <row r="222" spans="2:21" hidden="1" outlineLevel="1" x14ac:dyDescent="0.35">
      <c r="B222" s="339" t="str">
        <f t="shared" si="66"/>
        <v>7010-210</v>
      </c>
      <c r="C222" s="341"/>
      <c r="D222" s="79" t="str">
        <f>IFERROR(VLOOKUP(B222,'Renew &amp; Vac '!$L$119:$M$133,2,FALSE),IFERROR(VLOOKUP(B222,'Renew &amp; Vac '!$A$119:$B$133,2,FALSE),VLOOKUP(B222,$B$181:$D$211,3,FALSE)))</f>
        <v>VACANT</v>
      </c>
      <c r="E222" s="6">
        <f>SUMIFS('Renew &amp; Vac '!$S$119:$S$133,'Renew &amp; Vac '!$L$119:$L$133,$B222,'Renew &amp; Vac '!$O$119:$O$133,"&lt;="&amp;E$216,'Renew &amp; Vac '!$P$119:$P$133,"&gt;="&amp;E$216)+SUMIFS('Renew &amp; Vac '!$H$119:$H$133,'Renew &amp; Vac '!$A$119:$A$133,$B222,'Renew &amp; Vac '!$D$119:$D$133,"&lt;="&amp;E$216,'Renew &amp; Vac '!$E$119:$E$133,"&gt;="&amp;E$216)</f>
        <v>0</v>
      </c>
      <c r="F222" s="6">
        <f>SUMIFS('Renew &amp; Vac '!$S$119:$S$133,'Renew &amp; Vac '!$L$119:$L$133,$B222,'Renew &amp; Vac '!$O$119:$O$133,"&lt;="&amp;F$216,'Renew &amp; Vac '!$P$119:$P$133,"&gt;="&amp;F$216)+SUMIFS('Renew &amp; Vac '!$H$119:$H$133,'Renew &amp; Vac '!$A$119:$A$133,$B222,'Renew &amp; Vac '!$D$119:$D$133,"&lt;="&amp;F$216,'Renew &amp; Vac '!$E$119:$E$133,"&gt;="&amp;F$216)</f>
        <v>0</v>
      </c>
      <c r="G222" s="6">
        <f>SUMIFS('Renew &amp; Vac '!$S$119:$S$133,'Renew &amp; Vac '!$L$119:$L$133,$B222,'Renew &amp; Vac '!$O$119:$O$133,"&lt;="&amp;G$216,'Renew &amp; Vac '!$P$119:$P$133,"&gt;="&amp;G$216)+SUMIFS('Renew &amp; Vac '!$H$119:$H$133,'Renew &amp; Vac '!$A$119:$A$133,$B222,'Renew &amp; Vac '!$D$119:$D$133,"&lt;="&amp;G$216,'Renew &amp; Vac '!$E$119:$E$133,"&gt;="&amp;G$216)</f>
        <v>0</v>
      </c>
      <c r="H222" s="6">
        <f>SUMIFS('Renew &amp; Vac '!$S$119:$S$133,'Renew &amp; Vac '!$L$119:$L$133,$B222,'Renew &amp; Vac '!$O$119:$O$133,"&lt;="&amp;H$216,'Renew &amp; Vac '!$P$119:$P$133,"&gt;="&amp;H$216)+SUMIFS('Renew &amp; Vac '!$H$119:$H$133,'Renew &amp; Vac '!$A$119:$A$133,$B222,'Renew &amp; Vac '!$D$119:$D$133,"&lt;="&amp;H$216,'Renew &amp; Vac '!$E$119:$E$133,"&gt;="&amp;H$216)</f>
        <v>0</v>
      </c>
      <c r="I222" s="6">
        <f>SUMIFS('Renew &amp; Vac '!$S$119:$S$133,'Renew &amp; Vac '!$L$119:$L$133,$B222,'Renew &amp; Vac '!$O$119:$O$133,"&lt;="&amp;I$216,'Renew &amp; Vac '!$P$119:$P$133,"&gt;="&amp;I$216)+SUMIFS('Renew &amp; Vac '!$H$119:$H$133,'Renew &amp; Vac '!$A$119:$A$133,$B222,'Renew &amp; Vac '!$D$119:$D$133,"&lt;="&amp;I$216,'Renew &amp; Vac '!$E$119:$E$133,"&gt;="&amp;I$216)</f>
        <v>0</v>
      </c>
      <c r="J222" s="6">
        <f>SUMIFS('Renew &amp; Vac '!$S$119:$S$133,'Renew &amp; Vac '!$L$119:$L$133,$B222,'Renew &amp; Vac '!$O$119:$O$133,"&lt;="&amp;J$216,'Renew &amp; Vac '!$P$119:$P$133,"&gt;="&amp;J$216)+SUMIFS('Renew &amp; Vac '!$H$119:$H$133,'Renew &amp; Vac '!$A$119:$A$133,$B222,'Renew &amp; Vac '!$D$119:$D$133,"&lt;="&amp;J$216,'Renew &amp; Vac '!$E$119:$E$133,"&gt;="&amp;J$216)</f>
        <v>0</v>
      </c>
      <c r="K222" s="6">
        <f>SUMIFS('Renew &amp; Vac '!$S$119:$S$133,'Renew &amp; Vac '!$L$119:$L$133,$B222,'Renew &amp; Vac '!$O$119:$O$133,"&lt;="&amp;K$216,'Renew &amp; Vac '!$P$119:$P$133,"&gt;="&amp;K$216)+SUMIFS('Renew &amp; Vac '!$H$119:$H$133,'Renew &amp; Vac '!$A$119:$A$133,$B222,'Renew &amp; Vac '!$D$119:$D$133,"&lt;="&amp;K$216,'Renew &amp; Vac '!$E$119:$E$133,"&gt;="&amp;K$216)</f>
        <v>0</v>
      </c>
      <c r="L222" s="6">
        <f>SUMIFS('Renew &amp; Vac '!$S$119:$S$133,'Renew &amp; Vac '!$L$119:$L$133,$B222,'Renew &amp; Vac '!$O$119:$O$133,"&lt;="&amp;L$216,'Renew &amp; Vac '!$P$119:$P$133,"&gt;="&amp;L$216)+SUMIFS('Renew &amp; Vac '!$H$119:$H$133,'Renew &amp; Vac '!$A$119:$A$133,$B222,'Renew &amp; Vac '!$D$119:$D$133,"&lt;="&amp;L$216,'Renew &amp; Vac '!$E$119:$E$133,"&gt;="&amp;L$216)</f>
        <v>0</v>
      </c>
      <c r="M222" s="6">
        <f>SUMIFS('Renew &amp; Vac '!$S$119:$S$133,'Renew &amp; Vac '!$L$119:$L$133,$B222,'Renew &amp; Vac '!$O$119:$O$133,"&lt;="&amp;M$216,'Renew &amp; Vac '!$P$119:$P$133,"&gt;="&amp;M$216)+SUMIFS('Renew &amp; Vac '!$H$119:$H$133,'Renew &amp; Vac '!$A$119:$A$133,$B222,'Renew &amp; Vac '!$D$119:$D$133,"&lt;="&amp;M$216,'Renew &amp; Vac '!$E$119:$E$133,"&gt;="&amp;M$216)</f>
        <v>0</v>
      </c>
      <c r="N222" s="6">
        <f>SUMIFS('Renew &amp; Vac '!$S$119:$S$133,'Renew &amp; Vac '!$L$119:$L$133,$B222,'Renew &amp; Vac '!$O$119:$O$133,"&lt;="&amp;N$216,'Renew &amp; Vac '!$P$119:$P$133,"&gt;="&amp;N$216)+SUMIFS('Renew &amp; Vac '!$H$119:$H$133,'Renew &amp; Vac '!$A$119:$A$133,$B222,'Renew &amp; Vac '!$D$119:$D$133,"&lt;="&amp;N$216,'Renew &amp; Vac '!$E$119:$E$133,"&gt;="&amp;N$216)</f>
        <v>0</v>
      </c>
      <c r="O222" s="6">
        <f>SUMIFS('Renew &amp; Vac '!$S$119:$S$133,'Renew &amp; Vac '!$L$119:$L$133,$B222,'Renew &amp; Vac '!$O$119:$O$133,"&lt;="&amp;O$216,'Renew &amp; Vac '!$P$119:$P$133,"&gt;="&amp;O$216)+SUMIFS('Renew &amp; Vac '!$H$119:$H$133,'Renew &amp; Vac '!$A$119:$A$133,$B222,'Renew &amp; Vac '!$D$119:$D$133,"&lt;="&amp;O$216,'Renew &amp; Vac '!$E$119:$E$133,"&gt;="&amp;O$216)</f>
        <v>0</v>
      </c>
      <c r="P222" s="6">
        <f>SUMIFS('Renew &amp; Vac '!$S$119:$S$133,'Renew &amp; Vac '!$L$119:$L$133,$B222,'Renew &amp; Vac '!$O$119:$O$133,"&lt;="&amp;P$216,'Renew &amp; Vac '!$P$119:$P$133,"&gt;="&amp;P$216)+SUMIFS('Renew &amp; Vac '!$H$119:$H$133,'Renew &amp; Vac '!$A$119:$A$133,$B222,'Renew &amp; Vac '!$D$119:$D$133,"&lt;="&amp;P$216,'Renew &amp; Vac '!$E$119:$E$133,"&gt;="&amp;P$216)</f>
        <v>0</v>
      </c>
      <c r="Q222" s="8">
        <f t="shared" si="67"/>
        <v>0</v>
      </c>
    </row>
    <row r="223" spans="2:21" hidden="1" outlineLevel="1" x14ac:dyDescent="0.35">
      <c r="B223" s="339" t="str">
        <f t="shared" si="66"/>
        <v>7010-212</v>
      </c>
      <c r="C223" s="341"/>
      <c r="D223" s="79" t="str">
        <f>IFERROR(VLOOKUP(B223,'Renew &amp; Vac '!$L$119:$M$133,2,FALSE),IFERROR(VLOOKUP(B223,'Renew &amp; Vac '!$A$119:$B$133,2,FALSE),VLOOKUP(B223,$B$181:$D$211,3,FALSE)))</f>
        <v>VACANT</v>
      </c>
      <c r="E223" s="6">
        <f>SUMIFS('Renew &amp; Vac '!$S$119:$S$133,'Renew &amp; Vac '!$L$119:$L$133,$B223,'Renew &amp; Vac '!$O$119:$O$133,"&lt;="&amp;E$216,'Renew &amp; Vac '!$P$119:$P$133,"&gt;="&amp;E$216)+SUMIFS('Renew &amp; Vac '!$H$119:$H$133,'Renew &amp; Vac '!$A$119:$A$133,$B223,'Renew &amp; Vac '!$D$119:$D$133,"&lt;="&amp;E$216,'Renew &amp; Vac '!$E$119:$E$133,"&gt;="&amp;E$216)</f>
        <v>0</v>
      </c>
      <c r="F223" s="6">
        <f>SUMIFS('Renew &amp; Vac '!$S$119:$S$133,'Renew &amp; Vac '!$L$119:$L$133,$B223,'Renew &amp; Vac '!$O$119:$O$133,"&lt;="&amp;F$216,'Renew &amp; Vac '!$P$119:$P$133,"&gt;="&amp;F$216)+SUMIFS('Renew &amp; Vac '!$H$119:$H$133,'Renew &amp; Vac '!$A$119:$A$133,$B223,'Renew &amp; Vac '!$D$119:$D$133,"&lt;="&amp;F$216,'Renew &amp; Vac '!$E$119:$E$133,"&gt;="&amp;F$216)</f>
        <v>0</v>
      </c>
      <c r="G223" s="6">
        <f>SUMIFS('Renew &amp; Vac '!$S$119:$S$133,'Renew &amp; Vac '!$L$119:$L$133,$B223,'Renew &amp; Vac '!$O$119:$O$133,"&lt;="&amp;G$216,'Renew &amp; Vac '!$P$119:$P$133,"&gt;="&amp;G$216)+SUMIFS('Renew &amp; Vac '!$H$119:$H$133,'Renew &amp; Vac '!$A$119:$A$133,$B223,'Renew &amp; Vac '!$D$119:$D$133,"&lt;="&amp;G$216,'Renew &amp; Vac '!$E$119:$E$133,"&gt;="&amp;G$216)</f>
        <v>0</v>
      </c>
      <c r="H223" s="6">
        <f>SUMIFS('Renew &amp; Vac '!$S$119:$S$133,'Renew &amp; Vac '!$L$119:$L$133,$B223,'Renew &amp; Vac '!$O$119:$O$133,"&lt;="&amp;H$216,'Renew &amp; Vac '!$P$119:$P$133,"&gt;="&amp;H$216)+SUMIFS('Renew &amp; Vac '!$H$119:$H$133,'Renew &amp; Vac '!$A$119:$A$133,$B223,'Renew &amp; Vac '!$D$119:$D$133,"&lt;="&amp;H$216,'Renew &amp; Vac '!$E$119:$E$133,"&gt;="&amp;H$216)</f>
        <v>0</v>
      </c>
      <c r="I223" s="6">
        <f>SUMIFS('Renew &amp; Vac '!$S$119:$S$133,'Renew &amp; Vac '!$L$119:$L$133,$B223,'Renew &amp; Vac '!$O$119:$O$133,"&lt;="&amp;I$216,'Renew &amp; Vac '!$P$119:$P$133,"&gt;="&amp;I$216)+SUMIFS('Renew &amp; Vac '!$H$119:$H$133,'Renew &amp; Vac '!$A$119:$A$133,$B223,'Renew &amp; Vac '!$D$119:$D$133,"&lt;="&amp;I$216,'Renew &amp; Vac '!$E$119:$E$133,"&gt;="&amp;I$216)</f>
        <v>0</v>
      </c>
      <c r="J223" s="6">
        <f>SUMIFS('Renew &amp; Vac '!$S$119:$S$133,'Renew &amp; Vac '!$L$119:$L$133,$B223,'Renew &amp; Vac '!$O$119:$O$133,"&lt;="&amp;J$216,'Renew &amp; Vac '!$P$119:$P$133,"&gt;="&amp;J$216)+SUMIFS('Renew &amp; Vac '!$H$119:$H$133,'Renew &amp; Vac '!$A$119:$A$133,$B223,'Renew &amp; Vac '!$D$119:$D$133,"&lt;="&amp;J$216,'Renew &amp; Vac '!$E$119:$E$133,"&gt;="&amp;J$216)</f>
        <v>0</v>
      </c>
      <c r="K223" s="6">
        <f>SUMIFS('Renew &amp; Vac '!$S$119:$S$133,'Renew &amp; Vac '!$L$119:$L$133,$B223,'Renew &amp; Vac '!$O$119:$O$133,"&lt;="&amp;K$216,'Renew &amp; Vac '!$P$119:$P$133,"&gt;="&amp;K$216)+SUMIFS('Renew &amp; Vac '!$H$119:$H$133,'Renew &amp; Vac '!$A$119:$A$133,$B223,'Renew &amp; Vac '!$D$119:$D$133,"&lt;="&amp;K$216,'Renew &amp; Vac '!$E$119:$E$133,"&gt;="&amp;K$216)</f>
        <v>0</v>
      </c>
      <c r="L223" s="6">
        <f>SUMIFS('Renew &amp; Vac '!$S$119:$S$133,'Renew &amp; Vac '!$L$119:$L$133,$B223,'Renew &amp; Vac '!$O$119:$O$133,"&lt;="&amp;L$216,'Renew &amp; Vac '!$P$119:$P$133,"&gt;="&amp;L$216)+SUMIFS('Renew &amp; Vac '!$H$119:$H$133,'Renew &amp; Vac '!$A$119:$A$133,$B223,'Renew &amp; Vac '!$D$119:$D$133,"&lt;="&amp;L$216,'Renew &amp; Vac '!$E$119:$E$133,"&gt;="&amp;L$216)</f>
        <v>0</v>
      </c>
      <c r="M223" s="6">
        <f>SUMIFS('Renew &amp; Vac '!$S$119:$S$133,'Renew &amp; Vac '!$L$119:$L$133,$B223,'Renew &amp; Vac '!$O$119:$O$133,"&lt;="&amp;M$216,'Renew &amp; Vac '!$P$119:$P$133,"&gt;="&amp;M$216)+SUMIFS('Renew &amp; Vac '!$H$119:$H$133,'Renew &amp; Vac '!$A$119:$A$133,$B223,'Renew &amp; Vac '!$D$119:$D$133,"&lt;="&amp;M$216,'Renew &amp; Vac '!$E$119:$E$133,"&gt;="&amp;M$216)</f>
        <v>0</v>
      </c>
      <c r="N223" s="6">
        <f>SUMIFS('Renew &amp; Vac '!$S$119:$S$133,'Renew &amp; Vac '!$L$119:$L$133,$B223,'Renew &amp; Vac '!$O$119:$O$133,"&lt;="&amp;N$216,'Renew &amp; Vac '!$P$119:$P$133,"&gt;="&amp;N$216)+SUMIFS('Renew &amp; Vac '!$H$119:$H$133,'Renew &amp; Vac '!$A$119:$A$133,$B223,'Renew &amp; Vac '!$D$119:$D$133,"&lt;="&amp;N$216,'Renew &amp; Vac '!$E$119:$E$133,"&gt;="&amp;N$216)</f>
        <v>0</v>
      </c>
      <c r="O223" s="6">
        <f>SUMIFS('Renew &amp; Vac '!$S$119:$S$133,'Renew &amp; Vac '!$L$119:$L$133,$B223,'Renew &amp; Vac '!$O$119:$O$133,"&lt;="&amp;O$216,'Renew &amp; Vac '!$P$119:$P$133,"&gt;="&amp;O$216)+SUMIFS('Renew &amp; Vac '!$H$119:$H$133,'Renew &amp; Vac '!$A$119:$A$133,$B223,'Renew &amp; Vac '!$D$119:$D$133,"&lt;="&amp;O$216,'Renew &amp; Vac '!$E$119:$E$133,"&gt;="&amp;O$216)</f>
        <v>0</v>
      </c>
      <c r="P223" s="6">
        <f>SUMIFS('Renew &amp; Vac '!$S$119:$S$133,'Renew &amp; Vac '!$L$119:$L$133,$B223,'Renew &amp; Vac '!$O$119:$O$133,"&lt;="&amp;P$216,'Renew &amp; Vac '!$P$119:$P$133,"&gt;="&amp;P$216)+SUMIFS('Renew &amp; Vac '!$H$119:$H$133,'Renew &amp; Vac '!$A$119:$A$133,$B223,'Renew &amp; Vac '!$D$119:$D$133,"&lt;="&amp;P$216,'Renew &amp; Vac '!$E$119:$E$133,"&gt;="&amp;P$216)</f>
        <v>0</v>
      </c>
      <c r="Q223" s="8">
        <f t="shared" si="67"/>
        <v>0</v>
      </c>
    </row>
    <row r="224" spans="2:21" hidden="1" outlineLevel="1" x14ac:dyDescent="0.35">
      <c r="B224" s="339" t="str">
        <f t="shared" si="66"/>
        <v>7010-214</v>
      </c>
      <c r="C224" s="341"/>
      <c r="D224" s="79" t="str">
        <f>IFERROR(VLOOKUP(B224,'Renew &amp; Vac '!$L$119:$M$133,2,FALSE),IFERROR(VLOOKUP(B224,'Renew &amp; Vac '!$A$119:$B$133,2,FALSE),VLOOKUP(B224,$B$181:$D$211,3,FALSE)))</f>
        <v>VACANT</v>
      </c>
      <c r="E224" s="6">
        <f>SUMIFS('Renew &amp; Vac '!$S$119:$S$133,'Renew &amp; Vac '!$L$119:$L$133,$B224,'Renew &amp; Vac '!$O$119:$O$133,"&lt;="&amp;E$216,'Renew &amp; Vac '!$P$119:$P$133,"&gt;="&amp;E$216)+SUMIFS('Renew &amp; Vac '!$H$119:$H$133,'Renew &amp; Vac '!$A$119:$A$133,$B224,'Renew &amp; Vac '!$D$119:$D$133,"&lt;="&amp;E$216,'Renew &amp; Vac '!$E$119:$E$133,"&gt;="&amp;E$216)</f>
        <v>0</v>
      </c>
      <c r="F224" s="6">
        <f>SUMIFS('Renew &amp; Vac '!$S$119:$S$133,'Renew &amp; Vac '!$L$119:$L$133,$B224,'Renew &amp; Vac '!$O$119:$O$133,"&lt;="&amp;F$216,'Renew &amp; Vac '!$P$119:$P$133,"&gt;="&amp;F$216)+SUMIFS('Renew &amp; Vac '!$H$119:$H$133,'Renew &amp; Vac '!$A$119:$A$133,$B224,'Renew &amp; Vac '!$D$119:$D$133,"&lt;="&amp;F$216,'Renew &amp; Vac '!$E$119:$E$133,"&gt;="&amp;F$216)</f>
        <v>0</v>
      </c>
      <c r="G224" s="6">
        <f>SUMIFS('Renew &amp; Vac '!$S$119:$S$133,'Renew &amp; Vac '!$L$119:$L$133,$B224,'Renew &amp; Vac '!$O$119:$O$133,"&lt;="&amp;G$216,'Renew &amp; Vac '!$P$119:$P$133,"&gt;="&amp;G$216)+SUMIFS('Renew &amp; Vac '!$H$119:$H$133,'Renew &amp; Vac '!$A$119:$A$133,$B224,'Renew &amp; Vac '!$D$119:$D$133,"&lt;="&amp;G$216,'Renew &amp; Vac '!$E$119:$E$133,"&gt;="&amp;G$216)</f>
        <v>0</v>
      </c>
      <c r="H224" s="6">
        <f>SUMIFS('Renew &amp; Vac '!$S$119:$S$133,'Renew &amp; Vac '!$L$119:$L$133,$B224,'Renew &amp; Vac '!$O$119:$O$133,"&lt;="&amp;H$216,'Renew &amp; Vac '!$P$119:$P$133,"&gt;="&amp;H$216)+SUMIFS('Renew &amp; Vac '!$H$119:$H$133,'Renew &amp; Vac '!$A$119:$A$133,$B224,'Renew &amp; Vac '!$D$119:$D$133,"&lt;="&amp;H$216,'Renew &amp; Vac '!$E$119:$E$133,"&gt;="&amp;H$216)</f>
        <v>0</v>
      </c>
      <c r="I224" s="6">
        <f>SUMIFS('Renew &amp; Vac '!$S$119:$S$133,'Renew &amp; Vac '!$L$119:$L$133,$B224,'Renew &amp; Vac '!$O$119:$O$133,"&lt;="&amp;I$216,'Renew &amp; Vac '!$P$119:$P$133,"&gt;="&amp;I$216)+SUMIFS('Renew &amp; Vac '!$H$119:$H$133,'Renew &amp; Vac '!$A$119:$A$133,$B224,'Renew &amp; Vac '!$D$119:$D$133,"&lt;="&amp;I$216,'Renew &amp; Vac '!$E$119:$E$133,"&gt;="&amp;I$216)</f>
        <v>0</v>
      </c>
      <c r="J224" s="6">
        <f>SUMIFS('Renew &amp; Vac '!$S$119:$S$133,'Renew &amp; Vac '!$L$119:$L$133,$B224,'Renew &amp; Vac '!$O$119:$O$133,"&lt;="&amp;J$216,'Renew &amp; Vac '!$P$119:$P$133,"&gt;="&amp;J$216)+SUMIFS('Renew &amp; Vac '!$H$119:$H$133,'Renew &amp; Vac '!$A$119:$A$133,$B224,'Renew &amp; Vac '!$D$119:$D$133,"&lt;="&amp;J$216,'Renew &amp; Vac '!$E$119:$E$133,"&gt;="&amp;J$216)</f>
        <v>0</v>
      </c>
      <c r="K224" s="6">
        <f>SUMIFS('Renew &amp; Vac '!$S$119:$S$133,'Renew &amp; Vac '!$L$119:$L$133,$B224,'Renew &amp; Vac '!$O$119:$O$133,"&lt;="&amp;K$216,'Renew &amp; Vac '!$P$119:$P$133,"&gt;="&amp;K$216)+SUMIFS('Renew &amp; Vac '!$H$119:$H$133,'Renew &amp; Vac '!$A$119:$A$133,$B224,'Renew &amp; Vac '!$D$119:$D$133,"&lt;="&amp;K$216,'Renew &amp; Vac '!$E$119:$E$133,"&gt;="&amp;K$216)</f>
        <v>0</v>
      </c>
      <c r="L224" s="6">
        <f>SUMIFS('Renew &amp; Vac '!$S$119:$S$133,'Renew &amp; Vac '!$L$119:$L$133,$B224,'Renew &amp; Vac '!$O$119:$O$133,"&lt;="&amp;L$216,'Renew &amp; Vac '!$P$119:$P$133,"&gt;="&amp;L$216)+SUMIFS('Renew &amp; Vac '!$H$119:$H$133,'Renew &amp; Vac '!$A$119:$A$133,$B224,'Renew &amp; Vac '!$D$119:$D$133,"&lt;="&amp;L$216,'Renew &amp; Vac '!$E$119:$E$133,"&gt;="&amp;L$216)</f>
        <v>0</v>
      </c>
      <c r="M224" s="6">
        <f>SUMIFS('Renew &amp; Vac '!$S$119:$S$133,'Renew &amp; Vac '!$L$119:$L$133,$B224,'Renew &amp; Vac '!$O$119:$O$133,"&lt;="&amp;M$216,'Renew &amp; Vac '!$P$119:$P$133,"&gt;="&amp;M$216)+SUMIFS('Renew &amp; Vac '!$H$119:$H$133,'Renew &amp; Vac '!$A$119:$A$133,$B224,'Renew &amp; Vac '!$D$119:$D$133,"&lt;="&amp;M$216,'Renew &amp; Vac '!$E$119:$E$133,"&gt;="&amp;M$216)</f>
        <v>0</v>
      </c>
      <c r="N224" s="6">
        <f>SUMIFS('Renew &amp; Vac '!$S$119:$S$133,'Renew &amp; Vac '!$L$119:$L$133,$B224,'Renew &amp; Vac '!$O$119:$O$133,"&lt;="&amp;N$216,'Renew &amp; Vac '!$P$119:$P$133,"&gt;="&amp;N$216)+SUMIFS('Renew &amp; Vac '!$H$119:$H$133,'Renew &amp; Vac '!$A$119:$A$133,$B224,'Renew &amp; Vac '!$D$119:$D$133,"&lt;="&amp;N$216,'Renew &amp; Vac '!$E$119:$E$133,"&gt;="&amp;N$216)</f>
        <v>0</v>
      </c>
      <c r="O224" s="6">
        <f>SUMIFS('Renew &amp; Vac '!$S$119:$S$133,'Renew &amp; Vac '!$L$119:$L$133,$B224,'Renew &amp; Vac '!$O$119:$O$133,"&lt;="&amp;O$216,'Renew &amp; Vac '!$P$119:$P$133,"&gt;="&amp;O$216)+SUMIFS('Renew &amp; Vac '!$H$119:$H$133,'Renew &amp; Vac '!$A$119:$A$133,$B224,'Renew &amp; Vac '!$D$119:$D$133,"&lt;="&amp;O$216,'Renew &amp; Vac '!$E$119:$E$133,"&gt;="&amp;O$216)</f>
        <v>0</v>
      </c>
      <c r="P224" s="6">
        <f>SUMIFS('Renew &amp; Vac '!$S$119:$S$133,'Renew &amp; Vac '!$L$119:$L$133,$B224,'Renew &amp; Vac '!$O$119:$O$133,"&lt;="&amp;P$216,'Renew &amp; Vac '!$P$119:$P$133,"&gt;="&amp;P$216)+SUMIFS('Renew &amp; Vac '!$H$119:$H$133,'Renew &amp; Vac '!$A$119:$A$133,$B224,'Renew &amp; Vac '!$D$119:$D$133,"&lt;="&amp;P$216,'Renew &amp; Vac '!$E$119:$E$133,"&gt;="&amp;P$216)</f>
        <v>0</v>
      </c>
      <c r="Q224" s="8">
        <f t="shared" si="67"/>
        <v>0</v>
      </c>
    </row>
    <row r="225" spans="2:17" hidden="1" outlineLevel="1" x14ac:dyDescent="0.35">
      <c r="B225" s="340" t="str">
        <f t="shared" si="66"/>
        <v>7010-216</v>
      </c>
      <c r="C225" s="342"/>
      <c r="D225" s="227" t="str">
        <f>IFERROR(VLOOKUP(B225,'Renew &amp; Vac '!$L$119:$M$133,2,FALSE),IFERROR(VLOOKUP(B225,'Renew &amp; Vac '!$A$119:$B$133,2,FALSE),VLOOKUP(B225,$B$181:$D$211,3,FALSE)))</f>
        <v>VACANT</v>
      </c>
      <c r="E225" s="15">
        <f>SUMIFS('Renew &amp; Vac '!$S$119:$S$133,'Renew &amp; Vac '!$L$119:$L$133,$B225,'Renew &amp; Vac '!$O$119:$O$133,"&lt;="&amp;E$216,'Renew &amp; Vac '!$P$119:$P$133,"&gt;="&amp;E$216)+SUMIFS('Renew &amp; Vac '!$H$119:$H$133,'Renew &amp; Vac '!$A$119:$A$133,$B225,'Renew &amp; Vac '!$D$119:$D$133,"&lt;="&amp;E$216,'Renew &amp; Vac '!$E$119:$E$133,"&gt;="&amp;E$216)</f>
        <v>0</v>
      </c>
      <c r="F225" s="15">
        <f>SUMIFS('Renew &amp; Vac '!$S$119:$S$133,'Renew &amp; Vac '!$L$119:$L$133,$B225,'Renew &amp; Vac '!$O$119:$O$133,"&lt;="&amp;F$216,'Renew &amp; Vac '!$P$119:$P$133,"&gt;="&amp;F$216)+SUMIFS('Renew &amp; Vac '!$H$119:$H$133,'Renew &amp; Vac '!$A$119:$A$133,$B225,'Renew &amp; Vac '!$D$119:$D$133,"&lt;="&amp;F$216,'Renew &amp; Vac '!$E$119:$E$133,"&gt;="&amp;F$216)</f>
        <v>0</v>
      </c>
      <c r="G225" s="15">
        <f>SUMIFS('Renew &amp; Vac '!$S$119:$S$133,'Renew &amp; Vac '!$L$119:$L$133,$B225,'Renew &amp; Vac '!$O$119:$O$133,"&lt;="&amp;G$216,'Renew &amp; Vac '!$P$119:$P$133,"&gt;="&amp;G$216)+SUMIFS('Renew &amp; Vac '!$H$119:$H$133,'Renew &amp; Vac '!$A$119:$A$133,$B225,'Renew &amp; Vac '!$D$119:$D$133,"&lt;="&amp;G$216,'Renew &amp; Vac '!$E$119:$E$133,"&gt;="&amp;G$216)</f>
        <v>0</v>
      </c>
      <c r="H225" s="15">
        <f>SUMIFS('Renew &amp; Vac '!$S$119:$S$133,'Renew &amp; Vac '!$L$119:$L$133,$B225,'Renew &amp; Vac '!$O$119:$O$133,"&lt;="&amp;H$216,'Renew &amp; Vac '!$P$119:$P$133,"&gt;="&amp;H$216)+SUMIFS('Renew &amp; Vac '!$H$119:$H$133,'Renew &amp; Vac '!$A$119:$A$133,$B225,'Renew &amp; Vac '!$D$119:$D$133,"&lt;="&amp;H$216,'Renew &amp; Vac '!$E$119:$E$133,"&gt;="&amp;H$216)</f>
        <v>0</v>
      </c>
      <c r="I225" s="15">
        <f>SUMIFS('Renew &amp; Vac '!$S$119:$S$133,'Renew &amp; Vac '!$L$119:$L$133,$B225,'Renew &amp; Vac '!$O$119:$O$133,"&lt;="&amp;I$216,'Renew &amp; Vac '!$P$119:$P$133,"&gt;="&amp;I$216)+SUMIFS('Renew &amp; Vac '!$H$119:$H$133,'Renew &amp; Vac '!$A$119:$A$133,$B225,'Renew &amp; Vac '!$D$119:$D$133,"&lt;="&amp;I$216,'Renew &amp; Vac '!$E$119:$E$133,"&gt;="&amp;I$216)</f>
        <v>0</v>
      </c>
      <c r="J225" s="15">
        <f>SUMIFS('Renew &amp; Vac '!$S$119:$S$133,'Renew &amp; Vac '!$L$119:$L$133,$B225,'Renew &amp; Vac '!$O$119:$O$133,"&lt;="&amp;J$216,'Renew &amp; Vac '!$P$119:$P$133,"&gt;="&amp;J$216)+SUMIFS('Renew &amp; Vac '!$H$119:$H$133,'Renew &amp; Vac '!$A$119:$A$133,$B225,'Renew &amp; Vac '!$D$119:$D$133,"&lt;="&amp;J$216,'Renew &amp; Vac '!$E$119:$E$133,"&gt;="&amp;J$216)</f>
        <v>0</v>
      </c>
      <c r="K225" s="15">
        <f>SUMIFS('Renew &amp; Vac '!$S$119:$S$133,'Renew &amp; Vac '!$L$119:$L$133,$B225,'Renew &amp; Vac '!$O$119:$O$133,"&lt;="&amp;K$216,'Renew &amp; Vac '!$P$119:$P$133,"&gt;="&amp;K$216)+SUMIFS('Renew &amp; Vac '!$H$119:$H$133,'Renew &amp; Vac '!$A$119:$A$133,$B225,'Renew &amp; Vac '!$D$119:$D$133,"&lt;="&amp;K$216,'Renew &amp; Vac '!$E$119:$E$133,"&gt;="&amp;K$216)</f>
        <v>0</v>
      </c>
      <c r="L225" s="15">
        <f>SUMIFS('Renew &amp; Vac '!$S$119:$S$133,'Renew &amp; Vac '!$L$119:$L$133,$B225,'Renew &amp; Vac '!$O$119:$O$133,"&lt;="&amp;L$216,'Renew &amp; Vac '!$P$119:$P$133,"&gt;="&amp;L$216)+SUMIFS('Renew &amp; Vac '!$H$119:$H$133,'Renew &amp; Vac '!$A$119:$A$133,$B225,'Renew &amp; Vac '!$D$119:$D$133,"&lt;="&amp;L$216,'Renew &amp; Vac '!$E$119:$E$133,"&gt;="&amp;L$216)</f>
        <v>0</v>
      </c>
      <c r="M225" s="15">
        <f>SUMIFS('Renew &amp; Vac '!$S$119:$S$133,'Renew &amp; Vac '!$L$119:$L$133,$B225,'Renew &amp; Vac '!$O$119:$O$133,"&lt;="&amp;M$216,'Renew &amp; Vac '!$P$119:$P$133,"&gt;="&amp;M$216)+SUMIFS('Renew &amp; Vac '!$H$119:$H$133,'Renew &amp; Vac '!$A$119:$A$133,$B225,'Renew &amp; Vac '!$D$119:$D$133,"&lt;="&amp;M$216,'Renew &amp; Vac '!$E$119:$E$133,"&gt;="&amp;M$216)</f>
        <v>0</v>
      </c>
      <c r="N225" s="15">
        <f>SUMIFS('Renew &amp; Vac '!$S$119:$S$133,'Renew &amp; Vac '!$L$119:$L$133,$B225,'Renew &amp; Vac '!$O$119:$O$133,"&lt;="&amp;N$216,'Renew &amp; Vac '!$P$119:$P$133,"&gt;="&amp;N$216)+SUMIFS('Renew &amp; Vac '!$H$119:$H$133,'Renew &amp; Vac '!$A$119:$A$133,$B225,'Renew &amp; Vac '!$D$119:$D$133,"&lt;="&amp;N$216,'Renew &amp; Vac '!$E$119:$E$133,"&gt;="&amp;N$216)</f>
        <v>0</v>
      </c>
      <c r="O225" s="15">
        <f>SUMIFS('Renew &amp; Vac '!$S$119:$S$133,'Renew &amp; Vac '!$L$119:$L$133,$B225,'Renew &amp; Vac '!$O$119:$O$133,"&lt;="&amp;O$216,'Renew &amp; Vac '!$P$119:$P$133,"&gt;="&amp;O$216)+SUMIFS('Renew &amp; Vac '!$H$119:$H$133,'Renew &amp; Vac '!$A$119:$A$133,$B225,'Renew &amp; Vac '!$D$119:$D$133,"&lt;="&amp;O$216,'Renew &amp; Vac '!$E$119:$E$133,"&gt;="&amp;O$216)</f>
        <v>0</v>
      </c>
      <c r="P225" s="15">
        <f>SUMIFS('Renew &amp; Vac '!$S$119:$S$133,'Renew &amp; Vac '!$L$119:$L$133,$B225,'Renew &amp; Vac '!$O$119:$O$133,"&lt;="&amp;P$216,'Renew &amp; Vac '!$P$119:$P$133,"&gt;="&amp;P$216)+SUMIFS('Renew &amp; Vac '!$H$119:$H$133,'Renew &amp; Vac '!$A$119:$A$133,$B225,'Renew &amp; Vac '!$D$119:$D$133,"&lt;="&amp;P$216,'Renew &amp; Vac '!$E$119:$E$133,"&gt;="&amp;P$216)</f>
        <v>0</v>
      </c>
      <c r="Q225" s="49">
        <f t="shared" si="67"/>
        <v>0</v>
      </c>
    </row>
    <row r="226" spans="2:17" hidden="1" outlineLevel="1" x14ac:dyDescent="0.35">
      <c r="B226" s="339" t="str">
        <f t="shared" si="66"/>
        <v>7010-1230A</v>
      </c>
      <c r="C226" s="341"/>
      <c r="D226" s="79" t="str">
        <f>IFERROR(VLOOKUP(B226,'Renew &amp; Vac '!$L$119:$M$133,2,FALSE),IFERROR(VLOOKUP(B226,'Renew &amp; Vac '!$A$119:$B$133,2,FALSE),VLOOKUP(B226,$B$181:$D$211,3,FALSE)))</f>
        <v>Wawa</v>
      </c>
      <c r="E226" s="6">
        <f>SUMIFS('Renew &amp; Vac '!$S$119:$S$133,'Renew &amp; Vac '!$L$119:$L$133,$B226,'Renew &amp; Vac '!$O$119:$O$133,"&lt;="&amp;E$216,'Renew &amp; Vac '!$P$119:$P$133,"&gt;="&amp;E$216)+SUMIFS('Renew &amp; Vac '!$H$119:$H$133,'Renew &amp; Vac '!$A$119:$A$133,$B226,'Renew &amp; Vac '!$D$119:$D$133,"&lt;="&amp;E$216,'Renew &amp; Vac '!$E$119:$E$133,"&gt;="&amp;E$216)</f>
        <v>0</v>
      </c>
      <c r="F226" s="6">
        <f>SUMIFS('Renew &amp; Vac '!$S$119:$S$133,'Renew &amp; Vac '!$L$119:$L$133,$B226,'Renew &amp; Vac '!$O$119:$O$133,"&lt;="&amp;F$216,'Renew &amp; Vac '!$P$119:$P$133,"&gt;="&amp;F$216)+SUMIFS('Renew &amp; Vac '!$H$119:$H$133,'Renew &amp; Vac '!$A$119:$A$133,$B226,'Renew &amp; Vac '!$D$119:$D$133,"&lt;="&amp;F$216,'Renew &amp; Vac '!$E$119:$E$133,"&gt;="&amp;F$216)</f>
        <v>0</v>
      </c>
      <c r="G226" s="6">
        <f>SUMIFS('Renew &amp; Vac '!$S$119:$S$133,'Renew &amp; Vac '!$L$119:$L$133,$B226,'Renew &amp; Vac '!$O$119:$O$133,"&lt;="&amp;G$216,'Renew &amp; Vac '!$P$119:$P$133,"&gt;="&amp;G$216)+SUMIFS('Renew &amp; Vac '!$H$119:$H$133,'Renew &amp; Vac '!$A$119:$A$133,$B226,'Renew &amp; Vac '!$D$119:$D$133,"&lt;="&amp;G$216,'Renew &amp; Vac '!$E$119:$E$133,"&gt;="&amp;G$216)</f>
        <v>0</v>
      </c>
      <c r="H226" s="6">
        <f>SUMIFS('Renew &amp; Vac '!$S$119:$S$133,'Renew &amp; Vac '!$L$119:$L$133,$B226,'Renew &amp; Vac '!$O$119:$O$133,"&lt;="&amp;H$216,'Renew &amp; Vac '!$P$119:$P$133,"&gt;="&amp;H$216)+SUMIFS('Renew &amp; Vac '!$H$119:$H$133,'Renew &amp; Vac '!$A$119:$A$133,$B226,'Renew &amp; Vac '!$D$119:$D$133,"&lt;="&amp;H$216,'Renew &amp; Vac '!$E$119:$E$133,"&gt;="&amp;H$216)</f>
        <v>0</v>
      </c>
      <c r="I226" s="6">
        <f>SUMIFS('Renew &amp; Vac '!$S$119:$S$133,'Renew &amp; Vac '!$L$119:$L$133,$B226,'Renew &amp; Vac '!$O$119:$O$133,"&lt;="&amp;I$216,'Renew &amp; Vac '!$P$119:$P$133,"&gt;="&amp;I$216)+SUMIFS('Renew &amp; Vac '!$H$119:$H$133,'Renew &amp; Vac '!$A$119:$A$133,$B226,'Renew &amp; Vac '!$D$119:$D$133,"&lt;="&amp;I$216,'Renew &amp; Vac '!$E$119:$E$133,"&gt;="&amp;I$216)</f>
        <v>0</v>
      </c>
      <c r="J226" s="6">
        <f>SUMIFS('Renew &amp; Vac '!$S$119:$S$133,'Renew &amp; Vac '!$L$119:$L$133,$B226,'Renew &amp; Vac '!$O$119:$O$133,"&lt;="&amp;J$216,'Renew &amp; Vac '!$P$119:$P$133,"&gt;="&amp;J$216)+SUMIFS('Renew &amp; Vac '!$H$119:$H$133,'Renew &amp; Vac '!$A$119:$A$133,$B226,'Renew &amp; Vac '!$D$119:$D$133,"&lt;="&amp;J$216,'Renew &amp; Vac '!$E$119:$E$133,"&gt;="&amp;J$216)</f>
        <v>0</v>
      </c>
      <c r="K226" s="6">
        <f>SUMIFS('Renew &amp; Vac '!$S$119:$S$133,'Renew &amp; Vac '!$L$119:$L$133,$B226,'Renew &amp; Vac '!$O$119:$O$133,"&lt;="&amp;K$216,'Renew &amp; Vac '!$P$119:$P$133,"&gt;="&amp;K$216)+SUMIFS('Renew &amp; Vac '!$H$119:$H$133,'Renew &amp; Vac '!$A$119:$A$133,$B226,'Renew &amp; Vac '!$D$119:$D$133,"&lt;="&amp;K$216,'Renew &amp; Vac '!$E$119:$E$133,"&gt;="&amp;K$216)</f>
        <v>0</v>
      </c>
      <c r="L226" s="6">
        <f>SUMIFS('Renew &amp; Vac '!$S$119:$S$133,'Renew &amp; Vac '!$L$119:$L$133,$B226,'Renew &amp; Vac '!$O$119:$O$133,"&lt;="&amp;L$216,'Renew &amp; Vac '!$P$119:$P$133,"&gt;="&amp;L$216)+SUMIFS('Renew &amp; Vac '!$H$119:$H$133,'Renew &amp; Vac '!$A$119:$A$133,$B226,'Renew &amp; Vac '!$D$119:$D$133,"&lt;="&amp;L$216,'Renew &amp; Vac '!$E$119:$E$133,"&gt;="&amp;L$216)</f>
        <v>0</v>
      </c>
      <c r="M226" s="6">
        <f>SUMIFS('Renew &amp; Vac '!$S$119:$S$133,'Renew &amp; Vac '!$L$119:$L$133,$B226,'Renew &amp; Vac '!$O$119:$O$133,"&lt;="&amp;M$216,'Renew &amp; Vac '!$P$119:$P$133,"&gt;="&amp;M$216)+SUMIFS('Renew &amp; Vac '!$H$119:$H$133,'Renew &amp; Vac '!$A$119:$A$133,$B226,'Renew &amp; Vac '!$D$119:$D$133,"&lt;="&amp;M$216,'Renew &amp; Vac '!$E$119:$E$133,"&gt;="&amp;M$216)</f>
        <v>10467.765000000001</v>
      </c>
      <c r="N226" s="6">
        <f>SUMIFS('Renew &amp; Vac '!$S$119:$S$133,'Renew &amp; Vac '!$L$119:$L$133,$B226,'Renew &amp; Vac '!$O$119:$O$133,"&lt;="&amp;N$216,'Renew &amp; Vac '!$P$119:$P$133,"&gt;="&amp;N$216)+SUMIFS('Renew &amp; Vac '!$H$119:$H$133,'Renew &amp; Vac '!$A$119:$A$133,$B226,'Renew &amp; Vac '!$D$119:$D$133,"&lt;="&amp;N$216,'Renew &amp; Vac '!$E$119:$E$133,"&gt;="&amp;N$216)</f>
        <v>10467.765000000001</v>
      </c>
      <c r="O226" s="6">
        <f>SUMIFS('Renew &amp; Vac '!$S$119:$S$133,'Renew &amp; Vac '!$L$119:$L$133,$B226,'Renew &amp; Vac '!$O$119:$O$133,"&lt;="&amp;O$216,'Renew &amp; Vac '!$P$119:$P$133,"&gt;="&amp;O$216)+SUMIFS('Renew &amp; Vac '!$H$119:$H$133,'Renew &amp; Vac '!$A$119:$A$133,$B226,'Renew &amp; Vac '!$D$119:$D$133,"&lt;="&amp;O$216,'Renew &amp; Vac '!$E$119:$E$133,"&gt;="&amp;O$216)</f>
        <v>10467.765000000001</v>
      </c>
      <c r="P226" s="6">
        <f>SUMIFS('Renew &amp; Vac '!$S$119:$S$133,'Renew &amp; Vac '!$L$119:$L$133,$B226,'Renew &amp; Vac '!$O$119:$O$133,"&lt;="&amp;P$216,'Renew &amp; Vac '!$P$119:$P$133,"&gt;="&amp;P$216)+SUMIFS('Renew &amp; Vac '!$H$119:$H$133,'Renew &amp; Vac '!$A$119:$A$133,$B226,'Renew &amp; Vac '!$D$119:$D$133,"&lt;="&amp;P$216,'Renew &amp; Vac '!$E$119:$E$133,"&gt;="&amp;P$216)</f>
        <v>10467.765000000001</v>
      </c>
      <c r="Q226" s="8">
        <f t="shared" si="67"/>
        <v>41871.060000000005</v>
      </c>
    </row>
    <row r="227" spans="2:17" hidden="1" outlineLevel="1" x14ac:dyDescent="0.35">
      <c r="B227" s="339" t="str">
        <f t="shared" si="66"/>
        <v>7010-12311</v>
      </c>
      <c r="C227" s="341"/>
      <c r="D227" s="79" t="str">
        <f>IFERROR(VLOOKUP(B227,'Renew &amp; Vac '!$L$119:$M$133,2,FALSE),IFERROR(VLOOKUP(B227,'Renew &amp; Vac '!$A$119:$B$133,2,FALSE),VLOOKUP(B227,$B$181:$D$211,3,FALSE)))</f>
        <v>Rite Aid Corp-Store# 01956</v>
      </c>
      <c r="E227" s="6">
        <f>SUMIFS('Renew &amp; Vac '!$S$119:$S$133,'Renew &amp; Vac '!$L$119:$L$133,$B227,'Renew &amp; Vac '!$O$119:$O$133,"&lt;="&amp;E$216,'Renew &amp; Vac '!$P$119:$P$133,"&gt;="&amp;E$216)+SUMIFS('Renew &amp; Vac '!$H$119:$H$133,'Renew &amp; Vac '!$A$119:$A$133,$B227,'Renew &amp; Vac '!$D$119:$D$133,"&lt;="&amp;E$216,'Renew &amp; Vac '!$E$119:$E$133,"&gt;="&amp;E$216)</f>
        <v>0</v>
      </c>
      <c r="F227" s="6">
        <f>SUMIFS('Renew &amp; Vac '!$S$119:$S$133,'Renew &amp; Vac '!$L$119:$L$133,$B227,'Renew &amp; Vac '!$O$119:$O$133,"&lt;="&amp;F$216,'Renew &amp; Vac '!$P$119:$P$133,"&gt;="&amp;F$216)+SUMIFS('Renew &amp; Vac '!$H$119:$H$133,'Renew &amp; Vac '!$A$119:$A$133,$B227,'Renew &amp; Vac '!$D$119:$D$133,"&lt;="&amp;F$216,'Renew &amp; Vac '!$E$119:$E$133,"&gt;="&amp;F$216)</f>
        <v>0</v>
      </c>
      <c r="G227" s="6">
        <f>SUMIFS('Renew &amp; Vac '!$S$119:$S$133,'Renew &amp; Vac '!$L$119:$L$133,$B227,'Renew &amp; Vac '!$O$119:$O$133,"&lt;="&amp;G$216,'Renew &amp; Vac '!$P$119:$P$133,"&gt;="&amp;G$216)+SUMIFS('Renew &amp; Vac '!$H$119:$H$133,'Renew &amp; Vac '!$A$119:$A$133,$B227,'Renew &amp; Vac '!$D$119:$D$133,"&lt;="&amp;G$216,'Renew &amp; Vac '!$E$119:$E$133,"&gt;="&amp;G$216)</f>
        <v>0</v>
      </c>
      <c r="H227" s="6">
        <f>SUMIFS('Renew &amp; Vac '!$S$119:$S$133,'Renew &amp; Vac '!$L$119:$L$133,$B227,'Renew &amp; Vac '!$O$119:$O$133,"&lt;="&amp;H$216,'Renew &amp; Vac '!$P$119:$P$133,"&gt;="&amp;H$216)+SUMIFS('Renew &amp; Vac '!$H$119:$H$133,'Renew &amp; Vac '!$A$119:$A$133,$B227,'Renew &amp; Vac '!$D$119:$D$133,"&lt;="&amp;H$216,'Renew &amp; Vac '!$E$119:$E$133,"&gt;="&amp;H$216)</f>
        <v>0</v>
      </c>
      <c r="I227" s="6">
        <f>SUMIFS('Renew &amp; Vac '!$S$119:$S$133,'Renew &amp; Vac '!$L$119:$L$133,$B227,'Renew &amp; Vac '!$O$119:$O$133,"&lt;="&amp;I$216,'Renew &amp; Vac '!$P$119:$P$133,"&gt;="&amp;I$216)+SUMIFS('Renew &amp; Vac '!$H$119:$H$133,'Renew &amp; Vac '!$A$119:$A$133,$B227,'Renew &amp; Vac '!$D$119:$D$133,"&lt;="&amp;I$216,'Renew &amp; Vac '!$E$119:$E$133,"&gt;="&amp;I$216)</f>
        <v>0</v>
      </c>
      <c r="J227" s="6">
        <f>SUMIFS('Renew &amp; Vac '!$S$119:$S$133,'Renew &amp; Vac '!$L$119:$L$133,$B227,'Renew &amp; Vac '!$O$119:$O$133,"&lt;="&amp;J$216,'Renew &amp; Vac '!$P$119:$P$133,"&gt;="&amp;J$216)+SUMIFS('Renew &amp; Vac '!$H$119:$H$133,'Renew &amp; Vac '!$A$119:$A$133,$B227,'Renew &amp; Vac '!$D$119:$D$133,"&lt;="&amp;J$216,'Renew &amp; Vac '!$E$119:$E$133,"&gt;="&amp;J$216)</f>
        <v>0</v>
      </c>
      <c r="K227" s="6">
        <f>SUMIFS('Renew &amp; Vac '!$S$119:$S$133,'Renew &amp; Vac '!$L$119:$L$133,$B227,'Renew &amp; Vac '!$O$119:$O$133,"&lt;="&amp;K$216,'Renew &amp; Vac '!$P$119:$P$133,"&gt;="&amp;K$216)+SUMIFS('Renew &amp; Vac '!$H$119:$H$133,'Renew &amp; Vac '!$A$119:$A$133,$B227,'Renew &amp; Vac '!$D$119:$D$133,"&lt;="&amp;K$216,'Renew &amp; Vac '!$E$119:$E$133,"&gt;="&amp;K$216)</f>
        <v>0</v>
      </c>
      <c r="L227" s="6">
        <f>SUMIFS('Renew &amp; Vac '!$S$119:$S$133,'Renew &amp; Vac '!$L$119:$L$133,$B227,'Renew &amp; Vac '!$O$119:$O$133,"&lt;="&amp;L$216,'Renew &amp; Vac '!$P$119:$P$133,"&gt;="&amp;L$216)+SUMIFS('Renew &amp; Vac '!$H$119:$H$133,'Renew &amp; Vac '!$A$119:$A$133,$B227,'Renew &amp; Vac '!$D$119:$D$133,"&lt;="&amp;L$216,'Renew &amp; Vac '!$E$119:$E$133,"&gt;="&amp;L$216)</f>
        <v>0</v>
      </c>
      <c r="M227" s="6">
        <f>SUMIFS('Renew &amp; Vac '!$S$119:$S$133,'Renew &amp; Vac '!$L$119:$L$133,$B227,'Renew &amp; Vac '!$O$119:$O$133,"&lt;="&amp;M$216,'Renew &amp; Vac '!$P$119:$P$133,"&gt;="&amp;M$216)+SUMIFS('Renew &amp; Vac '!$H$119:$H$133,'Renew &amp; Vac '!$A$119:$A$133,$B227,'Renew &amp; Vac '!$D$119:$D$133,"&lt;="&amp;M$216,'Renew &amp; Vac '!$E$119:$E$133,"&gt;="&amp;M$216)</f>
        <v>0</v>
      </c>
      <c r="N227" s="6">
        <f>SUMIFS('Renew &amp; Vac '!$S$119:$S$133,'Renew &amp; Vac '!$L$119:$L$133,$B227,'Renew &amp; Vac '!$O$119:$O$133,"&lt;="&amp;N$216,'Renew &amp; Vac '!$P$119:$P$133,"&gt;="&amp;N$216)+SUMIFS('Renew &amp; Vac '!$H$119:$H$133,'Renew &amp; Vac '!$A$119:$A$133,$B227,'Renew &amp; Vac '!$D$119:$D$133,"&lt;="&amp;N$216,'Renew &amp; Vac '!$E$119:$E$133,"&gt;="&amp;N$216)</f>
        <v>0</v>
      </c>
      <c r="O227" s="6">
        <f>SUMIFS('Renew &amp; Vac '!$S$119:$S$133,'Renew &amp; Vac '!$L$119:$L$133,$B227,'Renew &amp; Vac '!$O$119:$O$133,"&lt;="&amp;O$216,'Renew &amp; Vac '!$P$119:$P$133,"&gt;="&amp;O$216)+SUMIFS('Renew &amp; Vac '!$H$119:$H$133,'Renew &amp; Vac '!$A$119:$A$133,$B227,'Renew &amp; Vac '!$D$119:$D$133,"&lt;="&amp;O$216,'Renew &amp; Vac '!$E$119:$E$133,"&gt;="&amp;O$216)</f>
        <v>0</v>
      </c>
      <c r="P227" s="6">
        <f>SUMIFS('Renew &amp; Vac '!$S$119:$S$133,'Renew &amp; Vac '!$L$119:$L$133,$B227,'Renew &amp; Vac '!$O$119:$O$133,"&lt;="&amp;P$216,'Renew &amp; Vac '!$P$119:$P$133,"&gt;="&amp;P$216)+SUMIFS('Renew &amp; Vac '!$H$119:$H$133,'Renew &amp; Vac '!$A$119:$A$133,$B227,'Renew &amp; Vac '!$D$119:$D$133,"&lt;="&amp;P$216,'Renew &amp; Vac '!$E$119:$E$133,"&gt;="&amp;P$216)</f>
        <v>0</v>
      </c>
      <c r="Q227" s="8">
        <f t="shared" si="67"/>
        <v>0</v>
      </c>
    </row>
    <row r="228" spans="2:17" hidden="1" outlineLevel="1" x14ac:dyDescent="0.35">
      <c r="B228" s="339" t="str">
        <f t="shared" si="66"/>
        <v>7010-12315</v>
      </c>
      <c r="C228" s="341"/>
      <c r="D228" s="79" t="str">
        <f>IFERROR(VLOOKUP(B228,'Renew &amp; Vac '!$L$119:$M$133,2,FALSE),IFERROR(VLOOKUP(B228,'Renew &amp; Vac '!$A$119:$B$133,2,FALSE),VLOOKUP(B228,$B$181:$D$211,3,FALSE)))</f>
        <v>Pat's Pizzeria</v>
      </c>
      <c r="E228" s="6">
        <f>SUMIFS('Renew &amp; Vac '!$S$119:$S$133,'Renew &amp; Vac '!$L$119:$L$133,$B228,'Renew &amp; Vac '!$O$119:$O$133,"&lt;="&amp;E$216,'Renew &amp; Vac '!$P$119:$P$133,"&gt;="&amp;E$216)+SUMIFS('Renew &amp; Vac '!$H$119:$H$133,'Renew &amp; Vac '!$A$119:$A$133,$B228,'Renew &amp; Vac '!$D$119:$D$133,"&lt;="&amp;E$216,'Renew &amp; Vac '!$E$119:$E$133,"&gt;="&amp;E$216)</f>
        <v>0</v>
      </c>
      <c r="F228" s="6">
        <f>SUMIFS('Renew &amp; Vac '!$S$119:$S$133,'Renew &amp; Vac '!$L$119:$L$133,$B228,'Renew &amp; Vac '!$O$119:$O$133,"&lt;="&amp;F$216,'Renew &amp; Vac '!$P$119:$P$133,"&gt;="&amp;F$216)+SUMIFS('Renew &amp; Vac '!$H$119:$H$133,'Renew &amp; Vac '!$A$119:$A$133,$B228,'Renew &amp; Vac '!$D$119:$D$133,"&lt;="&amp;F$216,'Renew &amp; Vac '!$E$119:$E$133,"&gt;="&amp;F$216)</f>
        <v>0</v>
      </c>
      <c r="G228" s="6">
        <f>SUMIFS('Renew &amp; Vac '!$S$119:$S$133,'Renew &amp; Vac '!$L$119:$L$133,$B228,'Renew &amp; Vac '!$O$119:$O$133,"&lt;="&amp;G$216,'Renew &amp; Vac '!$P$119:$P$133,"&gt;="&amp;G$216)+SUMIFS('Renew &amp; Vac '!$H$119:$H$133,'Renew &amp; Vac '!$A$119:$A$133,$B228,'Renew &amp; Vac '!$D$119:$D$133,"&lt;="&amp;G$216,'Renew &amp; Vac '!$E$119:$E$133,"&gt;="&amp;G$216)</f>
        <v>0</v>
      </c>
      <c r="H228" s="6">
        <f>SUMIFS('Renew &amp; Vac '!$S$119:$S$133,'Renew &amp; Vac '!$L$119:$L$133,$B228,'Renew &amp; Vac '!$O$119:$O$133,"&lt;="&amp;H$216,'Renew &amp; Vac '!$P$119:$P$133,"&gt;="&amp;H$216)+SUMIFS('Renew &amp; Vac '!$H$119:$H$133,'Renew &amp; Vac '!$A$119:$A$133,$B228,'Renew &amp; Vac '!$D$119:$D$133,"&lt;="&amp;H$216,'Renew &amp; Vac '!$E$119:$E$133,"&gt;="&amp;H$216)</f>
        <v>0</v>
      </c>
      <c r="I228" s="6">
        <f>SUMIFS('Renew &amp; Vac '!$S$119:$S$133,'Renew &amp; Vac '!$L$119:$L$133,$B228,'Renew &amp; Vac '!$O$119:$O$133,"&lt;="&amp;I$216,'Renew &amp; Vac '!$P$119:$P$133,"&gt;="&amp;I$216)+SUMIFS('Renew &amp; Vac '!$H$119:$H$133,'Renew &amp; Vac '!$A$119:$A$133,$B228,'Renew &amp; Vac '!$D$119:$D$133,"&lt;="&amp;I$216,'Renew &amp; Vac '!$E$119:$E$133,"&gt;="&amp;I$216)</f>
        <v>0</v>
      </c>
      <c r="J228" s="6">
        <f>SUMIFS('Renew &amp; Vac '!$S$119:$S$133,'Renew &amp; Vac '!$L$119:$L$133,$B228,'Renew &amp; Vac '!$O$119:$O$133,"&lt;="&amp;J$216,'Renew &amp; Vac '!$P$119:$P$133,"&gt;="&amp;J$216)+SUMIFS('Renew &amp; Vac '!$H$119:$H$133,'Renew &amp; Vac '!$A$119:$A$133,$B228,'Renew &amp; Vac '!$D$119:$D$133,"&lt;="&amp;J$216,'Renew &amp; Vac '!$E$119:$E$133,"&gt;="&amp;J$216)</f>
        <v>0</v>
      </c>
      <c r="K228" s="6">
        <f>SUMIFS('Renew &amp; Vac '!$S$119:$S$133,'Renew &amp; Vac '!$L$119:$L$133,$B228,'Renew &amp; Vac '!$O$119:$O$133,"&lt;="&amp;K$216,'Renew &amp; Vac '!$P$119:$P$133,"&gt;="&amp;K$216)+SUMIFS('Renew &amp; Vac '!$H$119:$H$133,'Renew &amp; Vac '!$A$119:$A$133,$B228,'Renew &amp; Vac '!$D$119:$D$133,"&lt;="&amp;K$216,'Renew &amp; Vac '!$E$119:$E$133,"&gt;="&amp;K$216)</f>
        <v>0</v>
      </c>
      <c r="L228" s="6">
        <f>SUMIFS('Renew &amp; Vac '!$S$119:$S$133,'Renew &amp; Vac '!$L$119:$L$133,$B228,'Renew &amp; Vac '!$O$119:$O$133,"&lt;="&amp;L$216,'Renew &amp; Vac '!$P$119:$P$133,"&gt;="&amp;L$216)+SUMIFS('Renew &amp; Vac '!$H$119:$H$133,'Renew &amp; Vac '!$A$119:$A$133,$B228,'Renew &amp; Vac '!$D$119:$D$133,"&lt;="&amp;L$216,'Renew &amp; Vac '!$E$119:$E$133,"&gt;="&amp;L$216)</f>
        <v>0</v>
      </c>
      <c r="M228" s="6">
        <f>SUMIFS('Renew &amp; Vac '!$S$119:$S$133,'Renew &amp; Vac '!$L$119:$L$133,$B228,'Renew &amp; Vac '!$O$119:$O$133,"&lt;="&amp;M$216,'Renew &amp; Vac '!$P$119:$P$133,"&gt;="&amp;M$216)+SUMIFS('Renew &amp; Vac '!$H$119:$H$133,'Renew &amp; Vac '!$A$119:$A$133,$B228,'Renew &amp; Vac '!$D$119:$D$133,"&lt;="&amp;M$216,'Renew &amp; Vac '!$E$119:$E$133,"&gt;="&amp;M$216)</f>
        <v>0</v>
      </c>
      <c r="N228" s="6">
        <f>SUMIFS('Renew &amp; Vac '!$S$119:$S$133,'Renew &amp; Vac '!$L$119:$L$133,$B228,'Renew &amp; Vac '!$O$119:$O$133,"&lt;="&amp;N$216,'Renew &amp; Vac '!$P$119:$P$133,"&gt;="&amp;N$216)+SUMIFS('Renew &amp; Vac '!$H$119:$H$133,'Renew &amp; Vac '!$A$119:$A$133,$B228,'Renew &amp; Vac '!$D$119:$D$133,"&lt;="&amp;N$216,'Renew &amp; Vac '!$E$119:$E$133,"&gt;="&amp;N$216)</f>
        <v>0</v>
      </c>
      <c r="O228" s="6">
        <f>SUMIFS('Renew &amp; Vac '!$S$119:$S$133,'Renew &amp; Vac '!$L$119:$L$133,$B228,'Renew &amp; Vac '!$O$119:$O$133,"&lt;="&amp;O$216,'Renew &amp; Vac '!$P$119:$P$133,"&gt;="&amp;O$216)+SUMIFS('Renew &amp; Vac '!$H$119:$H$133,'Renew &amp; Vac '!$A$119:$A$133,$B228,'Renew &amp; Vac '!$D$119:$D$133,"&lt;="&amp;O$216,'Renew &amp; Vac '!$E$119:$E$133,"&gt;="&amp;O$216)</f>
        <v>0</v>
      </c>
      <c r="P228" s="6">
        <f>SUMIFS('Renew &amp; Vac '!$S$119:$S$133,'Renew &amp; Vac '!$L$119:$L$133,$B228,'Renew &amp; Vac '!$O$119:$O$133,"&lt;="&amp;P$216,'Renew &amp; Vac '!$P$119:$P$133,"&gt;="&amp;P$216)+SUMIFS('Renew &amp; Vac '!$H$119:$H$133,'Renew &amp; Vac '!$A$119:$A$133,$B228,'Renew &amp; Vac '!$D$119:$D$133,"&lt;="&amp;P$216,'Renew &amp; Vac '!$E$119:$E$133,"&gt;="&amp;P$216)</f>
        <v>0</v>
      </c>
      <c r="Q228" s="8">
        <f t="shared" si="67"/>
        <v>0</v>
      </c>
    </row>
    <row r="229" spans="2:17" hidden="1" outlineLevel="1" x14ac:dyDescent="0.35">
      <c r="B229" s="339" t="str">
        <f t="shared" si="66"/>
        <v>7010-12319</v>
      </c>
      <c r="C229" s="341"/>
      <c r="D229" s="79" t="str">
        <f>IFERROR(VLOOKUP(B229,'Renew &amp; Vac '!$L$119:$M$133,2,FALSE),IFERROR(VLOOKUP(B229,'Renew &amp; Vac '!$A$119:$B$133,2,FALSE),VLOOKUP(B229,$B$181:$D$211,3,FALSE)))</f>
        <v>Reen's Deli</v>
      </c>
      <c r="E229" s="6">
        <f>SUMIFS('Renew &amp; Vac '!$S$119:$S$133,'Renew &amp; Vac '!$L$119:$L$133,$B229,'Renew &amp; Vac '!$O$119:$O$133,"&lt;="&amp;E$216,'Renew &amp; Vac '!$P$119:$P$133,"&gt;="&amp;E$216)+SUMIFS('Renew &amp; Vac '!$H$119:$H$133,'Renew &amp; Vac '!$A$119:$A$133,$B229,'Renew &amp; Vac '!$D$119:$D$133,"&lt;="&amp;E$216,'Renew &amp; Vac '!$E$119:$E$133,"&gt;="&amp;E$216)</f>
        <v>0</v>
      </c>
      <c r="F229" s="6">
        <f>SUMIFS('Renew &amp; Vac '!$S$119:$S$133,'Renew &amp; Vac '!$L$119:$L$133,$B229,'Renew &amp; Vac '!$O$119:$O$133,"&lt;="&amp;F$216,'Renew &amp; Vac '!$P$119:$P$133,"&gt;="&amp;F$216)+SUMIFS('Renew &amp; Vac '!$H$119:$H$133,'Renew &amp; Vac '!$A$119:$A$133,$B229,'Renew &amp; Vac '!$D$119:$D$133,"&lt;="&amp;F$216,'Renew &amp; Vac '!$E$119:$E$133,"&gt;="&amp;F$216)</f>
        <v>0</v>
      </c>
      <c r="G229" s="6">
        <f>SUMIFS('Renew &amp; Vac '!$S$119:$S$133,'Renew &amp; Vac '!$L$119:$L$133,$B229,'Renew &amp; Vac '!$O$119:$O$133,"&lt;="&amp;G$216,'Renew &amp; Vac '!$P$119:$P$133,"&gt;="&amp;G$216)+SUMIFS('Renew &amp; Vac '!$H$119:$H$133,'Renew &amp; Vac '!$A$119:$A$133,$B229,'Renew &amp; Vac '!$D$119:$D$133,"&lt;="&amp;G$216,'Renew &amp; Vac '!$E$119:$E$133,"&gt;="&amp;G$216)</f>
        <v>0</v>
      </c>
      <c r="H229" s="6">
        <f>SUMIFS('Renew &amp; Vac '!$S$119:$S$133,'Renew &amp; Vac '!$L$119:$L$133,$B229,'Renew &amp; Vac '!$O$119:$O$133,"&lt;="&amp;H$216,'Renew &amp; Vac '!$P$119:$P$133,"&gt;="&amp;H$216)+SUMIFS('Renew &amp; Vac '!$H$119:$H$133,'Renew &amp; Vac '!$A$119:$A$133,$B229,'Renew &amp; Vac '!$D$119:$D$133,"&lt;="&amp;H$216,'Renew &amp; Vac '!$E$119:$E$133,"&gt;="&amp;H$216)</f>
        <v>0</v>
      </c>
      <c r="I229" s="6">
        <f>SUMIFS('Renew &amp; Vac '!$S$119:$S$133,'Renew &amp; Vac '!$L$119:$L$133,$B229,'Renew &amp; Vac '!$O$119:$O$133,"&lt;="&amp;I$216,'Renew &amp; Vac '!$P$119:$P$133,"&gt;="&amp;I$216)+SUMIFS('Renew &amp; Vac '!$H$119:$H$133,'Renew &amp; Vac '!$A$119:$A$133,$B229,'Renew &amp; Vac '!$D$119:$D$133,"&lt;="&amp;I$216,'Renew &amp; Vac '!$E$119:$E$133,"&gt;="&amp;I$216)</f>
        <v>0</v>
      </c>
      <c r="J229" s="6">
        <f>SUMIFS('Renew &amp; Vac '!$S$119:$S$133,'Renew &amp; Vac '!$L$119:$L$133,$B229,'Renew &amp; Vac '!$O$119:$O$133,"&lt;="&amp;J$216,'Renew &amp; Vac '!$P$119:$P$133,"&gt;="&amp;J$216)+SUMIFS('Renew &amp; Vac '!$H$119:$H$133,'Renew &amp; Vac '!$A$119:$A$133,$B229,'Renew &amp; Vac '!$D$119:$D$133,"&lt;="&amp;J$216,'Renew &amp; Vac '!$E$119:$E$133,"&gt;="&amp;J$216)</f>
        <v>0</v>
      </c>
      <c r="K229" s="6">
        <f>SUMIFS('Renew &amp; Vac '!$S$119:$S$133,'Renew &amp; Vac '!$L$119:$L$133,$B229,'Renew &amp; Vac '!$O$119:$O$133,"&lt;="&amp;K$216,'Renew &amp; Vac '!$P$119:$P$133,"&gt;="&amp;K$216)+SUMIFS('Renew &amp; Vac '!$H$119:$H$133,'Renew &amp; Vac '!$A$119:$A$133,$B229,'Renew &amp; Vac '!$D$119:$D$133,"&lt;="&amp;K$216,'Renew &amp; Vac '!$E$119:$E$133,"&gt;="&amp;K$216)</f>
        <v>0</v>
      </c>
      <c r="L229" s="6">
        <f>SUMIFS('Renew &amp; Vac '!$S$119:$S$133,'Renew &amp; Vac '!$L$119:$L$133,$B229,'Renew &amp; Vac '!$O$119:$O$133,"&lt;="&amp;L$216,'Renew &amp; Vac '!$P$119:$P$133,"&gt;="&amp;L$216)+SUMIFS('Renew &amp; Vac '!$H$119:$H$133,'Renew &amp; Vac '!$A$119:$A$133,$B229,'Renew &amp; Vac '!$D$119:$D$133,"&lt;="&amp;L$216,'Renew &amp; Vac '!$E$119:$E$133,"&gt;="&amp;L$216)</f>
        <v>0</v>
      </c>
      <c r="M229" s="6">
        <f>SUMIFS('Renew &amp; Vac '!$S$119:$S$133,'Renew &amp; Vac '!$L$119:$L$133,$B229,'Renew &amp; Vac '!$O$119:$O$133,"&lt;="&amp;M$216,'Renew &amp; Vac '!$P$119:$P$133,"&gt;="&amp;M$216)+SUMIFS('Renew &amp; Vac '!$H$119:$H$133,'Renew &amp; Vac '!$A$119:$A$133,$B229,'Renew &amp; Vac '!$D$119:$D$133,"&lt;="&amp;M$216,'Renew &amp; Vac '!$E$119:$E$133,"&gt;="&amp;M$216)</f>
        <v>0</v>
      </c>
      <c r="N229" s="6">
        <f>SUMIFS('Renew &amp; Vac '!$S$119:$S$133,'Renew &amp; Vac '!$L$119:$L$133,$B229,'Renew &amp; Vac '!$O$119:$O$133,"&lt;="&amp;N$216,'Renew &amp; Vac '!$P$119:$P$133,"&gt;="&amp;N$216)+SUMIFS('Renew &amp; Vac '!$H$119:$H$133,'Renew &amp; Vac '!$A$119:$A$133,$B229,'Renew &amp; Vac '!$D$119:$D$133,"&lt;="&amp;N$216,'Renew &amp; Vac '!$E$119:$E$133,"&gt;="&amp;N$216)</f>
        <v>0</v>
      </c>
      <c r="O229" s="6">
        <f>SUMIFS('Renew &amp; Vac '!$S$119:$S$133,'Renew &amp; Vac '!$L$119:$L$133,$B229,'Renew &amp; Vac '!$O$119:$O$133,"&lt;="&amp;O$216,'Renew &amp; Vac '!$P$119:$P$133,"&gt;="&amp;O$216)+SUMIFS('Renew &amp; Vac '!$H$119:$H$133,'Renew &amp; Vac '!$A$119:$A$133,$B229,'Renew &amp; Vac '!$D$119:$D$133,"&lt;="&amp;O$216,'Renew &amp; Vac '!$E$119:$E$133,"&gt;="&amp;O$216)</f>
        <v>0</v>
      </c>
      <c r="P229" s="6">
        <f>SUMIFS('Renew &amp; Vac '!$S$119:$S$133,'Renew &amp; Vac '!$L$119:$L$133,$B229,'Renew &amp; Vac '!$O$119:$O$133,"&lt;="&amp;P$216,'Renew &amp; Vac '!$P$119:$P$133,"&gt;="&amp;P$216)+SUMIFS('Renew &amp; Vac '!$H$119:$H$133,'Renew &amp; Vac '!$A$119:$A$133,$B229,'Renew &amp; Vac '!$D$119:$D$133,"&lt;="&amp;P$216,'Renew &amp; Vac '!$E$119:$E$133,"&gt;="&amp;P$216)</f>
        <v>0</v>
      </c>
      <c r="Q229" s="8">
        <f t="shared" si="67"/>
        <v>0</v>
      </c>
    </row>
    <row r="230" spans="2:17" hidden="1" outlineLevel="1" x14ac:dyDescent="0.35">
      <c r="B230" s="339" t="str">
        <f t="shared" si="66"/>
        <v>7010-12325</v>
      </c>
      <c r="C230" s="341"/>
      <c r="D230" s="79" t="str">
        <f>IFERROR(VLOOKUP(B230,'Renew &amp; Vac '!$L$119:$M$133,2,FALSE),IFERROR(VLOOKUP(B230,'Renew &amp; Vac '!$A$119:$B$133,2,FALSE),VLOOKUP(B230,$B$181:$D$211,3,FALSE)))</f>
        <v>Parkwood Pack and Ship</v>
      </c>
      <c r="E230" s="6">
        <f>SUMIFS('Renew &amp; Vac '!$S$119:$S$133,'Renew &amp; Vac '!$L$119:$L$133,$B230,'Renew &amp; Vac '!$O$119:$O$133,"&lt;="&amp;E$216,'Renew &amp; Vac '!$P$119:$P$133,"&gt;="&amp;E$216)+SUMIFS('Renew &amp; Vac '!$H$119:$H$133,'Renew &amp; Vac '!$A$119:$A$133,$B230,'Renew &amp; Vac '!$D$119:$D$133,"&lt;="&amp;E$216,'Renew &amp; Vac '!$E$119:$E$133,"&gt;="&amp;E$216)</f>
        <v>0</v>
      </c>
      <c r="F230" s="6">
        <f>SUMIFS('Renew &amp; Vac '!$S$119:$S$133,'Renew &amp; Vac '!$L$119:$L$133,$B230,'Renew &amp; Vac '!$O$119:$O$133,"&lt;="&amp;F$216,'Renew &amp; Vac '!$P$119:$P$133,"&gt;="&amp;F$216)+SUMIFS('Renew &amp; Vac '!$H$119:$H$133,'Renew &amp; Vac '!$A$119:$A$133,$B230,'Renew &amp; Vac '!$D$119:$D$133,"&lt;="&amp;F$216,'Renew &amp; Vac '!$E$119:$E$133,"&gt;="&amp;F$216)</f>
        <v>0</v>
      </c>
      <c r="G230" s="6">
        <f>SUMIFS('Renew &amp; Vac '!$S$119:$S$133,'Renew &amp; Vac '!$L$119:$L$133,$B230,'Renew &amp; Vac '!$O$119:$O$133,"&lt;="&amp;G$216,'Renew &amp; Vac '!$P$119:$P$133,"&gt;="&amp;G$216)+SUMIFS('Renew &amp; Vac '!$H$119:$H$133,'Renew &amp; Vac '!$A$119:$A$133,$B230,'Renew &amp; Vac '!$D$119:$D$133,"&lt;="&amp;G$216,'Renew &amp; Vac '!$E$119:$E$133,"&gt;="&amp;G$216)</f>
        <v>0</v>
      </c>
      <c r="H230" s="6">
        <f>SUMIFS('Renew &amp; Vac '!$S$119:$S$133,'Renew &amp; Vac '!$L$119:$L$133,$B230,'Renew &amp; Vac '!$O$119:$O$133,"&lt;="&amp;H$216,'Renew &amp; Vac '!$P$119:$P$133,"&gt;="&amp;H$216)+SUMIFS('Renew &amp; Vac '!$H$119:$H$133,'Renew &amp; Vac '!$A$119:$A$133,$B230,'Renew &amp; Vac '!$D$119:$D$133,"&lt;="&amp;H$216,'Renew &amp; Vac '!$E$119:$E$133,"&gt;="&amp;H$216)</f>
        <v>0</v>
      </c>
      <c r="I230" s="6">
        <f>SUMIFS('Renew &amp; Vac '!$S$119:$S$133,'Renew &amp; Vac '!$L$119:$L$133,$B230,'Renew &amp; Vac '!$O$119:$O$133,"&lt;="&amp;I$216,'Renew &amp; Vac '!$P$119:$P$133,"&gt;="&amp;I$216)+SUMIFS('Renew &amp; Vac '!$H$119:$H$133,'Renew &amp; Vac '!$A$119:$A$133,$B230,'Renew &amp; Vac '!$D$119:$D$133,"&lt;="&amp;I$216,'Renew &amp; Vac '!$E$119:$E$133,"&gt;="&amp;I$216)</f>
        <v>0</v>
      </c>
      <c r="J230" s="6">
        <f>SUMIFS('Renew &amp; Vac '!$S$119:$S$133,'Renew &amp; Vac '!$L$119:$L$133,$B230,'Renew &amp; Vac '!$O$119:$O$133,"&lt;="&amp;J$216,'Renew &amp; Vac '!$P$119:$P$133,"&gt;="&amp;J$216)+SUMIFS('Renew &amp; Vac '!$H$119:$H$133,'Renew &amp; Vac '!$A$119:$A$133,$B230,'Renew &amp; Vac '!$D$119:$D$133,"&lt;="&amp;J$216,'Renew &amp; Vac '!$E$119:$E$133,"&gt;="&amp;J$216)</f>
        <v>0</v>
      </c>
      <c r="K230" s="6">
        <f>SUMIFS('Renew &amp; Vac '!$S$119:$S$133,'Renew &amp; Vac '!$L$119:$L$133,$B230,'Renew &amp; Vac '!$O$119:$O$133,"&lt;="&amp;K$216,'Renew &amp; Vac '!$P$119:$P$133,"&gt;="&amp;K$216)+SUMIFS('Renew &amp; Vac '!$H$119:$H$133,'Renew &amp; Vac '!$A$119:$A$133,$B230,'Renew &amp; Vac '!$D$119:$D$133,"&lt;="&amp;K$216,'Renew &amp; Vac '!$E$119:$E$133,"&gt;="&amp;K$216)</f>
        <v>0</v>
      </c>
      <c r="L230" s="6">
        <f>SUMIFS('Renew &amp; Vac '!$S$119:$S$133,'Renew &amp; Vac '!$L$119:$L$133,$B230,'Renew &amp; Vac '!$O$119:$O$133,"&lt;="&amp;L$216,'Renew &amp; Vac '!$P$119:$P$133,"&gt;="&amp;L$216)+SUMIFS('Renew &amp; Vac '!$H$119:$H$133,'Renew &amp; Vac '!$A$119:$A$133,$B230,'Renew &amp; Vac '!$D$119:$D$133,"&lt;="&amp;L$216,'Renew &amp; Vac '!$E$119:$E$133,"&gt;="&amp;L$216)</f>
        <v>0</v>
      </c>
      <c r="M230" s="6">
        <f>SUMIFS('Renew &amp; Vac '!$S$119:$S$133,'Renew &amp; Vac '!$L$119:$L$133,$B230,'Renew &amp; Vac '!$O$119:$O$133,"&lt;="&amp;M$216,'Renew &amp; Vac '!$P$119:$P$133,"&gt;="&amp;M$216)+SUMIFS('Renew &amp; Vac '!$H$119:$H$133,'Renew &amp; Vac '!$A$119:$A$133,$B230,'Renew &amp; Vac '!$D$119:$D$133,"&lt;="&amp;M$216,'Renew &amp; Vac '!$E$119:$E$133,"&gt;="&amp;M$216)</f>
        <v>0</v>
      </c>
      <c r="N230" s="6">
        <f>SUMIFS('Renew &amp; Vac '!$S$119:$S$133,'Renew &amp; Vac '!$L$119:$L$133,$B230,'Renew &amp; Vac '!$O$119:$O$133,"&lt;="&amp;N$216,'Renew &amp; Vac '!$P$119:$P$133,"&gt;="&amp;N$216)+SUMIFS('Renew &amp; Vac '!$H$119:$H$133,'Renew &amp; Vac '!$A$119:$A$133,$B230,'Renew &amp; Vac '!$D$119:$D$133,"&lt;="&amp;N$216,'Renew &amp; Vac '!$E$119:$E$133,"&gt;="&amp;N$216)</f>
        <v>0</v>
      </c>
      <c r="O230" s="6">
        <f>SUMIFS('Renew &amp; Vac '!$S$119:$S$133,'Renew &amp; Vac '!$L$119:$L$133,$B230,'Renew &amp; Vac '!$O$119:$O$133,"&lt;="&amp;O$216,'Renew &amp; Vac '!$P$119:$P$133,"&gt;="&amp;O$216)+SUMIFS('Renew &amp; Vac '!$H$119:$H$133,'Renew &amp; Vac '!$A$119:$A$133,$B230,'Renew &amp; Vac '!$D$119:$D$133,"&lt;="&amp;O$216,'Renew &amp; Vac '!$E$119:$E$133,"&gt;="&amp;O$216)</f>
        <v>0</v>
      </c>
      <c r="P230" s="6">
        <f>SUMIFS('Renew &amp; Vac '!$S$119:$S$133,'Renew &amp; Vac '!$L$119:$L$133,$B230,'Renew &amp; Vac '!$O$119:$O$133,"&lt;="&amp;P$216,'Renew &amp; Vac '!$P$119:$P$133,"&gt;="&amp;P$216)+SUMIFS('Renew &amp; Vac '!$H$119:$H$133,'Renew &amp; Vac '!$A$119:$A$133,$B230,'Renew &amp; Vac '!$D$119:$D$133,"&lt;="&amp;P$216,'Renew &amp; Vac '!$E$119:$E$133,"&gt;="&amp;P$216)</f>
        <v>0</v>
      </c>
      <c r="Q230" s="8">
        <f t="shared" si="67"/>
        <v>0</v>
      </c>
    </row>
    <row r="231" spans="2:17" hidden="1" outlineLevel="1" x14ac:dyDescent="0.35">
      <c r="B231" s="339" t="str">
        <f t="shared" si="66"/>
        <v>7010-12327</v>
      </c>
      <c r="C231" s="341"/>
      <c r="D231" s="79" t="str">
        <f>IFERROR(VLOOKUP(B231,'Renew &amp; Vac '!$L$119:$M$133,2,FALSE),IFERROR(VLOOKUP(B231,'Renew &amp; Vac '!$A$119:$B$133,2,FALSE),VLOOKUP(B231,$B$181:$D$211,3,FALSE)))</f>
        <v>The Forge MMA</v>
      </c>
      <c r="E231" s="6">
        <f>SUMIFS('Renew &amp; Vac '!$S$119:$S$133,'Renew &amp; Vac '!$L$119:$L$133,$B231,'Renew &amp; Vac '!$O$119:$O$133,"&lt;="&amp;E$216,'Renew &amp; Vac '!$P$119:$P$133,"&gt;="&amp;E$216)+SUMIFS('Renew &amp; Vac '!$H$119:$H$133,'Renew &amp; Vac '!$A$119:$A$133,$B231,'Renew &amp; Vac '!$D$119:$D$133,"&lt;="&amp;E$216,'Renew &amp; Vac '!$E$119:$E$133,"&gt;="&amp;E$216)</f>
        <v>0</v>
      </c>
      <c r="F231" s="6">
        <f>SUMIFS('Renew &amp; Vac '!$S$119:$S$133,'Renew &amp; Vac '!$L$119:$L$133,$B231,'Renew &amp; Vac '!$O$119:$O$133,"&lt;="&amp;F$216,'Renew &amp; Vac '!$P$119:$P$133,"&gt;="&amp;F$216)+SUMIFS('Renew &amp; Vac '!$H$119:$H$133,'Renew &amp; Vac '!$A$119:$A$133,$B231,'Renew &amp; Vac '!$D$119:$D$133,"&lt;="&amp;F$216,'Renew &amp; Vac '!$E$119:$E$133,"&gt;="&amp;F$216)</f>
        <v>0</v>
      </c>
      <c r="G231" s="6">
        <f>SUMIFS('Renew &amp; Vac '!$S$119:$S$133,'Renew &amp; Vac '!$L$119:$L$133,$B231,'Renew &amp; Vac '!$O$119:$O$133,"&lt;="&amp;G$216,'Renew &amp; Vac '!$P$119:$P$133,"&gt;="&amp;G$216)+SUMIFS('Renew &amp; Vac '!$H$119:$H$133,'Renew &amp; Vac '!$A$119:$A$133,$B231,'Renew &amp; Vac '!$D$119:$D$133,"&lt;="&amp;G$216,'Renew &amp; Vac '!$E$119:$E$133,"&gt;="&amp;G$216)</f>
        <v>0</v>
      </c>
      <c r="H231" s="6">
        <f>SUMIFS('Renew &amp; Vac '!$S$119:$S$133,'Renew &amp; Vac '!$L$119:$L$133,$B231,'Renew &amp; Vac '!$O$119:$O$133,"&lt;="&amp;H$216,'Renew &amp; Vac '!$P$119:$P$133,"&gt;="&amp;H$216)+SUMIFS('Renew &amp; Vac '!$H$119:$H$133,'Renew &amp; Vac '!$A$119:$A$133,$B231,'Renew &amp; Vac '!$D$119:$D$133,"&lt;="&amp;H$216,'Renew &amp; Vac '!$E$119:$E$133,"&gt;="&amp;H$216)</f>
        <v>0</v>
      </c>
      <c r="I231" s="6">
        <f>SUMIFS('Renew &amp; Vac '!$S$119:$S$133,'Renew &amp; Vac '!$L$119:$L$133,$B231,'Renew &amp; Vac '!$O$119:$O$133,"&lt;="&amp;I$216,'Renew &amp; Vac '!$P$119:$P$133,"&gt;="&amp;I$216)+SUMIFS('Renew &amp; Vac '!$H$119:$H$133,'Renew &amp; Vac '!$A$119:$A$133,$B231,'Renew &amp; Vac '!$D$119:$D$133,"&lt;="&amp;I$216,'Renew &amp; Vac '!$E$119:$E$133,"&gt;="&amp;I$216)</f>
        <v>0</v>
      </c>
      <c r="J231" s="6">
        <f>SUMIFS('Renew &amp; Vac '!$S$119:$S$133,'Renew &amp; Vac '!$L$119:$L$133,$B231,'Renew &amp; Vac '!$O$119:$O$133,"&lt;="&amp;J$216,'Renew &amp; Vac '!$P$119:$P$133,"&gt;="&amp;J$216)+SUMIFS('Renew &amp; Vac '!$H$119:$H$133,'Renew &amp; Vac '!$A$119:$A$133,$B231,'Renew &amp; Vac '!$D$119:$D$133,"&lt;="&amp;J$216,'Renew &amp; Vac '!$E$119:$E$133,"&gt;="&amp;J$216)</f>
        <v>0</v>
      </c>
      <c r="K231" s="6">
        <f>SUMIFS('Renew &amp; Vac '!$S$119:$S$133,'Renew &amp; Vac '!$L$119:$L$133,$B231,'Renew &amp; Vac '!$O$119:$O$133,"&lt;="&amp;K$216,'Renew &amp; Vac '!$P$119:$P$133,"&gt;="&amp;K$216)+SUMIFS('Renew &amp; Vac '!$H$119:$H$133,'Renew &amp; Vac '!$A$119:$A$133,$B231,'Renew &amp; Vac '!$D$119:$D$133,"&lt;="&amp;K$216,'Renew &amp; Vac '!$E$119:$E$133,"&gt;="&amp;K$216)</f>
        <v>0</v>
      </c>
      <c r="L231" s="6">
        <f>SUMIFS('Renew &amp; Vac '!$S$119:$S$133,'Renew &amp; Vac '!$L$119:$L$133,$B231,'Renew &amp; Vac '!$O$119:$O$133,"&lt;="&amp;L$216,'Renew &amp; Vac '!$P$119:$P$133,"&gt;="&amp;L$216)+SUMIFS('Renew &amp; Vac '!$H$119:$H$133,'Renew &amp; Vac '!$A$119:$A$133,$B231,'Renew &amp; Vac '!$D$119:$D$133,"&lt;="&amp;L$216,'Renew &amp; Vac '!$E$119:$E$133,"&gt;="&amp;L$216)</f>
        <v>0</v>
      </c>
      <c r="M231" s="6">
        <f>SUMIFS('Renew &amp; Vac '!$S$119:$S$133,'Renew &amp; Vac '!$L$119:$L$133,$B231,'Renew &amp; Vac '!$O$119:$O$133,"&lt;="&amp;M$216,'Renew &amp; Vac '!$P$119:$P$133,"&gt;="&amp;M$216)+SUMIFS('Renew &amp; Vac '!$H$119:$H$133,'Renew &amp; Vac '!$A$119:$A$133,$B231,'Renew &amp; Vac '!$D$119:$D$133,"&lt;="&amp;M$216,'Renew &amp; Vac '!$E$119:$E$133,"&gt;="&amp;M$216)</f>
        <v>0</v>
      </c>
      <c r="N231" s="6">
        <f>SUMIFS('Renew &amp; Vac '!$S$119:$S$133,'Renew &amp; Vac '!$L$119:$L$133,$B231,'Renew &amp; Vac '!$O$119:$O$133,"&lt;="&amp;N$216,'Renew &amp; Vac '!$P$119:$P$133,"&gt;="&amp;N$216)+SUMIFS('Renew &amp; Vac '!$H$119:$H$133,'Renew &amp; Vac '!$A$119:$A$133,$B231,'Renew &amp; Vac '!$D$119:$D$133,"&lt;="&amp;N$216,'Renew &amp; Vac '!$E$119:$E$133,"&gt;="&amp;N$216)</f>
        <v>0</v>
      </c>
      <c r="O231" s="6">
        <f>SUMIFS('Renew &amp; Vac '!$S$119:$S$133,'Renew &amp; Vac '!$L$119:$L$133,$B231,'Renew &amp; Vac '!$O$119:$O$133,"&lt;="&amp;O$216,'Renew &amp; Vac '!$P$119:$P$133,"&gt;="&amp;O$216)+SUMIFS('Renew &amp; Vac '!$H$119:$H$133,'Renew &amp; Vac '!$A$119:$A$133,$B231,'Renew &amp; Vac '!$D$119:$D$133,"&lt;="&amp;O$216,'Renew &amp; Vac '!$E$119:$E$133,"&gt;="&amp;O$216)</f>
        <v>0</v>
      </c>
      <c r="P231" s="6">
        <f>SUMIFS('Renew &amp; Vac '!$S$119:$S$133,'Renew &amp; Vac '!$L$119:$L$133,$B231,'Renew &amp; Vac '!$O$119:$O$133,"&lt;="&amp;P$216,'Renew &amp; Vac '!$P$119:$P$133,"&gt;="&amp;P$216)+SUMIFS('Renew &amp; Vac '!$H$119:$H$133,'Renew &amp; Vac '!$A$119:$A$133,$B231,'Renew &amp; Vac '!$D$119:$D$133,"&lt;="&amp;P$216,'Renew &amp; Vac '!$E$119:$E$133,"&gt;="&amp;P$216)</f>
        <v>0</v>
      </c>
      <c r="Q231" s="8">
        <f t="shared" si="67"/>
        <v>0</v>
      </c>
    </row>
    <row r="232" spans="2:17" hidden="1" outlineLevel="1" x14ac:dyDescent="0.35">
      <c r="B232" s="339" t="str">
        <f t="shared" si="66"/>
        <v>7010-12329</v>
      </c>
      <c r="C232" s="341"/>
      <c r="D232" s="79" t="str">
        <f>IFERROR(VLOOKUP(B232,'Renew &amp; Vac '!$L$119:$M$133,2,FALSE),IFERROR(VLOOKUP(B232,'Renew &amp; Vac '!$A$119:$B$133,2,FALSE),VLOOKUP(B232,$B$181:$D$211,3,FALSE)))</f>
        <v>Parkwood Valet Cleaners</v>
      </c>
      <c r="E232" s="6">
        <f>SUMIFS('Renew &amp; Vac '!$S$119:$S$133,'Renew &amp; Vac '!$L$119:$L$133,$B232,'Renew &amp; Vac '!$O$119:$O$133,"&lt;="&amp;E$216,'Renew &amp; Vac '!$P$119:$P$133,"&gt;="&amp;E$216)+SUMIFS('Renew &amp; Vac '!$H$119:$H$133,'Renew &amp; Vac '!$A$119:$A$133,$B232,'Renew &amp; Vac '!$D$119:$D$133,"&lt;="&amp;E$216,'Renew &amp; Vac '!$E$119:$E$133,"&gt;="&amp;E$216)</f>
        <v>0</v>
      </c>
      <c r="F232" s="6">
        <f>SUMIFS('Renew &amp; Vac '!$S$119:$S$133,'Renew &amp; Vac '!$L$119:$L$133,$B232,'Renew &amp; Vac '!$O$119:$O$133,"&lt;="&amp;F$216,'Renew &amp; Vac '!$P$119:$P$133,"&gt;="&amp;F$216)+SUMIFS('Renew &amp; Vac '!$H$119:$H$133,'Renew &amp; Vac '!$A$119:$A$133,$B232,'Renew &amp; Vac '!$D$119:$D$133,"&lt;="&amp;F$216,'Renew &amp; Vac '!$E$119:$E$133,"&gt;="&amp;F$216)</f>
        <v>0</v>
      </c>
      <c r="G232" s="6">
        <f>SUMIFS('Renew &amp; Vac '!$S$119:$S$133,'Renew &amp; Vac '!$L$119:$L$133,$B232,'Renew &amp; Vac '!$O$119:$O$133,"&lt;="&amp;G$216,'Renew &amp; Vac '!$P$119:$P$133,"&gt;="&amp;G$216)+SUMIFS('Renew &amp; Vac '!$H$119:$H$133,'Renew &amp; Vac '!$A$119:$A$133,$B232,'Renew &amp; Vac '!$D$119:$D$133,"&lt;="&amp;G$216,'Renew &amp; Vac '!$E$119:$E$133,"&gt;="&amp;G$216)</f>
        <v>0</v>
      </c>
      <c r="H232" s="6">
        <f>SUMIFS('Renew &amp; Vac '!$S$119:$S$133,'Renew &amp; Vac '!$L$119:$L$133,$B232,'Renew &amp; Vac '!$O$119:$O$133,"&lt;="&amp;H$216,'Renew &amp; Vac '!$P$119:$P$133,"&gt;="&amp;H$216)+SUMIFS('Renew &amp; Vac '!$H$119:$H$133,'Renew &amp; Vac '!$A$119:$A$133,$B232,'Renew &amp; Vac '!$D$119:$D$133,"&lt;="&amp;H$216,'Renew &amp; Vac '!$E$119:$E$133,"&gt;="&amp;H$216)</f>
        <v>0</v>
      </c>
      <c r="I232" s="6">
        <f>SUMIFS('Renew &amp; Vac '!$S$119:$S$133,'Renew &amp; Vac '!$L$119:$L$133,$B232,'Renew &amp; Vac '!$O$119:$O$133,"&lt;="&amp;I$216,'Renew &amp; Vac '!$P$119:$P$133,"&gt;="&amp;I$216)+SUMIFS('Renew &amp; Vac '!$H$119:$H$133,'Renew &amp; Vac '!$A$119:$A$133,$B232,'Renew &amp; Vac '!$D$119:$D$133,"&lt;="&amp;I$216,'Renew &amp; Vac '!$E$119:$E$133,"&gt;="&amp;I$216)</f>
        <v>0</v>
      </c>
      <c r="J232" s="6">
        <f>SUMIFS('Renew &amp; Vac '!$S$119:$S$133,'Renew &amp; Vac '!$L$119:$L$133,$B232,'Renew &amp; Vac '!$O$119:$O$133,"&lt;="&amp;J$216,'Renew &amp; Vac '!$P$119:$P$133,"&gt;="&amp;J$216)+SUMIFS('Renew &amp; Vac '!$H$119:$H$133,'Renew &amp; Vac '!$A$119:$A$133,$B232,'Renew &amp; Vac '!$D$119:$D$133,"&lt;="&amp;J$216,'Renew &amp; Vac '!$E$119:$E$133,"&gt;="&amp;J$216)</f>
        <v>0</v>
      </c>
      <c r="K232" s="6">
        <f>SUMIFS('Renew &amp; Vac '!$S$119:$S$133,'Renew &amp; Vac '!$L$119:$L$133,$B232,'Renew &amp; Vac '!$O$119:$O$133,"&lt;="&amp;K$216,'Renew &amp; Vac '!$P$119:$P$133,"&gt;="&amp;K$216)+SUMIFS('Renew &amp; Vac '!$H$119:$H$133,'Renew &amp; Vac '!$A$119:$A$133,$B232,'Renew &amp; Vac '!$D$119:$D$133,"&lt;="&amp;K$216,'Renew &amp; Vac '!$E$119:$E$133,"&gt;="&amp;K$216)</f>
        <v>0</v>
      </c>
      <c r="L232" s="6">
        <f>SUMIFS('Renew &amp; Vac '!$S$119:$S$133,'Renew &amp; Vac '!$L$119:$L$133,$B232,'Renew &amp; Vac '!$O$119:$O$133,"&lt;="&amp;L$216,'Renew &amp; Vac '!$P$119:$P$133,"&gt;="&amp;L$216)+SUMIFS('Renew &amp; Vac '!$H$119:$H$133,'Renew &amp; Vac '!$A$119:$A$133,$B232,'Renew &amp; Vac '!$D$119:$D$133,"&lt;="&amp;L$216,'Renew &amp; Vac '!$E$119:$E$133,"&gt;="&amp;L$216)</f>
        <v>0</v>
      </c>
      <c r="M232" s="6">
        <f>SUMIFS('Renew &amp; Vac '!$S$119:$S$133,'Renew &amp; Vac '!$L$119:$L$133,$B232,'Renew &amp; Vac '!$O$119:$O$133,"&lt;="&amp;M$216,'Renew &amp; Vac '!$P$119:$P$133,"&gt;="&amp;M$216)+SUMIFS('Renew &amp; Vac '!$H$119:$H$133,'Renew &amp; Vac '!$A$119:$A$133,$B232,'Renew &amp; Vac '!$D$119:$D$133,"&lt;="&amp;M$216,'Renew &amp; Vac '!$E$119:$E$133,"&gt;="&amp;M$216)</f>
        <v>0</v>
      </c>
      <c r="N232" s="6">
        <f>SUMIFS('Renew &amp; Vac '!$S$119:$S$133,'Renew &amp; Vac '!$L$119:$L$133,$B232,'Renew &amp; Vac '!$O$119:$O$133,"&lt;="&amp;N$216,'Renew &amp; Vac '!$P$119:$P$133,"&gt;="&amp;N$216)+SUMIFS('Renew &amp; Vac '!$H$119:$H$133,'Renew &amp; Vac '!$A$119:$A$133,$B232,'Renew &amp; Vac '!$D$119:$D$133,"&lt;="&amp;N$216,'Renew &amp; Vac '!$E$119:$E$133,"&gt;="&amp;N$216)</f>
        <v>0</v>
      </c>
      <c r="O232" s="6">
        <f>SUMIFS('Renew &amp; Vac '!$S$119:$S$133,'Renew &amp; Vac '!$L$119:$L$133,$B232,'Renew &amp; Vac '!$O$119:$O$133,"&lt;="&amp;O$216,'Renew &amp; Vac '!$P$119:$P$133,"&gt;="&amp;O$216)+SUMIFS('Renew &amp; Vac '!$H$119:$H$133,'Renew &amp; Vac '!$A$119:$A$133,$B232,'Renew &amp; Vac '!$D$119:$D$133,"&lt;="&amp;O$216,'Renew &amp; Vac '!$E$119:$E$133,"&gt;="&amp;O$216)</f>
        <v>0</v>
      </c>
      <c r="P232" s="6">
        <f>SUMIFS('Renew &amp; Vac '!$S$119:$S$133,'Renew &amp; Vac '!$L$119:$L$133,$B232,'Renew &amp; Vac '!$O$119:$O$133,"&lt;="&amp;P$216,'Renew &amp; Vac '!$P$119:$P$133,"&gt;="&amp;P$216)+SUMIFS('Renew &amp; Vac '!$H$119:$H$133,'Renew &amp; Vac '!$A$119:$A$133,$B232,'Renew &amp; Vac '!$D$119:$D$133,"&lt;="&amp;P$216,'Renew &amp; Vac '!$E$119:$E$133,"&gt;="&amp;P$216)</f>
        <v>0</v>
      </c>
      <c r="Q232" s="8">
        <f t="shared" si="67"/>
        <v>0</v>
      </c>
    </row>
    <row r="233" spans="2:17" hidden="1" outlineLevel="1" x14ac:dyDescent="0.35">
      <c r="B233" s="339" t="str">
        <f t="shared" si="66"/>
        <v>7010-12331</v>
      </c>
      <c r="C233" s="341"/>
      <c r="D233" s="79" t="str">
        <f>IFERROR(VLOOKUP(B233,'Renew &amp; Vac '!$L$119:$M$133,2,FALSE),IFERROR(VLOOKUP(B233,'Renew &amp; Vac '!$A$119:$B$133,2,FALSE),VLOOKUP(B233,$B$181:$D$211,3,FALSE)))</f>
        <v>Petroski Physiotherapy</v>
      </c>
      <c r="E233" s="6">
        <f>SUMIFS('Renew &amp; Vac '!$S$119:$S$133,'Renew &amp; Vac '!$L$119:$L$133,$B233,'Renew &amp; Vac '!$O$119:$O$133,"&lt;="&amp;E$216,'Renew &amp; Vac '!$P$119:$P$133,"&gt;="&amp;E$216)+SUMIFS('Renew &amp; Vac '!$H$119:$H$133,'Renew &amp; Vac '!$A$119:$A$133,$B233,'Renew &amp; Vac '!$D$119:$D$133,"&lt;="&amp;E$216,'Renew &amp; Vac '!$E$119:$E$133,"&gt;="&amp;E$216)</f>
        <v>3200</v>
      </c>
      <c r="F233" s="6">
        <f>SUMIFS('Renew &amp; Vac '!$S$119:$S$133,'Renew &amp; Vac '!$L$119:$L$133,$B233,'Renew &amp; Vac '!$O$119:$O$133,"&lt;="&amp;F$216,'Renew &amp; Vac '!$P$119:$P$133,"&gt;="&amp;F$216)+SUMIFS('Renew &amp; Vac '!$H$119:$H$133,'Renew &amp; Vac '!$A$119:$A$133,$B233,'Renew &amp; Vac '!$D$119:$D$133,"&lt;="&amp;F$216,'Renew &amp; Vac '!$E$119:$E$133,"&gt;="&amp;F$216)</f>
        <v>3200</v>
      </c>
      <c r="G233" s="6">
        <f>SUMIFS('Renew &amp; Vac '!$S$119:$S$133,'Renew &amp; Vac '!$L$119:$L$133,$B233,'Renew &amp; Vac '!$O$119:$O$133,"&lt;="&amp;G$216,'Renew &amp; Vac '!$P$119:$P$133,"&gt;="&amp;G$216)+SUMIFS('Renew &amp; Vac '!$H$119:$H$133,'Renew &amp; Vac '!$A$119:$A$133,$B233,'Renew &amp; Vac '!$D$119:$D$133,"&lt;="&amp;G$216,'Renew &amp; Vac '!$E$119:$E$133,"&gt;="&amp;G$216)</f>
        <v>3200</v>
      </c>
      <c r="H233" s="6">
        <f>SUMIFS('Renew &amp; Vac '!$S$119:$S$133,'Renew &amp; Vac '!$L$119:$L$133,$B233,'Renew &amp; Vac '!$O$119:$O$133,"&lt;="&amp;H$216,'Renew &amp; Vac '!$P$119:$P$133,"&gt;="&amp;H$216)+SUMIFS('Renew &amp; Vac '!$H$119:$H$133,'Renew &amp; Vac '!$A$119:$A$133,$B233,'Renew &amp; Vac '!$D$119:$D$133,"&lt;="&amp;H$216,'Renew &amp; Vac '!$E$119:$E$133,"&gt;="&amp;H$216)</f>
        <v>3200</v>
      </c>
      <c r="I233" s="6">
        <f>SUMIFS('Renew &amp; Vac '!$S$119:$S$133,'Renew &amp; Vac '!$L$119:$L$133,$B233,'Renew &amp; Vac '!$O$119:$O$133,"&lt;="&amp;I$216,'Renew &amp; Vac '!$P$119:$P$133,"&gt;="&amp;I$216)+SUMIFS('Renew &amp; Vac '!$H$119:$H$133,'Renew &amp; Vac '!$A$119:$A$133,$B233,'Renew &amp; Vac '!$D$119:$D$133,"&lt;="&amp;I$216,'Renew &amp; Vac '!$E$119:$E$133,"&gt;="&amp;I$216)</f>
        <v>3200</v>
      </c>
      <c r="J233" s="6">
        <f>SUMIFS('Renew &amp; Vac '!$S$119:$S$133,'Renew &amp; Vac '!$L$119:$L$133,$B233,'Renew &amp; Vac '!$O$119:$O$133,"&lt;="&amp;J$216,'Renew &amp; Vac '!$P$119:$P$133,"&gt;="&amp;J$216)+SUMIFS('Renew &amp; Vac '!$H$119:$H$133,'Renew &amp; Vac '!$A$119:$A$133,$B233,'Renew &amp; Vac '!$D$119:$D$133,"&lt;="&amp;J$216,'Renew &amp; Vac '!$E$119:$E$133,"&gt;="&amp;J$216)</f>
        <v>3200</v>
      </c>
      <c r="K233" s="6">
        <f>SUMIFS('Renew &amp; Vac '!$S$119:$S$133,'Renew &amp; Vac '!$L$119:$L$133,$B233,'Renew &amp; Vac '!$O$119:$O$133,"&lt;="&amp;K$216,'Renew &amp; Vac '!$P$119:$P$133,"&gt;="&amp;K$216)+SUMIFS('Renew &amp; Vac '!$H$119:$H$133,'Renew &amp; Vac '!$A$119:$A$133,$B233,'Renew &amp; Vac '!$D$119:$D$133,"&lt;="&amp;K$216,'Renew &amp; Vac '!$E$119:$E$133,"&gt;="&amp;K$216)</f>
        <v>3200</v>
      </c>
      <c r="L233" s="6">
        <f>SUMIFS('Renew &amp; Vac '!$S$119:$S$133,'Renew &amp; Vac '!$L$119:$L$133,$B233,'Renew &amp; Vac '!$O$119:$O$133,"&lt;="&amp;L$216,'Renew &amp; Vac '!$P$119:$P$133,"&gt;="&amp;L$216)+SUMIFS('Renew &amp; Vac '!$H$119:$H$133,'Renew &amp; Vac '!$A$119:$A$133,$B233,'Renew &amp; Vac '!$D$119:$D$133,"&lt;="&amp;L$216,'Renew &amp; Vac '!$E$119:$E$133,"&gt;="&amp;L$216)</f>
        <v>3200</v>
      </c>
      <c r="M233" s="6">
        <f>SUMIFS('Renew &amp; Vac '!$S$119:$S$133,'Renew &amp; Vac '!$L$119:$L$133,$B233,'Renew &amp; Vac '!$O$119:$O$133,"&lt;="&amp;M$216,'Renew &amp; Vac '!$P$119:$P$133,"&gt;="&amp;M$216)+SUMIFS('Renew &amp; Vac '!$H$119:$H$133,'Renew &amp; Vac '!$A$119:$A$133,$B233,'Renew &amp; Vac '!$D$119:$D$133,"&lt;="&amp;M$216,'Renew &amp; Vac '!$E$119:$E$133,"&gt;="&amp;M$216)</f>
        <v>3200</v>
      </c>
      <c r="N233" s="6">
        <f>SUMIFS('Renew &amp; Vac '!$S$119:$S$133,'Renew &amp; Vac '!$L$119:$L$133,$B233,'Renew &amp; Vac '!$O$119:$O$133,"&lt;="&amp;N$216,'Renew &amp; Vac '!$P$119:$P$133,"&gt;="&amp;N$216)+SUMIFS('Renew &amp; Vac '!$H$119:$H$133,'Renew &amp; Vac '!$A$119:$A$133,$B233,'Renew &amp; Vac '!$D$119:$D$133,"&lt;="&amp;N$216,'Renew &amp; Vac '!$E$119:$E$133,"&gt;="&amp;N$216)</f>
        <v>3200</v>
      </c>
      <c r="O233" s="6">
        <f>SUMIFS('Renew &amp; Vac '!$S$119:$S$133,'Renew &amp; Vac '!$L$119:$L$133,$B233,'Renew &amp; Vac '!$O$119:$O$133,"&lt;="&amp;O$216,'Renew &amp; Vac '!$P$119:$P$133,"&gt;="&amp;O$216)+SUMIFS('Renew &amp; Vac '!$H$119:$H$133,'Renew &amp; Vac '!$A$119:$A$133,$B233,'Renew &amp; Vac '!$D$119:$D$133,"&lt;="&amp;O$216,'Renew &amp; Vac '!$E$119:$E$133,"&gt;="&amp;O$216)</f>
        <v>3200</v>
      </c>
      <c r="P233" s="6">
        <f>SUMIFS('Renew &amp; Vac '!$S$119:$S$133,'Renew &amp; Vac '!$L$119:$L$133,$B233,'Renew &amp; Vac '!$O$119:$O$133,"&lt;="&amp;P$216,'Renew &amp; Vac '!$P$119:$P$133,"&gt;="&amp;P$216)+SUMIFS('Renew &amp; Vac '!$H$119:$H$133,'Renew &amp; Vac '!$A$119:$A$133,$B233,'Renew &amp; Vac '!$D$119:$D$133,"&lt;="&amp;P$216,'Renew &amp; Vac '!$E$119:$E$133,"&gt;="&amp;P$216)</f>
        <v>3200</v>
      </c>
      <c r="Q233" s="8">
        <f t="shared" si="67"/>
        <v>38400</v>
      </c>
    </row>
    <row r="234" spans="2:17" hidden="1" outlineLevel="1" x14ac:dyDescent="0.35">
      <c r="B234" s="339" t="str">
        <f t="shared" si="66"/>
        <v>7010-12333</v>
      </c>
      <c r="C234" s="341"/>
      <c r="D234" s="79" t="str">
        <f>IFERROR(VLOOKUP(B234,'Renew &amp; Vac '!$L$119:$M$133,2,FALSE),IFERROR(VLOOKUP(B234,'Renew &amp; Vac '!$A$119:$B$133,2,FALSE),VLOOKUP(B234,$B$181:$D$211,3,FALSE)))</f>
        <v>Hong Kong Chinese Rest</v>
      </c>
      <c r="E234" s="6">
        <f>SUMIFS('Renew &amp; Vac '!$S$119:$S$133,'Renew &amp; Vac '!$L$119:$L$133,$B234,'Renew &amp; Vac '!$O$119:$O$133,"&lt;="&amp;E$216,'Renew &amp; Vac '!$P$119:$P$133,"&gt;="&amp;E$216)+SUMIFS('Renew &amp; Vac '!$H$119:$H$133,'Renew &amp; Vac '!$A$119:$A$133,$B234,'Renew &amp; Vac '!$D$119:$D$133,"&lt;="&amp;E$216,'Renew &amp; Vac '!$E$119:$E$133,"&gt;="&amp;E$216)</f>
        <v>0</v>
      </c>
      <c r="F234" s="6">
        <f>SUMIFS('Renew &amp; Vac '!$S$119:$S$133,'Renew &amp; Vac '!$L$119:$L$133,$B234,'Renew &amp; Vac '!$O$119:$O$133,"&lt;="&amp;F$216,'Renew &amp; Vac '!$P$119:$P$133,"&gt;="&amp;F$216)+SUMIFS('Renew &amp; Vac '!$H$119:$H$133,'Renew &amp; Vac '!$A$119:$A$133,$B234,'Renew &amp; Vac '!$D$119:$D$133,"&lt;="&amp;F$216,'Renew &amp; Vac '!$E$119:$E$133,"&gt;="&amp;F$216)</f>
        <v>0</v>
      </c>
      <c r="G234" s="6">
        <f>SUMIFS('Renew &amp; Vac '!$S$119:$S$133,'Renew &amp; Vac '!$L$119:$L$133,$B234,'Renew &amp; Vac '!$O$119:$O$133,"&lt;="&amp;G$216,'Renew &amp; Vac '!$P$119:$P$133,"&gt;="&amp;G$216)+SUMIFS('Renew &amp; Vac '!$H$119:$H$133,'Renew &amp; Vac '!$A$119:$A$133,$B234,'Renew &amp; Vac '!$D$119:$D$133,"&lt;="&amp;G$216,'Renew &amp; Vac '!$E$119:$E$133,"&gt;="&amp;G$216)</f>
        <v>0</v>
      </c>
      <c r="H234" s="6">
        <f>SUMIFS('Renew &amp; Vac '!$S$119:$S$133,'Renew &amp; Vac '!$L$119:$L$133,$B234,'Renew &amp; Vac '!$O$119:$O$133,"&lt;="&amp;H$216,'Renew &amp; Vac '!$P$119:$P$133,"&gt;="&amp;H$216)+SUMIFS('Renew &amp; Vac '!$H$119:$H$133,'Renew &amp; Vac '!$A$119:$A$133,$B234,'Renew &amp; Vac '!$D$119:$D$133,"&lt;="&amp;H$216,'Renew &amp; Vac '!$E$119:$E$133,"&gt;="&amp;H$216)</f>
        <v>0</v>
      </c>
      <c r="I234" s="6">
        <f>SUMIFS('Renew &amp; Vac '!$S$119:$S$133,'Renew &amp; Vac '!$L$119:$L$133,$B234,'Renew &amp; Vac '!$O$119:$O$133,"&lt;="&amp;I$216,'Renew &amp; Vac '!$P$119:$P$133,"&gt;="&amp;I$216)+SUMIFS('Renew &amp; Vac '!$H$119:$H$133,'Renew &amp; Vac '!$A$119:$A$133,$B234,'Renew &amp; Vac '!$D$119:$D$133,"&lt;="&amp;I$216,'Renew &amp; Vac '!$E$119:$E$133,"&gt;="&amp;I$216)</f>
        <v>0</v>
      </c>
      <c r="J234" s="6">
        <f>SUMIFS('Renew &amp; Vac '!$S$119:$S$133,'Renew &amp; Vac '!$L$119:$L$133,$B234,'Renew &amp; Vac '!$O$119:$O$133,"&lt;="&amp;J$216,'Renew &amp; Vac '!$P$119:$P$133,"&gt;="&amp;J$216)+SUMIFS('Renew &amp; Vac '!$H$119:$H$133,'Renew &amp; Vac '!$A$119:$A$133,$B234,'Renew &amp; Vac '!$D$119:$D$133,"&lt;="&amp;J$216,'Renew &amp; Vac '!$E$119:$E$133,"&gt;="&amp;J$216)</f>
        <v>0</v>
      </c>
      <c r="K234" s="6">
        <f>SUMIFS('Renew &amp; Vac '!$S$119:$S$133,'Renew &amp; Vac '!$L$119:$L$133,$B234,'Renew &amp; Vac '!$O$119:$O$133,"&lt;="&amp;K$216,'Renew &amp; Vac '!$P$119:$P$133,"&gt;="&amp;K$216)+SUMIFS('Renew &amp; Vac '!$H$119:$H$133,'Renew &amp; Vac '!$A$119:$A$133,$B234,'Renew &amp; Vac '!$D$119:$D$133,"&lt;="&amp;K$216,'Renew &amp; Vac '!$E$119:$E$133,"&gt;="&amp;K$216)</f>
        <v>0</v>
      </c>
      <c r="L234" s="6">
        <f>SUMIFS('Renew &amp; Vac '!$S$119:$S$133,'Renew &amp; Vac '!$L$119:$L$133,$B234,'Renew &amp; Vac '!$O$119:$O$133,"&lt;="&amp;L$216,'Renew &amp; Vac '!$P$119:$P$133,"&gt;="&amp;L$216)+SUMIFS('Renew &amp; Vac '!$H$119:$H$133,'Renew &amp; Vac '!$A$119:$A$133,$B234,'Renew &amp; Vac '!$D$119:$D$133,"&lt;="&amp;L$216,'Renew &amp; Vac '!$E$119:$E$133,"&gt;="&amp;L$216)</f>
        <v>0</v>
      </c>
      <c r="M234" s="6">
        <f>SUMIFS('Renew &amp; Vac '!$S$119:$S$133,'Renew &amp; Vac '!$L$119:$L$133,$B234,'Renew &amp; Vac '!$O$119:$O$133,"&lt;="&amp;M$216,'Renew &amp; Vac '!$P$119:$P$133,"&gt;="&amp;M$216)+SUMIFS('Renew &amp; Vac '!$H$119:$H$133,'Renew &amp; Vac '!$A$119:$A$133,$B234,'Renew &amp; Vac '!$D$119:$D$133,"&lt;="&amp;M$216,'Renew &amp; Vac '!$E$119:$E$133,"&gt;="&amp;M$216)</f>
        <v>0</v>
      </c>
      <c r="N234" s="6">
        <f>SUMIFS('Renew &amp; Vac '!$S$119:$S$133,'Renew &amp; Vac '!$L$119:$L$133,$B234,'Renew &amp; Vac '!$O$119:$O$133,"&lt;="&amp;N$216,'Renew &amp; Vac '!$P$119:$P$133,"&gt;="&amp;N$216)+SUMIFS('Renew &amp; Vac '!$H$119:$H$133,'Renew &amp; Vac '!$A$119:$A$133,$B234,'Renew &amp; Vac '!$D$119:$D$133,"&lt;="&amp;N$216,'Renew &amp; Vac '!$E$119:$E$133,"&gt;="&amp;N$216)</f>
        <v>0</v>
      </c>
      <c r="O234" s="6">
        <f>SUMIFS('Renew &amp; Vac '!$S$119:$S$133,'Renew &amp; Vac '!$L$119:$L$133,$B234,'Renew &amp; Vac '!$O$119:$O$133,"&lt;="&amp;O$216,'Renew &amp; Vac '!$P$119:$P$133,"&gt;="&amp;O$216)+SUMIFS('Renew &amp; Vac '!$H$119:$H$133,'Renew &amp; Vac '!$A$119:$A$133,$B234,'Renew &amp; Vac '!$D$119:$D$133,"&lt;="&amp;O$216,'Renew &amp; Vac '!$E$119:$E$133,"&gt;="&amp;O$216)</f>
        <v>0</v>
      </c>
      <c r="P234" s="6">
        <f>SUMIFS('Renew &amp; Vac '!$S$119:$S$133,'Renew &amp; Vac '!$L$119:$L$133,$B234,'Renew &amp; Vac '!$O$119:$O$133,"&lt;="&amp;P$216,'Renew &amp; Vac '!$P$119:$P$133,"&gt;="&amp;P$216)+SUMIFS('Renew &amp; Vac '!$H$119:$H$133,'Renew &amp; Vac '!$A$119:$A$133,$B234,'Renew &amp; Vac '!$D$119:$D$133,"&lt;="&amp;P$216,'Renew &amp; Vac '!$E$119:$E$133,"&gt;="&amp;P$216)</f>
        <v>0</v>
      </c>
      <c r="Q234" s="8">
        <f t="shared" si="67"/>
        <v>0</v>
      </c>
    </row>
    <row r="235" spans="2:17" hidden="1" outlineLevel="1" x14ac:dyDescent="0.35">
      <c r="B235" s="339" t="str">
        <f t="shared" si="66"/>
        <v>7010-12337</v>
      </c>
      <c r="C235" s="341"/>
      <c r="D235" s="79" t="str">
        <f>IFERROR(VLOOKUP(B235,'Renew &amp; Vac '!$L$119:$M$133,2,FALSE),IFERROR(VLOOKUP(B235,'Renew &amp; Vac '!$A$119:$B$133,2,FALSE),VLOOKUP(B235,$B$181:$D$211,3,FALSE)))</f>
        <v>Parkwood Hairstylist</v>
      </c>
      <c r="E235" s="6">
        <f>SUMIFS('Renew &amp; Vac '!$S$119:$S$133,'Renew &amp; Vac '!$L$119:$L$133,$B235,'Renew &amp; Vac '!$O$119:$O$133,"&lt;="&amp;E$216,'Renew &amp; Vac '!$P$119:$P$133,"&gt;="&amp;E$216)+SUMIFS('Renew &amp; Vac '!$H$119:$H$133,'Renew &amp; Vac '!$A$119:$A$133,$B235,'Renew &amp; Vac '!$D$119:$D$133,"&lt;="&amp;E$216,'Renew &amp; Vac '!$E$119:$E$133,"&gt;="&amp;E$216)</f>
        <v>0</v>
      </c>
      <c r="F235" s="6">
        <f>SUMIFS('Renew &amp; Vac '!$S$119:$S$133,'Renew &amp; Vac '!$L$119:$L$133,$B235,'Renew &amp; Vac '!$O$119:$O$133,"&lt;="&amp;F$216,'Renew &amp; Vac '!$P$119:$P$133,"&gt;="&amp;F$216)+SUMIFS('Renew &amp; Vac '!$H$119:$H$133,'Renew &amp; Vac '!$A$119:$A$133,$B235,'Renew &amp; Vac '!$D$119:$D$133,"&lt;="&amp;F$216,'Renew &amp; Vac '!$E$119:$E$133,"&gt;="&amp;F$216)</f>
        <v>0</v>
      </c>
      <c r="G235" s="6">
        <f>SUMIFS('Renew &amp; Vac '!$S$119:$S$133,'Renew &amp; Vac '!$L$119:$L$133,$B235,'Renew &amp; Vac '!$O$119:$O$133,"&lt;="&amp;G$216,'Renew &amp; Vac '!$P$119:$P$133,"&gt;="&amp;G$216)+SUMIFS('Renew &amp; Vac '!$H$119:$H$133,'Renew &amp; Vac '!$A$119:$A$133,$B235,'Renew &amp; Vac '!$D$119:$D$133,"&lt;="&amp;G$216,'Renew &amp; Vac '!$E$119:$E$133,"&gt;="&amp;G$216)</f>
        <v>0</v>
      </c>
      <c r="H235" s="6">
        <f>SUMIFS('Renew &amp; Vac '!$S$119:$S$133,'Renew &amp; Vac '!$L$119:$L$133,$B235,'Renew &amp; Vac '!$O$119:$O$133,"&lt;="&amp;H$216,'Renew &amp; Vac '!$P$119:$P$133,"&gt;="&amp;H$216)+SUMIFS('Renew &amp; Vac '!$H$119:$H$133,'Renew &amp; Vac '!$A$119:$A$133,$B235,'Renew &amp; Vac '!$D$119:$D$133,"&lt;="&amp;H$216,'Renew &amp; Vac '!$E$119:$E$133,"&gt;="&amp;H$216)</f>
        <v>0</v>
      </c>
      <c r="I235" s="6">
        <f>SUMIFS('Renew &amp; Vac '!$S$119:$S$133,'Renew &amp; Vac '!$L$119:$L$133,$B235,'Renew &amp; Vac '!$O$119:$O$133,"&lt;="&amp;I$216,'Renew &amp; Vac '!$P$119:$P$133,"&gt;="&amp;I$216)+SUMIFS('Renew &amp; Vac '!$H$119:$H$133,'Renew &amp; Vac '!$A$119:$A$133,$B235,'Renew &amp; Vac '!$D$119:$D$133,"&lt;="&amp;I$216,'Renew &amp; Vac '!$E$119:$E$133,"&gt;="&amp;I$216)</f>
        <v>0</v>
      </c>
      <c r="J235" s="6">
        <f>SUMIFS('Renew &amp; Vac '!$S$119:$S$133,'Renew &amp; Vac '!$L$119:$L$133,$B235,'Renew &amp; Vac '!$O$119:$O$133,"&lt;="&amp;J$216,'Renew &amp; Vac '!$P$119:$P$133,"&gt;="&amp;J$216)+SUMIFS('Renew &amp; Vac '!$H$119:$H$133,'Renew &amp; Vac '!$A$119:$A$133,$B235,'Renew &amp; Vac '!$D$119:$D$133,"&lt;="&amp;J$216,'Renew &amp; Vac '!$E$119:$E$133,"&gt;="&amp;J$216)</f>
        <v>0</v>
      </c>
      <c r="K235" s="6">
        <f>SUMIFS('Renew &amp; Vac '!$S$119:$S$133,'Renew &amp; Vac '!$L$119:$L$133,$B235,'Renew &amp; Vac '!$O$119:$O$133,"&lt;="&amp;K$216,'Renew &amp; Vac '!$P$119:$P$133,"&gt;="&amp;K$216)+SUMIFS('Renew &amp; Vac '!$H$119:$H$133,'Renew &amp; Vac '!$A$119:$A$133,$B235,'Renew &amp; Vac '!$D$119:$D$133,"&lt;="&amp;K$216,'Renew &amp; Vac '!$E$119:$E$133,"&gt;="&amp;K$216)</f>
        <v>0</v>
      </c>
      <c r="L235" s="6">
        <f>SUMIFS('Renew &amp; Vac '!$S$119:$S$133,'Renew &amp; Vac '!$L$119:$L$133,$B235,'Renew &amp; Vac '!$O$119:$O$133,"&lt;="&amp;L$216,'Renew &amp; Vac '!$P$119:$P$133,"&gt;="&amp;L$216)+SUMIFS('Renew &amp; Vac '!$H$119:$H$133,'Renew &amp; Vac '!$A$119:$A$133,$B235,'Renew &amp; Vac '!$D$119:$D$133,"&lt;="&amp;L$216,'Renew &amp; Vac '!$E$119:$E$133,"&gt;="&amp;L$216)</f>
        <v>0</v>
      </c>
      <c r="M235" s="6">
        <f>SUMIFS('Renew &amp; Vac '!$S$119:$S$133,'Renew &amp; Vac '!$L$119:$L$133,$B235,'Renew &amp; Vac '!$O$119:$O$133,"&lt;="&amp;M$216,'Renew &amp; Vac '!$P$119:$P$133,"&gt;="&amp;M$216)+SUMIFS('Renew &amp; Vac '!$H$119:$H$133,'Renew &amp; Vac '!$A$119:$A$133,$B235,'Renew &amp; Vac '!$D$119:$D$133,"&lt;="&amp;M$216,'Renew &amp; Vac '!$E$119:$E$133,"&gt;="&amp;M$216)</f>
        <v>0</v>
      </c>
      <c r="N235" s="6">
        <f>SUMIFS('Renew &amp; Vac '!$S$119:$S$133,'Renew &amp; Vac '!$L$119:$L$133,$B235,'Renew &amp; Vac '!$O$119:$O$133,"&lt;="&amp;N$216,'Renew &amp; Vac '!$P$119:$P$133,"&gt;="&amp;N$216)+SUMIFS('Renew &amp; Vac '!$H$119:$H$133,'Renew &amp; Vac '!$A$119:$A$133,$B235,'Renew &amp; Vac '!$D$119:$D$133,"&lt;="&amp;N$216,'Renew &amp; Vac '!$E$119:$E$133,"&gt;="&amp;N$216)</f>
        <v>0</v>
      </c>
      <c r="O235" s="6">
        <f>SUMIFS('Renew &amp; Vac '!$S$119:$S$133,'Renew &amp; Vac '!$L$119:$L$133,$B235,'Renew &amp; Vac '!$O$119:$O$133,"&lt;="&amp;O$216,'Renew &amp; Vac '!$P$119:$P$133,"&gt;="&amp;O$216)+SUMIFS('Renew &amp; Vac '!$H$119:$H$133,'Renew &amp; Vac '!$A$119:$A$133,$B235,'Renew &amp; Vac '!$D$119:$D$133,"&lt;="&amp;O$216,'Renew &amp; Vac '!$E$119:$E$133,"&gt;="&amp;O$216)</f>
        <v>0</v>
      </c>
      <c r="P235" s="6">
        <f>SUMIFS('Renew &amp; Vac '!$S$119:$S$133,'Renew &amp; Vac '!$L$119:$L$133,$B235,'Renew &amp; Vac '!$O$119:$O$133,"&lt;="&amp;P$216,'Renew &amp; Vac '!$P$119:$P$133,"&gt;="&amp;P$216)+SUMIFS('Renew &amp; Vac '!$H$119:$H$133,'Renew &amp; Vac '!$A$119:$A$133,$B235,'Renew &amp; Vac '!$D$119:$D$133,"&lt;="&amp;P$216,'Renew &amp; Vac '!$E$119:$E$133,"&gt;="&amp;P$216)</f>
        <v>0</v>
      </c>
      <c r="Q235" s="8">
        <f t="shared" si="67"/>
        <v>0</v>
      </c>
    </row>
    <row r="236" spans="2:17" hidden="1" outlineLevel="1" x14ac:dyDescent="0.35">
      <c r="B236" s="339" t="str">
        <f t="shared" si="66"/>
        <v>7010-12339</v>
      </c>
      <c r="C236" s="341"/>
      <c r="D236" s="79" t="str">
        <f>IFERROR(VLOOKUP(B236,'Renew &amp; Vac '!$L$119:$M$133,2,FALSE),IFERROR(VLOOKUP(B236,'Renew &amp; Vac '!$A$119:$B$133,2,FALSE),VLOOKUP(B236,$B$181:$D$211,3,FALSE)))</f>
        <v>CBRO, LLC</v>
      </c>
      <c r="E236" s="6">
        <f>SUMIFS('Renew &amp; Vac '!$S$119:$S$133,'Renew &amp; Vac '!$L$119:$L$133,$B236,'Renew &amp; Vac '!$O$119:$O$133,"&lt;="&amp;E$216,'Renew &amp; Vac '!$P$119:$P$133,"&gt;="&amp;E$216)+SUMIFS('Renew &amp; Vac '!$H$119:$H$133,'Renew &amp; Vac '!$A$119:$A$133,$B236,'Renew &amp; Vac '!$D$119:$D$133,"&lt;="&amp;E$216,'Renew &amp; Vac '!$E$119:$E$133,"&gt;="&amp;E$216)</f>
        <v>0</v>
      </c>
      <c r="F236" s="6">
        <f>SUMIFS('Renew &amp; Vac '!$S$119:$S$133,'Renew &amp; Vac '!$L$119:$L$133,$B236,'Renew &amp; Vac '!$O$119:$O$133,"&lt;="&amp;F$216,'Renew &amp; Vac '!$P$119:$P$133,"&gt;="&amp;F$216)+SUMIFS('Renew &amp; Vac '!$H$119:$H$133,'Renew &amp; Vac '!$A$119:$A$133,$B236,'Renew &amp; Vac '!$D$119:$D$133,"&lt;="&amp;F$216,'Renew &amp; Vac '!$E$119:$E$133,"&gt;="&amp;F$216)</f>
        <v>0</v>
      </c>
      <c r="G236" s="6">
        <f>SUMIFS('Renew &amp; Vac '!$S$119:$S$133,'Renew &amp; Vac '!$L$119:$L$133,$B236,'Renew &amp; Vac '!$O$119:$O$133,"&lt;="&amp;G$216,'Renew &amp; Vac '!$P$119:$P$133,"&gt;="&amp;G$216)+SUMIFS('Renew &amp; Vac '!$H$119:$H$133,'Renew &amp; Vac '!$A$119:$A$133,$B236,'Renew &amp; Vac '!$D$119:$D$133,"&lt;="&amp;G$216,'Renew &amp; Vac '!$E$119:$E$133,"&gt;="&amp;G$216)</f>
        <v>0</v>
      </c>
      <c r="H236" s="6">
        <f>SUMIFS('Renew &amp; Vac '!$S$119:$S$133,'Renew &amp; Vac '!$L$119:$L$133,$B236,'Renew &amp; Vac '!$O$119:$O$133,"&lt;="&amp;H$216,'Renew &amp; Vac '!$P$119:$P$133,"&gt;="&amp;H$216)+SUMIFS('Renew &amp; Vac '!$H$119:$H$133,'Renew &amp; Vac '!$A$119:$A$133,$B236,'Renew &amp; Vac '!$D$119:$D$133,"&lt;="&amp;H$216,'Renew &amp; Vac '!$E$119:$E$133,"&gt;="&amp;H$216)</f>
        <v>0</v>
      </c>
      <c r="I236" s="6">
        <f>SUMIFS('Renew &amp; Vac '!$S$119:$S$133,'Renew &amp; Vac '!$L$119:$L$133,$B236,'Renew &amp; Vac '!$O$119:$O$133,"&lt;="&amp;I$216,'Renew &amp; Vac '!$P$119:$P$133,"&gt;="&amp;I$216)+SUMIFS('Renew &amp; Vac '!$H$119:$H$133,'Renew &amp; Vac '!$A$119:$A$133,$B236,'Renew &amp; Vac '!$D$119:$D$133,"&lt;="&amp;I$216,'Renew &amp; Vac '!$E$119:$E$133,"&gt;="&amp;I$216)</f>
        <v>0</v>
      </c>
      <c r="J236" s="6">
        <f>SUMIFS('Renew &amp; Vac '!$S$119:$S$133,'Renew &amp; Vac '!$L$119:$L$133,$B236,'Renew &amp; Vac '!$O$119:$O$133,"&lt;="&amp;J$216,'Renew &amp; Vac '!$P$119:$P$133,"&gt;="&amp;J$216)+SUMIFS('Renew &amp; Vac '!$H$119:$H$133,'Renew &amp; Vac '!$A$119:$A$133,$B236,'Renew &amp; Vac '!$D$119:$D$133,"&lt;="&amp;J$216,'Renew &amp; Vac '!$E$119:$E$133,"&gt;="&amp;J$216)</f>
        <v>0</v>
      </c>
      <c r="K236" s="6">
        <f>SUMIFS('Renew &amp; Vac '!$S$119:$S$133,'Renew &amp; Vac '!$L$119:$L$133,$B236,'Renew &amp; Vac '!$O$119:$O$133,"&lt;="&amp;K$216,'Renew &amp; Vac '!$P$119:$P$133,"&gt;="&amp;K$216)+SUMIFS('Renew &amp; Vac '!$H$119:$H$133,'Renew &amp; Vac '!$A$119:$A$133,$B236,'Renew &amp; Vac '!$D$119:$D$133,"&lt;="&amp;K$216,'Renew &amp; Vac '!$E$119:$E$133,"&gt;="&amp;K$216)</f>
        <v>0</v>
      </c>
      <c r="L236" s="6">
        <f>SUMIFS('Renew &amp; Vac '!$S$119:$S$133,'Renew &amp; Vac '!$L$119:$L$133,$B236,'Renew &amp; Vac '!$O$119:$O$133,"&lt;="&amp;L$216,'Renew &amp; Vac '!$P$119:$P$133,"&gt;="&amp;L$216)+SUMIFS('Renew &amp; Vac '!$H$119:$H$133,'Renew &amp; Vac '!$A$119:$A$133,$B236,'Renew &amp; Vac '!$D$119:$D$133,"&lt;="&amp;L$216,'Renew &amp; Vac '!$E$119:$E$133,"&gt;="&amp;L$216)</f>
        <v>0</v>
      </c>
      <c r="M236" s="6">
        <f>SUMIFS('Renew &amp; Vac '!$S$119:$S$133,'Renew &amp; Vac '!$L$119:$L$133,$B236,'Renew &amp; Vac '!$O$119:$O$133,"&lt;="&amp;M$216,'Renew &amp; Vac '!$P$119:$P$133,"&gt;="&amp;M$216)+SUMIFS('Renew &amp; Vac '!$H$119:$H$133,'Renew &amp; Vac '!$A$119:$A$133,$B236,'Renew &amp; Vac '!$D$119:$D$133,"&lt;="&amp;M$216,'Renew &amp; Vac '!$E$119:$E$133,"&gt;="&amp;M$216)</f>
        <v>0</v>
      </c>
      <c r="N236" s="6">
        <f>SUMIFS('Renew &amp; Vac '!$S$119:$S$133,'Renew &amp; Vac '!$L$119:$L$133,$B236,'Renew &amp; Vac '!$O$119:$O$133,"&lt;="&amp;N$216,'Renew &amp; Vac '!$P$119:$P$133,"&gt;="&amp;N$216)+SUMIFS('Renew &amp; Vac '!$H$119:$H$133,'Renew &amp; Vac '!$A$119:$A$133,$B236,'Renew &amp; Vac '!$D$119:$D$133,"&lt;="&amp;N$216,'Renew &amp; Vac '!$E$119:$E$133,"&gt;="&amp;N$216)</f>
        <v>0</v>
      </c>
      <c r="O236" s="6">
        <f>SUMIFS('Renew &amp; Vac '!$S$119:$S$133,'Renew &amp; Vac '!$L$119:$L$133,$B236,'Renew &amp; Vac '!$O$119:$O$133,"&lt;="&amp;O$216,'Renew &amp; Vac '!$P$119:$P$133,"&gt;="&amp;O$216)+SUMIFS('Renew &amp; Vac '!$H$119:$H$133,'Renew &amp; Vac '!$A$119:$A$133,$B236,'Renew &amp; Vac '!$D$119:$D$133,"&lt;="&amp;O$216,'Renew &amp; Vac '!$E$119:$E$133,"&gt;="&amp;O$216)</f>
        <v>0</v>
      </c>
      <c r="P236" s="6">
        <f>SUMIFS('Renew &amp; Vac '!$S$119:$S$133,'Renew &amp; Vac '!$L$119:$L$133,$B236,'Renew &amp; Vac '!$O$119:$O$133,"&lt;="&amp;P$216,'Renew &amp; Vac '!$P$119:$P$133,"&gt;="&amp;P$216)+SUMIFS('Renew &amp; Vac '!$H$119:$H$133,'Renew &amp; Vac '!$A$119:$A$133,$B236,'Renew &amp; Vac '!$D$119:$D$133,"&lt;="&amp;P$216,'Renew &amp; Vac '!$E$119:$E$133,"&gt;="&amp;P$216)</f>
        <v>0</v>
      </c>
      <c r="Q236" s="8">
        <f t="shared" si="67"/>
        <v>0</v>
      </c>
    </row>
    <row r="237" spans="2:17" hidden="1" outlineLevel="1" x14ac:dyDescent="0.35">
      <c r="B237" s="339" t="str">
        <f t="shared" si="66"/>
        <v>7010-12341</v>
      </c>
      <c r="C237" s="341"/>
      <c r="D237" s="79" t="str">
        <f>IFERROR(VLOOKUP(B237,'Renew &amp; Vac '!$L$119:$M$133,2,FALSE),IFERROR(VLOOKUP(B237,'Renew &amp; Vac '!$A$119:$B$133,2,FALSE),VLOOKUP(B237,$B$181:$D$211,3,FALSE)))</f>
        <v>Hair Wizards</v>
      </c>
      <c r="E237" s="6">
        <f>SUMIFS('Renew &amp; Vac '!$S$119:$S$133,'Renew &amp; Vac '!$L$119:$L$133,$B237,'Renew &amp; Vac '!$O$119:$O$133,"&lt;="&amp;E$216,'Renew &amp; Vac '!$P$119:$P$133,"&gt;="&amp;E$216)+SUMIFS('Renew &amp; Vac '!$H$119:$H$133,'Renew &amp; Vac '!$A$119:$A$133,$B237,'Renew &amp; Vac '!$D$119:$D$133,"&lt;="&amp;E$216,'Renew &amp; Vac '!$E$119:$E$133,"&gt;="&amp;E$216)</f>
        <v>0</v>
      </c>
      <c r="F237" s="6">
        <f>SUMIFS('Renew &amp; Vac '!$S$119:$S$133,'Renew &amp; Vac '!$L$119:$L$133,$B237,'Renew &amp; Vac '!$O$119:$O$133,"&lt;="&amp;F$216,'Renew &amp; Vac '!$P$119:$P$133,"&gt;="&amp;F$216)+SUMIFS('Renew &amp; Vac '!$H$119:$H$133,'Renew &amp; Vac '!$A$119:$A$133,$B237,'Renew &amp; Vac '!$D$119:$D$133,"&lt;="&amp;F$216,'Renew &amp; Vac '!$E$119:$E$133,"&gt;="&amp;F$216)</f>
        <v>0</v>
      </c>
      <c r="G237" s="6">
        <f>SUMIFS('Renew &amp; Vac '!$S$119:$S$133,'Renew &amp; Vac '!$L$119:$L$133,$B237,'Renew &amp; Vac '!$O$119:$O$133,"&lt;="&amp;G$216,'Renew &amp; Vac '!$P$119:$P$133,"&gt;="&amp;G$216)+SUMIFS('Renew &amp; Vac '!$H$119:$H$133,'Renew &amp; Vac '!$A$119:$A$133,$B237,'Renew &amp; Vac '!$D$119:$D$133,"&lt;="&amp;G$216,'Renew &amp; Vac '!$E$119:$E$133,"&gt;="&amp;G$216)</f>
        <v>0</v>
      </c>
      <c r="H237" s="6">
        <f>SUMIFS('Renew &amp; Vac '!$S$119:$S$133,'Renew &amp; Vac '!$L$119:$L$133,$B237,'Renew &amp; Vac '!$O$119:$O$133,"&lt;="&amp;H$216,'Renew &amp; Vac '!$P$119:$P$133,"&gt;="&amp;H$216)+SUMIFS('Renew &amp; Vac '!$H$119:$H$133,'Renew &amp; Vac '!$A$119:$A$133,$B237,'Renew &amp; Vac '!$D$119:$D$133,"&lt;="&amp;H$216,'Renew &amp; Vac '!$E$119:$E$133,"&gt;="&amp;H$216)</f>
        <v>0</v>
      </c>
      <c r="I237" s="6">
        <f>SUMIFS('Renew &amp; Vac '!$S$119:$S$133,'Renew &amp; Vac '!$L$119:$L$133,$B237,'Renew &amp; Vac '!$O$119:$O$133,"&lt;="&amp;I$216,'Renew &amp; Vac '!$P$119:$P$133,"&gt;="&amp;I$216)+SUMIFS('Renew &amp; Vac '!$H$119:$H$133,'Renew &amp; Vac '!$A$119:$A$133,$B237,'Renew &amp; Vac '!$D$119:$D$133,"&lt;="&amp;I$216,'Renew &amp; Vac '!$E$119:$E$133,"&gt;="&amp;I$216)</f>
        <v>0</v>
      </c>
      <c r="J237" s="6">
        <f>SUMIFS('Renew &amp; Vac '!$S$119:$S$133,'Renew &amp; Vac '!$L$119:$L$133,$B237,'Renew &amp; Vac '!$O$119:$O$133,"&lt;="&amp;J$216,'Renew &amp; Vac '!$P$119:$P$133,"&gt;="&amp;J$216)+SUMIFS('Renew &amp; Vac '!$H$119:$H$133,'Renew &amp; Vac '!$A$119:$A$133,$B237,'Renew &amp; Vac '!$D$119:$D$133,"&lt;="&amp;J$216,'Renew &amp; Vac '!$E$119:$E$133,"&gt;="&amp;J$216)</f>
        <v>0</v>
      </c>
      <c r="K237" s="6">
        <f>SUMIFS('Renew &amp; Vac '!$S$119:$S$133,'Renew &amp; Vac '!$L$119:$L$133,$B237,'Renew &amp; Vac '!$O$119:$O$133,"&lt;="&amp;K$216,'Renew &amp; Vac '!$P$119:$P$133,"&gt;="&amp;K$216)+SUMIFS('Renew &amp; Vac '!$H$119:$H$133,'Renew &amp; Vac '!$A$119:$A$133,$B237,'Renew &amp; Vac '!$D$119:$D$133,"&lt;="&amp;K$216,'Renew &amp; Vac '!$E$119:$E$133,"&gt;="&amp;K$216)</f>
        <v>0</v>
      </c>
      <c r="L237" s="6">
        <f>SUMIFS('Renew &amp; Vac '!$S$119:$S$133,'Renew &amp; Vac '!$L$119:$L$133,$B237,'Renew &amp; Vac '!$O$119:$O$133,"&lt;="&amp;L$216,'Renew &amp; Vac '!$P$119:$P$133,"&gt;="&amp;L$216)+SUMIFS('Renew &amp; Vac '!$H$119:$H$133,'Renew &amp; Vac '!$A$119:$A$133,$B237,'Renew &amp; Vac '!$D$119:$D$133,"&lt;="&amp;L$216,'Renew &amp; Vac '!$E$119:$E$133,"&gt;="&amp;L$216)</f>
        <v>0</v>
      </c>
      <c r="M237" s="6">
        <f>SUMIFS('Renew &amp; Vac '!$S$119:$S$133,'Renew &amp; Vac '!$L$119:$L$133,$B237,'Renew &amp; Vac '!$O$119:$O$133,"&lt;="&amp;M$216,'Renew &amp; Vac '!$P$119:$P$133,"&gt;="&amp;M$216)+SUMIFS('Renew &amp; Vac '!$H$119:$H$133,'Renew &amp; Vac '!$A$119:$A$133,$B237,'Renew &amp; Vac '!$D$119:$D$133,"&lt;="&amp;M$216,'Renew &amp; Vac '!$E$119:$E$133,"&gt;="&amp;M$216)</f>
        <v>0</v>
      </c>
      <c r="N237" s="6">
        <f>SUMIFS('Renew &amp; Vac '!$S$119:$S$133,'Renew &amp; Vac '!$L$119:$L$133,$B237,'Renew &amp; Vac '!$O$119:$O$133,"&lt;="&amp;N$216,'Renew &amp; Vac '!$P$119:$P$133,"&gt;="&amp;N$216)+SUMIFS('Renew &amp; Vac '!$H$119:$H$133,'Renew &amp; Vac '!$A$119:$A$133,$B237,'Renew &amp; Vac '!$D$119:$D$133,"&lt;="&amp;N$216,'Renew &amp; Vac '!$E$119:$E$133,"&gt;="&amp;N$216)</f>
        <v>2096.6666666666665</v>
      </c>
      <c r="O237" s="6">
        <f>SUMIFS('Renew &amp; Vac '!$S$119:$S$133,'Renew &amp; Vac '!$L$119:$L$133,$B237,'Renew &amp; Vac '!$O$119:$O$133,"&lt;="&amp;O$216,'Renew &amp; Vac '!$P$119:$P$133,"&gt;="&amp;O$216)+SUMIFS('Renew &amp; Vac '!$H$119:$H$133,'Renew &amp; Vac '!$A$119:$A$133,$B237,'Renew &amp; Vac '!$D$119:$D$133,"&lt;="&amp;O$216,'Renew &amp; Vac '!$E$119:$E$133,"&gt;="&amp;O$216)</f>
        <v>2096.6666666666665</v>
      </c>
      <c r="P237" s="6">
        <f>SUMIFS('Renew &amp; Vac '!$S$119:$S$133,'Renew &amp; Vac '!$L$119:$L$133,$B237,'Renew &amp; Vac '!$O$119:$O$133,"&lt;="&amp;P$216,'Renew &amp; Vac '!$P$119:$P$133,"&gt;="&amp;P$216)+SUMIFS('Renew &amp; Vac '!$H$119:$H$133,'Renew &amp; Vac '!$A$119:$A$133,$B237,'Renew &amp; Vac '!$D$119:$D$133,"&lt;="&amp;P$216,'Renew &amp; Vac '!$E$119:$E$133,"&gt;="&amp;P$216)</f>
        <v>2096.6666666666665</v>
      </c>
      <c r="Q237" s="8">
        <f t="shared" si="67"/>
        <v>6290</v>
      </c>
    </row>
    <row r="238" spans="2:17" hidden="1" outlineLevel="1" x14ac:dyDescent="0.35">
      <c r="B238" s="339" t="str">
        <f t="shared" si="66"/>
        <v>7010-12343</v>
      </c>
      <c r="C238" s="341"/>
      <c r="D238" s="79" t="str">
        <f>IFERROR(VLOOKUP(B238,'Renew &amp; Vac '!$L$119:$M$133,2,FALSE),IFERROR(VLOOKUP(B238,'Renew &amp; Vac '!$A$119:$B$133,2,FALSE),VLOOKUP(B238,$B$181:$D$211,3,FALSE)))</f>
        <v>Philadelphia Flower Co</v>
      </c>
      <c r="E238" s="6">
        <f>SUMIFS('Renew &amp; Vac '!$S$119:$S$133,'Renew &amp; Vac '!$L$119:$L$133,$B238,'Renew &amp; Vac '!$O$119:$O$133,"&lt;="&amp;E$216,'Renew &amp; Vac '!$P$119:$P$133,"&gt;="&amp;E$216)+SUMIFS('Renew &amp; Vac '!$H$119:$H$133,'Renew &amp; Vac '!$A$119:$A$133,$B238,'Renew &amp; Vac '!$D$119:$D$133,"&lt;="&amp;E$216,'Renew &amp; Vac '!$E$119:$E$133,"&gt;="&amp;E$216)</f>
        <v>0</v>
      </c>
      <c r="F238" s="6">
        <f>SUMIFS('Renew &amp; Vac '!$S$119:$S$133,'Renew &amp; Vac '!$L$119:$L$133,$B238,'Renew &amp; Vac '!$O$119:$O$133,"&lt;="&amp;F$216,'Renew &amp; Vac '!$P$119:$P$133,"&gt;="&amp;F$216)+SUMIFS('Renew &amp; Vac '!$H$119:$H$133,'Renew &amp; Vac '!$A$119:$A$133,$B238,'Renew &amp; Vac '!$D$119:$D$133,"&lt;="&amp;F$216,'Renew &amp; Vac '!$E$119:$E$133,"&gt;="&amp;F$216)</f>
        <v>0</v>
      </c>
      <c r="G238" s="6">
        <f>SUMIFS('Renew &amp; Vac '!$S$119:$S$133,'Renew &amp; Vac '!$L$119:$L$133,$B238,'Renew &amp; Vac '!$O$119:$O$133,"&lt;="&amp;G$216,'Renew &amp; Vac '!$P$119:$P$133,"&gt;="&amp;G$216)+SUMIFS('Renew &amp; Vac '!$H$119:$H$133,'Renew &amp; Vac '!$A$119:$A$133,$B238,'Renew &amp; Vac '!$D$119:$D$133,"&lt;="&amp;G$216,'Renew &amp; Vac '!$E$119:$E$133,"&gt;="&amp;G$216)</f>
        <v>0</v>
      </c>
      <c r="H238" s="6">
        <f>SUMIFS('Renew &amp; Vac '!$S$119:$S$133,'Renew &amp; Vac '!$L$119:$L$133,$B238,'Renew &amp; Vac '!$O$119:$O$133,"&lt;="&amp;H$216,'Renew &amp; Vac '!$P$119:$P$133,"&gt;="&amp;H$216)+SUMIFS('Renew &amp; Vac '!$H$119:$H$133,'Renew &amp; Vac '!$A$119:$A$133,$B238,'Renew &amp; Vac '!$D$119:$D$133,"&lt;="&amp;H$216,'Renew &amp; Vac '!$E$119:$E$133,"&gt;="&amp;H$216)</f>
        <v>0</v>
      </c>
      <c r="I238" s="6">
        <f>SUMIFS('Renew &amp; Vac '!$S$119:$S$133,'Renew &amp; Vac '!$L$119:$L$133,$B238,'Renew &amp; Vac '!$O$119:$O$133,"&lt;="&amp;I$216,'Renew &amp; Vac '!$P$119:$P$133,"&gt;="&amp;I$216)+SUMIFS('Renew &amp; Vac '!$H$119:$H$133,'Renew &amp; Vac '!$A$119:$A$133,$B238,'Renew &amp; Vac '!$D$119:$D$133,"&lt;="&amp;I$216,'Renew &amp; Vac '!$E$119:$E$133,"&gt;="&amp;I$216)</f>
        <v>0</v>
      </c>
      <c r="J238" s="6">
        <f>SUMIFS('Renew &amp; Vac '!$S$119:$S$133,'Renew &amp; Vac '!$L$119:$L$133,$B238,'Renew &amp; Vac '!$O$119:$O$133,"&lt;="&amp;J$216,'Renew &amp; Vac '!$P$119:$P$133,"&gt;="&amp;J$216)+SUMIFS('Renew &amp; Vac '!$H$119:$H$133,'Renew &amp; Vac '!$A$119:$A$133,$B238,'Renew &amp; Vac '!$D$119:$D$133,"&lt;="&amp;J$216,'Renew &amp; Vac '!$E$119:$E$133,"&gt;="&amp;J$216)</f>
        <v>0</v>
      </c>
      <c r="K238" s="6">
        <f>SUMIFS('Renew &amp; Vac '!$S$119:$S$133,'Renew &amp; Vac '!$L$119:$L$133,$B238,'Renew &amp; Vac '!$O$119:$O$133,"&lt;="&amp;K$216,'Renew &amp; Vac '!$P$119:$P$133,"&gt;="&amp;K$216)+SUMIFS('Renew &amp; Vac '!$H$119:$H$133,'Renew &amp; Vac '!$A$119:$A$133,$B238,'Renew &amp; Vac '!$D$119:$D$133,"&lt;="&amp;K$216,'Renew &amp; Vac '!$E$119:$E$133,"&gt;="&amp;K$216)</f>
        <v>0</v>
      </c>
      <c r="L238" s="6">
        <f>SUMIFS('Renew &amp; Vac '!$S$119:$S$133,'Renew &amp; Vac '!$L$119:$L$133,$B238,'Renew &amp; Vac '!$O$119:$O$133,"&lt;="&amp;L$216,'Renew &amp; Vac '!$P$119:$P$133,"&gt;="&amp;L$216)+SUMIFS('Renew &amp; Vac '!$H$119:$H$133,'Renew &amp; Vac '!$A$119:$A$133,$B238,'Renew &amp; Vac '!$D$119:$D$133,"&lt;="&amp;L$216,'Renew &amp; Vac '!$E$119:$E$133,"&gt;="&amp;L$216)</f>
        <v>0</v>
      </c>
      <c r="M238" s="6">
        <f>SUMIFS('Renew &amp; Vac '!$S$119:$S$133,'Renew &amp; Vac '!$L$119:$L$133,$B238,'Renew &amp; Vac '!$O$119:$O$133,"&lt;="&amp;M$216,'Renew &amp; Vac '!$P$119:$P$133,"&gt;="&amp;M$216)+SUMIFS('Renew &amp; Vac '!$H$119:$H$133,'Renew &amp; Vac '!$A$119:$A$133,$B238,'Renew &amp; Vac '!$D$119:$D$133,"&lt;="&amp;M$216,'Renew &amp; Vac '!$E$119:$E$133,"&gt;="&amp;M$216)</f>
        <v>2400</v>
      </c>
      <c r="N238" s="6">
        <f>SUMIFS('Renew &amp; Vac '!$S$119:$S$133,'Renew &amp; Vac '!$L$119:$L$133,$B238,'Renew &amp; Vac '!$O$119:$O$133,"&lt;="&amp;N$216,'Renew &amp; Vac '!$P$119:$P$133,"&gt;="&amp;N$216)+SUMIFS('Renew &amp; Vac '!$H$119:$H$133,'Renew &amp; Vac '!$A$119:$A$133,$B238,'Renew &amp; Vac '!$D$119:$D$133,"&lt;="&amp;N$216,'Renew &amp; Vac '!$E$119:$E$133,"&gt;="&amp;N$216)</f>
        <v>2400</v>
      </c>
      <c r="O238" s="6">
        <f>SUMIFS('Renew &amp; Vac '!$S$119:$S$133,'Renew &amp; Vac '!$L$119:$L$133,$B238,'Renew &amp; Vac '!$O$119:$O$133,"&lt;="&amp;O$216,'Renew &amp; Vac '!$P$119:$P$133,"&gt;="&amp;O$216)+SUMIFS('Renew &amp; Vac '!$H$119:$H$133,'Renew &amp; Vac '!$A$119:$A$133,$B238,'Renew &amp; Vac '!$D$119:$D$133,"&lt;="&amp;O$216,'Renew &amp; Vac '!$E$119:$E$133,"&gt;="&amp;O$216)</f>
        <v>2400</v>
      </c>
      <c r="P238" s="6">
        <f>SUMIFS('Renew &amp; Vac '!$S$119:$S$133,'Renew &amp; Vac '!$L$119:$L$133,$B238,'Renew &amp; Vac '!$O$119:$O$133,"&lt;="&amp;P$216,'Renew &amp; Vac '!$P$119:$P$133,"&gt;="&amp;P$216)+SUMIFS('Renew &amp; Vac '!$H$119:$H$133,'Renew &amp; Vac '!$A$119:$A$133,$B238,'Renew &amp; Vac '!$D$119:$D$133,"&lt;="&amp;P$216,'Renew &amp; Vac '!$E$119:$E$133,"&gt;="&amp;P$216)</f>
        <v>2400</v>
      </c>
      <c r="Q238" s="8">
        <f t="shared" si="67"/>
        <v>9600</v>
      </c>
    </row>
    <row r="239" spans="2:17" hidden="1" outlineLevel="1" x14ac:dyDescent="0.35">
      <c r="B239" s="339" t="str">
        <f t="shared" si="66"/>
        <v>7010-12345</v>
      </c>
      <c r="C239" s="341"/>
      <c r="D239" s="79" t="str">
        <f>IFERROR(VLOOKUP(B239,'Renew &amp; Vac '!$L$119:$M$133,2,FALSE),IFERROR(VLOOKUP(B239,'Renew &amp; Vac '!$A$119:$B$133,2,FALSE),VLOOKUP(B239,$B$181:$D$211,3,FALSE)))</f>
        <v>Nail Time</v>
      </c>
      <c r="E239" s="6">
        <f>SUMIFS('Renew &amp; Vac '!$S$119:$S$133,'Renew &amp; Vac '!$L$119:$L$133,$B239,'Renew &amp; Vac '!$O$119:$O$133,"&lt;="&amp;E$216,'Renew &amp; Vac '!$P$119:$P$133,"&gt;="&amp;E$216)+SUMIFS('Renew &amp; Vac '!$H$119:$H$133,'Renew &amp; Vac '!$A$119:$A$133,$B239,'Renew &amp; Vac '!$D$119:$D$133,"&lt;="&amp;E$216,'Renew &amp; Vac '!$E$119:$E$133,"&gt;="&amp;E$216)</f>
        <v>0</v>
      </c>
      <c r="F239" s="6">
        <f>SUMIFS('Renew &amp; Vac '!$S$119:$S$133,'Renew &amp; Vac '!$L$119:$L$133,$B239,'Renew &amp; Vac '!$O$119:$O$133,"&lt;="&amp;F$216,'Renew &amp; Vac '!$P$119:$P$133,"&gt;="&amp;F$216)+SUMIFS('Renew &amp; Vac '!$H$119:$H$133,'Renew &amp; Vac '!$A$119:$A$133,$B239,'Renew &amp; Vac '!$D$119:$D$133,"&lt;="&amp;F$216,'Renew &amp; Vac '!$E$119:$E$133,"&gt;="&amp;F$216)</f>
        <v>0</v>
      </c>
      <c r="G239" s="6">
        <f>SUMIFS('Renew &amp; Vac '!$S$119:$S$133,'Renew &amp; Vac '!$L$119:$L$133,$B239,'Renew &amp; Vac '!$O$119:$O$133,"&lt;="&amp;G$216,'Renew &amp; Vac '!$P$119:$P$133,"&gt;="&amp;G$216)+SUMIFS('Renew &amp; Vac '!$H$119:$H$133,'Renew &amp; Vac '!$A$119:$A$133,$B239,'Renew &amp; Vac '!$D$119:$D$133,"&lt;="&amp;G$216,'Renew &amp; Vac '!$E$119:$E$133,"&gt;="&amp;G$216)</f>
        <v>0</v>
      </c>
      <c r="H239" s="6">
        <f>SUMIFS('Renew &amp; Vac '!$S$119:$S$133,'Renew &amp; Vac '!$L$119:$L$133,$B239,'Renew &amp; Vac '!$O$119:$O$133,"&lt;="&amp;H$216,'Renew &amp; Vac '!$P$119:$P$133,"&gt;="&amp;H$216)+SUMIFS('Renew &amp; Vac '!$H$119:$H$133,'Renew &amp; Vac '!$A$119:$A$133,$B239,'Renew &amp; Vac '!$D$119:$D$133,"&lt;="&amp;H$216,'Renew &amp; Vac '!$E$119:$E$133,"&gt;="&amp;H$216)</f>
        <v>0</v>
      </c>
      <c r="I239" s="6">
        <f>SUMIFS('Renew &amp; Vac '!$S$119:$S$133,'Renew &amp; Vac '!$L$119:$L$133,$B239,'Renew &amp; Vac '!$O$119:$O$133,"&lt;="&amp;I$216,'Renew &amp; Vac '!$P$119:$P$133,"&gt;="&amp;I$216)+SUMIFS('Renew &amp; Vac '!$H$119:$H$133,'Renew &amp; Vac '!$A$119:$A$133,$B239,'Renew &amp; Vac '!$D$119:$D$133,"&lt;="&amp;I$216,'Renew &amp; Vac '!$E$119:$E$133,"&gt;="&amp;I$216)</f>
        <v>0</v>
      </c>
      <c r="J239" s="6">
        <f>SUMIFS('Renew &amp; Vac '!$S$119:$S$133,'Renew &amp; Vac '!$L$119:$L$133,$B239,'Renew &amp; Vac '!$O$119:$O$133,"&lt;="&amp;J$216,'Renew &amp; Vac '!$P$119:$P$133,"&gt;="&amp;J$216)+SUMIFS('Renew &amp; Vac '!$H$119:$H$133,'Renew &amp; Vac '!$A$119:$A$133,$B239,'Renew &amp; Vac '!$D$119:$D$133,"&lt;="&amp;J$216,'Renew &amp; Vac '!$E$119:$E$133,"&gt;="&amp;J$216)</f>
        <v>0</v>
      </c>
      <c r="K239" s="6">
        <f>SUMIFS('Renew &amp; Vac '!$S$119:$S$133,'Renew &amp; Vac '!$L$119:$L$133,$B239,'Renew &amp; Vac '!$O$119:$O$133,"&lt;="&amp;K$216,'Renew &amp; Vac '!$P$119:$P$133,"&gt;="&amp;K$216)+SUMIFS('Renew &amp; Vac '!$H$119:$H$133,'Renew &amp; Vac '!$A$119:$A$133,$B239,'Renew &amp; Vac '!$D$119:$D$133,"&lt;="&amp;K$216,'Renew &amp; Vac '!$E$119:$E$133,"&gt;="&amp;K$216)</f>
        <v>0</v>
      </c>
      <c r="L239" s="6">
        <f>SUMIFS('Renew &amp; Vac '!$S$119:$S$133,'Renew &amp; Vac '!$L$119:$L$133,$B239,'Renew &amp; Vac '!$O$119:$O$133,"&lt;="&amp;L$216,'Renew &amp; Vac '!$P$119:$P$133,"&gt;="&amp;L$216)+SUMIFS('Renew &amp; Vac '!$H$119:$H$133,'Renew &amp; Vac '!$A$119:$A$133,$B239,'Renew &amp; Vac '!$D$119:$D$133,"&lt;="&amp;L$216,'Renew &amp; Vac '!$E$119:$E$133,"&gt;="&amp;L$216)</f>
        <v>0</v>
      </c>
      <c r="M239" s="6">
        <f>SUMIFS('Renew &amp; Vac '!$S$119:$S$133,'Renew &amp; Vac '!$L$119:$L$133,$B239,'Renew &amp; Vac '!$O$119:$O$133,"&lt;="&amp;M$216,'Renew &amp; Vac '!$P$119:$P$133,"&gt;="&amp;M$216)+SUMIFS('Renew &amp; Vac '!$H$119:$H$133,'Renew &amp; Vac '!$A$119:$A$133,$B239,'Renew &amp; Vac '!$D$119:$D$133,"&lt;="&amp;M$216,'Renew &amp; Vac '!$E$119:$E$133,"&gt;="&amp;M$216)</f>
        <v>0</v>
      </c>
      <c r="N239" s="6">
        <f>SUMIFS('Renew &amp; Vac '!$S$119:$S$133,'Renew &amp; Vac '!$L$119:$L$133,$B239,'Renew &amp; Vac '!$O$119:$O$133,"&lt;="&amp;N$216,'Renew &amp; Vac '!$P$119:$P$133,"&gt;="&amp;N$216)+SUMIFS('Renew &amp; Vac '!$H$119:$H$133,'Renew &amp; Vac '!$A$119:$A$133,$B239,'Renew &amp; Vac '!$D$119:$D$133,"&lt;="&amp;N$216,'Renew &amp; Vac '!$E$119:$E$133,"&gt;="&amp;N$216)</f>
        <v>0</v>
      </c>
      <c r="O239" s="6">
        <f>SUMIFS('Renew &amp; Vac '!$S$119:$S$133,'Renew &amp; Vac '!$L$119:$L$133,$B239,'Renew &amp; Vac '!$O$119:$O$133,"&lt;="&amp;O$216,'Renew &amp; Vac '!$P$119:$P$133,"&gt;="&amp;O$216)+SUMIFS('Renew &amp; Vac '!$H$119:$H$133,'Renew &amp; Vac '!$A$119:$A$133,$B239,'Renew &amp; Vac '!$D$119:$D$133,"&lt;="&amp;O$216,'Renew &amp; Vac '!$E$119:$E$133,"&gt;="&amp;O$216)</f>
        <v>0</v>
      </c>
      <c r="P239" s="6">
        <f>SUMIFS('Renew &amp; Vac '!$S$119:$S$133,'Renew &amp; Vac '!$L$119:$L$133,$B239,'Renew &amp; Vac '!$O$119:$O$133,"&lt;="&amp;P$216,'Renew &amp; Vac '!$P$119:$P$133,"&gt;="&amp;P$216)+SUMIFS('Renew &amp; Vac '!$H$119:$H$133,'Renew &amp; Vac '!$A$119:$A$133,$B239,'Renew &amp; Vac '!$D$119:$D$133,"&lt;="&amp;P$216,'Renew &amp; Vac '!$E$119:$E$133,"&gt;="&amp;P$216)</f>
        <v>0</v>
      </c>
      <c r="Q239" s="8">
        <f t="shared" si="67"/>
        <v>0</v>
      </c>
    </row>
    <row r="240" spans="2:17" hidden="1" outlineLevel="1" x14ac:dyDescent="0.35">
      <c r="B240" s="339" t="str">
        <f t="shared" si="66"/>
        <v>7010-12347</v>
      </c>
      <c r="C240" s="341"/>
      <c r="D240" s="79" t="str">
        <f>IFERROR(VLOOKUP(B240,'Renew &amp; Vac '!$L$119:$M$133,2,FALSE),IFERROR(VLOOKUP(B240,'Renew &amp; Vac '!$A$119:$B$133,2,FALSE),VLOOKUP(B240,$B$181:$D$211,3,FALSE)))</f>
        <v>North, Inc.</v>
      </c>
      <c r="E240" s="6">
        <f>SUMIFS('Renew &amp; Vac '!$S$119:$S$133,'Renew &amp; Vac '!$L$119:$L$133,$B240,'Renew &amp; Vac '!$O$119:$O$133,"&lt;="&amp;E$216,'Renew &amp; Vac '!$P$119:$P$133,"&gt;="&amp;E$216)+SUMIFS('Renew &amp; Vac '!$H$119:$H$133,'Renew &amp; Vac '!$A$119:$A$133,$B240,'Renew &amp; Vac '!$D$119:$D$133,"&lt;="&amp;E$216,'Renew &amp; Vac '!$E$119:$E$133,"&gt;="&amp;E$216)</f>
        <v>0</v>
      </c>
      <c r="F240" s="6">
        <f>SUMIFS('Renew &amp; Vac '!$S$119:$S$133,'Renew &amp; Vac '!$L$119:$L$133,$B240,'Renew &amp; Vac '!$O$119:$O$133,"&lt;="&amp;F$216,'Renew &amp; Vac '!$P$119:$P$133,"&gt;="&amp;F$216)+SUMIFS('Renew &amp; Vac '!$H$119:$H$133,'Renew &amp; Vac '!$A$119:$A$133,$B240,'Renew &amp; Vac '!$D$119:$D$133,"&lt;="&amp;F$216,'Renew &amp; Vac '!$E$119:$E$133,"&gt;="&amp;F$216)</f>
        <v>0</v>
      </c>
      <c r="G240" s="6">
        <f>SUMIFS('Renew &amp; Vac '!$S$119:$S$133,'Renew &amp; Vac '!$L$119:$L$133,$B240,'Renew &amp; Vac '!$O$119:$O$133,"&lt;="&amp;G$216,'Renew &amp; Vac '!$P$119:$P$133,"&gt;="&amp;G$216)+SUMIFS('Renew &amp; Vac '!$H$119:$H$133,'Renew &amp; Vac '!$A$119:$A$133,$B240,'Renew &amp; Vac '!$D$119:$D$133,"&lt;="&amp;G$216,'Renew &amp; Vac '!$E$119:$E$133,"&gt;="&amp;G$216)</f>
        <v>0</v>
      </c>
      <c r="H240" s="6">
        <f>SUMIFS('Renew &amp; Vac '!$S$119:$S$133,'Renew &amp; Vac '!$L$119:$L$133,$B240,'Renew &amp; Vac '!$O$119:$O$133,"&lt;="&amp;H$216,'Renew &amp; Vac '!$P$119:$P$133,"&gt;="&amp;H$216)+SUMIFS('Renew &amp; Vac '!$H$119:$H$133,'Renew &amp; Vac '!$A$119:$A$133,$B240,'Renew &amp; Vac '!$D$119:$D$133,"&lt;="&amp;H$216,'Renew &amp; Vac '!$E$119:$E$133,"&gt;="&amp;H$216)</f>
        <v>0</v>
      </c>
      <c r="I240" s="6">
        <f>SUMIFS('Renew &amp; Vac '!$S$119:$S$133,'Renew &amp; Vac '!$L$119:$L$133,$B240,'Renew &amp; Vac '!$O$119:$O$133,"&lt;="&amp;I$216,'Renew &amp; Vac '!$P$119:$P$133,"&gt;="&amp;I$216)+SUMIFS('Renew &amp; Vac '!$H$119:$H$133,'Renew &amp; Vac '!$A$119:$A$133,$B240,'Renew &amp; Vac '!$D$119:$D$133,"&lt;="&amp;I$216,'Renew &amp; Vac '!$E$119:$E$133,"&gt;="&amp;I$216)</f>
        <v>0</v>
      </c>
      <c r="J240" s="6">
        <f>SUMIFS('Renew &amp; Vac '!$S$119:$S$133,'Renew &amp; Vac '!$L$119:$L$133,$B240,'Renew &amp; Vac '!$O$119:$O$133,"&lt;="&amp;J$216,'Renew &amp; Vac '!$P$119:$P$133,"&gt;="&amp;J$216)+SUMIFS('Renew &amp; Vac '!$H$119:$H$133,'Renew &amp; Vac '!$A$119:$A$133,$B240,'Renew &amp; Vac '!$D$119:$D$133,"&lt;="&amp;J$216,'Renew &amp; Vac '!$E$119:$E$133,"&gt;="&amp;J$216)</f>
        <v>0</v>
      </c>
      <c r="K240" s="6">
        <f>SUMIFS('Renew &amp; Vac '!$S$119:$S$133,'Renew &amp; Vac '!$L$119:$L$133,$B240,'Renew &amp; Vac '!$O$119:$O$133,"&lt;="&amp;K$216,'Renew &amp; Vac '!$P$119:$P$133,"&gt;="&amp;K$216)+SUMIFS('Renew &amp; Vac '!$H$119:$H$133,'Renew &amp; Vac '!$A$119:$A$133,$B240,'Renew &amp; Vac '!$D$119:$D$133,"&lt;="&amp;K$216,'Renew &amp; Vac '!$E$119:$E$133,"&gt;="&amp;K$216)</f>
        <v>0</v>
      </c>
      <c r="L240" s="6">
        <f>SUMIFS('Renew &amp; Vac '!$S$119:$S$133,'Renew &amp; Vac '!$L$119:$L$133,$B240,'Renew &amp; Vac '!$O$119:$O$133,"&lt;="&amp;L$216,'Renew &amp; Vac '!$P$119:$P$133,"&gt;="&amp;L$216)+SUMIFS('Renew &amp; Vac '!$H$119:$H$133,'Renew &amp; Vac '!$A$119:$A$133,$B240,'Renew &amp; Vac '!$D$119:$D$133,"&lt;="&amp;L$216,'Renew &amp; Vac '!$E$119:$E$133,"&gt;="&amp;L$216)</f>
        <v>0</v>
      </c>
      <c r="M240" s="6">
        <f>SUMIFS('Renew &amp; Vac '!$S$119:$S$133,'Renew &amp; Vac '!$L$119:$L$133,$B240,'Renew &amp; Vac '!$O$119:$O$133,"&lt;="&amp;M$216,'Renew &amp; Vac '!$P$119:$P$133,"&gt;="&amp;M$216)+SUMIFS('Renew &amp; Vac '!$H$119:$H$133,'Renew &amp; Vac '!$A$119:$A$133,$B240,'Renew &amp; Vac '!$D$119:$D$133,"&lt;="&amp;M$216,'Renew &amp; Vac '!$E$119:$E$133,"&gt;="&amp;M$216)</f>
        <v>0</v>
      </c>
      <c r="N240" s="6">
        <f>SUMIFS('Renew &amp; Vac '!$S$119:$S$133,'Renew &amp; Vac '!$L$119:$L$133,$B240,'Renew &amp; Vac '!$O$119:$O$133,"&lt;="&amp;N$216,'Renew &amp; Vac '!$P$119:$P$133,"&gt;="&amp;N$216)+SUMIFS('Renew &amp; Vac '!$H$119:$H$133,'Renew &amp; Vac '!$A$119:$A$133,$B240,'Renew &amp; Vac '!$D$119:$D$133,"&lt;="&amp;N$216,'Renew &amp; Vac '!$E$119:$E$133,"&gt;="&amp;N$216)</f>
        <v>0</v>
      </c>
      <c r="O240" s="6">
        <f>SUMIFS('Renew &amp; Vac '!$S$119:$S$133,'Renew &amp; Vac '!$L$119:$L$133,$B240,'Renew &amp; Vac '!$O$119:$O$133,"&lt;="&amp;O$216,'Renew &amp; Vac '!$P$119:$P$133,"&gt;="&amp;O$216)+SUMIFS('Renew &amp; Vac '!$H$119:$H$133,'Renew &amp; Vac '!$A$119:$A$133,$B240,'Renew &amp; Vac '!$D$119:$D$133,"&lt;="&amp;O$216,'Renew &amp; Vac '!$E$119:$E$133,"&gt;="&amp;O$216)</f>
        <v>0</v>
      </c>
      <c r="P240" s="6">
        <f>SUMIFS('Renew &amp; Vac '!$S$119:$S$133,'Renew &amp; Vac '!$L$119:$L$133,$B240,'Renew &amp; Vac '!$O$119:$O$133,"&lt;="&amp;P$216,'Renew &amp; Vac '!$P$119:$P$133,"&gt;="&amp;P$216)+SUMIFS('Renew &amp; Vac '!$H$119:$H$133,'Renew &amp; Vac '!$A$119:$A$133,$B240,'Renew &amp; Vac '!$D$119:$D$133,"&lt;="&amp;P$216,'Renew &amp; Vac '!$E$119:$E$133,"&gt;="&amp;P$216)</f>
        <v>0</v>
      </c>
      <c r="Q240" s="8">
        <f t="shared" si="67"/>
        <v>0</v>
      </c>
    </row>
    <row r="241" spans="1:21" hidden="1" outlineLevel="1" x14ac:dyDescent="0.35">
      <c r="B241" s="339" t="str">
        <f t="shared" si="66"/>
        <v>7010-12353</v>
      </c>
      <c r="C241" s="341"/>
      <c r="D241" s="79" t="str">
        <f>IFERROR(VLOOKUP(B241,'Renew &amp; Vac '!$L$119:$M$133,2,FALSE),IFERROR(VLOOKUP(B241,'Renew &amp; Vac '!$A$119:$B$133,2,FALSE),VLOOKUP(B241,$B$181:$D$211,3,FALSE)))</f>
        <v>Zen Serenity Massage &amp; Facial</v>
      </c>
      <c r="E241" s="6">
        <f>SUMIFS('Renew &amp; Vac '!$S$119:$S$133,'Renew &amp; Vac '!$L$119:$L$133,$B241,'Renew &amp; Vac '!$O$119:$O$133,"&lt;="&amp;E$216,'Renew &amp; Vac '!$P$119:$P$133,"&gt;="&amp;E$216)+SUMIFS('Renew &amp; Vac '!$H$119:$H$133,'Renew &amp; Vac '!$A$119:$A$133,$B241,'Renew &amp; Vac '!$D$119:$D$133,"&lt;="&amp;E$216,'Renew &amp; Vac '!$E$119:$E$133,"&gt;="&amp;E$216)</f>
        <v>0</v>
      </c>
      <c r="F241" s="6">
        <f>SUMIFS('Renew &amp; Vac '!$S$119:$S$133,'Renew &amp; Vac '!$L$119:$L$133,$B241,'Renew &amp; Vac '!$O$119:$O$133,"&lt;="&amp;F$216,'Renew &amp; Vac '!$P$119:$P$133,"&gt;="&amp;F$216)+SUMIFS('Renew &amp; Vac '!$H$119:$H$133,'Renew &amp; Vac '!$A$119:$A$133,$B241,'Renew &amp; Vac '!$D$119:$D$133,"&lt;="&amp;F$216,'Renew &amp; Vac '!$E$119:$E$133,"&gt;="&amp;F$216)</f>
        <v>0</v>
      </c>
      <c r="G241" s="6">
        <f>SUMIFS('Renew &amp; Vac '!$S$119:$S$133,'Renew &amp; Vac '!$L$119:$L$133,$B241,'Renew &amp; Vac '!$O$119:$O$133,"&lt;="&amp;G$216,'Renew &amp; Vac '!$P$119:$P$133,"&gt;="&amp;G$216)+SUMIFS('Renew &amp; Vac '!$H$119:$H$133,'Renew &amp; Vac '!$A$119:$A$133,$B241,'Renew &amp; Vac '!$D$119:$D$133,"&lt;="&amp;G$216,'Renew &amp; Vac '!$E$119:$E$133,"&gt;="&amp;G$216)</f>
        <v>0</v>
      </c>
      <c r="H241" s="6">
        <f>SUMIFS('Renew &amp; Vac '!$S$119:$S$133,'Renew &amp; Vac '!$L$119:$L$133,$B241,'Renew &amp; Vac '!$O$119:$O$133,"&lt;="&amp;H$216,'Renew &amp; Vac '!$P$119:$P$133,"&gt;="&amp;H$216)+SUMIFS('Renew &amp; Vac '!$H$119:$H$133,'Renew &amp; Vac '!$A$119:$A$133,$B241,'Renew &amp; Vac '!$D$119:$D$133,"&lt;="&amp;H$216,'Renew &amp; Vac '!$E$119:$E$133,"&gt;="&amp;H$216)</f>
        <v>0</v>
      </c>
      <c r="I241" s="6">
        <f>SUMIFS('Renew &amp; Vac '!$S$119:$S$133,'Renew &amp; Vac '!$L$119:$L$133,$B241,'Renew &amp; Vac '!$O$119:$O$133,"&lt;="&amp;I$216,'Renew &amp; Vac '!$P$119:$P$133,"&gt;="&amp;I$216)+SUMIFS('Renew &amp; Vac '!$H$119:$H$133,'Renew &amp; Vac '!$A$119:$A$133,$B241,'Renew &amp; Vac '!$D$119:$D$133,"&lt;="&amp;I$216,'Renew &amp; Vac '!$E$119:$E$133,"&gt;="&amp;I$216)</f>
        <v>0</v>
      </c>
      <c r="J241" s="6">
        <f>SUMIFS('Renew &amp; Vac '!$S$119:$S$133,'Renew &amp; Vac '!$L$119:$L$133,$B241,'Renew &amp; Vac '!$O$119:$O$133,"&lt;="&amp;J$216,'Renew &amp; Vac '!$P$119:$P$133,"&gt;="&amp;J$216)+SUMIFS('Renew &amp; Vac '!$H$119:$H$133,'Renew &amp; Vac '!$A$119:$A$133,$B241,'Renew &amp; Vac '!$D$119:$D$133,"&lt;="&amp;J$216,'Renew &amp; Vac '!$E$119:$E$133,"&gt;="&amp;J$216)</f>
        <v>0</v>
      </c>
      <c r="K241" s="6">
        <f>SUMIFS('Renew &amp; Vac '!$S$119:$S$133,'Renew &amp; Vac '!$L$119:$L$133,$B241,'Renew &amp; Vac '!$O$119:$O$133,"&lt;="&amp;K$216,'Renew &amp; Vac '!$P$119:$P$133,"&gt;="&amp;K$216)+SUMIFS('Renew &amp; Vac '!$H$119:$H$133,'Renew &amp; Vac '!$A$119:$A$133,$B241,'Renew &amp; Vac '!$D$119:$D$133,"&lt;="&amp;K$216,'Renew &amp; Vac '!$E$119:$E$133,"&gt;="&amp;K$216)</f>
        <v>0</v>
      </c>
      <c r="L241" s="6">
        <f>SUMIFS('Renew &amp; Vac '!$S$119:$S$133,'Renew &amp; Vac '!$L$119:$L$133,$B241,'Renew &amp; Vac '!$O$119:$O$133,"&lt;="&amp;L$216,'Renew &amp; Vac '!$P$119:$P$133,"&gt;="&amp;L$216)+SUMIFS('Renew &amp; Vac '!$H$119:$H$133,'Renew &amp; Vac '!$A$119:$A$133,$B241,'Renew &amp; Vac '!$D$119:$D$133,"&lt;="&amp;L$216,'Renew &amp; Vac '!$E$119:$E$133,"&gt;="&amp;L$216)</f>
        <v>0</v>
      </c>
      <c r="M241" s="6">
        <f>SUMIFS('Renew &amp; Vac '!$S$119:$S$133,'Renew &amp; Vac '!$L$119:$L$133,$B241,'Renew &amp; Vac '!$O$119:$O$133,"&lt;="&amp;M$216,'Renew &amp; Vac '!$P$119:$P$133,"&gt;="&amp;M$216)+SUMIFS('Renew &amp; Vac '!$H$119:$H$133,'Renew &amp; Vac '!$A$119:$A$133,$B241,'Renew &amp; Vac '!$D$119:$D$133,"&lt;="&amp;M$216,'Renew &amp; Vac '!$E$119:$E$133,"&gt;="&amp;M$216)</f>
        <v>0</v>
      </c>
      <c r="N241" s="6">
        <f>SUMIFS('Renew &amp; Vac '!$S$119:$S$133,'Renew &amp; Vac '!$L$119:$L$133,$B241,'Renew &amp; Vac '!$O$119:$O$133,"&lt;="&amp;N$216,'Renew &amp; Vac '!$P$119:$P$133,"&gt;="&amp;N$216)+SUMIFS('Renew &amp; Vac '!$H$119:$H$133,'Renew &amp; Vac '!$A$119:$A$133,$B241,'Renew &amp; Vac '!$D$119:$D$133,"&lt;="&amp;N$216,'Renew &amp; Vac '!$E$119:$E$133,"&gt;="&amp;N$216)</f>
        <v>0</v>
      </c>
      <c r="O241" s="6">
        <f>SUMIFS('Renew &amp; Vac '!$S$119:$S$133,'Renew &amp; Vac '!$L$119:$L$133,$B241,'Renew &amp; Vac '!$O$119:$O$133,"&lt;="&amp;O$216,'Renew &amp; Vac '!$P$119:$P$133,"&gt;="&amp;O$216)+SUMIFS('Renew &amp; Vac '!$H$119:$H$133,'Renew &amp; Vac '!$A$119:$A$133,$B241,'Renew &amp; Vac '!$D$119:$D$133,"&lt;="&amp;O$216,'Renew &amp; Vac '!$E$119:$E$133,"&gt;="&amp;O$216)</f>
        <v>0</v>
      </c>
      <c r="P241" s="6">
        <f>SUMIFS('Renew &amp; Vac '!$S$119:$S$133,'Renew &amp; Vac '!$L$119:$L$133,$B241,'Renew &amp; Vac '!$O$119:$O$133,"&lt;="&amp;P$216,'Renew &amp; Vac '!$P$119:$P$133,"&gt;="&amp;P$216)+SUMIFS('Renew &amp; Vac '!$H$119:$H$133,'Renew &amp; Vac '!$A$119:$A$133,$B241,'Renew &amp; Vac '!$D$119:$D$133,"&lt;="&amp;P$216,'Renew &amp; Vac '!$E$119:$E$133,"&gt;="&amp;P$216)</f>
        <v>0</v>
      </c>
      <c r="Q241" s="8">
        <f t="shared" si="67"/>
        <v>0</v>
      </c>
    </row>
    <row r="242" spans="1:21" hidden="1" outlineLevel="1" x14ac:dyDescent="0.35">
      <c r="B242" s="339" t="str">
        <f t="shared" si="66"/>
        <v>7010-12355</v>
      </c>
      <c r="C242" s="341"/>
      <c r="D242" s="79" t="str">
        <f>IFERROR(VLOOKUP(B242,'Renew &amp; Vac '!$L$119:$M$133,2,FALSE),IFERROR(VLOOKUP(B242,'Renew &amp; Vac '!$A$119:$B$133,2,FALSE),VLOOKUP(B242,$B$181:$D$211,3,FALSE)))</f>
        <v>Shake4u</v>
      </c>
      <c r="E242" s="6">
        <f>SUMIFS('Renew &amp; Vac '!$S$119:$S$133,'Renew &amp; Vac '!$L$119:$L$133,$B242,'Renew &amp; Vac '!$O$119:$O$133,"&lt;="&amp;E$216,'Renew &amp; Vac '!$P$119:$P$133,"&gt;="&amp;E$216)+SUMIFS('Renew &amp; Vac '!$H$119:$H$133,'Renew &amp; Vac '!$A$119:$A$133,$B242,'Renew &amp; Vac '!$D$119:$D$133,"&lt;="&amp;E$216,'Renew &amp; Vac '!$E$119:$E$133,"&gt;="&amp;E$216)</f>
        <v>2016</v>
      </c>
      <c r="F242" s="6">
        <f>SUMIFS('Renew &amp; Vac '!$S$119:$S$133,'Renew &amp; Vac '!$L$119:$L$133,$B242,'Renew &amp; Vac '!$O$119:$O$133,"&lt;="&amp;F$216,'Renew &amp; Vac '!$P$119:$P$133,"&gt;="&amp;F$216)+SUMIFS('Renew &amp; Vac '!$H$119:$H$133,'Renew &amp; Vac '!$A$119:$A$133,$B242,'Renew &amp; Vac '!$D$119:$D$133,"&lt;="&amp;F$216,'Renew &amp; Vac '!$E$119:$E$133,"&gt;="&amp;F$216)</f>
        <v>2016</v>
      </c>
      <c r="G242" s="6">
        <f>SUMIFS('Renew &amp; Vac '!$S$119:$S$133,'Renew &amp; Vac '!$L$119:$L$133,$B242,'Renew &amp; Vac '!$O$119:$O$133,"&lt;="&amp;G$216,'Renew &amp; Vac '!$P$119:$P$133,"&gt;="&amp;G$216)+SUMIFS('Renew &amp; Vac '!$H$119:$H$133,'Renew &amp; Vac '!$A$119:$A$133,$B242,'Renew &amp; Vac '!$D$119:$D$133,"&lt;="&amp;G$216,'Renew &amp; Vac '!$E$119:$E$133,"&gt;="&amp;G$216)</f>
        <v>2016</v>
      </c>
      <c r="H242" s="6">
        <f>SUMIFS('Renew &amp; Vac '!$S$119:$S$133,'Renew &amp; Vac '!$L$119:$L$133,$B242,'Renew &amp; Vac '!$O$119:$O$133,"&lt;="&amp;H$216,'Renew &amp; Vac '!$P$119:$P$133,"&gt;="&amp;H$216)+SUMIFS('Renew &amp; Vac '!$H$119:$H$133,'Renew &amp; Vac '!$A$119:$A$133,$B242,'Renew &amp; Vac '!$D$119:$D$133,"&lt;="&amp;H$216,'Renew &amp; Vac '!$E$119:$E$133,"&gt;="&amp;H$216)</f>
        <v>2016</v>
      </c>
      <c r="I242" s="6">
        <f>SUMIFS('Renew &amp; Vac '!$S$119:$S$133,'Renew &amp; Vac '!$L$119:$L$133,$B242,'Renew &amp; Vac '!$O$119:$O$133,"&lt;="&amp;I$216,'Renew &amp; Vac '!$P$119:$P$133,"&gt;="&amp;I$216)+SUMIFS('Renew &amp; Vac '!$H$119:$H$133,'Renew &amp; Vac '!$A$119:$A$133,$B242,'Renew &amp; Vac '!$D$119:$D$133,"&lt;="&amp;I$216,'Renew &amp; Vac '!$E$119:$E$133,"&gt;="&amp;I$216)</f>
        <v>2016</v>
      </c>
      <c r="J242" s="6">
        <f>SUMIFS('Renew &amp; Vac '!$S$119:$S$133,'Renew &amp; Vac '!$L$119:$L$133,$B242,'Renew &amp; Vac '!$O$119:$O$133,"&lt;="&amp;J$216,'Renew &amp; Vac '!$P$119:$P$133,"&gt;="&amp;J$216)+SUMIFS('Renew &amp; Vac '!$H$119:$H$133,'Renew &amp; Vac '!$A$119:$A$133,$B242,'Renew &amp; Vac '!$D$119:$D$133,"&lt;="&amp;J$216,'Renew &amp; Vac '!$E$119:$E$133,"&gt;="&amp;J$216)</f>
        <v>2016</v>
      </c>
      <c r="K242" s="6">
        <f>SUMIFS('Renew &amp; Vac '!$S$119:$S$133,'Renew &amp; Vac '!$L$119:$L$133,$B242,'Renew &amp; Vac '!$O$119:$O$133,"&lt;="&amp;K$216,'Renew &amp; Vac '!$P$119:$P$133,"&gt;="&amp;K$216)+SUMIFS('Renew &amp; Vac '!$H$119:$H$133,'Renew &amp; Vac '!$A$119:$A$133,$B242,'Renew &amp; Vac '!$D$119:$D$133,"&lt;="&amp;K$216,'Renew &amp; Vac '!$E$119:$E$133,"&gt;="&amp;K$216)</f>
        <v>2016</v>
      </c>
      <c r="L242" s="6">
        <f>SUMIFS('Renew &amp; Vac '!$S$119:$S$133,'Renew &amp; Vac '!$L$119:$L$133,$B242,'Renew &amp; Vac '!$O$119:$O$133,"&lt;="&amp;L$216,'Renew &amp; Vac '!$P$119:$P$133,"&gt;="&amp;L$216)+SUMIFS('Renew &amp; Vac '!$H$119:$H$133,'Renew &amp; Vac '!$A$119:$A$133,$B242,'Renew &amp; Vac '!$D$119:$D$133,"&lt;="&amp;L$216,'Renew &amp; Vac '!$E$119:$E$133,"&gt;="&amp;L$216)</f>
        <v>2016</v>
      </c>
      <c r="M242" s="6">
        <f>SUMIFS('Renew &amp; Vac '!$S$119:$S$133,'Renew &amp; Vac '!$L$119:$L$133,$B242,'Renew &amp; Vac '!$O$119:$O$133,"&lt;="&amp;M$216,'Renew &amp; Vac '!$P$119:$P$133,"&gt;="&amp;M$216)+SUMIFS('Renew &amp; Vac '!$H$119:$H$133,'Renew &amp; Vac '!$A$119:$A$133,$B242,'Renew &amp; Vac '!$D$119:$D$133,"&lt;="&amp;M$216,'Renew &amp; Vac '!$E$119:$E$133,"&gt;="&amp;M$216)</f>
        <v>2016</v>
      </c>
      <c r="N242" s="6">
        <f>SUMIFS('Renew &amp; Vac '!$S$119:$S$133,'Renew &amp; Vac '!$L$119:$L$133,$B242,'Renew &amp; Vac '!$O$119:$O$133,"&lt;="&amp;N$216,'Renew &amp; Vac '!$P$119:$P$133,"&gt;="&amp;N$216)+SUMIFS('Renew &amp; Vac '!$H$119:$H$133,'Renew &amp; Vac '!$A$119:$A$133,$B242,'Renew &amp; Vac '!$D$119:$D$133,"&lt;="&amp;N$216,'Renew &amp; Vac '!$E$119:$E$133,"&gt;="&amp;N$216)</f>
        <v>2016</v>
      </c>
      <c r="O242" s="6">
        <f>SUMIFS('Renew &amp; Vac '!$S$119:$S$133,'Renew &amp; Vac '!$L$119:$L$133,$B242,'Renew &amp; Vac '!$O$119:$O$133,"&lt;="&amp;O$216,'Renew &amp; Vac '!$P$119:$P$133,"&gt;="&amp;O$216)+SUMIFS('Renew &amp; Vac '!$H$119:$H$133,'Renew &amp; Vac '!$A$119:$A$133,$B242,'Renew &amp; Vac '!$D$119:$D$133,"&lt;="&amp;O$216,'Renew &amp; Vac '!$E$119:$E$133,"&gt;="&amp;O$216)</f>
        <v>2016</v>
      </c>
      <c r="P242" s="6">
        <f>SUMIFS('Renew &amp; Vac '!$S$119:$S$133,'Renew &amp; Vac '!$L$119:$L$133,$B242,'Renew &amp; Vac '!$O$119:$O$133,"&lt;="&amp;P$216,'Renew &amp; Vac '!$P$119:$P$133,"&gt;="&amp;P$216)+SUMIFS('Renew &amp; Vac '!$H$119:$H$133,'Renew &amp; Vac '!$A$119:$A$133,$B242,'Renew &amp; Vac '!$D$119:$D$133,"&lt;="&amp;P$216,'Renew &amp; Vac '!$E$119:$E$133,"&gt;="&amp;P$216)</f>
        <v>2016</v>
      </c>
      <c r="Q242" s="8">
        <f t="shared" si="67"/>
        <v>24192</v>
      </c>
    </row>
    <row r="243" spans="1:21" hidden="1" outlineLevel="1" x14ac:dyDescent="0.35">
      <c r="B243" s="339" t="str">
        <f t="shared" si="66"/>
        <v>7010-12357</v>
      </c>
      <c r="C243" s="341"/>
      <c r="D243" s="79" t="str">
        <f>IFERROR(VLOOKUP(B243,'Renew &amp; Vac '!$L$119:$M$133,2,FALSE),IFERROR(VLOOKUP(B243,'Renew &amp; Vac '!$A$119:$B$133,2,FALSE),VLOOKUP(B243,$B$181:$D$211,3,FALSE)))</f>
        <v>We Rock the Spectrum</v>
      </c>
      <c r="E243" s="6">
        <f>SUMIFS('Renew &amp; Vac '!$S$119:$S$133,'Renew &amp; Vac '!$L$119:$L$133,$B243,'Renew &amp; Vac '!$O$119:$O$133,"&lt;="&amp;E$216,'Renew &amp; Vac '!$P$119:$P$133,"&gt;="&amp;E$216)+SUMIFS('Renew &amp; Vac '!$H$119:$H$133,'Renew &amp; Vac '!$A$119:$A$133,$B243,'Renew &amp; Vac '!$D$119:$D$133,"&lt;="&amp;E$216,'Renew &amp; Vac '!$E$119:$E$133,"&gt;="&amp;E$216)</f>
        <v>0</v>
      </c>
      <c r="F243" s="6">
        <f>SUMIFS('Renew &amp; Vac '!$S$119:$S$133,'Renew &amp; Vac '!$L$119:$L$133,$B243,'Renew &amp; Vac '!$O$119:$O$133,"&lt;="&amp;F$216,'Renew &amp; Vac '!$P$119:$P$133,"&gt;="&amp;F$216)+SUMIFS('Renew &amp; Vac '!$H$119:$H$133,'Renew &amp; Vac '!$A$119:$A$133,$B243,'Renew &amp; Vac '!$D$119:$D$133,"&lt;="&amp;F$216,'Renew &amp; Vac '!$E$119:$E$133,"&gt;="&amp;F$216)</f>
        <v>0</v>
      </c>
      <c r="G243" s="6">
        <f>SUMIFS('Renew &amp; Vac '!$S$119:$S$133,'Renew &amp; Vac '!$L$119:$L$133,$B243,'Renew &amp; Vac '!$O$119:$O$133,"&lt;="&amp;G$216,'Renew &amp; Vac '!$P$119:$P$133,"&gt;="&amp;G$216)+SUMIFS('Renew &amp; Vac '!$H$119:$H$133,'Renew &amp; Vac '!$A$119:$A$133,$B243,'Renew &amp; Vac '!$D$119:$D$133,"&lt;="&amp;G$216,'Renew &amp; Vac '!$E$119:$E$133,"&gt;="&amp;G$216)</f>
        <v>0</v>
      </c>
      <c r="H243" s="6">
        <f>SUMIFS('Renew &amp; Vac '!$S$119:$S$133,'Renew &amp; Vac '!$L$119:$L$133,$B243,'Renew &amp; Vac '!$O$119:$O$133,"&lt;="&amp;H$216,'Renew &amp; Vac '!$P$119:$P$133,"&gt;="&amp;H$216)+SUMIFS('Renew &amp; Vac '!$H$119:$H$133,'Renew &amp; Vac '!$A$119:$A$133,$B243,'Renew &amp; Vac '!$D$119:$D$133,"&lt;="&amp;H$216,'Renew &amp; Vac '!$E$119:$E$133,"&gt;="&amp;H$216)</f>
        <v>0</v>
      </c>
      <c r="I243" s="6">
        <f>SUMIFS('Renew &amp; Vac '!$S$119:$S$133,'Renew &amp; Vac '!$L$119:$L$133,$B243,'Renew &amp; Vac '!$O$119:$O$133,"&lt;="&amp;I$216,'Renew &amp; Vac '!$P$119:$P$133,"&gt;="&amp;I$216)+SUMIFS('Renew &amp; Vac '!$H$119:$H$133,'Renew &amp; Vac '!$A$119:$A$133,$B243,'Renew &amp; Vac '!$D$119:$D$133,"&lt;="&amp;I$216,'Renew &amp; Vac '!$E$119:$E$133,"&gt;="&amp;I$216)</f>
        <v>0</v>
      </c>
      <c r="J243" s="6">
        <f>SUMIFS('Renew &amp; Vac '!$S$119:$S$133,'Renew &amp; Vac '!$L$119:$L$133,$B243,'Renew &amp; Vac '!$O$119:$O$133,"&lt;="&amp;J$216,'Renew &amp; Vac '!$P$119:$P$133,"&gt;="&amp;J$216)+SUMIFS('Renew &amp; Vac '!$H$119:$H$133,'Renew &amp; Vac '!$A$119:$A$133,$B243,'Renew &amp; Vac '!$D$119:$D$133,"&lt;="&amp;J$216,'Renew &amp; Vac '!$E$119:$E$133,"&gt;="&amp;J$216)</f>
        <v>0</v>
      </c>
      <c r="K243" s="6">
        <f>SUMIFS('Renew &amp; Vac '!$S$119:$S$133,'Renew &amp; Vac '!$L$119:$L$133,$B243,'Renew &amp; Vac '!$O$119:$O$133,"&lt;="&amp;K$216,'Renew &amp; Vac '!$P$119:$P$133,"&gt;="&amp;K$216)+SUMIFS('Renew &amp; Vac '!$H$119:$H$133,'Renew &amp; Vac '!$A$119:$A$133,$B243,'Renew &amp; Vac '!$D$119:$D$133,"&lt;="&amp;K$216,'Renew &amp; Vac '!$E$119:$E$133,"&gt;="&amp;K$216)</f>
        <v>0</v>
      </c>
      <c r="L243" s="6">
        <f>SUMIFS('Renew &amp; Vac '!$S$119:$S$133,'Renew &amp; Vac '!$L$119:$L$133,$B243,'Renew &amp; Vac '!$O$119:$O$133,"&lt;="&amp;L$216,'Renew &amp; Vac '!$P$119:$P$133,"&gt;="&amp;L$216)+SUMIFS('Renew &amp; Vac '!$H$119:$H$133,'Renew &amp; Vac '!$A$119:$A$133,$B243,'Renew &amp; Vac '!$D$119:$D$133,"&lt;="&amp;L$216,'Renew &amp; Vac '!$E$119:$E$133,"&gt;="&amp;L$216)</f>
        <v>5037</v>
      </c>
      <c r="M243" s="6">
        <f>SUMIFS('Renew &amp; Vac '!$S$119:$S$133,'Renew &amp; Vac '!$L$119:$L$133,$B243,'Renew &amp; Vac '!$O$119:$O$133,"&lt;="&amp;M$216,'Renew &amp; Vac '!$P$119:$P$133,"&gt;="&amp;M$216)+SUMIFS('Renew &amp; Vac '!$H$119:$H$133,'Renew &amp; Vac '!$A$119:$A$133,$B243,'Renew &amp; Vac '!$D$119:$D$133,"&lt;="&amp;M$216,'Renew &amp; Vac '!$E$119:$E$133,"&gt;="&amp;M$216)</f>
        <v>5037</v>
      </c>
      <c r="N243" s="6">
        <f>SUMIFS('Renew &amp; Vac '!$S$119:$S$133,'Renew &amp; Vac '!$L$119:$L$133,$B243,'Renew &amp; Vac '!$O$119:$O$133,"&lt;="&amp;N$216,'Renew &amp; Vac '!$P$119:$P$133,"&gt;="&amp;N$216)+SUMIFS('Renew &amp; Vac '!$H$119:$H$133,'Renew &amp; Vac '!$A$119:$A$133,$B243,'Renew &amp; Vac '!$D$119:$D$133,"&lt;="&amp;N$216,'Renew &amp; Vac '!$E$119:$E$133,"&gt;="&amp;N$216)</f>
        <v>5037</v>
      </c>
      <c r="O243" s="6">
        <f>SUMIFS('Renew &amp; Vac '!$S$119:$S$133,'Renew &amp; Vac '!$L$119:$L$133,$B243,'Renew &amp; Vac '!$O$119:$O$133,"&lt;="&amp;O$216,'Renew &amp; Vac '!$P$119:$P$133,"&gt;="&amp;O$216)+SUMIFS('Renew &amp; Vac '!$H$119:$H$133,'Renew &amp; Vac '!$A$119:$A$133,$B243,'Renew &amp; Vac '!$D$119:$D$133,"&lt;="&amp;O$216,'Renew &amp; Vac '!$E$119:$E$133,"&gt;="&amp;O$216)</f>
        <v>5037</v>
      </c>
      <c r="P243" s="6">
        <f>SUMIFS('Renew &amp; Vac '!$S$119:$S$133,'Renew &amp; Vac '!$L$119:$L$133,$B243,'Renew &amp; Vac '!$O$119:$O$133,"&lt;="&amp;P$216,'Renew &amp; Vac '!$P$119:$P$133,"&gt;="&amp;P$216)+SUMIFS('Renew &amp; Vac '!$H$119:$H$133,'Renew &amp; Vac '!$A$119:$A$133,$B243,'Renew &amp; Vac '!$D$119:$D$133,"&lt;="&amp;P$216,'Renew &amp; Vac '!$E$119:$E$133,"&gt;="&amp;P$216)</f>
        <v>5037</v>
      </c>
      <c r="Q243" s="8">
        <f t="shared" si="67"/>
        <v>25185</v>
      </c>
    </row>
    <row r="244" spans="1:21" hidden="1" outlineLevel="1" x14ac:dyDescent="0.35">
      <c r="B244" s="339" t="str">
        <f t="shared" si="66"/>
        <v>7010-12360</v>
      </c>
      <c r="C244" s="341"/>
      <c r="D244" s="79" t="str">
        <f>IFERROR(VLOOKUP(B244,'Renew &amp; Vac '!$L$119:$M$133,2,FALSE),IFERROR(VLOOKUP(B244,'Renew &amp; Vac '!$A$119:$B$133,2,FALSE),VLOOKUP(B244,$B$181:$D$211,3,FALSE)))</f>
        <v>Trumark Financial Credit Union</v>
      </c>
      <c r="E244" s="6">
        <f>SUMIFS('Renew &amp; Vac '!$S$119:$S$133,'Renew &amp; Vac '!$L$119:$L$133,$B244,'Renew &amp; Vac '!$O$119:$O$133,"&lt;="&amp;E$216,'Renew &amp; Vac '!$P$119:$P$133,"&gt;="&amp;E$216)+SUMIFS('Renew &amp; Vac '!$H$119:$H$133,'Renew &amp; Vac '!$A$119:$A$133,$B244,'Renew &amp; Vac '!$D$119:$D$133,"&lt;="&amp;E$216,'Renew &amp; Vac '!$E$119:$E$133,"&gt;="&amp;E$216)</f>
        <v>0</v>
      </c>
      <c r="F244" s="6">
        <f>SUMIFS('Renew &amp; Vac '!$S$119:$S$133,'Renew &amp; Vac '!$L$119:$L$133,$B244,'Renew &amp; Vac '!$O$119:$O$133,"&lt;="&amp;F$216,'Renew &amp; Vac '!$P$119:$P$133,"&gt;="&amp;F$216)+SUMIFS('Renew &amp; Vac '!$H$119:$H$133,'Renew &amp; Vac '!$A$119:$A$133,$B244,'Renew &amp; Vac '!$D$119:$D$133,"&lt;="&amp;F$216,'Renew &amp; Vac '!$E$119:$E$133,"&gt;="&amp;F$216)</f>
        <v>0</v>
      </c>
      <c r="G244" s="6">
        <f>SUMIFS('Renew &amp; Vac '!$S$119:$S$133,'Renew &amp; Vac '!$L$119:$L$133,$B244,'Renew &amp; Vac '!$O$119:$O$133,"&lt;="&amp;G$216,'Renew &amp; Vac '!$P$119:$P$133,"&gt;="&amp;G$216)+SUMIFS('Renew &amp; Vac '!$H$119:$H$133,'Renew &amp; Vac '!$A$119:$A$133,$B244,'Renew &amp; Vac '!$D$119:$D$133,"&lt;="&amp;G$216,'Renew &amp; Vac '!$E$119:$E$133,"&gt;="&amp;G$216)</f>
        <v>0</v>
      </c>
      <c r="H244" s="6">
        <f>SUMIFS('Renew &amp; Vac '!$S$119:$S$133,'Renew &amp; Vac '!$L$119:$L$133,$B244,'Renew &amp; Vac '!$O$119:$O$133,"&lt;="&amp;H$216,'Renew &amp; Vac '!$P$119:$P$133,"&gt;="&amp;H$216)+SUMIFS('Renew &amp; Vac '!$H$119:$H$133,'Renew &amp; Vac '!$A$119:$A$133,$B244,'Renew &amp; Vac '!$D$119:$D$133,"&lt;="&amp;H$216,'Renew &amp; Vac '!$E$119:$E$133,"&gt;="&amp;H$216)</f>
        <v>0</v>
      </c>
      <c r="I244" s="6">
        <f>SUMIFS('Renew &amp; Vac '!$S$119:$S$133,'Renew &amp; Vac '!$L$119:$L$133,$B244,'Renew &amp; Vac '!$O$119:$O$133,"&lt;="&amp;I$216,'Renew &amp; Vac '!$P$119:$P$133,"&gt;="&amp;I$216)+SUMIFS('Renew &amp; Vac '!$H$119:$H$133,'Renew &amp; Vac '!$A$119:$A$133,$B244,'Renew &amp; Vac '!$D$119:$D$133,"&lt;="&amp;I$216,'Renew &amp; Vac '!$E$119:$E$133,"&gt;="&amp;I$216)</f>
        <v>0</v>
      </c>
      <c r="J244" s="6">
        <f>SUMIFS('Renew &amp; Vac '!$S$119:$S$133,'Renew &amp; Vac '!$L$119:$L$133,$B244,'Renew &amp; Vac '!$O$119:$O$133,"&lt;="&amp;J$216,'Renew &amp; Vac '!$P$119:$P$133,"&gt;="&amp;J$216)+SUMIFS('Renew &amp; Vac '!$H$119:$H$133,'Renew &amp; Vac '!$A$119:$A$133,$B244,'Renew &amp; Vac '!$D$119:$D$133,"&lt;="&amp;J$216,'Renew &amp; Vac '!$E$119:$E$133,"&gt;="&amp;J$216)</f>
        <v>0</v>
      </c>
      <c r="K244" s="6">
        <f>SUMIFS('Renew &amp; Vac '!$S$119:$S$133,'Renew &amp; Vac '!$L$119:$L$133,$B244,'Renew &amp; Vac '!$O$119:$O$133,"&lt;="&amp;K$216,'Renew &amp; Vac '!$P$119:$P$133,"&gt;="&amp;K$216)+SUMIFS('Renew &amp; Vac '!$H$119:$H$133,'Renew &amp; Vac '!$A$119:$A$133,$B244,'Renew &amp; Vac '!$D$119:$D$133,"&lt;="&amp;K$216,'Renew &amp; Vac '!$E$119:$E$133,"&gt;="&amp;K$216)</f>
        <v>0</v>
      </c>
      <c r="L244" s="6">
        <f>SUMIFS('Renew &amp; Vac '!$S$119:$S$133,'Renew &amp; Vac '!$L$119:$L$133,$B244,'Renew &amp; Vac '!$O$119:$O$133,"&lt;="&amp;L$216,'Renew &amp; Vac '!$P$119:$P$133,"&gt;="&amp;L$216)+SUMIFS('Renew &amp; Vac '!$H$119:$H$133,'Renew &amp; Vac '!$A$119:$A$133,$B244,'Renew &amp; Vac '!$D$119:$D$133,"&lt;="&amp;L$216,'Renew &amp; Vac '!$E$119:$E$133,"&gt;="&amp;L$216)</f>
        <v>0</v>
      </c>
      <c r="M244" s="6">
        <f>SUMIFS('Renew &amp; Vac '!$S$119:$S$133,'Renew &amp; Vac '!$L$119:$L$133,$B244,'Renew &amp; Vac '!$O$119:$O$133,"&lt;="&amp;M$216,'Renew &amp; Vac '!$P$119:$P$133,"&gt;="&amp;M$216)+SUMIFS('Renew &amp; Vac '!$H$119:$H$133,'Renew &amp; Vac '!$A$119:$A$133,$B244,'Renew &amp; Vac '!$D$119:$D$133,"&lt;="&amp;M$216,'Renew &amp; Vac '!$E$119:$E$133,"&gt;="&amp;M$216)</f>
        <v>0</v>
      </c>
      <c r="N244" s="6">
        <f>SUMIFS('Renew &amp; Vac '!$S$119:$S$133,'Renew &amp; Vac '!$L$119:$L$133,$B244,'Renew &amp; Vac '!$O$119:$O$133,"&lt;="&amp;N$216,'Renew &amp; Vac '!$P$119:$P$133,"&gt;="&amp;N$216)+SUMIFS('Renew &amp; Vac '!$H$119:$H$133,'Renew &amp; Vac '!$A$119:$A$133,$B244,'Renew &amp; Vac '!$D$119:$D$133,"&lt;="&amp;N$216,'Renew &amp; Vac '!$E$119:$E$133,"&gt;="&amp;N$216)</f>
        <v>0</v>
      </c>
      <c r="O244" s="6">
        <f>SUMIFS('Renew &amp; Vac '!$S$119:$S$133,'Renew &amp; Vac '!$L$119:$L$133,$B244,'Renew &amp; Vac '!$O$119:$O$133,"&lt;="&amp;O$216,'Renew &amp; Vac '!$P$119:$P$133,"&gt;="&amp;O$216)+SUMIFS('Renew &amp; Vac '!$H$119:$H$133,'Renew &amp; Vac '!$A$119:$A$133,$B244,'Renew &amp; Vac '!$D$119:$D$133,"&lt;="&amp;O$216,'Renew &amp; Vac '!$E$119:$E$133,"&gt;="&amp;O$216)</f>
        <v>0</v>
      </c>
      <c r="P244" s="6">
        <f>SUMIFS('Renew &amp; Vac '!$S$119:$S$133,'Renew &amp; Vac '!$L$119:$L$133,$B244,'Renew &amp; Vac '!$O$119:$O$133,"&lt;="&amp;P$216,'Renew &amp; Vac '!$P$119:$P$133,"&gt;="&amp;P$216)+SUMIFS('Renew &amp; Vac '!$H$119:$H$133,'Renew &amp; Vac '!$A$119:$A$133,$B244,'Renew &amp; Vac '!$D$119:$D$133,"&lt;="&amp;P$216,'Renew &amp; Vac '!$E$119:$E$133,"&gt;="&amp;P$216)</f>
        <v>0</v>
      </c>
      <c r="Q244" s="8">
        <f t="shared" si="67"/>
        <v>0</v>
      </c>
    </row>
    <row r="245" spans="1:21" hidden="1" outlineLevel="1" x14ac:dyDescent="0.35">
      <c r="B245" s="339" t="str">
        <f t="shared" si="66"/>
        <v>7010-12361</v>
      </c>
      <c r="C245" s="341"/>
      <c r="D245" s="79" t="str">
        <f>IFERROR(VLOOKUP(B245,'Renew &amp; Vac '!$L$119:$M$133,2,FALSE),IFERROR(VLOOKUP(B245,'Renew &amp; Vac '!$A$119:$B$133,2,FALSE),VLOOKUP(B245,$B$181:$D$211,3,FALSE)))</f>
        <v>Senator Joseph S. Picozzi</v>
      </c>
      <c r="E245" s="6">
        <f>SUMIFS('Renew &amp; Vac '!$S$119:$S$133,'Renew &amp; Vac '!$L$119:$L$133,$B245,'Renew &amp; Vac '!$O$119:$O$133,"&lt;="&amp;E$216,'Renew &amp; Vac '!$P$119:$P$133,"&gt;="&amp;E$216)+SUMIFS('Renew &amp; Vac '!$H$119:$H$133,'Renew &amp; Vac '!$A$119:$A$133,$B245,'Renew &amp; Vac '!$D$119:$D$133,"&lt;="&amp;E$216,'Renew &amp; Vac '!$E$119:$E$133,"&gt;="&amp;E$216)</f>
        <v>0</v>
      </c>
      <c r="F245" s="6">
        <f>SUMIFS('Renew &amp; Vac '!$S$119:$S$133,'Renew &amp; Vac '!$L$119:$L$133,$B245,'Renew &amp; Vac '!$O$119:$O$133,"&lt;="&amp;F$216,'Renew &amp; Vac '!$P$119:$P$133,"&gt;="&amp;F$216)+SUMIFS('Renew &amp; Vac '!$H$119:$H$133,'Renew &amp; Vac '!$A$119:$A$133,$B245,'Renew &amp; Vac '!$D$119:$D$133,"&lt;="&amp;F$216,'Renew &amp; Vac '!$E$119:$E$133,"&gt;="&amp;F$216)</f>
        <v>0</v>
      </c>
      <c r="G245" s="6">
        <f>SUMIFS('Renew &amp; Vac '!$S$119:$S$133,'Renew &amp; Vac '!$L$119:$L$133,$B245,'Renew &amp; Vac '!$O$119:$O$133,"&lt;="&amp;G$216,'Renew &amp; Vac '!$P$119:$P$133,"&gt;="&amp;G$216)+SUMIFS('Renew &amp; Vac '!$H$119:$H$133,'Renew &amp; Vac '!$A$119:$A$133,$B245,'Renew &amp; Vac '!$D$119:$D$133,"&lt;="&amp;G$216,'Renew &amp; Vac '!$E$119:$E$133,"&gt;="&amp;G$216)</f>
        <v>0</v>
      </c>
      <c r="H245" s="6">
        <f>SUMIFS('Renew &amp; Vac '!$S$119:$S$133,'Renew &amp; Vac '!$L$119:$L$133,$B245,'Renew &amp; Vac '!$O$119:$O$133,"&lt;="&amp;H$216,'Renew &amp; Vac '!$P$119:$P$133,"&gt;="&amp;H$216)+SUMIFS('Renew &amp; Vac '!$H$119:$H$133,'Renew &amp; Vac '!$A$119:$A$133,$B245,'Renew &amp; Vac '!$D$119:$D$133,"&lt;="&amp;H$216,'Renew &amp; Vac '!$E$119:$E$133,"&gt;="&amp;H$216)</f>
        <v>0</v>
      </c>
      <c r="I245" s="6">
        <f>SUMIFS('Renew &amp; Vac '!$S$119:$S$133,'Renew &amp; Vac '!$L$119:$L$133,$B245,'Renew &amp; Vac '!$O$119:$O$133,"&lt;="&amp;I$216,'Renew &amp; Vac '!$P$119:$P$133,"&gt;="&amp;I$216)+SUMIFS('Renew &amp; Vac '!$H$119:$H$133,'Renew &amp; Vac '!$A$119:$A$133,$B245,'Renew &amp; Vac '!$D$119:$D$133,"&lt;="&amp;I$216,'Renew &amp; Vac '!$E$119:$E$133,"&gt;="&amp;I$216)</f>
        <v>0</v>
      </c>
      <c r="J245" s="6">
        <f>SUMIFS('Renew &amp; Vac '!$S$119:$S$133,'Renew &amp; Vac '!$L$119:$L$133,$B245,'Renew &amp; Vac '!$O$119:$O$133,"&lt;="&amp;J$216,'Renew &amp; Vac '!$P$119:$P$133,"&gt;="&amp;J$216)+SUMIFS('Renew &amp; Vac '!$H$119:$H$133,'Renew &amp; Vac '!$A$119:$A$133,$B245,'Renew &amp; Vac '!$D$119:$D$133,"&lt;="&amp;J$216,'Renew &amp; Vac '!$E$119:$E$133,"&gt;="&amp;J$216)</f>
        <v>0</v>
      </c>
      <c r="K245" s="6">
        <f>SUMIFS('Renew &amp; Vac '!$S$119:$S$133,'Renew &amp; Vac '!$L$119:$L$133,$B245,'Renew &amp; Vac '!$O$119:$O$133,"&lt;="&amp;K$216,'Renew &amp; Vac '!$P$119:$P$133,"&gt;="&amp;K$216)+SUMIFS('Renew &amp; Vac '!$H$119:$H$133,'Renew &amp; Vac '!$A$119:$A$133,$B245,'Renew &amp; Vac '!$D$119:$D$133,"&lt;="&amp;K$216,'Renew &amp; Vac '!$E$119:$E$133,"&gt;="&amp;K$216)</f>
        <v>0</v>
      </c>
      <c r="L245" s="6">
        <f>SUMIFS('Renew &amp; Vac '!$S$119:$S$133,'Renew &amp; Vac '!$L$119:$L$133,$B245,'Renew &amp; Vac '!$O$119:$O$133,"&lt;="&amp;L$216,'Renew &amp; Vac '!$P$119:$P$133,"&gt;="&amp;L$216)+SUMIFS('Renew &amp; Vac '!$H$119:$H$133,'Renew &amp; Vac '!$A$119:$A$133,$B245,'Renew &amp; Vac '!$D$119:$D$133,"&lt;="&amp;L$216,'Renew &amp; Vac '!$E$119:$E$133,"&gt;="&amp;L$216)</f>
        <v>0</v>
      </c>
      <c r="M245" s="6">
        <f>SUMIFS('Renew &amp; Vac '!$S$119:$S$133,'Renew &amp; Vac '!$L$119:$L$133,$B245,'Renew &amp; Vac '!$O$119:$O$133,"&lt;="&amp;M$216,'Renew &amp; Vac '!$P$119:$P$133,"&gt;="&amp;M$216)+SUMIFS('Renew &amp; Vac '!$H$119:$H$133,'Renew &amp; Vac '!$A$119:$A$133,$B245,'Renew &amp; Vac '!$D$119:$D$133,"&lt;="&amp;M$216,'Renew &amp; Vac '!$E$119:$E$133,"&gt;="&amp;M$216)</f>
        <v>0</v>
      </c>
      <c r="N245" s="6">
        <f>SUMIFS('Renew &amp; Vac '!$S$119:$S$133,'Renew &amp; Vac '!$L$119:$L$133,$B245,'Renew &amp; Vac '!$O$119:$O$133,"&lt;="&amp;N$216,'Renew &amp; Vac '!$P$119:$P$133,"&gt;="&amp;N$216)+SUMIFS('Renew &amp; Vac '!$H$119:$H$133,'Renew &amp; Vac '!$A$119:$A$133,$B245,'Renew &amp; Vac '!$D$119:$D$133,"&lt;="&amp;N$216,'Renew &amp; Vac '!$E$119:$E$133,"&gt;="&amp;N$216)</f>
        <v>0</v>
      </c>
      <c r="O245" s="6">
        <f>SUMIFS('Renew &amp; Vac '!$S$119:$S$133,'Renew &amp; Vac '!$L$119:$L$133,$B245,'Renew &amp; Vac '!$O$119:$O$133,"&lt;="&amp;O$216,'Renew &amp; Vac '!$P$119:$P$133,"&gt;="&amp;O$216)+SUMIFS('Renew &amp; Vac '!$H$119:$H$133,'Renew &amp; Vac '!$A$119:$A$133,$B245,'Renew &amp; Vac '!$D$119:$D$133,"&lt;="&amp;O$216,'Renew &amp; Vac '!$E$119:$E$133,"&gt;="&amp;O$216)</f>
        <v>0</v>
      </c>
      <c r="P245" s="6">
        <f>SUMIFS('Renew &amp; Vac '!$S$119:$S$133,'Renew &amp; Vac '!$L$119:$L$133,$B245,'Renew &amp; Vac '!$O$119:$O$133,"&lt;="&amp;P$216,'Renew &amp; Vac '!$P$119:$P$133,"&gt;="&amp;P$216)+SUMIFS('Renew &amp; Vac '!$H$119:$H$133,'Renew &amp; Vac '!$A$119:$A$133,$B245,'Renew &amp; Vac '!$D$119:$D$133,"&lt;="&amp;P$216,'Renew &amp; Vac '!$E$119:$E$133,"&gt;="&amp;P$216)</f>
        <v>0</v>
      </c>
      <c r="Q245" s="8">
        <f t="shared" si="67"/>
        <v>0</v>
      </c>
    </row>
    <row r="246" spans="1:21" hidden="1" outlineLevel="1" x14ac:dyDescent="0.35">
      <c r="B246" s="339" t="str">
        <f t="shared" si="66"/>
        <v>7010-12363</v>
      </c>
      <c r="C246" s="341"/>
      <c r="D246" s="79" t="str">
        <f>IFERROR(VLOOKUP(B246,'Renew &amp; Vac '!$L$119:$M$133,2,FALSE),IFERROR(VLOOKUP(B246,'Renew &amp; Vac '!$A$119:$B$133,2,FALSE),VLOOKUP(B246,$B$181:$D$211,3,FALSE)))</f>
        <v>Philly Soft Pretzel Factory</v>
      </c>
      <c r="E246" s="6">
        <f>SUMIFS('Renew &amp; Vac '!$S$119:$S$133,'Renew &amp; Vac '!$L$119:$L$133,$B246,'Renew &amp; Vac '!$O$119:$O$133,"&lt;="&amp;E$216,'Renew &amp; Vac '!$P$119:$P$133,"&gt;="&amp;E$216)+SUMIFS('Renew &amp; Vac '!$H$119:$H$133,'Renew &amp; Vac '!$A$119:$A$133,$B246,'Renew &amp; Vac '!$D$119:$D$133,"&lt;="&amp;E$216,'Renew &amp; Vac '!$E$119:$E$133,"&gt;="&amp;E$216)</f>
        <v>0</v>
      </c>
      <c r="F246" s="6">
        <f>SUMIFS('Renew &amp; Vac '!$S$119:$S$133,'Renew &amp; Vac '!$L$119:$L$133,$B246,'Renew &amp; Vac '!$O$119:$O$133,"&lt;="&amp;F$216,'Renew &amp; Vac '!$P$119:$P$133,"&gt;="&amp;F$216)+SUMIFS('Renew &amp; Vac '!$H$119:$H$133,'Renew &amp; Vac '!$A$119:$A$133,$B246,'Renew &amp; Vac '!$D$119:$D$133,"&lt;="&amp;F$216,'Renew &amp; Vac '!$E$119:$E$133,"&gt;="&amp;F$216)</f>
        <v>0</v>
      </c>
      <c r="G246" s="6">
        <f>SUMIFS('Renew &amp; Vac '!$S$119:$S$133,'Renew &amp; Vac '!$L$119:$L$133,$B246,'Renew &amp; Vac '!$O$119:$O$133,"&lt;="&amp;G$216,'Renew &amp; Vac '!$P$119:$P$133,"&gt;="&amp;G$216)+SUMIFS('Renew &amp; Vac '!$H$119:$H$133,'Renew &amp; Vac '!$A$119:$A$133,$B246,'Renew &amp; Vac '!$D$119:$D$133,"&lt;="&amp;G$216,'Renew &amp; Vac '!$E$119:$E$133,"&gt;="&amp;G$216)</f>
        <v>0</v>
      </c>
      <c r="H246" s="6">
        <f>SUMIFS('Renew &amp; Vac '!$S$119:$S$133,'Renew &amp; Vac '!$L$119:$L$133,$B246,'Renew &amp; Vac '!$O$119:$O$133,"&lt;="&amp;H$216,'Renew &amp; Vac '!$P$119:$P$133,"&gt;="&amp;H$216)+SUMIFS('Renew &amp; Vac '!$H$119:$H$133,'Renew &amp; Vac '!$A$119:$A$133,$B246,'Renew &amp; Vac '!$D$119:$D$133,"&lt;="&amp;H$216,'Renew &amp; Vac '!$E$119:$E$133,"&gt;="&amp;H$216)</f>
        <v>3129.4433333333332</v>
      </c>
      <c r="I246" s="6">
        <f>SUMIFS('Renew &amp; Vac '!$S$119:$S$133,'Renew &amp; Vac '!$L$119:$L$133,$B246,'Renew &amp; Vac '!$O$119:$O$133,"&lt;="&amp;I$216,'Renew &amp; Vac '!$P$119:$P$133,"&gt;="&amp;I$216)+SUMIFS('Renew &amp; Vac '!$H$119:$H$133,'Renew &amp; Vac '!$A$119:$A$133,$B246,'Renew &amp; Vac '!$D$119:$D$133,"&lt;="&amp;I$216,'Renew &amp; Vac '!$E$119:$E$133,"&gt;="&amp;I$216)</f>
        <v>3129.4433333333332</v>
      </c>
      <c r="J246" s="6">
        <f>SUMIFS('Renew &amp; Vac '!$S$119:$S$133,'Renew &amp; Vac '!$L$119:$L$133,$B246,'Renew &amp; Vac '!$O$119:$O$133,"&lt;="&amp;J$216,'Renew &amp; Vac '!$P$119:$P$133,"&gt;="&amp;J$216)+SUMIFS('Renew &amp; Vac '!$H$119:$H$133,'Renew &amp; Vac '!$A$119:$A$133,$B246,'Renew &amp; Vac '!$D$119:$D$133,"&lt;="&amp;J$216,'Renew &amp; Vac '!$E$119:$E$133,"&gt;="&amp;J$216)</f>
        <v>3129.4433333333332</v>
      </c>
      <c r="K246" s="6">
        <f>SUMIFS('Renew &amp; Vac '!$S$119:$S$133,'Renew &amp; Vac '!$L$119:$L$133,$B246,'Renew &amp; Vac '!$O$119:$O$133,"&lt;="&amp;K$216,'Renew &amp; Vac '!$P$119:$P$133,"&gt;="&amp;K$216)+SUMIFS('Renew &amp; Vac '!$H$119:$H$133,'Renew &amp; Vac '!$A$119:$A$133,$B246,'Renew &amp; Vac '!$D$119:$D$133,"&lt;="&amp;K$216,'Renew &amp; Vac '!$E$119:$E$133,"&gt;="&amp;K$216)</f>
        <v>3129.4433333333332</v>
      </c>
      <c r="L246" s="6">
        <f>SUMIFS('Renew &amp; Vac '!$S$119:$S$133,'Renew &amp; Vac '!$L$119:$L$133,$B246,'Renew &amp; Vac '!$O$119:$O$133,"&lt;="&amp;L$216,'Renew &amp; Vac '!$P$119:$P$133,"&gt;="&amp;L$216)+SUMIFS('Renew &amp; Vac '!$H$119:$H$133,'Renew &amp; Vac '!$A$119:$A$133,$B246,'Renew &amp; Vac '!$D$119:$D$133,"&lt;="&amp;L$216,'Renew &amp; Vac '!$E$119:$E$133,"&gt;="&amp;L$216)</f>
        <v>3129.4433333333332</v>
      </c>
      <c r="M246" s="6">
        <f>SUMIFS('Renew &amp; Vac '!$S$119:$S$133,'Renew &amp; Vac '!$L$119:$L$133,$B246,'Renew &amp; Vac '!$O$119:$O$133,"&lt;="&amp;M$216,'Renew &amp; Vac '!$P$119:$P$133,"&gt;="&amp;M$216)+SUMIFS('Renew &amp; Vac '!$H$119:$H$133,'Renew &amp; Vac '!$A$119:$A$133,$B246,'Renew &amp; Vac '!$D$119:$D$133,"&lt;="&amp;M$216,'Renew &amp; Vac '!$E$119:$E$133,"&gt;="&amp;M$216)</f>
        <v>3129.4433333333332</v>
      </c>
      <c r="N246" s="6">
        <f>SUMIFS('Renew &amp; Vac '!$S$119:$S$133,'Renew &amp; Vac '!$L$119:$L$133,$B246,'Renew &amp; Vac '!$O$119:$O$133,"&lt;="&amp;N$216,'Renew &amp; Vac '!$P$119:$P$133,"&gt;="&amp;N$216)+SUMIFS('Renew &amp; Vac '!$H$119:$H$133,'Renew &amp; Vac '!$A$119:$A$133,$B246,'Renew &amp; Vac '!$D$119:$D$133,"&lt;="&amp;N$216,'Renew &amp; Vac '!$E$119:$E$133,"&gt;="&amp;N$216)</f>
        <v>3129.4433333333332</v>
      </c>
      <c r="O246" s="6">
        <f>SUMIFS('Renew &amp; Vac '!$S$119:$S$133,'Renew &amp; Vac '!$L$119:$L$133,$B246,'Renew &amp; Vac '!$O$119:$O$133,"&lt;="&amp;O$216,'Renew &amp; Vac '!$P$119:$P$133,"&gt;="&amp;O$216)+SUMIFS('Renew &amp; Vac '!$H$119:$H$133,'Renew &amp; Vac '!$A$119:$A$133,$B246,'Renew &amp; Vac '!$D$119:$D$133,"&lt;="&amp;O$216,'Renew &amp; Vac '!$E$119:$E$133,"&gt;="&amp;O$216)</f>
        <v>3129.4433333333332</v>
      </c>
      <c r="P246" s="6">
        <f>SUMIFS('Renew &amp; Vac '!$S$119:$S$133,'Renew &amp; Vac '!$L$119:$L$133,$B246,'Renew &amp; Vac '!$O$119:$O$133,"&lt;="&amp;P$216,'Renew &amp; Vac '!$P$119:$P$133,"&gt;="&amp;P$216)+SUMIFS('Renew &amp; Vac '!$H$119:$H$133,'Renew &amp; Vac '!$A$119:$A$133,$B246,'Renew &amp; Vac '!$D$119:$D$133,"&lt;="&amp;P$216,'Renew &amp; Vac '!$E$119:$E$133,"&gt;="&amp;P$216)</f>
        <v>3129.4433333333332</v>
      </c>
      <c r="Q246" s="8">
        <f t="shared" si="67"/>
        <v>28164.989999999998</v>
      </c>
    </row>
    <row r="247" spans="1:21" hidden="1" outlineLevel="1" x14ac:dyDescent="0.35">
      <c r="B247" s="340" t="str">
        <f t="shared" si="66"/>
        <v>7010-12375</v>
      </c>
      <c r="C247" s="342"/>
      <c r="D247" s="227" t="str">
        <f>IFERROR(VLOOKUP(B247,'Renew &amp; Vac '!$L$119:$M$133,2,FALSE),IFERROR(VLOOKUP(B247,'Renew &amp; Vac '!$A$119:$B$133,2,FALSE),VLOOKUP(B247,$B$181:$D$211,3,FALSE)))</f>
        <v>Dunkin Donuts</v>
      </c>
      <c r="E247" s="15">
        <f>SUMIFS('Renew &amp; Vac '!$S$119:$S$133,'Renew &amp; Vac '!$L$119:$L$133,$B247,'Renew &amp; Vac '!$O$119:$O$133,"&lt;="&amp;E$216,'Renew &amp; Vac '!$P$119:$P$133,"&gt;="&amp;E$216)+SUMIFS('Renew &amp; Vac '!$H$119:$H$133,'Renew &amp; Vac '!$A$119:$A$133,$B247,'Renew &amp; Vac '!$D$119:$D$133,"&lt;="&amp;E$216,'Renew &amp; Vac '!$E$119:$E$133,"&gt;="&amp;E$216)</f>
        <v>0</v>
      </c>
      <c r="F247" s="15">
        <f>SUMIFS('Renew &amp; Vac '!$S$119:$S$133,'Renew &amp; Vac '!$L$119:$L$133,$B247,'Renew &amp; Vac '!$O$119:$O$133,"&lt;="&amp;F$216,'Renew &amp; Vac '!$P$119:$P$133,"&gt;="&amp;F$216)+SUMIFS('Renew &amp; Vac '!$H$119:$H$133,'Renew &amp; Vac '!$A$119:$A$133,$B247,'Renew &amp; Vac '!$D$119:$D$133,"&lt;="&amp;F$216,'Renew &amp; Vac '!$E$119:$E$133,"&gt;="&amp;F$216)</f>
        <v>0</v>
      </c>
      <c r="G247" s="15">
        <f>SUMIFS('Renew &amp; Vac '!$S$119:$S$133,'Renew &amp; Vac '!$L$119:$L$133,$B247,'Renew &amp; Vac '!$O$119:$O$133,"&lt;="&amp;G$216,'Renew &amp; Vac '!$P$119:$P$133,"&gt;="&amp;G$216)+SUMIFS('Renew &amp; Vac '!$H$119:$H$133,'Renew &amp; Vac '!$A$119:$A$133,$B247,'Renew &amp; Vac '!$D$119:$D$133,"&lt;="&amp;G$216,'Renew &amp; Vac '!$E$119:$E$133,"&gt;="&amp;G$216)</f>
        <v>0</v>
      </c>
      <c r="H247" s="15">
        <f>SUMIFS('Renew &amp; Vac '!$S$119:$S$133,'Renew &amp; Vac '!$L$119:$L$133,$B247,'Renew &amp; Vac '!$O$119:$O$133,"&lt;="&amp;H$216,'Renew &amp; Vac '!$P$119:$P$133,"&gt;="&amp;H$216)+SUMIFS('Renew &amp; Vac '!$H$119:$H$133,'Renew &amp; Vac '!$A$119:$A$133,$B247,'Renew &amp; Vac '!$D$119:$D$133,"&lt;="&amp;H$216,'Renew &amp; Vac '!$E$119:$E$133,"&gt;="&amp;H$216)</f>
        <v>0</v>
      </c>
      <c r="I247" s="15">
        <f>SUMIFS('Renew &amp; Vac '!$S$119:$S$133,'Renew &amp; Vac '!$L$119:$L$133,$B247,'Renew &amp; Vac '!$O$119:$O$133,"&lt;="&amp;I$216,'Renew &amp; Vac '!$P$119:$P$133,"&gt;="&amp;I$216)+SUMIFS('Renew &amp; Vac '!$H$119:$H$133,'Renew &amp; Vac '!$A$119:$A$133,$B247,'Renew &amp; Vac '!$D$119:$D$133,"&lt;="&amp;I$216,'Renew &amp; Vac '!$E$119:$E$133,"&gt;="&amp;I$216)</f>
        <v>0</v>
      </c>
      <c r="J247" s="15">
        <f>SUMIFS('Renew &amp; Vac '!$S$119:$S$133,'Renew &amp; Vac '!$L$119:$L$133,$B247,'Renew &amp; Vac '!$O$119:$O$133,"&lt;="&amp;J$216,'Renew &amp; Vac '!$P$119:$P$133,"&gt;="&amp;J$216)+SUMIFS('Renew &amp; Vac '!$H$119:$H$133,'Renew &amp; Vac '!$A$119:$A$133,$B247,'Renew &amp; Vac '!$D$119:$D$133,"&lt;="&amp;J$216,'Renew &amp; Vac '!$E$119:$E$133,"&gt;="&amp;J$216)</f>
        <v>0</v>
      </c>
      <c r="K247" s="15">
        <f>SUMIFS('Renew &amp; Vac '!$S$119:$S$133,'Renew &amp; Vac '!$L$119:$L$133,$B247,'Renew &amp; Vac '!$O$119:$O$133,"&lt;="&amp;K$216,'Renew &amp; Vac '!$P$119:$P$133,"&gt;="&amp;K$216)+SUMIFS('Renew &amp; Vac '!$H$119:$H$133,'Renew &amp; Vac '!$A$119:$A$133,$B247,'Renew &amp; Vac '!$D$119:$D$133,"&lt;="&amp;K$216,'Renew &amp; Vac '!$E$119:$E$133,"&gt;="&amp;K$216)</f>
        <v>0</v>
      </c>
      <c r="L247" s="15">
        <f>SUMIFS('Renew &amp; Vac '!$S$119:$S$133,'Renew &amp; Vac '!$L$119:$L$133,$B247,'Renew &amp; Vac '!$O$119:$O$133,"&lt;="&amp;L$216,'Renew &amp; Vac '!$P$119:$P$133,"&gt;="&amp;L$216)+SUMIFS('Renew &amp; Vac '!$H$119:$H$133,'Renew &amp; Vac '!$A$119:$A$133,$B247,'Renew &amp; Vac '!$D$119:$D$133,"&lt;="&amp;L$216,'Renew &amp; Vac '!$E$119:$E$133,"&gt;="&amp;L$216)</f>
        <v>5581.333333333333</v>
      </c>
      <c r="M247" s="15">
        <f>SUMIFS('Renew &amp; Vac '!$S$119:$S$133,'Renew &amp; Vac '!$L$119:$L$133,$B247,'Renew &amp; Vac '!$O$119:$O$133,"&lt;="&amp;M$216,'Renew &amp; Vac '!$P$119:$P$133,"&gt;="&amp;M$216)+SUMIFS('Renew &amp; Vac '!$H$119:$H$133,'Renew &amp; Vac '!$A$119:$A$133,$B247,'Renew &amp; Vac '!$D$119:$D$133,"&lt;="&amp;M$216,'Renew &amp; Vac '!$E$119:$E$133,"&gt;="&amp;M$216)</f>
        <v>5581.333333333333</v>
      </c>
      <c r="N247" s="15">
        <f>SUMIFS('Renew &amp; Vac '!$S$119:$S$133,'Renew &amp; Vac '!$L$119:$L$133,$B247,'Renew &amp; Vac '!$O$119:$O$133,"&lt;="&amp;N$216,'Renew &amp; Vac '!$P$119:$P$133,"&gt;="&amp;N$216)+SUMIFS('Renew &amp; Vac '!$H$119:$H$133,'Renew &amp; Vac '!$A$119:$A$133,$B247,'Renew &amp; Vac '!$D$119:$D$133,"&lt;="&amp;N$216,'Renew &amp; Vac '!$E$119:$E$133,"&gt;="&amp;N$216)</f>
        <v>5581.333333333333</v>
      </c>
      <c r="O247" s="15">
        <f>SUMIFS('Renew &amp; Vac '!$S$119:$S$133,'Renew &amp; Vac '!$L$119:$L$133,$B247,'Renew &amp; Vac '!$O$119:$O$133,"&lt;="&amp;O$216,'Renew &amp; Vac '!$P$119:$P$133,"&gt;="&amp;O$216)+SUMIFS('Renew &amp; Vac '!$H$119:$H$133,'Renew &amp; Vac '!$A$119:$A$133,$B247,'Renew &amp; Vac '!$D$119:$D$133,"&lt;="&amp;O$216,'Renew &amp; Vac '!$E$119:$E$133,"&gt;="&amp;O$216)</f>
        <v>5581.333333333333</v>
      </c>
      <c r="P247" s="15">
        <f>SUMIFS('Renew &amp; Vac '!$S$119:$S$133,'Renew &amp; Vac '!$L$119:$L$133,$B247,'Renew &amp; Vac '!$O$119:$O$133,"&lt;="&amp;P$216,'Renew &amp; Vac '!$P$119:$P$133,"&gt;="&amp;P$216)+SUMIFS('Renew &amp; Vac '!$H$119:$H$133,'Renew &amp; Vac '!$A$119:$A$133,$B247,'Renew &amp; Vac '!$D$119:$D$133,"&lt;="&amp;P$216,'Renew &amp; Vac '!$E$119:$E$133,"&gt;="&amp;P$216)</f>
        <v>5581.333333333333</v>
      </c>
      <c r="Q247" s="49">
        <f t="shared" si="67"/>
        <v>27906.666666666664</v>
      </c>
    </row>
    <row r="248" spans="1:21" hidden="1" outlineLevel="1" x14ac:dyDescent="0.35">
      <c r="B248" s="3"/>
      <c r="D248" s="16" t="s">
        <v>12</v>
      </c>
      <c r="E248" s="8">
        <f t="shared" ref="E248:Q248" si="68">SUM(E217:E247)</f>
        <v>5216</v>
      </c>
      <c r="F248" s="8">
        <f t="shared" si="68"/>
        <v>5216</v>
      </c>
      <c r="G248" s="8">
        <f t="shared" si="68"/>
        <v>5216</v>
      </c>
      <c r="H248" s="8">
        <f t="shared" si="68"/>
        <v>8345.4433333333327</v>
      </c>
      <c r="I248" s="8">
        <f t="shared" si="68"/>
        <v>8345.4433333333327</v>
      </c>
      <c r="J248" s="8">
        <f t="shared" si="68"/>
        <v>8345.4433333333327</v>
      </c>
      <c r="K248" s="8">
        <f t="shared" si="68"/>
        <v>13594.259166666667</v>
      </c>
      <c r="L248" s="8">
        <f t="shared" si="68"/>
        <v>24212.592499999999</v>
      </c>
      <c r="M248" s="8">
        <f t="shared" si="68"/>
        <v>37080.357499999998</v>
      </c>
      <c r="N248" s="8">
        <f t="shared" si="68"/>
        <v>42337.029166666674</v>
      </c>
      <c r="O248" s="8">
        <f t="shared" si="68"/>
        <v>42337.029166666674</v>
      </c>
      <c r="P248" s="8">
        <f t="shared" si="68"/>
        <v>42337.029166666674</v>
      </c>
      <c r="Q248" s="8">
        <f t="shared" si="68"/>
        <v>242582.62666666665</v>
      </c>
    </row>
    <row r="249" spans="1:21" hidden="1" outlineLevel="1" x14ac:dyDescent="0.35">
      <c r="E249" s="55">
        <f t="shared" ref="E249:Q249" si="69">E11-E248</f>
        <v>0</v>
      </c>
      <c r="F249" s="55">
        <f t="shared" si="69"/>
        <v>0</v>
      </c>
      <c r="G249" s="55">
        <f t="shared" si="69"/>
        <v>0</v>
      </c>
      <c r="H249" s="55">
        <f t="shared" si="69"/>
        <v>0</v>
      </c>
      <c r="I249" s="55">
        <f t="shared" si="69"/>
        <v>0</v>
      </c>
      <c r="J249" s="55">
        <f t="shared" si="69"/>
        <v>0</v>
      </c>
      <c r="K249" s="55">
        <f t="shared" si="69"/>
        <v>0</v>
      </c>
      <c r="L249" s="55">
        <f t="shared" si="69"/>
        <v>0</v>
      </c>
      <c r="M249" s="55">
        <f t="shared" si="69"/>
        <v>0</v>
      </c>
      <c r="N249" s="55">
        <f t="shared" si="69"/>
        <v>0</v>
      </c>
      <c r="O249" s="55">
        <f t="shared" si="69"/>
        <v>0</v>
      </c>
      <c r="P249" s="55">
        <f t="shared" si="69"/>
        <v>0</v>
      </c>
      <c r="Q249" s="6">
        <f t="shared" si="69"/>
        <v>0</v>
      </c>
      <c r="T249" s="6"/>
      <c r="U249" s="6"/>
    </row>
    <row r="250" spans="1:21" collapsed="1" x14ac:dyDescent="0.35">
      <c r="B250" s="3"/>
    </row>
    <row r="251" spans="1:21" ht="17.5" x14ac:dyDescent="0.35">
      <c r="A251" s="47"/>
      <c r="B251" s="352" t="str">
        <f>"Budget Import - "&amp;B1</f>
        <v>Budget Import - 7010</v>
      </c>
      <c r="E251" s="389">
        <v>5</v>
      </c>
      <c r="F251" s="390">
        <f>E251+1</f>
        <v>6</v>
      </c>
      <c r="G251" s="390">
        <f t="shared" ref="G251:P251" si="70">F251+1</f>
        <v>7</v>
      </c>
      <c r="H251" s="390">
        <f t="shared" si="70"/>
        <v>8</v>
      </c>
      <c r="I251" s="390">
        <f t="shared" si="70"/>
        <v>9</v>
      </c>
      <c r="J251" s="390">
        <f t="shared" si="70"/>
        <v>10</v>
      </c>
      <c r="K251" s="390">
        <f t="shared" si="70"/>
        <v>11</v>
      </c>
      <c r="L251" s="390">
        <f t="shared" si="70"/>
        <v>12</v>
      </c>
      <c r="M251" s="390">
        <f t="shared" si="70"/>
        <v>13</v>
      </c>
      <c r="N251" s="390">
        <f t="shared" si="70"/>
        <v>14</v>
      </c>
      <c r="O251" s="390">
        <f t="shared" si="70"/>
        <v>15</v>
      </c>
      <c r="P251" s="390">
        <f t="shared" si="70"/>
        <v>16</v>
      </c>
      <c r="Q251" s="390" t="s">
        <v>566</v>
      </c>
    </row>
    <row r="252" spans="1:21" ht="16.5" outlineLevel="1" thickBot="1" x14ac:dyDescent="0.4">
      <c r="A252" s="47"/>
      <c r="D252" s="6" t="s">
        <v>96</v>
      </c>
      <c r="E252" s="6">
        <v>1</v>
      </c>
      <c r="F252" s="6">
        <v>2</v>
      </c>
      <c r="G252" s="6">
        <v>3</v>
      </c>
      <c r="H252" s="6">
        <v>4</v>
      </c>
      <c r="I252" s="6">
        <v>5</v>
      </c>
      <c r="J252" s="6">
        <v>6</v>
      </c>
      <c r="K252" s="6">
        <v>7</v>
      </c>
      <c r="L252" s="6">
        <v>8</v>
      </c>
      <c r="M252" s="6">
        <v>9</v>
      </c>
      <c r="N252" s="6">
        <v>10</v>
      </c>
      <c r="O252" s="6">
        <v>11</v>
      </c>
      <c r="P252" s="6">
        <v>12</v>
      </c>
      <c r="Q252" s="13" t="s">
        <v>12</v>
      </c>
    </row>
    <row r="253" spans="1:21" outlineLevel="1" x14ac:dyDescent="0.35">
      <c r="A253" s="294" t="str">
        <f t="shared" ref="A253:A272" si="71">VLOOKUP($D253,$A$10:$D$132,3,FALSE)</f>
        <v>Rental Income - In Place</v>
      </c>
      <c r="D253" s="57" t="s">
        <v>132</v>
      </c>
      <c r="E253" s="58">
        <f>-(VLOOKUP($D253,$A$10:$P$137,E$251,FALSE)+E11)</f>
        <v>-91393.07</v>
      </c>
      <c r="F253" s="58">
        <f t="shared" ref="F253:O253" si="72">-(VLOOKUP($D253,$A$10:$P$137,F$251,FALSE)+F11)</f>
        <v>-91423.07</v>
      </c>
      <c r="G253" s="58">
        <f t="shared" si="72"/>
        <v>-91423.07</v>
      </c>
      <c r="H253" s="58">
        <f t="shared" si="72"/>
        <v>-91239.183333333334</v>
      </c>
      <c r="I253" s="58">
        <f t="shared" si="72"/>
        <v>-91239.183333333334</v>
      </c>
      <c r="J253" s="58">
        <f t="shared" si="72"/>
        <v>-91239.183333333334</v>
      </c>
      <c r="K253" s="58">
        <f t="shared" si="72"/>
        <v>-92416.869166666656</v>
      </c>
      <c r="L253" s="58">
        <f t="shared" si="72"/>
        <v>-92892.252500000002</v>
      </c>
      <c r="M253" s="58">
        <f t="shared" si="72"/>
        <v>-94012.517499999987</v>
      </c>
      <c r="N253" s="58">
        <f t="shared" si="72"/>
        <v>-93194.539166666669</v>
      </c>
      <c r="O253" s="58">
        <f t="shared" si="72"/>
        <v>-93194.539166666669</v>
      </c>
      <c r="P253" s="59">
        <f t="shared" ref="P253" si="73">-(VLOOKUP($D253,$A$10:$P$137,P$251,FALSE)+P11)</f>
        <v>-93194.539166666669</v>
      </c>
      <c r="Q253" s="13">
        <f>SUM(E253:P253)</f>
        <v>-1106862.0166666666</v>
      </c>
      <c r="R253" s="13"/>
    </row>
    <row r="254" spans="1:21" outlineLevel="1" x14ac:dyDescent="0.35">
      <c r="A254" s="294" t="str">
        <f t="shared" si="71"/>
        <v>Interest Income</v>
      </c>
      <c r="D254" s="60" t="s">
        <v>134</v>
      </c>
      <c r="E254" s="61">
        <f t="shared" ref="E254:P257" si="74">-VLOOKUP($D254,$A$10:$P$137,E$251,FALSE)</f>
        <v>-76.22</v>
      </c>
      <c r="F254" s="61">
        <f t="shared" si="74"/>
        <v>-76.22</v>
      </c>
      <c r="G254" s="61">
        <f t="shared" si="74"/>
        <v>-76.22</v>
      </c>
      <c r="H254" s="61">
        <f t="shared" si="74"/>
        <v>-76.22</v>
      </c>
      <c r="I254" s="61">
        <f t="shared" si="74"/>
        <v>-76.22</v>
      </c>
      <c r="J254" s="61">
        <f t="shared" si="74"/>
        <v>-76.22</v>
      </c>
      <c r="K254" s="61">
        <f t="shared" si="74"/>
        <v>-76.22</v>
      </c>
      <c r="L254" s="61">
        <f t="shared" si="74"/>
        <v>-76.22</v>
      </c>
      <c r="M254" s="61">
        <f t="shared" si="74"/>
        <v>-76.22</v>
      </c>
      <c r="N254" s="61">
        <f t="shared" si="74"/>
        <v>-76.22</v>
      </c>
      <c r="O254" s="61">
        <f t="shared" si="74"/>
        <v>-76.22</v>
      </c>
      <c r="P254" s="62">
        <f t="shared" si="74"/>
        <v>-76.22</v>
      </c>
      <c r="Q254" s="13">
        <f t="shared" ref="Q254" si="75">SUM(E254:P254)</f>
        <v>-914.64000000000021</v>
      </c>
      <c r="R254" s="13"/>
    </row>
    <row r="255" spans="1:21" outlineLevel="1" x14ac:dyDescent="0.35">
      <c r="A255" s="294" t="str">
        <f t="shared" si="71"/>
        <v>Electric - Office Tenants</v>
      </c>
      <c r="D255" s="60" t="s">
        <v>98</v>
      </c>
      <c r="E255" s="61">
        <f t="shared" si="74"/>
        <v>-1978.2</v>
      </c>
      <c r="F255" s="61">
        <f t="shared" si="74"/>
        <v>-1802.8500000000001</v>
      </c>
      <c r="G255" s="61">
        <f t="shared" si="74"/>
        <v>-1659</v>
      </c>
      <c r="H255" s="61">
        <f t="shared" si="74"/>
        <v>-1174.95</v>
      </c>
      <c r="I255" s="61">
        <f t="shared" si="74"/>
        <v>-1174.95</v>
      </c>
      <c r="J255" s="61">
        <f t="shared" si="74"/>
        <v>-1191.75</v>
      </c>
      <c r="K255" s="61">
        <f t="shared" si="74"/>
        <v>-1503.6000000000001</v>
      </c>
      <c r="L255" s="61">
        <f t="shared" si="74"/>
        <v>-1451.1000000000001</v>
      </c>
      <c r="M255" s="61">
        <f t="shared" si="74"/>
        <v>-1174.95</v>
      </c>
      <c r="N255" s="61">
        <f t="shared" si="74"/>
        <v>-1659</v>
      </c>
      <c r="O255" s="61">
        <f t="shared" si="74"/>
        <v>-1802.8500000000001</v>
      </c>
      <c r="P255" s="62">
        <f t="shared" si="74"/>
        <v>-1978.2</v>
      </c>
      <c r="Q255" s="13">
        <f t="shared" ref="Q255:Q291" si="76">SUM(E255:P255)</f>
        <v>-18551.400000000001</v>
      </c>
      <c r="R255" s="13"/>
    </row>
    <row r="256" spans="1:21" outlineLevel="1" x14ac:dyDescent="0.35">
      <c r="A256" s="294" t="str">
        <f t="shared" si="71"/>
        <v>Common Area Maintenance</v>
      </c>
      <c r="D256" s="60" t="s">
        <v>99</v>
      </c>
      <c r="E256" s="61">
        <f t="shared" si="74"/>
        <v>-30600</v>
      </c>
      <c r="F256" s="61">
        <f t="shared" si="74"/>
        <v>-30600</v>
      </c>
      <c r="G256" s="61">
        <f t="shared" si="74"/>
        <v>-30600</v>
      </c>
      <c r="H256" s="61">
        <f t="shared" si="74"/>
        <v>-30600</v>
      </c>
      <c r="I256" s="61">
        <f t="shared" si="74"/>
        <v>-30600</v>
      </c>
      <c r="J256" s="61">
        <f t="shared" si="74"/>
        <v>-30600</v>
      </c>
      <c r="K256" s="61">
        <f t="shared" si="74"/>
        <v>-30600</v>
      </c>
      <c r="L256" s="61">
        <f t="shared" si="74"/>
        <v>-30600</v>
      </c>
      <c r="M256" s="61">
        <f t="shared" si="74"/>
        <v>-30600</v>
      </c>
      <c r="N256" s="61">
        <f t="shared" si="74"/>
        <v>-30600</v>
      </c>
      <c r="O256" s="61">
        <f t="shared" si="74"/>
        <v>-30600</v>
      </c>
      <c r="P256" s="62">
        <f t="shared" si="74"/>
        <v>-30600</v>
      </c>
      <c r="Q256" s="13">
        <f t="shared" si="76"/>
        <v>-367200</v>
      </c>
      <c r="R256" s="13"/>
    </row>
    <row r="257" spans="1:20" ht="18" outlineLevel="1" x14ac:dyDescent="0.35">
      <c r="A257" s="294" t="str">
        <f t="shared" si="71"/>
        <v>Real Estate Taxes</v>
      </c>
      <c r="D257" s="60" t="s">
        <v>100</v>
      </c>
      <c r="E257" s="61">
        <f t="shared" si="74"/>
        <v>-8000</v>
      </c>
      <c r="F257" s="61">
        <f t="shared" si="74"/>
        <v>-8000</v>
      </c>
      <c r="G257" s="61">
        <f t="shared" si="74"/>
        <v>-8000</v>
      </c>
      <c r="H257" s="61">
        <f t="shared" si="74"/>
        <v>-8000</v>
      </c>
      <c r="I257" s="61">
        <f t="shared" si="74"/>
        <v>-8000</v>
      </c>
      <c r="J257" s="61">
        <f t="shared" si="74"/>
        <v>-8000</v>
      </c>
      <c r="K257" s="61">
        <f t="shared" si="74"/>
        <v>-8000</v>
      </c>
      <c r="L257" s="61">
        <f t="shared" si="74"/>
        <v>-8000</v>
      </c>
      <c r="M257" s="61">
        <f t="shared" si="74"/>
        <v>-8000</v>
      </c>
      <c r="N257" s="61">
        <f t="shared" si="74"/>
        <v>-8000</v>
      </c>
      <c r="O257" s="61">
        <f t="shared" si="74"/>
        <v>-8000</v>
      </c>
      <c r="P257" s="62">
        <f t="shared" si="74"/>
        <v>-8000</v>
      </c>
      <c r="Q257" s="13">
        <f t="shared" si="76"/>
        <v>-96000</v>
      </c>
      <c r="R257" s="13"/>
      <c r="S257" s="328"/>
      <c r="T257" s="329"/>
    </row>
    <row r="258" spans="1:20" outlineLevel="1" x14ac:dyDescent="0.35">
      <c r="A258" s="294" t="str">
        <f t="shared" si="71"/>
        <v>Insurance</v>
      </c>
      <c r="D258" s="60" t="s">
        <v>135</v>
      </c>
      <c r="E258" s="61">
        <f>-VLOOKUP($D258,$A$10:$P$137,E$251,FALSE)</f>
        <v>0</v>
      </c>
      <c r="F258" s="61">
        <f t="shared" ref="F258:P258" si="77">-VLOOKUP($D258,$A$10:$P$137,F$251,FALSE)</f>
        <v>0</v>
      </c>
      <c r="G258" s="61">
        <f t="shared" si="77"/>
        <v>0</v>
      </c>
      <c r="H258" s="61">
        <f t="shared" si="77"/>
        <v>0</v>
      </c>
      <c r="I258" s="61">
        <f t="shared" si="77"/>
        <v>0</v>
      </c>
      <c r="J258" s="61">
        <f t="shared" si="77"/>
        <v>0</v>
      </c>
      <c r="K258" s="61">
        <f t="shared" si="77"/>
        <v>0</v>
      </c>
      <c r="L258" s="61">
        <f t="shared" si="77"/>
        <v>0</v>
      </c>
      <c r="M258" s="61">
        <f t="shared" si="77"/>
        <v>0</v>
      </c>
      <c r="N258" s="61">
        <f t="shared" si="77"/>
        <v>0</v>
      </c>
      <c r="O258" s="61">
        <f t="shared" si="77"/>
        <v>0</v>
      </c>
      <c r="P258" s="62">
        <f t="shared" si="77"/>
        <v>0</v>
      </c>
      <c r="Q258" s="13">
        <f>SUM(E258:P258)</f>
        <v>0</v>
      </c>
      <c r="R258" s="13"/>
    </row>
    <row r="259" spans="1:20" outlineLevel="1" x14ac:dyDescent="0.35">
      <c r="A259" s="294" t="str">
        <f t="shared" si="71"/>
        <v>Maintenance Salaries</v>
      </c>
      <c r="D259" s="60" t="s">
        <v>101</v>
      </c>
      <c r="E259" s="61">
        <f t="shared" ref="E259:O283" si="78">VLOOKUP($D259,$A$10:$P$137,E$251,FALSE)</f>
        <v>2254.334088083373</v>
      </c>
      <c r="F259" s="61">
        <f t="shared" si="78"/>
        <v>2254.334088083373</v>
      </c>
      <c r="G259" s="61">
        <f t="shared" si="78"/>
        <v>2254.334088083373</v>
      </c>
      <c r="H259" s="61">
        <f t="shared" si="78"/>
        <v>2254.334088083373</v>
      </c>
      <c r="I259" s="61">
        <f t="shared" si="78"/>
        <v>2254.334088083373</v>
      </c>
      <c r="J259" s="61">
        <f t="shared" si="78"/>
        <v>2254.334088083373</v>
      </c>
      <c r="K259" s="61">
        <f t="shared" si="78"/>
        <v>2254.334088083373</v>
      </c>
      <c r="L259" s="61">
        <f t="shared" si="78"/>
        <v>2254.334088083373</v>
      </c>
      <c r="M259" s="61">
        <f t="shared" si="78"/>
        <v>2254.334088083373</v>
      </c>
      <c r="N259" s="61">
        <f t="shared" si="78"/>
        <v>2254.334088083373</v>
      </c>
      <c r="O259" s="61">
        <f t="shared" si="78"/>
        <v>2254.334088083373</v>
      </c>
      <c r="P259" s="62">
        <f t="shared" ref="P259:P282" si="79">VLOOKUP($D259,$A$10:$P$137,P$251,FALSE)</f>
        <v>2254.334088083373</v>
      </c>
      <c r="Q259" s="13">
        <f t="shared" si="76"/>
        <v>27052.009057000469</v>
      </c>
      <c r="R259" s="13"/>
    </row>
    <row r="260" spans="1:20" outlineLevel="1" x14ac:dyDescent="0.35">
      <c r="A260" s="294" t="str">
        <f>VLOOKUP($D260,$A$10:$D$132,4,FALSE)</f>
        <v>Electric - Common Areas</v>
      </c>
      <c r="D260" s="60" t="s">
        <v>102</v>
      </c>
      <c r="E260" s="61">
        <f>SUM(E29:E31)</f>
        <v>3403.25</v>
      </c>
      <c r="F260" s="61">
        <f t="shared" ref="F260:O260" si="80">SUM(F29:F31)</f>
        <v>3050.4500000000003</v>
      </c>
      <c r="G260" s="61">
        <f t="shared" si="80"/>
        <v>2777.2</v>
      </c>
      <c r="H260" s="61">
        <f t="shared" si="80"/>
        <v>2097.6</v>
      </c>
      <c r="I260" s="61">
        <f t="shared" si="80"/>
        <v>2155.35</v>
      </c>
      <c r="J260" s="61">
        <f t="shared" si="80"/>
        <v>2252.1999999999998</v>
      </c>
      <c r="K260" s="61">
        <f t="shared" si="80"/>
        <v>3069.3500000000004</v>
      </c>
      <c r="L260" s="61">
        <f t="shared" si="80"/>
        <v>2493.9500000000003</v>
      </c>
      <c r="M260" s="61">
        <f t="shared" si="80"/>
        <v>2351.9499999999998</v>
      </c>
      <c r="N260" s="61">
        <f t="shared" si="80"/>
        <v>2604.75</v>
      </c>
      <c r="O260" s="61">
        <f t="shared" si="80"/>
        <v>2890.3500000000004</v>
      </c>
      <c r="P260" s="62">
        <f t="shared" ref="P260" si="81">SUM(P29:P31)</f>
        <v>3204.8</v>
      </c>
      <c r="Q260" s="13">
        <f t="shared" si="76"/>
        <v>32351.200000000001</v>
      </c>
      <c r="R260" s="13"/>
      <c r="S260" s="8"/>
      <c r="T260" s="323"/>
    </row>
    <row r="261" spans="1:20" outlineLevel="1" x14ac:dyDescent="0.35">
      <c r="A261" s="294" t="str">
        <f t="shared" si="71"/>
        <v>Water &amp; Sewer</v>
      </c>
      <c r="D261" s="60" t="s">
        <v>103</v>
      </c>
      <c r="E261" s="61">
        <f t="shared" si="78"/>
        <v>304.88</v>
      </c>
      <c r="F261" s="61">
        <f t="shared" si="78"/>
        <v>532.51</v>
      </c>
      <c r="G261" s="61">
        <f t="shared" si="78"/>
        <v>506.76</v>
      </c>
      <c r="H261" s="61">
        <f t="shared" si="78"/>
        <v>435.69</v>
      </c>
      <c r="I261" s="61">
        <f t="shared" si="78"/>
        <v>258.53000000000003</v>
      </c>
      <c r="J261" s="61">
        <f t="shared" si="78"/>
        <v>273.98</v>
      </c>
      <c r="K261" s="61">
        <f t="shared" si="78"/>
        <v>293.55</v>
      </c>
      <c r="L261" s="61">
        <f t="shared" si="78"/>
        <v>283.25</v>
      </c>
      <c r="M261" s="61">
        <f t="shared" si="78"/>
        <v>336.81</v>
      </c>
      <c r="N261" s="61">
        <f t="shared" si="78"/>
        <v>304.88</v>
      </c>
      <c r="O261" s="61">
        <f t="shared" si="78"/>
        <v>294.58</v>
      </c>
      <c r="P261" s="62">
        <f t="shared" si="79"/>
        <v>304.88</v>
      </c>
      <c r="Q261" s="13">
        <f t="shared" si="76"/>
        <v>4130.3</v>
      </c>
      <c r="R261" s="13"/>
    </row>
    <row r="262" spans="1:20" outlineLevel="1" x14ac:dyDescent="0.35">
      <c r="A262" s="294" t="str">
        <f t="shared" si="71"/>
        <v>Building Maintenance</v>
      </c>
      <c r="D262" s="60" t="s">
        <v>104</v>
      </c>
      <c r="E262" s="61">
        <f t="shared" si="78"/>
        <v>4125.1499999999996</v>
      </c>
      <c r="F262" s="61">
        <f t="shared" si="78"/>
        <v>1936.4</v>
      </c>
      <c r="G262" s="61">
        <f t="shared" si="78"/>
        <v>21686.65</v>
      </c>
      <c r="H262" s="61">
        <f t="shared" si="78"/>
        <v>4125.1499999999996</v>
      </c>
      <c r="I262" s="61">
        <f t="shared" si="78"/>
        <v>3404.15</v>
      </c>
      <c r="J262" s="61">
        <f t="shared" si="78"/>
        <v>1086.6500000000001</v>
      </c>
      <c r="K262" s="61">
        <f t="shared" si="78"/>
        <v>4125.1499999999996</v>
      </c>
      <c r="L262" s="61">
        <f t="shared" si="78"/>
        <v>1936.4</v>
      </c>
      <c r="M262" s="61">
        <f t="shared" si="78"/>
        <v>34664.65</v>
      </c>
      <c r="N262" s="61">
        <f t="shared" si="78"/>
        <v>2863.4</v>
      </c>
      <c r="O262" s="61">
        <f t="shared" si="78"/>
        <v>1936.4</v>
      </c>
      <c r="P262" s="62">
        <f t="shared" si="79"/>
        <v>1086.6500000000001</v>
      </c>
      <c r="Q262" s="13">
        <f t="shared" si="76"/>
        <v>82976.799999999988</v>
      </c>
      <c r="R262" s="13"/>
    </row>
    <row r="263" spans="1:20" outlineLevel="1" x14ac:dyDescent="0.35">
      <c r="A263" s="294" t="str">
        <f t="shared" si="71"/>
        <v>Parking Lot Cleaning</v>
      </c>
      <c r="D263" s="60" t="s">
        <v>136</v>
      </c>
      <c r="E263" s="61">
        <f t="shared" si="78"/>
        <v>3193</v>
      </c>
      <c r="F263" s="61">
        <f t="shared" si="78"/>
        <v>3193</v>
      </c>
      <c r="G263" s="61">
        <f t="shared" si="78"/>
        <v>3399</v>
      </c>
      <c r="H263" s="61">
        <f t="shared" si="78"/>
        <v>3193</v>
      </c>
      <c r="I263" s="61">
        <f t="shared" si="78"/>
        <v>3193</v>
      </c>
      <c r="J263" s="61">
        <f t="shared" si="78"/>
        <v>3193</v>
      </c>
      <c r="K263" s="61">
        <f t="shared" si="78"/>
        <v>3399</v>
      </c>
      <c r="L263" s="61">
        <f t="shared" si="78"/>
        <v>3193</v>
      </c>
      <c r="M263" s="61">
        <f t="shared" si="78"/>
        <v>3193</v>
      </c>
      <c r="N263" s="61">
        <f t="shared" si="78"/>
        <v>3193</v>
      </c>
      <c r="O263" s="61">
        <f t="shared" si="78"/>
        <v>3399</v>
      </c>
      <c r="P263" s="62">
        <f t="shared" si="79"/>
        <v>3193</v>
      </c>
      <c r="Q263" s="13">
        <f t="shared" ref="Q263" si="82">SUM(E263:P263)</f>
        <v>38934</v>
      </c>
      <c r="R263" s="13"/>
    </row>
    <row r="264" spans="1:20" outlineLevel="1" x14ac:dyDescent="0.35">
      <c r="A264" s="294" t="str">
        <f t="shared" si="71"/>
        <v>Parking Lot Maintenance</v>
      </c>
      <c r="D264" s="60" t="s">
        <v>105</v>
      </c>
      <c r="E264" s="61">
        <f t="shared" si="78"/>
        <v>731.30000000000007</v>
      </c>
      <c r="F264" s="61">
        <f t="shared" si="78"/>
        <v>731.30000000000007</v>
      </c>
      <c r="G264" s="61">
        <f t="shared" si="78"/>
        <v>16181.3</v>
      </c>
      <c r="H264" s="61">
        <f t="shared" si="78"/>
        <v>731.30000000000007</v>
      </c>
      <c r="I264" s="61">
        <f t="shared" si="78"/>
        <v>731.30000000000007</v>
      </c>
      <c r="J264" s="61">
        <f t="shared" si="78"/>
        <v>16181.3</v>
      </c>
      <c r="K264" s="61">
        <f t="shared" si="78"/>
        <v>731.30000000000007</v>
      </c>
      <c r="L264" s="61">
        <f t="shared" si="78"/>
        <v>731.30000000000007</v>
      </c>
      <c r="M264" s="61">
        <f t="shared" si="78"/>
        <v>1658.3</v>
      </c>
      <c r="N264" s="61">
        <f t="shared" si="78"/>
        <v>21331.3</v>
      </c>
      <c r="O264" s="61">
        <f t="shared" si="78"/>
        <v>731.30000000000007</v>
      </c>
      <c r="P264" s="62">
        <f t="shared" si="79"/>
        <v>731.30000000000007</v>
      </c>
      <c r="Q264" s="13">
        <f t="shared" si="76"/>
        <v>61202.600000000006</v>
      </c>
      <c r="R264" s="13"/>
    </row>
    <row r="265" spans="1:20" outlineLevel="1" x14ac:dyDescent="0.35">
      <c r="A265" s="294" t="str">
        <f t="shared" si="71"/>
        <v>Snow Removal</v>
      </c>
      <c r="D265" s="60" t="s">
        <v>106</v>
      </c>
      <c r="E265" s="61">
        <f t="shared" si="78"/>
        <v>16480</v>
      </c>
      <c r="F265" s="61">
        <f t="shared" si="78"/>
        <v>16480</v>
      </c>
      <c r="G265" s="61">
        <f t="shared" si="78"/>
        <v>2575</v>
      </c>
      <c r="H265" s="61">
        <f t="shared" si="78"/>
        <v>0</v>
      </c>
      <c r="I265" s="61">
        <f t="shared" si="78"/>
        <v>0</v>
      </c>
      <c r="J265" s="61">
        <f t="shared" si="78"/>
        <v>0</v>
      </c>
      <c r="K265" s="61">
        <f t="shared" si="78"/>
        <v>0</v>
      </c>
      <c r="L265" s="61">
        <f t="shared" si="78"/>
        <v>0</v>
      </c>
      <c r="M265" s="61">
        <f t="shared" si="78"/>
        <v>0</v>
      </c>
      <c r="N265" s="61">
        <f t="shared" si="78"/>
        <v>0</v>
      </c>
      <c r="O265" s="61">
        <f t="shared" si="78"/>
        <v>1030</v>
      </c>
      <c r="P265" s="62">
        <f t="shared" si="79"/>
        <v>5150</v>
      </c>
      <c r="Q265" s="13">
        <f t="shared" si="76"/>
        <v>41715</v>
      </c>
      <c r="R265" s="13"/>
    </row>
    <row r="266" spans="1:20" outlineLevel="1" x14ac:dyDescent="0.35">
      <c r="A266" s="294" t="str">
        <f t="shared" si="71"/>
        <v>Landscaping</v>
      </c>
      <c r="D266" s="60" t="s">
        <v>107</v>
      </c>
      <c r="E266" s="61">
        <f t="shared" si="78"/>
        <v>0</v>
      </c>
      <c r="F266" s="61">
        <f t="shared" si="78"/>
        <v>0</v>
      </c>
      <c r="G266" s="61">
        <f t="shared" si="78"/>
        <v>0</v>
      </c>
      <c r="H266" s="61">
        <f t="shared" si="78"/>
        <v>1699.5</v>
      </c>
      <c r="I266" s="61">
        <f t="shared" si="78"/>
        <v>11999.5</v>
      </c>
      <c r="J266" s="61">
        <f t="shared" si="78"/>
        <v>1699.5</v>
      </c>
      <c r="K266" s="61">
        <f t="shared" si="78"/>
        <v>1699.5</v>
      </c>
      <c r="L266" s="61">
        <f t="shared" si="78"/>
        <v>1699.5</v>
      </c>
      <c r="M266" s="61">
        <f t="shared" si="78"/>
        <v>1699.5</v>
      </c>
      <c r="N266" s="61">
        <f t="shared" si="78"/>
        <v>1699.5</v>
      </c>
      <c r="O266" s="61">
        <f t="shared" si="78"/>
        <v>0</v>
      </c>
      <c r="P266" s="62">
        <f t="shared" si="79"/>
        <v>0</v>
      </c>
      <c r="Q266" s="13">
        <f t="shared" si="76"/>
        <v>22196.5</v>
      </c>
      <c r="R266" s="13"/>
    </row>
    <row r="267" spans="1:20" outlineLevel="1" x14ac:dyDescent="0.35">
      <c r="A267" s="294" t="str">
        <f t="shared" si="71"/>
        <v>Security</v>
      </c>
      <c r="D267" s="60" t="s">
        <v>108</v>
      </c>
      <c r="E267" s="61">
        <f t="shared" si="78"/>
        <v>12650</v>
      </c>
      <c r="F267" s="61">
        <f t="shared" si="78"/>
        <v>12650</v>
      </c>
      <c r="G267" s="61">
        <f t="shared" si="78"/>
        <v>12650</v>
      </c>
      <c r="H267" s="61">
        <f t="shared" si="78"/>
        <v>12650</v>
      </c>
      <c r="I267" s="61">
        <f t="shared" si="78"/>
        <v>12650</v>
      </c>
      <c r="J267" s="61">
        <f t="shared" si="78"/>
        <v>12650</v>
      </c>
      <c r="K267" s="61">
        <f t="shared" si="78"/>
        <v>12650</v>
      </c>
      <c r="L267" s="61">
        <f t="shared" si="78"/>
        <v>12650</v>
      </c>
      <c r="M267" s="61">
        <f t="shared" si="78"/>
        <v>12650</v>
      </c>
      <c r="N267" s="61">
        <f t="shared" si="78"/>
        <v>12650</v>
      </c>
      <c r="O267" s="61">
        <f t="shared" si="78"/>
        <v>12650</v>
      </c>
      <c r="P267" s="62">
        <f t="shared" si="79"/>
        <v>12650</v>
      </c>
      <c r="Q267" s="13">
        <f t="shared" si="76"/>
        <v>151800</v>
      </c>
      <c r="R267" s="13"/>
    </row>
    <row r="268" spans="1:20" outlineLevel="1" x14ac:dyDescent="0.35">
      <c r="A268" s="294" t="str">
        <f t="shared" si="71"/>
        <v>Management fee</v>
      </c>
      <c r="D268" s="60" t="s">
        <v>141</v>
      </c>
      <c r="E268" s="61">
        <f t="shared" si="78"/>
        <v>7923</v>
      </c>
      <c r="F268" s="61">
        <f t="shared" si="78"/>
        <v>7914</v>
      </c>
      <c r="G268" s="61">
        <f t="shared" si="78"/>
        <v>7905</v>
      </c>
      <c r="H268" s="61">
        <f t="shared" si="78"/>
        <v>7865</v>
      </c>
      <c r="I268" s="61">
        <f t="shared" si="78"/>
        <v>7865</v>
      </c>
      <c r="J268" s="61">
        <f t="shared" si="78"/>
        <v>7866</v>
      </c>
      <c r="K268" s="61">
        <f t="shared" si="78"/>
        <v>7956</v>
      </c>
      <c r="L268" s="61">
        <f t="shared" si="78"/>
        <v>7981</v>
      </c>
      <c r="M268" s="61">
        <f t="shared" si="78"/>
        <v>8032</v>
      </c>
      <c r="N268" s="61">
        <f t="shared" si="78"/>
        <v>8012</v>
      </c>
      <c r="O268" s="61">
        <f t="shared" si="78"/>
        <v>8020</v>
      </c>
      <c r="P268" s="62">
        <f t="shared" si="79"/>
        <v>8031</v>
      </c>
      <c r="Q268" s="13">
        <f t="shared" si="76"/>
        <v>95370</v>
      </c>
      <c r="R268" s="13"/>
    </row>
    <row r="269" spans="1:20" outlineLevel="1" x14ac:dyDescent="0.35">
      <c r="A269" s="294" t="str">
        <f t="shared" si="71"/>
        <v>Trash Removal</v>
      </c>
      <c r="D269" s="60" t="s">
        <v>110</v>
      </c>
      <c r="E269" s="61">
        <f t="shared" si="78"/>
        <v>751.9</v>
      </c>
      <c r="F269" s="61">
        <f t="shared" si="78"/>
        <v>751.9</v>
      </c>
      <c r="G269" s="61">
        <f t="shared" si="78"/>
        <v>751.9</v>
      </c>
      <c r="H269" s="61">
        <f t="shared" si="78"/>
        <v>751.9</v>
      </c>
      <c r="I269" s="61">
        <f t="shared" si="78"/>
        <v>751.9</v>
      </c>
      <c r="J269" s="61">
        <f t="shared" si="78"/>
        <v>751.9</v>
      </c>
      <c r="K269" s="61">
        <f t="shared" si="78"/>
        <v>751.9</v>
      </c>
      <c r="L269" s="61">
        <f t="shared" si="78"/>
        <v>751.9</v>
      </c>
      <c r="M269" s="61">
        <f t="shared" si="78"/>
        <v>751.9</v>
      </c>
      <c r="N269" s="61">
        <f t="shared" si="78"/>
        <v>751.9</v>
      </c>
      <c r="O269" s="61">
        <f t="shared" si="78"/>
        <v>751.9</v>
      </c>
      <c r="P269" s="62">
        <f t="shared" si="79"/>
        <v>751.9</v>
      </c>
      <c r="Q269" s="13">
        <f t="shared" si="76"/>
        <v>9022.7999999999975</v>
      </c>
      <c r="R269" s="13"/>
    </row>
    <row r="270" spans="1:20" outlineLevel="1" x14ac:dyDescent="0.35">
      <c r="A270" s="294" t="str">
        <f t="shared" si="71"/>
        <v>Real Estate Taxes</v>
      </c>
      <c r="D270" s="60" t="s">
        <v>111</v>
      </c>
      <c r="E270" s="61">
        <f t="shared" si="78"/>
        <v>13172.1175</v>
      </c>
      <c r="F270" s="61">
        <f t="shared" si="78"/>
        <v>13172.1175</v>
      </c>
      <c r="G270" s="61">
        <f t="shared" si="78"/>
        <v>13172.1175</v>
      </c>
      <c r="H270" s="61">
        <f t="shared" si="78"/>
        <v>13172.1175</v>
      </c>
      <c r="I270" s="61">
        <f t="shared" si="78"/>
        <v>13172.1175</v>
      </c>
      <c r="J270" s="61">
        <f t="shared" si="78"/>
        <v>13172.1175</v>
      </c>
      <c r="K270" s="61">
        <f t="shared" si="78"/>
        <v>13172.1175</v>
      </c>
      <c r="L270" s="61">
        <f t="shared" si="78"/>
        <v>13172.1175</v>
      </c>
      <c r="M270" s="61">
        <f t="shared" si="78"/>
        <v>13172.1175</v>
      </c>
      <c r="N270" s="61">
        <f t="shared" si="78"/>
        <v>13172.1175</v>
      </c>
      <c r="O270" s="61">
        <f t="shared" si="78"/>
        <v>13172.1175</v>
      </c>
      <c r="P270" s="62">
        <f t="shared" si="79"/>
        <v>13172.1175</v>
      </c>
      <c r="Q270" s="13">
        <f t="shared" si="76"/>
        <v>158065.40999999995</v>
      </c>
      <c r="R270" s="13"/>
    </row>
    <row r="271" spans="1:20" outlineLevel="1" x14ac:dyDescent="0.35">
      <c r="A271" s="294" t="str">
        <f t="shared" si="71"/>
        <v>Insurance</v>
      </c>
      <c r="D271" s="60" t="s">
        <v>112</v>
      </c>
      <c r="E271" s="61">
        <f t="shared" si="78"/>
        <v>4352</v>
      </c>
      <c r="F271" s="61">
        <f t="shared" si="78"/>
        <v>4352</v>
      </c>
      <c r="G271" s="61">
        <f t="shared" si="78"/>
        <v>4352</v>
      </c>
      <c r="H271" s="61">
        <f t="shared" si="78"/>
        <v>4352</v>
      </c>
      <c r="I271" s="61">
        <f t="shared" si="78"/>
        <v>4352</v>
      </c>
      <c r="J271" s="61">
        <f t="shared" si="78"/>
        <v>4352</v>
      </c>
      <c r="K271" s="61">
        <f t="shared" si="78"/>
        <v>4352</v>
      </c>
      <c r="L271" s="61">
        <f t="shared" si="78"/>
        <v>4352</v>
      </c>
      <c r="M271" s="61">
        <f t="shared" si="78"/>
        <v>4352</v>
      </c>
      <c r="N271" s="61">
        <f t="shared" si="78"/>
        <v>4352</v>
      </c>
      <c r="O271" s="61">
        <f t="shared" si="78"/>
        <v>4439.04</v>
      </c>
      <c r="P271" s="62">
        <f t="shared" si="79"/>
        <v>4439.04</v>
      </c>
      <c r="Q271" s="13">
        <f t="shared" si="76"/>
        <v>52398.080000000002</v>
      </c>
      <c r="R271" s="13"/>
    </row>
    <row r="272" spans="1:20" outlineLevel="1" x14ac:dyDescent="0.35">
      <c r="A272" s="294" t="str">
        <f t="shared" si="71"/>
        <v>Cleaning &amp; Supplies</v>
      </c>
      <c r="D272" s="60" t="s">
        <v>113</v>
      </c>
      <c r="E272" s="61">
        <f t="shared" si="78"/>
        <v>2163</v>
      </c>
      <c r="F272" s="61">
        <f t="shared" si="78"/>
        <v>2163</v>
      </c>
      <c r="G272" s="61">
        <f t="shared" si="78"/>
        <v>2163</v>
      </c>
      <c r="H272" s="61">
        <f t="shared" si="78"/>
        <v>2163</v>
      </c>
      <c r="I272" s="61">
        <f t="shared" si="78"/>
        <v>2163</v>
      </c>
      <c r="J272" s="61">
        <f t="shared" si="78"/>
        <v>2163</v>
      </c>
      <c r="K272" s="61">
        <f t="shared" si="78"/>
        <v>2163</v>
      </c>
      <c r="L272" s="61">
        <f t="shared" si="78"/>
        <v>2163</v>
      </c>
      <c r="M272" s="61">
        <f t="shared" si="78"/>
        <v>2163</v>
      </c>
      <c r="N272" s="61">
        <f t="shared" si="78"/>
        <v>2163</v>
      </c>
      <c r="O272" s="61">
        <f t="shared" si="78"/>
        <v>2163</v>
      </c>
      <c r="P272" s="62">
        <f t="shared" si="79"/>
        <v>2163</v>
      </c>
      <c r="Q272" s="13">
        <f t="shared" si="76"/>
        <v>25956</v>
      </c>
      <c r="R272" s="13"/>
    </row>
    <row r="273" spans="1:18" outlineLevel="1" x14ac:dyDescent="0.35">
      <c r="A273" s="294" t="str">
        <f>VLOOKUP($D273,$A$10:$D$132,4,FALSE)</f>
        <v>Salaries &amp; Wages</v>
      </c>
      <c r="D273" s="60" t="s">
        <v>114</v>
      </c>
      <c r="E273" s="61">
        <f t="shared" si="78"/>
        <v>5444.2676532853566</v>
      </c>
      <c r="F273" s="61">
        <f t="shared" si="78"/>
        <v>5444.2676532853566</v>
      </c>
      <c r="G273" s="61">
        <f t="shared" si="78"/>
        <v>5444.2676532853566</v>
      </c>
      <c r="H273" s="61">
        <f t="shared" si="78"/>
        <v>5444.2676532853566</v>
      </c>
      <c r="I273" s="61">
        <f t="shared" si="78"/>
        <v>5444.2676532853566</v>
      </c>
      <c r="J273" s="61">
        <f t="shared" si="78"/>
        <v>5444.2676532853566</v>
      </c>
      <c r="K273" s="61">
        <f t="shared" si="78"/>
        <v>5444.2676532853566</v>
      </c>
      <c r="L273" s="61">
        <f t="shared" si="78"/>
        <v>5444.2676532853566</v>
      </c>
      <c r="M273" s="61">
        <f t="shared" si="78"/>
        <v>5444.2676532853566</v>
      </c>
      <c r="N273" s="61">
        <f t="shared" si="78"/>
        <v>5444.2676532853566</v>
      </c>
      <c r="O273" s="61">
        <f t="shared" si="78"/>
        <v>5444.2676532853566</v>
      </c>
      <c r="P273" s="62">
        <f t="shared" si="79"/>
        <v>5444.2676532853566</v>
      </c>
      <c r="Q273" s="13">
        <f t="shared" si="76"/>
        <v>65331.211839424293</v>
      </c>
      <c r="R273" s="13"/>
    </row>
    <row r="274" spans="1:18" outlineLevel="1" x14ac:dyDescent="0.35">
      <c r="A274" s="294" t="str">
        <f t="shared" ref="A274:A276" si="83">VLOOKUP($D274,$A$10:$D$132,4,FALSE)</f>
        <v>Gas</v>
      </c>
      <c r="D274" s="60" t="s">
        <v>138</v>
      </c>
      <c r="E274" s="61">
        <f t="shared" ref="E274:O276" si="84">VLOOKUP($D274,$A$10:$P$137,E$251,FALSE)</f>
        <v>0</v>
      </c>
      <c r="F274" s="61">
        <f t="shared" si="84"/>
        <v>0</v>
      </c>
      <c r="G274" s="61">
        <f t="shared" si="84"/>
        <v>0</v>
      </c>
      <c r="H274" s="61">
        <f t="shared" si="84"/>
        <v>0</v>
      </c>
      <c r="I274" s="61">
        <f t="shared" si="84"/>
        <v>0</v>
      </c>
      <c r="J274" s="61">
        <f t="shared" si="84"/>
        <v>0</v>
      </c>
      <c r="K274" s="61">
        <f t="shared" si="84"/>
        <v>0</v>
      </c>
      <c r="L274" s="61">
        <f t="shared" si="84"/>
        <v>0</v>
      </c>
      <c r="M274" s="61">
        <f t="shared" si="84"/>
        <v>0</v>
      </c>
      <c r="N274" s="61">
        <f t="shared" si="84"/>
        <v>0</v>
      </c>
      <c r="O274" s="61">
        <f t="shared" si="84"/>
        <v>0</v>
      </c>
      <c r="P274" s="62">
        <f t="shared" si="79"/>
        <v>0</v>
      </c>
      <c r="Q274" s="13">
        <f t="shared" ref="Q274:Q276" si="85">SUM(E274:P274)</f>
        <v>0</v>
      </c>
      <c r="R274" s="13"/>
    </row>
    <row r="275" spans="1:18" outlineLevel="1" x14ac:dyDescent="0.35">
      <c r="A275" s="294" t="str">
        <f t="shared" si="83"/>
        <v>Electric - Vacant Suites</v>
      </c>
      <c r="D275" s="60" t="s">
        <v>139</v>
      </c>
      <c r="E275" s="61">
        <f t="shared" si="84"/>
        <v>354.40993500000008</v>
      </c>
      <c r="F275" s="61">
        <f t="shared" si="84"/>
        <v>310.27812</v>
      </c>
      <c r="G275" s="61">
        <f t="shared" si="84"/>
        <v>278.09634000000005</v>
      </c>
      <c r="H275" s="61">
        <f t="shared" si="84"/>
        <v>229.46305500000003</v>
      </c>
      <c r="I275" s="61">
        <f t="shared" si="84"/>
        <v>243.82548000000003</v>
      </c>
      <c r="J275" s="61">
        <f t="shared" si="84"/>
        <v>263.73391500000002</v>
      </c>
      <c r="K275" s="61">
        <f t="shared" si="84"/>
        <v>389.40202500000004</v>
      </c>
      <c r="L275" s="61">
        <f t="shared" si="84"/>
        <v>259.35679500000003</v>
      </c>
      <c r="M275" s="61">
        <f t="shared" si="84"/>
        <v>292.71990000000005</v>
      </c>
      <c r="N275" s="61">
        <f t="shared" si="84"/>
        <v>235.20802500000002</v>
      </c>
      <c r="O275" s="61">
        <f t="shared" si="84"/>
        <v>270.46125000000001</v>
      </c>
      <c r="P275" s="62">
        <f t="shared" si="79"/>
        <v>305.05542000000003</v>
      </c>
      <c r="Q275" s="13">
        <f t="shared" si="85"/>
        <v>3432.01026</v>
      </c>
      <c r="R275" s="13"/>
    </row>
    <row r="276" spans="1:18" outlineLevel="1" x14ac:dyDescent="0.35">
      <c r="A276" s="294" t="str">
        <f t="shared" si="83"/>
        <v>Water &amp; Sewer</v>
      </c>
      <c r="D276" s="60" t="s">
        <v>140</v>
      </c>
      <c r="E276" s="61">
        <f t="shared" si="84"/>
        <v>213.21</v>
      </c>
      <c r="F276" s="61">
        <f t="shared" si="84"/>
        <v>256.47000000000003</v>
      </c>
      <c r="G276" s="61">
        <f t="shared" si="84"/>
        <v>256.47000000000003</v>
      </c>
      <c r="H276" s="61">
        <f t="shared" si="84"/>
        <v>256.47000000000003</v>
      </c>
      <c r="I276" s="61">
        <f t="shared" si="84"/>
        <v>256.47000000000003</v>
      </c>
      <c r="J276" s="61">
        <f t="shared" si="84"/>
        <v>239.99</v>
      </c>
      <c r="K276" s="61">
        <f t="shared" si="84"/>
        <v>374.92</v>
      </c>
      <c r="L276" s="61">
        <f t="shared" si="84"/>
        <v>414.06</v>
      </c>
      <c r="M276" s="61">
        <f t="shared" si="84"/>
        <v>400.67</v>
      </c>
      <c r="N276" s="61">
        <f t="shared" si="84"/>
        <v>213.21</v>
      </c>
      <c r="O276" s="61">
        <f t="shared" si="84"/>
        <v>323.42</v>
      </c>
      <c r="P276" s="62">
        <f t="shared" si="79"/>
        <v>1913.74</v>
      </c>
      <c r="Q276" s="13">
        <f t="shared" si="85"/>
        <v>5119.1000000000004</v>
      </c>
      <c r="R276" s="13"/>
    </row>
    <row r="277" spans="1:18" outlineLevel="1" x14ac:dyDescent="0.35">
      <c r="A277" s="294" t="str">
        <f>VLOOKUP($D277,$A$10:$D$132,4,FALSE)</f>
        <v>Commissions-Internal Broker</v>
      </c>
      <c r="D277" s="60" t="s">
        <v>115</v>
      </c>
      <c r="E277" s="61">
        <f t="shared" si="78"/>
        <v>0</v>
      </c>
      <c r="F277" s="61">
        <f t="shared" si="78"/>
        <v>0</v>
      </c>
      <c r="G277" s="61">
        <f t="shared" si="78"/>
        <v>0</v>
      </c>
      <c r="H277" s="61">
        <f t="shared" si="78"/>
        <v>0</v>
      </c>
      <c r="I277" s="61">
        <f t="shared" si="78"/>
        <v>0</v>
      </c>
      <c r="J277" s="61">
        <f t="shared" si="78"/>
        <v>0</v>
      </c>
      <c r="K277" s="61">
        <f t="shared" si="78"/>
        <v>0</v>
      </c>
      <c r="L277" s="61">
        <f t="shared" si="78"/>
        <v>0</v>
      </c>
      <c r="M277" s="61">
        <f t="shared" si="78"/>
        <v>0</v>
      </c>
      <c r="N277" s="61">
        <f t="shared" si="78"/>
        <v>0</v>
      </c>
      <c r="O277" s="61">
        <f t="shared" si="78"/>
        <v>0</v>
      </c>
      <c r="P277" s="62">
        <f t="shared" si="79"/>
        <v>0</v>
      </c>
      <c r="Q277" s="13">
        <f t="shared" si="76"/>
        <v>0</v>
      </c>
      <c r="R277" s="13"/>
    </row>
    <row r="278" spans="1:18" outlineLevel="1" x14ac:dyDescent="0.35">
      <c r="A278" s="294" t="str">
        <f>VLOOKUP($D278,$A$10:$D$132,3,FALSE)</f>
        <v>Building Maintenance</v>
      </c>
      <c r="D278" s="60" t="s">
        <v>116</v>
      </c>
      <c r="E278" s="61">
        <f t="shared" si="78"/>
        <v>875.5</v>
      </c>
      <c r="F278" s="61">
        <f t="shared" si="78"/>
        <v>875.5</v>
      </c>
      <c r="G278" s="61">
        <f t="shared" si="78"/>
        <v>875.5</v>
      </c>
      <c r="H278" s="61">
        <f t="shared" si="78"/>
        <v>875.5</v>
      </c>
      <c r="I278" s="61">
        <f t="shared" si="78"/>
        <v>875.5</v>
      </c>
      <c r="J278" s="61">
        <f t="shared" si="78"/>
        <v>875.5</v>
      </c>
      <c r="K278" s="61">
        <f t="shared" si="78"/>
        <v>875.5</v>
      </c>
      <c r="L278" s="61">
        <f t="shared" si="78"/>
        <v>875.5</v>
      </c>
      <c r="M278" s="61">
        <f t="shared" si="78"/>
        <v>875.5</v>
      </c>
      <c r="N278" s="61">
        <f t="shared" si="78"/>
        <v>875.5</v>
      </c>
      <c r="O278" s="61">
        <f t="shared" si="78"/>
        <v>875.5</v>
      </c>
      <c r="P278" s="62">
        <f t="shared" si="79"/>
        <v>875.5</v>
      </c>
      <c r="Q278" s="13">
        <f t="shared" si="76"/>
        <v>10506</v>
      </c>
      <c r="R278" s="13"/>
    </row>
    <row r="279" spans="1:18" outlineLevel="1" x14ac:dyDescent="0.35">
      <c r="A279" s="294" t="str">
        <f>VLOOKUP($D279,$A$10:$D$132,3,FALSE)</f>
        <v>Marketing</v>
      </c>
      <c r="D279" s="60" t="s">
        <v>117</v>
      </c>
      <c r="E279" s="61">
        <f t="shared" si="78"/>
        <v>1709.5043920969349</v>
      </c>
      <c r="F279" s="61">
        <f t="shared" si="78"/>
        <v>1709.5043920969349</v>
      </c>
      <c r="G279" s="61">
        <f t="shared" si="78"/>
        <v>1709.5043920969349</v>
      </c>
      <c r="H279" s="61">
        <f t="shared" si="78"/>
        <v>1709.5043920969349</v>
      </c>
      <c r="I279" s="61">
        <f t="shared" si="78"/>
        <v>1709.5043920969349</v>
      </c>
      <c r="J279" s="61">
        <f t="shared" si="78"/>
        <v>1709.5043920969349</v>
      </c>
      <c r="K279" s="61">
        <f t="shared" si="78"/>
        <v>1709.5043920969349</v>
      </c>
      <c r="L279" s="61">
        <f t="shared" si="78"/>
        <v>1709.5043920969349</v>
      </c>
      <c r="M279" s="61">
        <f t="shared" si="78"/>
        <v>1709.5043920969349</v>
      </c>
      <c r="N279" s="61">
        <f t="shared" si="78"/>
        <v>1709.5043920969349</v>
      </c>
      <c r="O279" s="61">
        <f t="shared" si="78"/>
        <v>1709.5043920969349</v>
      </c>
      <c r="P279" s="62">
        <f t="shared" si="79"/>
        <v>1709.5043920969349</v>
      </c>
      <c r="Q279" s="13">
        <f t="shared" si="76"/>
        <v>20514.052705163223</v>
      </c>
      <c r="R279" s="13"/>
    </row>
    <row r="280" spans="1:18" outlineLevel="1" x14ac:dyDescent="0.35">
      <c r="A280" s="294" t="str">
        <f>VLOOKUP($D280,$A$10:$D$132,3,FALSE)</f>
        <v>Business Taxes</v>
      </c>
      <c r="D280" s="60" t="s">
        <v>118</v>
      </c>
      <c r="E280" s="61">
        <f t="shared" si="78"/>
        <v>0</v>
      </c>
      <c r="F280" s="61">
        <f t="shared" si="78"/>
        <v>0</v>
      </c>
      <c r="G280" s="61">
        <f t="shared" si="78"/>
        <v>0</v>
      </c>
      <c r="H280" s="61">
        <f t="shared" si="78"/>
        <v>26780</v>
      </c>
      <c r="I280" s="61">
        <f t="shared" si="78"/>
        <v>0</v>
      </c>
      <c r="J280" s="61">
        <f t="shared" si="78"/>
        <v>0</v>
      </c>
      <c r="K280" s="61">
        <f t="shared" si="78"/>
        <v>0</v>
      </c>
      <c r="L280" s="61">
        <f t="shared" si="78"/>
        <v>0</v>
      </c>
      <c r="M280" s="61">
        <f t="shared" si="78"/>
        <v>0</v>
      </c>
      <c r="N280" s="61">
        <f t="shared" si="78"/>
        <v>0</v>
      </c>
      <c r="O280" s="61">
        <f t="shared" si="78"/>
        <v>0</v>
      </c>
      <c r="P280" s="62">
        <f t="shared" si="79"/>
        <v>0</v>
      </c>
      <c r="Q280" s="13">
        <f t="shared" si="76"/>
        <v>26780</v>
      </c>
      <c r="R280" s="13"/>
    </row>
    <row r="281" spans="1:18" outlineLevel="1" x14ac:dyDescent="0.35">
      <c r="A281" s="294" t="str">
        <f>VLOOKUP($D281,$A$10:$D$132,3,FALSE)</f>
        <v>Legal &amp; Accounting</v>
      </c>
      <c r="D281" s="60" t="s">
        <v>119</v>
      </c>
      <c r="E281" s="61">
        <f t="shared" si="78"/>
        <v>1158.75</v>
      </c>
      <c r="F281" s="61">
        <f t="shared" si="78"/>
        <v>1158.75</v>
      </c>
      <c r="G281" s="61">
        <f t="shared" si="78"/>
        <v>1158.75</v>
      </c>
      <c r="H281" s="61">
        <f t="shared" si="78"/>
        <v>1158.75</v>
      </c>
      <c r="I281" s="61">
        <f t="shared" si="78"/>
        <v>1158.75</v>
      </c>
      <c r="J281" s="61">
        <f t="shared" si="78"/>
        <v>1158.75</v>
      </c>
      <c r="K281" s="61">
        <f t="shared" si="78"/>
        <v>1158.75</v>
      </c>
      <c r="L281" s="61">
        <f t="shared" si="78"/>
        <v>1158.75</v>
      </c>
      <c r="M281" s="61">
        <f t="shared" si="78"/>
        <v>1158.75</v>
      </c>
      <c r="N281" s="61">
        <f t="shared" si="78"/>
        <v>1158.75</v>
      </c>
      <c r="O281" s="61">
        <f t="shared" si="78"/>
        <v>1158.75</v>
      </c>
      <c r="P281" s="62">
        <f t="shared" si="79"/>
        <v>1158.75</v>
      </c>
      <c r="Q281" s="13">
        <f t="shared" si="76"/>
        <v>13905</v>
      </c>
      <c r="R281" s="13"/>
    </row>
    <row r="282" spans="1:18" outlineLevel="1" x14ac:dyDescent="0.35">
      <c r="A282" s="294" t="str">
        <f t="shared" ref="A282:A287" si="86">VLOOKUP($D282,$A$10:$D$132,4,FALSE)</f>
        <v>Bank Fees</v>
      </c>
      <c r="D282" s="60" t="s">
        <v>126</v>
      </c>
      <c r="E282" s="61">
        <f t="shared" si="78"/>
        <v>159.65</v>
      </c>
      <c r="F282" s="61">
        <f t="shared" si="78"/>
        <v>159.65</v>
      </c>
      <c r="G282" s="61">
        <f t="shared" si="78"/>
        <v>159.65</v>
      </c>
      <c r="H282" s="61">
        <f t="shared" si="78"/>
        <v>159.65</v>
      </c>
      <c r="I282" s="61">
        <f t="shared" si="78"/>
        <v>159.65</v>
      </c>
      <c r="J282" s="61">
        <f t="shared" si="78"/>
        <v>159.65</v>
      </c>
      <c r="K282" s="61">
        <f t="shared" si="78"/>
        <v>159.65</v>
      </c>
      <c r="L282" s="61">
        <f t="shared" si="78"/>
        <v>159.65</v>
      </c>
      <c r="M282" s="61">
        <f t="shared" si="78"/>
        <v>159.65</v>
      </c>
      <c r="N282" s="61">
        <f t="shared" si="78"/>
        <v>159.65</v>
      </c>
      <c r="O282" s="61">
        <f t="shared" si="78"/>
        <v>159.65</v>
      </c>
      <c r="P282" s="62">
        <f t="shared" si="79"/>
        <v>159.65</v>
      </c>
      <c r="Q282" s="13">
        <f t="shared" si="76"/>
        <v>1915.8000000000004</v>
      </c>
      <c r="R282" s="13"/>
    </row>
    <row r="283" spans="1:18" outlineLevel="1" x14ac:dyDescent="0.35">
      <c r="A283" s="294" t="str">
        <f t="shared" si="86"/>
        <v>Other G&amp;A Expense</v>
      </c>
      <c r="D283" s="60" t="s">
        <v>127</v>
      </c>
      <c r="E283" s="61">
        <f t="shared" si="78"/>
        <v>0</v>
      </c>
      <c r="F283" s="61">
        <f t="shared" si="78"/>
        <v>0</v>
      </c>
      <c r="G283" s="61">
        <f t="shared" si="78"/>
        <v>0</v>
      </c>
      <c r="H283" s="61">
        <f t="shared" ref="F283:P290" si="87">VLOOKUP($D283,$A$10:$P$137,H$251,FALSE)</f>
        <v>0</v>
      </c>
      <c r="I283" s="61">
        <f t="shared" si="87"/>
        <v>0</v>
      </c>
      <c r="J283" s="61">
        <f t="shared" si="87"/>
        <v>0</v>
      </c>
      <c r="K283" s="61">
        <f t="shared" si="87"/>
        <v>0</v>
      </c>
      <c r="L283" s="61">
        <f t="shared" si="87"/>
        <v>0</v>
      </c>
      <c r="M283" s="61">
        <f t="shared" si="87"/>
        <v>0</v>
      </c>
      <c r="N283" s="61">
        <f t="shared" si="87"/>
        <v>0</v>
      </c>
      <c r="O283" s="61">
        <f t="shared" si="87"/>
        <v>0</v>
      </c>
      <c r="P283" s="62">
        <f t="shared" si="87"/>
        <v>0</v>
      </c>
      <c r="Q283" s="13">
        <f t="shared" si="76"/>
        <v>0</v>
      </c>
      <c r="R283" s="13"/>
    </row>
    <row r="284" spans="1:18" outlineLevel="1" x14ac:dyDescent="0.35">
      <c r="A284" s="294" t="str">
        <f t="shared" si="86"/>
        <v>Other G&amp;A-allocated from LIK</v>
      </c>
      <c r="D284" s="60" t="s">
        <v>120</v>
      </c>
      <c r="E284" s="61">
        <f t="shared" ref="E284:E290" si="88">VLOOKUP($D284,$A$10:$P$137,E$251,FALSE)</f>
        <v>209.43333333333337</v>
      </c>
      <c r="F284" s="61">
        <f t="shared" si="87"/>
        <v>209.43333333333337</v>
      </c>
      <c r="G284" s="61">
        <f t="shared" si="87"/>
        <v>209.43333333333337</v>
      </c>
      <c r="H284" s="61">
        <f t="shared" si="87"/>
        <v>209.43333333333337</v>
      </c>
      <c r="I284" s="61">
        <f t="shared" si="87"/>
        <v>209.43333333333337</v>
      </c>
      <c r="J284" s="61">
        <f t="shared" si="87"/>
        <v>209.43333333333337</v>
      </c>
      <c r="K284" s="61">
        <f t="shared" si="87"/>
        <v>209.43333333333337</v>
      </c>
      <c r="L284" s="61">
        <f t="shared" si="87"/>
        <v>209.43333333333337</v>
      </c>
      <c r="M284" s="61">
        <f t="shared" si="87"/>
        <v>209.43333333333337</v>
      </c>
      <c r="N284" s="61">
        <f t="shared" si="87"/>
        <v>209.43333333333337</v>
      </c>
      <c r="O284" s="61">
        <f t="shared" si="87"/>
        <v>209.43333333333337</v>
      </c>
      <c r="P284" s="62">
        <f t="shared" si="87"/>
        <v>209.43333333333337</v>
      </c>
      <c r="Q284" s="13">
        <f t="shared" si="76"/>
        <v>2513.2000000000003</v>
      </c>
      <c r="R284" s="13"/>
    </row>
    <row r="285" spans="1:18" outlineLevel="1" x14ac:dyDescent="0.35">
      <c r="A285" s="294" t="str">
        <f t="shared" si="86"/>
        <v>Land Improvements</v>
      </c>
      <c r="D285" s="60" t="s">
        <v>121</v>
      </c>
      <c r="E285" s="61">
        <f t="shared" si="88"/>
        <v>0</v>
      </c>
      <c r="F285" s="61">
        <f t="shared" si="87"/>
        <v>0</v>
      </c>
      <c r="G285" s="61">
        <f t="shared" si="87"/>
        <v>0</v>
      </c>
      <c r="H285" s="61">
        <f t="shared" si="87"/>
        <v>0</v>
      </c>
      <c r="I285" s="61">
        <f t="shared" si="87"/>
        <v>0</v>
      </c>
      <c r="J285" s="61">
        <f t="shared" si="87"/>
        <v>0</v>
      </c>
      <c r="K285" s="61">
        <f t="shared" si="87"/>
        <v>0</v>
      </c>
      <c r="L285" s="61">
        <f t="shared" si="87"/>
        <v>0</v>
      </c>
      <c r="M285" s="61">
        <f t="shared" si="87"/>
        <v>0</v>
      </c>
      <c r="N285" s="61">
        <f t="shared" si="87"/>
        <v>0</v>
      </c>
      <c r="O285" s="61">
        <f t="shared" si="87"/>
        <v>0</v>
      </c>
      <c r="P285" s="62">
        <f t="shared" si="87"/>
        <v>0</v>
      </c>
      <c r="Q285" s="13">
        <f t="shared" si="76"/>
        <v>0</v>
      </c>
      <c r="R285" s="13"/>
    </row>
    <row r="286" spans="1:18" outlineLevel="1" x14ac:dyDescent="0.35">
      <c r="A286" s="294" t="str">
        <f t="shared" si="86"/>
        <v>Buildings</v>
      </c>
      <c r="D286" s="60" t="s">
        <v>122</v>
      </c>
      <c r="E286" s="61">
        <f t="shared" si="88"/>
        <v>0</v>
      </c>
      <c r="F286" s="61">
        <f t="shared" si="87"/>
        <v>0</v>
      </c>
      <c r="G286" s="61">
        <f t="shared" si="87"/>
        <v>0</v>
      </c>
      <c r="H286" s="61">
        <f t="shared" si="87"/>
        <v>0</v>
      </c>
      <c r="I286" s="61">
        <f t="shared" si="87"/>
        <v>0</v>
      </c>
      <c r="J286" s="61">
        <f t="shared" si="87"/>
        <v>0</v>
      </c>
      <c r="K286" s="61">
        <f t="shared" si="87"/>
        <v>0</v>
      </c>
      <c r="L286" s="61">
        <f t="shared" si="87"/>
        <v>0</v>
      </c>
      <c r="M286" s="61">
        <f t="shared" si="87"/>
        <v>0</v>
      </c>
      <c r="N286" s="61">
        <f t="shared" si="87"/>
        <v>0</v>
      </c>
      <c r="O286" s="61">
        <f t="shared" si="87"/>
        <v>0</v>
      </c>
      <c r="P286" s="62">
        <f t="shared" si="87"/>
        <v>0</v>
      </c>
      <c r="Q286" s="13">
        <f t="shared" si="76"/>
        <v>0</v>
      </c>
      <c r="R286" s="13"/>
    </row>
    <row r="287" spans="1:18" outlineLevel="1" x14ac:dyDescent="0.35">
      <c r="A287" s="294" t="str">
        <f t="shared" si="86"/>
        <v>Equipment</v>
      </c>
      <c r="D287" s="60" t="s">
        <v>123</v>
      </c>
      <c r="E287" s="61">
        <f t="shared" si="88"/>
        <v>0</v>
      </c>
      <c r="F287" s="61">
        <f t="shared" si="87"/>
        <v>0</v>
      </c>
      <c r="G287" s="61">
        <f t="shared" si="87"/>
        <v>0</v>
      </c>
      <c r="H287" s="61">
        <f t="shared" si="87"/>
        <v>0</v>
      </c>
      <c r="I287" s="61">
        <f t="shared" si="87"/>
        <v>0</v>
      </c>
      <c r="J287" s="61">
        <f t="shared" si="87"/>
        <v>0</v>
      </c>
      <c r="K287" s="61">
        <f t="shared" si="87"/>
        <v>0</v>
      </c>
      <c r="L287" s="61">
        <f t="shared" si="87"/>
        <v>0</v>
      </c>
      <c r="M287" s="61">
        <f t="shared" si="87"/>
        <v>0</v>
      </c>
      <c r="N287" s="61">
        <f t="shared" si="87"/>
        <v>0</v>
      </c>
      <c r="O287" s="61">
        <f t="shared" si="87"/>
        <v>0</v>
      </c>
      <c r="P287" s="62">
        <f t="shared" si="87"/>
        <v>0</v>
      </c>
      <c r="Q287" s="13">
        <f t="shared" si="76"/>
        <v>0</v>
      </c>
      <c r="R287" s="13"/>
    </row>
    <row r="288" spans="1:18" outlineLevel="1" x14ac:dyDescent="0.35">
      <c r="A288" s="294" t="str">
        <f>VLOOKUP($D288,$A$10:$D$132,3,FALSE)</f>
        <v>Tenant Improvements</v>
      </c>
      <c r="D288" s="60" t="s">
        <v>124</v>
      </c>
      <c r="E288" s="61">
        <f t="shared" si="88"/>
        <v>0</v>
      </c>
      <c r="F288" s="61">
        <f t="shared" si="87"/>
        <v>0</v>
      </c>
      <c r="G288" s="61">
        <f t="shared" si="87"/>
        <v>0</v>
      </c>
      <c r="H288" s="61">
        <f t="shared" si="87"/>
        <v>0</v>
      </c>
      <c r="I288" s="61">
        <f t="shared" si="87"/>
        <v>0</v>
      </c>
      <c r="J288" s="61">
        <f t="shared" si="87"/>
        <v>0</v>
      </c>
      <c r="K288" s="61">
        <f t="shared" si="87"/>
        <v>0</v>
      </c>
      <c r="L288" s="61">
        <f t="shared" si="87"/>
        <v>16560</v>
      </c>
      <c r="M288" s="61">
        <f t="shared" si="87"/>
        <v>0</v>
      </c>
      <c r="N288" s="61">
        <f t="shared" si="87"/>
        <v>0</v>
      </c>
      <c r="O288" s="61">
        <f t="shared" si="87"/>
        <v>0</v>
      </c>
      <c r="P288" s="62">
        <f t="shared" si="87"/>
        <v>0</v>
      </c>
      <c r="Q288" s="13">
        <f t="shared" si="76"/>
        <v>16560</v>
      </c>
      <c r="R288" s="13"/>
    </row>
    <row r="289" spans="1:18" outlineLevel="1" x14ac:dyDescent="0.35">
      <c r="A289" s="294" t="str">
        <f>VLOOKUP($D289,$A$10:$D$132,4,FALSE)</f>
        <v>Deferred Marketing</v>
      </c>
      <c r="D289" s="60" t="s">
        <v>125</v>
      </c>
      <c r="E289" s="61">
        <f t="shared" si="88"/>
        <v>0</v>
      </c>
      <c r="F289" s="61">
        <f t="shared" si="87"/>
        <v>0</v>
      </c>
      <c r="G289" s="61">
        <f t="shared" si="87"/>
        <v>0</v>
      </c>
      <c r="H289" s="61">
        <f t="shared" si="87"/>
        <v>0</v>
      </c>
      <c r="I289" s="61">
        <f t="shared" si="87"/>
        <v>0</v>
      </c>
      <c r="J289" s="61">
        <f t="shared" si="87"/>
        <v>0</v>
      </c>
      <c r="K289" s="61">
        <f t="shared" si="87"/>
        <v>0</v>
      </c>
      <c r="L289" s="61">
        <f t="shared" si="87"/>
        <v>0</v>
      </c>
      <c r="M289" s="61">
        <f t="shared" si="87"/>
        <v>0</v>
      </c>
      <c r="N289" s="61">
        <f t="shared" si="87"/>
        <v>0</v>
      </c>
      <c r="O289" s="61">
        <f t="shared" si="87"/>
        <v>0</v>
      </c>
      <c r="P289" s="62">
        <f t="shared" si="87"/>
        <v>0</v>
      </c>
      <c r="Q289" s="13">
        <f t="shared" si="76"/>
        <v>0</v>
      </c>
      <c r="R289" s="13"/>
    </row>
    <row r="290" spans="1:18" outlineLevel="1" x14ac:dyDescent="0.35">
      <c r="A290" s="294" t="str">
        <f>VLOOKUP($D290,$A$10:$D$132,3,FALSE)</f>
        <v>Interest</v>
      </c>
      <c r="D290" s="60" t="s">
        <v>128</v>
      </c>
      <c r="E290" s="61">
        <f t="shared" si="88"/>
        <v>11855.239978325679</v>
      </c>
      <c r="F290" s="61">
        <f t="shared" si="87"/>
        <v>11820.46053779943</v>
      </c>
      <c r="G290" s="61">
        <f t="shared" si="87"/>
        <v>11785.579657238311</v>
      </c>
      <c r="H290" s="61">
        <f t="shared" si="87"/>
        <v>11750.597040775556</v>
      </c>
      <c r="I290" s="61">
        <f t="shared" si="87"/>
        <v>11715.51239168145</v>
      </c>
      <c r="J290" s="61">
        <f t="shared" si="87"/>
        <v>11680.325412360822</v>
      </c>
      <c r="K290" s="61">
        <f t="shared" si="87"/>
        <v>11645.035804350508</v>
      </c>
      <c r="L290" s="61">
        <f t="shared" si="87"/>
        <v>11609.64326831683</v>
      </c>
      <c r="M290" s="61">
        <f t="shared" si="87"/>
        <v>11574.147504053051</v>
      </c>
      <c r="N290" s="61">
        <f t="shared" si="87"/>
        <v>11538.548210476842</v>
      </c>
      <c r="O290" s="61">
        <f t="shared" si="87"/>
        <v>11502.845085627696</v>
      </c>
      <c r="P290" s="62">
        <f t="shared" si="87"/>
        <v>11467.037826664409</v>
      </c>
      <c r="Q290" s="13">
        <f t="shared" si="76"/>
        <v>139944.97271767058</v>
      </c>
      <c r="R290" s="13"/>
    </row>
    <row r="291" spans="1:18" ht="16.5" outlineLevel="1" thickBot="1" x14ac:dyDescent="0.4">
      <c r="A291" s="294" t="str">
        <f>VLOOKUP($D291,$A$10:$D$132,3,FALSE)</f>
        <v>Mortgage Amortization</v>
      </c>
      <c r="D291" s="63" t="s">
        <v>145</v>
      </c>
      <c r="E291" s="64">
        <f>VLOOKUP($D291,$A$10:$P$137,E$251,FALSE)</f>
        <v>11924.379609000229</v>
      </c>
      <c r="F291" s="64">
        <f t="shared" ref="F291:P291" si="89">VLOOKUP($D291,$A$10:$P$137,F$251,FALSE)</f>
        <v>11959.159049526481</v>
      </c>
      <c r="G291" s="64">
        <f t="shared" si="89"/>
        <v>11994.0399300876</v>
      </c>
      <c r="H291" s="64">
        <f t="shared" si="89"/>
        <v>12029.022546550357</v>
      </c>
      <c r="I291" s="64">
        <f t="shared" si="89"/>
        <v>12064.107195644461</v>
      </c>
      <c r="J291" s="64">
        <f t="shared" si="89"/>
        <v>12099.294174965089</v>
      </c>
      <c r="K291" s="64">
        <f t="shared" si="89"/>
        <v>12134.583782975405</v>
      </c>
      <c r="L291" s="64">
        <f t="shared" si="89"/>
        <v>12169.976319009083</v>
      </c>
      <c r="M291" s="64">
        <f t="shared" si="89"/>
        <v>12205.47208327286</v>
      </c>
      <c r="N291" s="64">
        <f t="shared" si="89"/>
        <v>12241.071376849073</v>
      </c>
      <c r="O291" s="64">
        <f t="shared" si="89"/>
        <v>12276.774501698215</v>
      </c>
      <c r="P291" s="65">
        <f t="shared" si="89"/>
        <v>12312.581760661502</v>
      </c>
      <c r="Q291" s="13">
        <f t="shared" si="76"/>
        <v>145410.46233024038</v>
      </c>
      <c r="R291" s="13"/>
    </row>
    <row r="292" spans="1:18" outlineLevel="1" x14ac:dyDescent="0.35">
      <c r="D292" s="6" t="s">
        <v>12</v>
      </c>
      <c r="E292" s="6">
        <f t="shared" ref="E292:Q292" si="90">SUM(E253:E291)</f>
        <v>-26639.213510875095</v>
      </c>
      <c r="F292" s="6">
        <f t="shared" si="90"/>
        <v>-28817.655325875123</v>
      </c>
      <c r="G292" s="6">
        <f t="shared" si="90"/>
        <v>-7512.7371058750959</v>
      </c>
      <c r="H292" s="6">
        <f t="shared" si="90"/>
        <v>-14997.103724208435</v>
      </c>
      <c r="I292" s="6">
        <f t="shared" si="90"/>
        <v>-32303.151299208435</v>
      </c>
      <c r="J292" s="6">
        <f t="shared" si="90"/>
        <v>-29370.722864208441</v>
      </c>
      <c r="K292" s="6">
        <f t="shared" si="90"/>
        <v>-41878.440587541743</v>
      </c>
      <c r="L292" s="6">
        <f t="shared" si="90"/>
        <v>-28787.679150875119</v>
      </c>
      <c r="M292" s="6">
        <f t="shared" si="90"/>
        <v>-12554.011045875082</v>
      </c>
      <c r="N292" s="6">
        <f t="shared" si="90"/>
        <v>-24392.434587541728</v>
      </c>
      <c r="O292" s="6">
        <f t="shared" si="90"/>
        <v>-46010.981362541803</v>
      </c>
      <c r="P292" s="6">
        <f t="shared" si="90"/>
        <v>-41161.417192541754</v>
      </c>
      <c r="Q292" s="6">
        <f t="shared" si="90"/>
        <v>-334425.54775716725</v>
      </c>
    </row>
    <row r="293" spans="1:18" outlineLevel="1" x14ac:dyDescent="0.35">
      <c r="E293" s="31">
        <f t="shared" ref="E293:Q293" si="91">E137+E292</f>
        <v>0</v>
      </c>
      <c r="F293" s="31">
        <f t="shared" si="91"/>
        <v>0</v>
      </c>
      <c r="G293" s="31">
        <f t="shared" si="91"/>
        <v>-9.0949470177292824E-12</v>
      </c>
      <c r="H293" s="31">
        <f t="shared" si="91"/>
        <v>-2.1827872842550278E-11</v>
      </c>
      <c r="I293" s="31">
        <f t="shared" si="91"/>
        <v>0</v>
      </c>
      <c r="J293" s="31">
        <f t="shared" si="91"/>
        <v>-3.2741809263825417E-11</v>
      </c>
      <c r="K293" s="31">
        <f t="shared" si="91"/>
        <v>0</v>
      </c>
      <c r="L293" s="31">
        <f t="shared" si="91"/>
        <v>-2.9103830456733704E-11</v>
      </c>
      <c r="M293" s="31">
        <f t="shared" si="91"/>
        <v>0</v>
      </c>
      <c r="N293" s="31">
        <f t="shared" si="91"/>
        <v>0</v>
      </c>
      <c r="O293" s="31">
        <f t="shared" si="91"/>
        <v>-5.8207660913467407E-11</v>
      </c>
      <c r="P293" s="31">
        <f t="shared" si="91"/>
        <v>0</v>
      </c>
      <c r="Q293" s="31">
        <f t="shared" si="91"/>
        <v>0</v>
      </c>
    </row>
    <row r="295" spans="1:18" x14ac:dyDescent="0.35">
      <c r="B295" s="3"/>
    </row>
    <row r="296" spans="1:18" x14ac:dyDescent="0.35">
      <c r="B296" s="3"/>
    </row>
    <row r="297" spans="1:18" x14ac:dyDescent="0.35">
      <c r="B297" s="3"/>
    </row>
    <row r="298" spans="1:18" x14ac:dyDescent="0.35">
      <c r="B298" s="3"/>
    </row>
    <row r="299" spans="1:18" x14ac:dyDescent="0.35">
      <c r="B299" s="3"/>
    </row>
    <row r="300" spans="1:18" x14ac:dyDescent="0.35">
      <c r="B300" s="3"/>
    </row>
    <row r="301" spans="1:18" x14ac:dyDescent="0.35">
      <c r="B301" s="3"/>
    </row>
    <row r="302" spans="1:18" x14ac:dyDescent="0.35">
      <c r="B302" s="3"/>
    </row>
    <row r="303" spans="1:18" x14ac:dyDescent="0.35">
      <c r="B303" s="3"/>
    </row>
    <row r="304" spans="1:18" x14ac:dyDescent="0.35">
      <c r="B304" s="3"/>
    </row>
    <row r="305" spans="2:2" x14ac:dyDescent="0.35">
      <c r="B305" s="3"/>
    </row>
    <row r="306" spans="2:2" x14ac:dyDescent="0.35">
      <c r="B306" s="3"/>
    </row>
    <row r="307" spans="2:2" x14ac:dyDescent="0.35">
      <c r="B307" s="3"/>
    </row>
    <row r="308" spans="2:2" x14ac:dyDescent="0.35">
      <c r="B308" s="3"/>
    </row>
    <row r="309" spans="2:2" x14ac:dyDescent="0.35">
      <c r="B309" s="3"/>
    </row>
    <row r="310" spans="2:2" x14ac:dyDescent="0.35">
      <c r="B310" s="3"/>
    </row>
    <row r="311" spans="2:2" x14ac:dyDescent="0.35">
      <c r="B311" s="3"/>
    </row>
    <row r="312" spans="2:2" x14ac:dyDescent="0.35">
      <c r="B312" s="3"/>
    </row>
    <row r="313" spans="2:2" x14ac:dyDescent="0.35">
      <c r="B313" s="3"/>
    </row>
    <row r="314" spans="2:2" x14ac:dyDescent="0.35">
      <c r="B314" s="3"/>
    </row>
    <row r="315" spans="2:2" x14ac:dyDescent="0.35">
      <c r="B315" s="3"/>
    </row>
    <row r="316" spans="2:2" x14ac:dyDescent="0.35">
      <c r="B316" s="3"/>
    </row>
    <row r="317" spans="2:2" x14ac:dyDescent="0.35">
      <c r="B317" s="3"/>
    </row>
    <row r="318" spans="2:2" x14ac:dyDescent="0.35">
      <c r="B318" s="3"/>
    </row>
    <row r="319" spans="2:2" x14ac:dyDescent="0.35">
      <c r="B319" s="3"/>
    </row>
    <row r="320" spans="2:2" x14ac:dyDescent="0.35">
      <c r="B320" s="3"/>
    </row>
    <row r="321" spans="2:2" x14ac:dyDescent="0.35">
      <c r="B321" s="3"/>
    </row>
    <row r="322" spans="2:2" x14ac:dyDescent="0.35">
      <c r="B322" s="3"/>
    </row>
    <row r="323" spans="2:2" x14ac:dyDescent="0.35">
      <c r="B323" s="3"/>
    </row>
    <row r="324" spans="2:2" x14ac:dyDescent="0.35">
      <c r="B324" s="3"/>
    </row>
    <row r="325" spans="2:2" x14ac:dyDescent="0.35">
      <c r="B325" s="3"/>
    </row>
    <row r="326" spans="2:2" x14ac:dyDescent="0.35">
      <c r="B326" s="3"/>
    </row>
    <row r="327" spans="2:2" x14ac:dyDescent="0.35">
      <c r="B327" s="3"/>
    </row>
    <row r="328" spans="2:2" x14ac:dyDescent="0.35">
      <c r="B328" s="3"/>
    </row>
    <row r="329" spans="2:2" x14ac:dyDescent="0.35">
      <c r="B329" s="3"/>
    </row>
    <row r="330" spans="2:2" x14ac:dyDescent="0.35">
      <c r="B330" s="3"/>
    </row>
    <row r="331" spans="2:2" x14ac:dyDescent="0.35">
      <c r="B331" s="3"/>
    </row>
    <row r="332" spans="2:2" x14ac:dyDescent="0.35">
      <c r="B332" s="3"/>
    </row>
    <row r="333" spans="2:2" x14ac:dyDescent="0.35">
      <c r="B333" s="3"/>
    </row>
    <row r="334" spans="2:2" x14ac:dyDescent="0.35">
      <c r="B334" s="3"/>
    </row>
    <row r="335" spans="2:2" x14ac:dyDescent="0.35">
      <c r="B335" s="3"/>
    </row>
    <row r="336" spans="2:2" x14ac:dyDescent="0.35">
      <c r="B336" s="3"/>
    </row>
    <row r="337" spans="2:20" x14ac:dyDescent="0.35">
      <c r="B337" s="3"/>
      <c r="S337" s="10"/>
      <c r="T337" s="324"/>
    </row>
    <row r="338" spans="2:20" x14ac:dyDescent="0.35">
      <c r="B338" s="3"/>
      <c r="S338" s="10"/>
      <c r="T338" s="324"/>
    </row>
    <row r="339" spans="2:20" x14ac:dyDescent="0.35">
      <c r="B339" s="3"/>
      <c r="S339" s="10"/>
      <c r="T339" s="324"/>
    </row>
    <row r="340" spans="2:20" x14ac:dyDescent="0.35">
      <c r="B340" s="3"/>
      <c r="S340" s="10"/>
      <c r="T340" s="324"/>
    </row>
    <row r="341" spans="2:20" x14ac:dyDescent="0.35">
      <c r="B341" s="3"/>
      <c r="S341" s="10"/>
      <c r="T341" s="324"/>
    </row>
    <row r="342" spans="2:20" x14ac:dyDescent="0.35">
      <c r="B342" s="3"/>
      <c r="S342" s="10"/>
      <c r="T342" s="324"/>
    </row>
    <row r="343" spans="2:20" x14ac:dyDescent="0.35">
      <c r="B343" s="3"/>
      <c r="S343" s="10"/>
      <c r="T343" s="324"/>
    </row>
    <row r="344" spans="2:20" x14ac:dyDescent="0.35">
      <c r="B344" s="3"/>
      <c r="S344" s="10"/>
      <c r="T344" s="324"/>
    </row>
    <row r="345" spans="2:20" x14ac:dyDescent="0.35">
      <c r="B345" s="3"/>
      <c r="S345" s="10"/>
      <c r="T345" s="324"/>
    </row>
    <row r="346" spans="2:20" x14ac:dyDescent="0.35">
      <c r="B346" s="3"/>
      <c r="S346" s="10"/>
      <c r="T346" s="324"/>
    </row>
    <row r="347" spans="2:20" x14ac:dyDescent="0.35">
      <c r="B347" s="3"/>
      <c r="S347" s="10"/>
      <c r="T347" s="324"/>
    </row>
    <row r="348" spans="2:20" x14ac:dyDescent="0.35">
      <c r="B348" s="3"/>
      <c r="S348" s="10"/>
      <c r="T348" s="324"/>
    </row>
    <row r="349" spans="2:20" x14ac:dyDescent="0.35">
      <c r="B349" s="3"/>
      <c r="S349" s="10"/>
      <c r="T349" s="324"/>
    </row>
    <row r="350" spans="2:20" x14ac:dyDescent="0.35">
      <c r="B350" s="3"/>
      <c r="S350" s="10"/>
      <c r="T350" s="324"/>
    </row>
    <row r="351" spans="2:20" x14ac:dyDescent="0.35">
      <c r="B351" s="3"/>
      <c r="S351" s="10"/>
      <c r="T351" s="324"/>
    </row>
    <row r="352" spans="2:20" x14ac:dyDescent="0.35">
      <c r="B352" s="3"/>
      <c r="S352" s="10"/>
      <c r="T352" s="324"/>
    </row>
    <row r="353" spans="2:20" x14ac:dyDescent="0.35">
      <c r="B353" s="3"/>
      <c r="S353" s="10"/>
      <c r="T353" s="324"/>
    </row>
    <row r="354" spans="2:20" x14ac:dyDescent="0.35">
      <c r="B354" s="3"/>
      <c r="S354" s="10"/>
      <c r="T354" s="324"/>
    </row>
    <row r="355" spans="2:20" x14ac:dyDescent="0.35">
      <c r="B355" s="3"/>
      <c r="S355" s="10"/>
      <c r="T355" s="324"/>
    </row>
    <row r="356" spans="2:20" x14ac:dyDescent="0.35">
      <c r="B356" s="3"/>
      <c r="S356" s="10"/>
      <c r="T356" s="324"/>
    </row>
    <row r="357" spans="2:20" x14ac:dyDescent="0.35">
      <c r="B357" s="3"/>
      <c r="S357" s="10"/>
      <c r="T357" s="324"/>
    </row>
    <row r="358" spans="2:20" x14ac:dyDescent="0.35">
      <c r="B358" s="3"/>
      <c r="S358" s="10"/>
      <c r="T358" s="324"/>
    </row>
    <row r="359" spans="2:20" x14ac:dyDescent="0.35">
      <c r="B359" s="3"/>
      <c r="S359" s="10"/>
      <c r="T359" s="324"/>
    </row>
    <row r="360" spans="2:20" x14ac:dyDescent="0.35">
      <c r="B360" s="3"/>
      <c r="S360" s="10"/>
      <c r="T360" s="324"/>
    </row>
    <row r="361" spans="2:20" x14ac:dyDescent="0.35">
      <c r="B361" s="3"/>
      <c r="S361" s="10"/>
      <c r="T361" s="324"/>
    </row>
    <row r="362" spans="2:20" x14ac:dyDescent="0.35">
      <c r="B362" s="3"/>
      <c r="S362" s="10"/>
      <c r="T362" s="324"/>
    </row>
    <row r="363" spans="2:20" x14ac:dyDescent="0.35">
      <c r="B363" s="3"/>
      <c r="S363" s="10"/>
      <c r="T363" s="324"/>
    </row>
    <row r="364" spans="2:20" x14ac:dyDescent="0.35">
      <c r="B364" s="3"/>
      <c r="S364" s="10"/>
      <c r="T364" s="324"/>
    </row>
    <row r="365" spans="2:20" x14ac:dyDescent="0.35">
      <c r="B365" s="3"/>
      <c r="S365" s="10"/>
      <c r="T365" s="324"/>
    </row>
    <row r="366" spans="2:20" x14ac:dyDescent="0.35">
      <c r="B366" s="3"/>
      <c r="S366" s="10"/>
      <c r="T366" s="324"/>
    </row>
    <row r="367" spans="2:20" x14ac:dyDescent="0.35">
      <c r="B367" s="3"/>
      <c r="S367" s="10"/>
      <c r="T367" s="324"/>
    </row>
    <row r="368" spans="2:20" x14ac:dyDescent="0.35">
      <c r="B368" s="3"/>
      <c r="S368" s="10"/>
      <c r="T368" s="324"/>
    </row>
    <row r="369" spans="2:20" x14ac:dyDescent="0.35">
      <c r="B369" s="3"/>
      <c r="S369" s="10"/>
      <c r="T369" s="324"/>
    </row>
    <row r="370" spans="2:20" x14ac:dyDescent="0.35">
      <c r="B370" s="3"/>
      <c r="S370" s="10"/>
      <c r="T370" s="324"/>
    </row>
    <row r="371" spans="2:20" x14ac:dyDescent="0.35">
      <c r="B371" s="3"/>
      <c r="S371" s="10"/>
      <c r="T371" s="324"/>
    </row>
    <row r="372" spans="2:20" x14ac:dyDescent="0.35">
      <c r="B372" s="3"/>
      <c r="S372" s="10"/>
      <c r="T372" s="324"/>
    </row>
    <row r="373" spans="2:20" x14ac:dyDescent="0.35">
      <c r="B373" s="3"/>
      <c r="S373" s="10"/>
      <c r="T373" s="324"/>
    </row>
    <row r="374" spans="2:20" x14ac:dyDescent="0.35">
      <c r="B374" s="3"/>
      <c r="S374" s="10"/>
      <c r="T374" s="324"/>
    </row>
    <row r="375" spans="2:20" x14ac:dyDescent="0.35">
      <c r="B375" s="3"/>
      <c r="S375" s="10"/>
      <c r="T375" s="324"/>
    </row>
    <row r="376" spans="2:20" x14ac:dyDescent="0.35">
      <c r="B376" s="3"/>
      <c r="S376" s="10"/>
      <c r="T376" s="324"/>
    </row>
    <row r="377" spans="2:20" x14ac:dyDescent="0.35">
      <c r="B377" s="3"/>
      <c r="S377" s="10"/>
      <c r="T377" s="324"/>
    </row>
    <row r="378" spans="2:20" x14ac:dyDescent="0.35">
      <c r="B378" s="3"/>
      <c r="S378" s="10"/>
      <c r="T378" s="324"/>
    </row>
    <row r="379" spans="2:20" x14ac:dyDescent="0.35">
      <c r="B379" s="3"/>
      <c r="S379" s="10"/>
      <c r="T379" s="324"/>
    </row>
    <row r="380" spans="2:20" x14ac:dyDescent="0.35">
      <c r="B380" s="3"/>
      <c r="S380" s="10"/>
      <c r="T380" s="324"/>
    </row>
    <row r="381" spans="2:20" x14ac:dyDescent="0.35">
      <c r="B381" s="3"/>
      <c r="S381" s="10"/>
      <c r="T381" s="324"/>
    </row>
    <row r="382" spans="2:20" x14ac:dyDescent="0.35">
      <c r="B382" s="3"/>
      <c r="S382" s="10"/>
      <c r="T382" s="324"/>
    </row>
    <row r="383" spans="2:20" x14ac:dyDescent="0.35">
      <c r="B383" s="3"/>
      <c r="S383" s="10"/>
      <c r="T383" s="324"/>
    </row>
    <row r="384" spans="2:20" x14ac:dyDescent="0.35">
      <c r="B384" s="3"/>
      <c r="S384" s="10"/>
      <c r="T384" s="324"/>
    </row>
    <row r="385" spans="2:20" x14ac:dyDescent="0.35">
      <c r="B385" s="3"/>
      <c r="S385" s="10"/>
      <c r="T385" s="324"/>
    </row>
    <row r="386" spans="2:20" x14ac:dyDescent="0.35">
      <c r="B386" s="3"/>
      <c r="S386" s="10"/>
      <c r="T386" s="324"/>
    </row>
    <row r="387" spans="2:20" x14ac:dyDescent="0.35">
      <c r="B387" s="3"/>
      <c r="S387" s="10"/>
      <c r="T387" s="324"/>
    </row>
    <row r="388" spans="2:20" x14ac:dyDescent="0.35">
      <c r="B388" s="3"/>
      <c r="S388" s="10"/>
      <c r="T388" s="324"/>
    </row>
    <row r="389" spans="2:20" x14ac:dyDescent="0.35">
      <c r="B389" s="3"/>
    </row>
    <row r="390" spans="2:20" x14ac:dyDescent="0.35">
      <c r="B390" s="3"/>
    </row>
    <row r="391" spans="2:20" x14ac:dyDescent="0.35">
      <c r="B391" s="3"/>
    </row>
    <row r="392" spans="2:20" x14ac:dyDescent="0.35">
      <c r="B392" s="3"/>
    </row>
    <row r="393" spans="2:20" x14ac:dyDescent="0.35">
      <c r="B393" s="3"/>
    </row>
    <row r="394" spans="2:20" x14ac:dyDescent="0.35">
      <c r="B394" s="3"/>
    </row>
    <row r="395" spans="2:20" x14ac:dyDescent="0.35">
      <c r="B395" s="3"/>
    </row>
    <row r="396" spans="2:20" x14ac:dyDescent="0.35">
      <c r="B396" s="3"/>
    </row>
    <row r="397" spans="2:20" x14ac:dyDescent="0.35">
      <c r="B397" s="3"/>
    </row>
    <row r="398" spans="2:20" x14ac:dyDescent="0.35">
      <c r="B398" s="3"/>
    </row>
    <row r="399" spans="2:20" x14ac:dyDescent="0.35">
      <c r="B399" s="3"/>
      <c r="S399" s="10"/>
      <c r="T399" s="324"/>
    </row>
    <row r="400" spans="2:20" x14ac:dyDescent="0.35">
      <c r="B400" s="3"/>
      <c r="S400" s="10"/>
      <c r="T400" s="324"/>
    </row>
    <row r="401" spans="2:20" x14ac:dyDescent="0.35">
      <c r="B401" s="3"/>
      <c r="S401" s="10"/>
      <c r="T401" s="324"/>
    </row>
    <row r="402" spans="2:20" x14ac:dyDescent="0.35">
      <c r="B402" s="3"/>
      <c r="S402" s="44"/>
      <c r="T402" s="325"/>
    </row>
    <row r="403" spans="2:20" x14ac:dyDescent="0.35">
      <c r="B403" s="3"/>
      <c r="S403" s="42"/>
      <c r="T403" s="326"/>
    </row>
    <row r="404" spans="2:20" x14ac:dyDescent="0.35">
      <c r="B404" s="3"/>
      <c r="S404" s="10"/>
      <c r="T404" s="324"/>
    </row>
    <row r="405" spans="2:20" x14ac:dyDescent="0.35">
      <c r="B405" s="3"/>
      <c r="S405" s="10"/>
      <c r="T405" s="324"/>
    </row>
    <row r="406" spans="2:20" x14ac:dyDescent="0.35">
      <c r="B406" s="3"/>
      <c r="S406" s="10"/>
      <c r="T406" s="324"/>
    </row>
    <row r="407" spans="2:20" x14ac:dyDescent="0.35">
      <c r="B407" s="3"/>
      <c r="S407" s="10"/>
      <c r="T407" s="324"/>
    </row>
    <row r="408" spans="2:20" x14ac:dyDescent="0.35">
      <c r="B408" s="3"/>
      <c r="S408" s="10"/>
      <c r="T408" s="324"/>
    </row>
    <row r="409" spans="2:20" x14ac:dyDescent="0.35">
      <c r="B409" s="3"/>
      <c r="S409" s="10"/>
      <c r="T409" s="324"/>
    </row>
    <row r="410" spans="2:20" x14ac:dyDescent="0.35">
      <c r="B410" s="3"/>
      <c r="S410" s="10"/>
      <c r="T410" s="324"/>
    </row>
    <row r="411" spans="2:20" x14ac:dyDescent="0.35">
      <c r="B411" s="3"/>
      <c r="S411" s="10"/>
      <c r="T411" s="324"/>
    </row>
    <row r="412" spans="2:20" x14ac:dyDescent="0.35">
      <c r="B412" s="3"/>
      <c r="S412" s="10"/>
      <c r="T412" s="324"/>
    </row>
    <row r="413" spans="2:20" x14ac:dyDescent="0.35">
      <c r="B413" s="3"/>
      <c r="S413" s="10"/>
      <c r="T413" s="324"/>
    </row>
    <row r="414" spans="2:20" x14ac:dyDescent="0.35">
      <c r="B414" s="3"/>
      <c r="S414" s="10"/>
      <c r="T414" s="324"/>
    </row>
    <row r="415" spans="2:20" x14ac:dyDescent="0.35">
      <c r="B415" s="3"/>
      <c r="S415" s="10"/>
      <c r="T415" s="324"/>
    </row>
    <row r="416" spans="2:20" x14ac:dyDescent="0.35">
      <c r="B416" s="3"/>
      <c r="S416" s="10"/>
      <c r="T416" s="324"/>
    </row>
    <row r="417" spans="2:20" x14ac:dyDescent="0.35">
      <c r="B417" s="3"/>
      <c r="S417" s="10"/>
      <c r="T417" s="324"/>
    </row>
    <row r="418" spans="2:20" x14ac:dyDescent="0.35">
      <c r="B418" s="3"/>
      <c r="S418" s="10"/>
      <c r="T418" s="324"/>
    </row>
    <row r="419" spans="2:20" x14ac:dyDescent="0.35">
      <c r="B419" s="3"/>
      <c r="S419" s="10"/>
      <c r="T419" s="324"/>
    </row>
    <row r="420" spans="2:20" x14ac:dyDescent="0.35">
      <c r="B420" s="3"/>
      <c r="S420" s="10"/>
      <c r="T420" s="324"/>
    </row>
    <row r="421" spans="2:20" x14ac:dyDescent="0.35">
      <c r="B421" s="3"/>
      <c r="S421" s="10"/>
      <c r="T421" s="324"/>
    </row>
    <row r="422" spans="2:20" x14ac:dyDescent="0.35">
      <c r="B422" s="3"/>
      <c r="S422" s="10"/>
      <c r="T422" s="324"/>
    </row>
    <row r="423" spans="2:20" x14ac:dyDescent="0.35">
      <c r="B423" s="3"/>
      <c r="S423" s="10"/>
      <c r="T423" s="324"/>
    </row>
    <row r="424" spans="2:20" x14ac:dyDescent="0.35">
      <c r="B424" s="3"/>
      <c r="S424" s="10"/>
      <c r="T424" s="324"/>
    </row>
    <row r="425" spans="2:20" x14ac:dyDescent="0.35">
      <c r="B425" s="3"/>
      <c r="S425" s="10"/>
      <c r="T425" s="324"/>
    </row>
    <row r="426" spans="2:20" x14ac:dyDescent="0.35">
      <c r="B426" s="3"/>
      <c r="S426" s="10"/>
      <c r="T426" s="324"/>
    </row>
    <row r="427" spans="2:20" x14ac:dyDescent="0.35">
      <c r="B427" s="3"/>
      <c r="S427" s="10"/>
      <c r="T427" s="324"/>
    </row>
    <row r="428" spans="2:20" x14ac:dyDescent="0.35">
      <c r="B428" s="3"/>
      <c r="S428" s="10"/>
      <c r="T428" s="324"/>
    </row>
    <row r="429" spans="2:20" x14ac:dyDescent="0.35">
      <c r="B429" s="3"/>
      <c r="S429" s="10"/>
      <c r="T429" s="324"/>
    </row>
    <row r="430" spans="2:20" x14ac:dyDescent="0.35">
      <c r="B430" s="3"/>
      <c r="S430" s="10"/>
      <c r="T430" s="324"/>
    </row>
    <row r="431" spans="2:20" x14ac:dyDescent="0.35">
      <c r="B431" s="3"/>
      <c r="S431" s="10"/>
      <c r="T431" s="324"/>
    </row>
    <row r="432" spans="2:20" x14ac:dyDescent="0.35">
      <c r="B432" s="3"/>
      <c r="S432" s="10"/>
      <c r="T432" s="324"/>
    </row>
    <row r="433" spans="2:20" x14ac:dyDescent="0.35">
      <c r="B433" s="3"/>
      <c r="S433" s="10"/>
      <c r="T433" s="324"/>
    </row>
    <row r="434" spans="2:20" x14ac:dyDescent="0.35">
      <c r="B434" s="3"/>
      <c r="S434" s="10"/>
      <c r="T434" s="324"/>
    </row>
    <row r="435" spans="2:20" x14ac:dyDescent="0.35">
      <c r="B435" s="3"/>
      <c r="S435" s="10"/>
      <c r="T435" s="324"/>
    </row>
    <row r="436" spans="2:20" x14ac:dyDescent="0.35">
      <c r="B436" s="3"/>
      <c r="S436" s="10"/>
      <c r="T436" s="324"/>
    </row>
    <row r="437" spans="2:20" x14ac:dyDescent="0.35">
      <c r="B437" s="3"/>
      <c r="S437" s="10"/>
      <c r="T437" s="324"/>
    </row>
    <row r="438" spans="2:20" x14ac:dyDescent="0.35">
      <c r="B438" s="3"/>
    </row>
    <row r="439" spans="2:20" x14ac:dyDescent="0.35">
      <c r="B439" s="3"/>
      <c r="S439" s="46"/>
      <c r="T439" s="327"/>
    </row>
    <row r="440" spans="2:20" x14ac:dyDescent="0.35">
      <c r="B440" s="3"/>
    </row>
    <row r="441" spans="2:20" x14ac:dyDescent="0.35">
      <c r="B441" s="3"/>
    </row>
    <row r="442" spans="2:20" x14ac:dyDescent="0.35">
      <c r="B442" s="3"/>
      <c r="S442" s="10"/>
      <c r="T442" s="324"/>
    </row>
    <row r="443" spans="2:20" x14ac:dyDescent="0.35">
      <c r="B443" s="3"/>
      <c r="S443" s="10"/>
      <c r="T443" s="324"/>
    </row>
    <row r="444" spans="2:20" x14ac:dyDescent="0.35">
      <c r="B444" s="3"/>
    </row>
    <row r="445" spans="2:20" x14ac:dyDescent="0.35">
      <c r="B445" s="3"/>
    </row>
    <row r="446" spans="2:20" x14ac:dyDescent="0.35">
      <c r="B446" s="3"/>
    </row>
    <row r="447" spans="2:20" x14ac:dyDescent="0.35">
      <c r="B447" s="3"/>
    </row>
    <row r="448" spans="2:20" x14ac:dyDescent="0.35">
      <c r="B448" s="3"/>
    </row>
    <row r="449" spans="2:2" x14ac:dyDescent="0.35">
      <c r="B449" s="3"/>
    </row>
    <row r="450" spans="2:2" x14ac:dyDescent="0.35">
      <c r="B450" s="3"/>
    </row>
    <row r="451" spans="2:2" x14ac:dyDescent="0.35">
      <c r="B451" s="3"/>
    </row>
    <row r="452" spans="2:2" x14ac:dyDescent="0.35">
      <c r="B452" s="3"/>
    </row>
    <row r="453" spans="2:2" x14ac:dyDescent="0.35">
      <c r="B453" s="3"/>
    </row>
    <row r="454" spans="2:2" x14ac:dyDescent="0.35">
      <c r="B454" s="3"/>
    </row>
    <row r="455" spans="2:2" x14ac:dyDescent="0.35">
      <c r="B455" s="3"/>
    </row>
    <row r="456" spans="2:2" x14ac:dyDescent="0.35">
      <c r="B456" s="3"/>
    </row>
    <row r="457" spans="2:2" x14ac:dyDescent="0.35">
      <c r="B457" s="3"/>
    </row>
    <row r="458" spans="2:2" x14ac:dyDescent="0.35">
      <c r="B458" s="3"/>
    </row>
    <row r="459" spans="2:2" x14ac:dyDescent="0.35">
      <c r="B459" s="3"/>
    </row>
    <row r="460" spans="2:2" x14ac:dyDescent="0.35">
      <c r="B460" s="3"/>
    </row>
    <row r="461" spans="2:2" x14ac:dyDescent="0.35">
      <c r="B461" s="3"/>
    </row>
    <row r="462" spans="2:2" x14ac:dyDescent="0.35">
      <c r="B462" s="3"/>
    </row>
    <row r="463" spans="2:2" x14ac:dyDescent="0.35">
      <c r="B463" s="3"/>
    </row>
    <row r="464" spans="2:2" x14ac:dyDescent="0.35">
      <c r="B464" s="3"/>
    </row>
    <row r="465" spans="2:2" x14ac:dyDescent="0.35">
      <c r="B465" s="3"/>
    </row>
    <row r="466" spans="2:2" x14ac:dyDescent="0.35">
      <c r="B466" s="3"/>
    </row>
    <row r="467" spans="2:2" x14ac:dyDescent="0.35">
      <c r="B467" s="3"/>
    </row>
    <row r="468" spans="2:2" x14ac:dyDescent="0.35">
      <c r="B468" s="3"/>
    </row>
    <row r="469" spans="2:2" x14ac:dyDescent="0.35">
      <c r="B469" s="3"/>
    </row>
    <row r="470" spans="2:2" x14ac:dyDescent="0.35">
      <c r="B470" s="3"/>
    </row>
    <row r="471" spans="2:2" x14ac:dyDescent="0.35">
      <c r="B471" s="3"/>
    </row>
    <row r="472" spans="2:2" x14ac:dyDescent="0.35">
      <c r="B472" s="3"/>
    </row>
    <row r="473" spans="2:2" x14ac:dyDescent="0.35">
      <c r="B473" s="3"/>
    </row>
    <row r="474" spans="2:2" x14ac:dyDescent="0.35">
      <c r="B474" s="3"/>
    </row>
    <row r="475" spans="2:2" x14ac:dyDescent="0.35">
      <c r="B475" s="3"/>
    </row>
    <row r="476" spans="2:2" x14ac:dyDescent="0.35">
      <c r="B476" s="3"/>
    </row>
    <row r="477" spans="2:2" x14ac:dyDescent="0.35">
      <c r="B477" s="3"/>
    </row>
    <row r="478" spans="2:2" x14ac:dyDescent="0.35">
      <c r="B478" s="3"/>
    </row>
    <row r="479" spans="2:2" x14ac:dyDescent="0.35">
      <c r="B479" s="3"/>
    </row>
    <row r="480" spans="2:2" x14ac:dyDescent="0.35">
      <c r="B480" s="3"/>
    </row>
    <row r="481" spans="2:2" x14ac:dyDescent="0.35">
      <c r="B481" s="3"/>
    </row>
    <row r="482" spans="2:2" x14ac:dyDescent="0.35">
      <c r="B482" s="3"/>
    </row>
    <row r="483" spans="2:2" x14ac:dyDescent="0.35">
      <c r="B483" s="3"/>
    </row>
    <row r="484" spans="2:2" x14ac:dyDescent="0.35">
      <c r="B484" s="3"/>
    </row>
    <row r="485" spans="2:2" x14ac:dyDescent="0.35">
      <c r="B485" s="3"/>
    </row>
    <row r="486" spans="2:2" x14ac:dyDescent="0.35">
      <c r="B486" s="3"/>
    </row>
    <row r="487" spans="2:2" x14ac:dyDescent="0.35">
      <c r="B487" s="3"/>
    </row>
    <row r="488" spans="2:2" x14ac:dyDescent="0.35">
      <c r="B488" s="3"/>
    </row>
    <row r="489" spans="2:2" x14ac:dyDescent="0.35">
      <c r="B489" s="3"/>
    </row>
    <row r="490" spans="2:2" x14ac:dyDescent="0.35">
      <c r="B490" s="3"/>
    </row>
    <row r="491" spans="2:2" x14ac:dyDescent="0.35">
      <c r="B491" s="3"/>
    </row>
    <row r="492" spans="2:2" x14ac:dyDescent="0.35">
      <c r="B492" s="3"/>
    </row>
    <row r="493" spans="2:2" x14ac:dyDescent="0.35">
      <c r="B493" s="3"/>
    </row>
    <row r="494" spans="2:2" x14ac:dyDescent="0.35">
      <c r="B494" s="3"/>
    </row>
  </sheetData>
  <sheetProtection selectLockedCells="1"/>
  <phoneticPr fontId="4" type="noConversion"/>
  <conditionalFormatting sqref="E145:P175">
    <cfRule type="expression" dxfId="99" priority="465">
      <formula>E217&gt;0</formula>
    </cfRule>
    <cfRule type="expression" dxfId="98" priority="466">
      <formula>E181&gt;0</formula>
    </cfRule>
  </conditionalFormatting>
  <conditionalFormatting sqref="E177:Q178">
    <cfRule type="expression" dxfId="97" priority="2">
      <formula>ABS(E177)&lt;1</formula>
    </cfRule>
  </conditionalFormatting>
  <conditionalFormatting sqref="E213:Q214">
    <cfRule type="expression" dxfId="96" priority="6">
      <formula>ABS(E213)&lt;1</formula>
    </cfRule>
  </conditionalFormatting>
  <conditionalFormatting sqref="E249:Q249">
    <cfRule type="expression" dxfId="95" priority="5">
      <formula>ABS(E249)&lt;1</formula>
    </cfRule>
  </conditionalFormatting>
  <conditionalFormatting sqref="E293:Q293">
    <cfRule type="cellIs" dxfId="94" priority="1" operator="between">
      <formula>-1</formula>
      <formula>1</formula>
    </cfRule>
  </conditionalFormatting>
  <dataValidations count="1">
    <dataValidation operator="notEqual" showInputMessage="1" showErrorMessage="1" sqref="E18:P18" xr:uid="{00000000-0002-0000-0700-000000000000}"/>
  </dataValidations>
  <pageMargins left="0" right="0" top="0" bottom="0" header="0.05" footer="0"/>
  <pageSetup scale="46" fitToHeight="2" orientation="landscape" cellComments="asDisplayed" r:id="rId1"/>
  <headerFooter alignWithMargins="0">
    <oddFooter>&amp;L&amp;Z&amp;F\&amp;A&amp;R&amp;D;&amp;T</oddFooter>
  </headerFooter>
  <rowBreaks count="1" manualBreakCount="1">
    <brk id="75" max="17" man="1"/>
  </rowBreaks>
  <ignoredErrors>
    <ignoredError sqref="E29:P30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>
    <tabColor theme="0"/>
  </sheetPr>
  <dimension ref="A1:V386"/>
  <sheetViews>
    <sheetView topLeftCell="A148" zoomScale="85" zoomScaleNormal="85" workbookViewId="0">
      <selection activeCell="E184" sqref="E184:Q187"/>
    </sheetView>
  </sheetViews>
  <sheetFormatPr defaultColWidth="10.81640625" defaultRowHeight="16" outlineLevelCol="1" x14ac:dyDescent="0.35"/>
  <cols>
    <col min="1" max="1" width="15.54296875" style="6" bestFit="1" customWidth="1"/>
    <col min="2" max="2" width="9.1796875" style="6" customWidth="1"/>
    <col min="3" max="3" width="2.81640625" style="6" customWidth="1"/>
    <col min="4" max="4" width="37.81640625" style="6" customWidth="1"/>
    <col min="5" max="5" width="14" style="6" bestFit="1" customWidth="1"/>
    <col min="6" max="6" width="12.81640625" style="6" bestFit="1" customWidth="1"/>
    <col min="7" max="8" width="15.81640625" style="6" customWidth="1"/>
    <col min="9" max="9" width="13.81640625" style="6" customWidth="1"/>
    <col min="10" max="10" width="13.1796875" style="6" customWidth="1"/>
    <col min="11" max="16" width="12.81640625" style="6" bestFit="1" customWidth="1"/>
    <col min="17" max="18" width="15.1796875" style="6" bestFit="1" customWidth="1"/>
    <col min="19" max="19" width="17.26953125" style="6" customWidth="1" outlineLevel="1"/>
    <col min="20" max="20" width="14.26953125" style="273" customWidth="1" outlineLevel="1"/>
    <col min="21" max="21" width="9.1796875" style="23" bestFit="1" customWidth="1"/>
    <col min="22" max="22" width="33.1796875" style="6" bestFit="1" customWidth="1"/>
    <col min="23" max="16384" width="10.81640625" style="6"/>
  </cols>
  <sheetData>
    <row r="1" spans="1:22" s="20" customFormat="1" ht="29" x14ac:dyDescent="0.25">
      <c r="B1" s="214">
        <v>7200</v>
      </c>
      <c r="C1" s="388" t="s">
        <v>562</v>
      </c>
      <c r="J1" s="21" t="str">
        <f>+'7010'!J1</f>
        <v>Operating Budget</v>
      </c>
      <c r="Q1" s="22">
        <f>'All Shopping Centers'!Q1</f>
        <v>46023</v>
      </c>
      <c r="R1" s="22"/>
      <c r="S1" s="22"/>
      <c r="T1" s="299"/>
      <c r="U1" s="240"/>
    </row>
    <row r="2" spans="1:22" ht="18" x14ac:dyDescent="0.35">
      <c r="J2" s="73" t="str">
        <f>'All Shopping Centers'!J2&amp;" - "&amp;B1</f>
        <v>Shopping Centers - 7200</v>
      </c>
    </row>
    <row r="3" spans="1:22" ht="18" x14ac:dyDescent="0.35">
      <c r="S3" s="300" t="s">
        <v>496</v>
      </c>
      <c r="T3" s="301"/>
    </row>
    <row r="4" spans="1:22" s="11" customFormat="1" ht="18" x14ac:dyDescent="0.35">
      <c r="B4" s="215">
        <v>14821</v>
      </c>
      <c r="C4" s="215"/>
      <c r="D4" s="13"/>
      <c r="E4" s="24" t="s">
        <v>0</v>
      </c>
      <c r="F4" s="24" t="s">
        <v>1</v>
      </c>
      <c r="G4" s="24" t="s">
        <v>2</v>
      </c>
      <c r="H4" s="24" t="s">
        <v>3</v>
      </c>
      <c r="I4" s="24" t="s">
        <v>4</v>
      </c>
      <c r="J4" s="24" t="s">
        <v>5</v>
      </c>
      <c r="K4" s="24" t="s">
        <v>6</v>
      </c>
      <c r="L4" s="24" t="s">
        <v>7</v>
      </c>
      <c r="M4" s="24" t="s">
        <v>8</v>
      </c>
      <c r="N4" s="24" t="s">
        <v>9</v>
      </c>
      <c r="O4" s="24" t="s">
        <v>10</v>
      </c>
      <c r="P4" s="24" t="s">
        <v>11</v>
      </c>
      <c r="Q4" s="100" t="s">
        <v>12</v>
      </c>
      <c r="R4" s="100" t="s">
        <v>317</v>
      </c>
      <c r="S4" s="302" t="s">
        <v>12</v>
      </c>
      <c r="T4" s="303" t="s">
        <v>495</v>
      </c>
      <c r="U4" s="231" t="s">
        <v>349</v>
      </c>
      <c r="V4" s="227" t="s">
        <v>282</v>
      </c>
    </row>
    <row r="5" spans="1:22" x14ac:dyDescent="0.35">
      <c r="Q5" s="101"/>
      <c r="R5" s="101"/>
      <c r="S5" s="304"/>
      <c r="T5" s="305"/>
    </row>
    <row r="6" spans="1:22" s="25" customFormat="1" x14ac:dyDescent="0.35">
      <c r="B6" s="26"/>
      <c r="D6" s="211" t="s">
        <v>13</v>
      </c>
      <c r="E6" s="212">
        <f>'Renew &amp; Vac '!AJ141</f>
        <v>1</v>
      </c>
      <c r="F6" s="212">
        <f>'Renew &amp; Vac '!AK141</f>
        <v>1</v>
      </c>
      <c r="G6" s="212">
        <f>'Renew &amp; Vac '!AL141</f>
        <v>1</v>
      </c>
      <c r="H6" s="212">
        <f>'Renew &amp; Vac '!AM141</f>
        <v>1</v>
      </c>
      <c r="I6" s="212">
        <f>'Renew &amp; Vac '!AN141</f>
        <v>1</v>
      </c>
      <c r="J6" s="212">
        <f>'Renew &amp; Vac '!AO141</f>
        <v>1</v>
      </c>
      <c r="K6" s="212">
        <f>'Renew &amp; Vac '!AP141</f>
        <v>1</v>
      </c>
      <c r="L6" s="212">
        <f>'Renew &amp; Vac '!AQ141</f>
        <v>1</v>
      </c>
      <c r="M6" s="212">
        <f>'Renew &amp; Vac '!AR141</f>
        <v>1</v>
      </c>
      <c r="N6" s="212">
        <f>'Renew &amp; Vac '!AS141</f>
        <v>1</v>
      </c>
      <c r="O6" s="212">
        <f>'Renew &amp; Vac '!AT141</f>
        <v>1</v>
      </c>
      <c r="P6" s="212">
        <f>'Renew &amp; Vac '!AU141</f>
        <v>1</v>
      </c>
      <c r="Q6" s="102"/>
      <c r="R6" s="102"/>
      <c r="S6" s="306"/>
      <c r="T6" s="307"/>
      <c r="U6" s="232"/>
    </row>
    <row r="7" spans="1:22" s="25" customFormat="1" x14ac:dyDescent="0.35">
      <c r="B7" s="26"/>
      <c r="D7" s="211" t="s">
        <v>323</v>
      </c>
      <c r="E7" s="213">
        <f>$B$4*E6</f>
        <v>14821</v>
      </c>
      <c r="F7" s="213">
        <f t="shared" ref="F7:P7" si="0">$B$4*F6</f>
        <v>14821</v>
      </c>
      <c r="G7" s="213">
        <f t="shared" si="0"/>
        <v>14821</v>
      </c>
      <c r="H7" s="213">
        <f t="shared" si="0"/>
        <v>14821</v>
      </c>
      <c r="I7" s="213">
        <f t="shared" si="0"/>
        <v>14821</v>
      </c>
      <c r="J7" s="213">
        <f t="shared" si="0"/>
        <v>14821</v>
      </c>
      <c r="K7" s="213">
        <f t="shared" si="0"/>
        <v>14821</v>
      </c>
      <c r="L7" s="213">
        <f t="shared" si="0"/>
        <v>14821</v>
      </c>
      <c r="M7" s="213">
        <f t="shared" si="0"/>
        <v>14821</v>
      </c>
      <c r="N7" s="213">
        <f t="shared" si="0"/>
        <v>14821</v>
      </c>
      <c r="O7" s="213">
        <f t="shared" si="0"/>
        <v>14821</v>
      </c>
      <c r="P7" s="213">
        <f t="shared" si="0"/>
        <v>14821</v>
      </c>
      <c r="Q7" s="102"/>
      <c r="R7" s="102"/>
      <c r="S7" s="306"/>
      <c r="T7" s="307"/>
      <c r="U7" s="232"/>
    </row>
    <row r="8" spans="1:22" ht="18" x14ac:dyDescent="0.35">
      <c r="B8" s="7" t="s">
        <v>14</v>
      </c>
      <c r="Q8" s="101"/>
      <c r="R8" s="101"/>
      <c r="S8" s="304"/>
      <c r="T8" s="305"/>
    </row>
    <row r="9" spans="1:22" x14ac:dyDescent="0.35">
      <c r="A9" s="66"/>
      <c r="Q9" s="101"/>
      <c r="R9" s="101"/>
      <c r="S9" s="304"/>
      <c r="T9" s="305"/>
    </row>
    <row r="10" spans="1:22" x14ac:dyDescent="0.35">
      <c r="A10" s="66" t="s">
        <v>132</v>
      </c>
      <c r="C10" s="6" t="s">
        <v>159</v>
      </c>
      <c r="E10" s="6">
        <f>SUMIFS('In Place Revenue'!$G:$G,'In Place Revenue'!$A:$A,$B$1,'In Place Revenue'!$H:$H,1)</f>
        <v>17992.04</v>
      </c>
      <c r="F10" s="6">
        <f>SUMIFS('In Place Revenue'!$G:$G,'In Place Revenue'!$A:$A,$B$1,'In Place Revenue'!$H:$H,2)</f>
        <v>17992.04</v>
      </c>
      <c r="G10" s="6">
        <f>SUMIFS('In Place Revenue'!$G:$G,'In Place Revenue'!$A:$A,$B$1,'In Place Revenue'!$H:$H,3)</f>
        <v>17992.04</v>
      </c>
      <c r="H10" s="6">
        <f>SUMIFS('In Place Revenue'!$G:$G,'In Place Revenue'!$A:$A,$B$1,'In Place Revenue'!$H:$H,4)</f>
        <v>17992.04</v>
      </c>
      <c r="I10" s="6">
        <f>SUMIFS('In Place Revenue'!$G:$G,'In Place Revenue'!$A:$A,$B$1,'In Place Revenue'!$H:$H,5)</f>
        <v>17992.04</v>
      </c>
      <c r="J10" s="6">
        <f>SUMIFS('In Place Revenue'!$G:$G,'In Place Revenue'!$A:$A,$B$1,'In Place Revenue'!$H:$H,6)</f>
        <v>17992.04</v>
      </c>
      <c r="K10" s="6">
        <f>SUMIFS('In Place Revenue'!$G:$G,'In Place Revenue'!$A:$A,$B$1,'In Place Revenue'!$H:$H,7)</f>
        <v>17992.04</v>
      </c>
      <c r="L10" s="6">
        <f>SUMIFS('In Place Revenue'!$G:$G,'In Place Revenue'!$A:$A,$B$1,'In Place Revenue'!$H:$H,8)</f>
        <v>17992.04</v>
      </c>
      <c r="M10" s="6">
        <f>SUMIFS('In Place Revenue'!$G:$G,'In Place Revenue'!$A:$A,$B$1,'In Place Revenue'!$H:$H,9)</f>
        <v>17992.04</v>
      </c>
      <c r="N10" s="6">
        <f>SUMIFS('In Place Revenue'!$G:$G,'In Place Revenue'!$A:$A,$B$1,'In Place Revenue'!$H:$H,10)</f>
        <v>17992.04</v>
      </c>
      <c r="O10" s="6">
        <f>SUMIFS('In Place Revenue'!$G:$G,'In Place Revenue'!$A:$A,$B$1,'In Place Revenue'!$H:$H,11)</f>
        <v>17992.04</v>
      </c>
      <c r="P10" s="6">
        <f>SUMIFS('In Place Revenue'!$G:$G,'In Place Revenue'!$A:$A,$B$1,'In Place Revenue'!$H:$H,12)</f>
        <v>17992.04</v>
      </c>
      <c r="Q10" s="101">
        <f>SUM(E10:P10)</f>
        <v>215904.48000000007</v>
      </c>
      <c r="R10" s="184">
        <f>Q10/$B$4</f>
        <v>14.567470481074157</v>
      </c>
      <c r="S10" s="304">
        <v>199428</v>
      </c>
      <c r="T10" s="308">
        <f>(Q10+Q11)/S10-1</f>
        <v>8.2618689451832594E-2</v>
      </c>
    </row>
    <row r="11" spans="1:22" x14ac:dyDescent="0.35">
      <c r="A11" s="66" t="s">
        <v>132</v>
      </c>
      <c r="C11" s="6" t="s">
        <v>160</v>
      </c>
      <c r="E11" s="6">
        <f>'Renew &amp; Vac '!AJ142</f>
        <v>0</v>
      </c>
      <c r="F11" s="6">
        <f>'Renew &amp; Vac '!AK142</f>
        <v>0</v>
      </c>
      <c r="G11" s="6">
        <f>'Renew &amp; Vac '!AL142</f>
        <v>0</v>
      </c>
      <c r="H11" s="6">
        <f>'Renew &amp; Vac '!AM142</f>
        <v>0</v>
      </c>
      <c r="I11" s="6">
        <f>'Renew &amp; Vac '!AN142</f>
        <v>0</v>
      </c>
      <c r="J11" s="6">
        <f>'Renew &amp; Vac '!AO142</f>
        <v>0</v>
      </c>
      <c r="K11" s="6">
        <f>'Renew &amp; Vac '!AP142</f>
        <v>0</v>
      </c>
      <c r="L11" s="6">
        <f>'Renew &amp; Vac '!AQ142</f>
        <v>0</v>
      </c>
      <c r="M11" s="6">
        <f>'Renew &amp; Vac '!AR142</f>
        <v>0</v>
      </c>
      <c r="N11" s="6">
        <f>'Renew &amp; Vac '!AS142</f>
        <v>0</v>
      </c>
      <c r="O11" s="6">
        <f>'Renew &amp; Vac '!AT142</f>
        <v>0</v>
      </c>
      <c r="P11" s="6">
        <f>'Renew &amp; Vac '!AU142</f>
        <v>0</v>
      </c>
      <c r="Q11" s="101">
        <f>SUM(E11:P11)</f>
        <v>0</v>
      </c>
      <c r="R11" s="184">
        <f t="shared" ref="R11:R73" si="1">Q11/$B$4</f>
        <v>0</v>
      </c>
      <c r="S11" s="304"/>
      <c r="T11" s="308"/>
    </row>
    <row r="12" spans="1:22" x14ac:dyDescent="0.35">
      <c r="A12" s="66" t="s">
        <v>97</v>
      </c>
      <c r="C12" s="6" t="s">
        <v>15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01">
        <f>SUM(E12:P12)</f>
        <v>0</v>
      </c>
      <c r="R12" s="184">
        <f t="shared" si="1"/>
        <v>0</v>
      </c>
      <c r="S12" s="304">
        <v>0</v>
      </c>
      <c r="T12" s="308" t="str">
        <f>IFERROR(Q12/S12-1,"")</f>
        <v/>
      </c>
    </row>
    <row r="13" spans="1:22" x14ac:dyDescent="0.35">
      <c r="A13" s="66" t="s">
        <v>133</v>
      </c>
      <c r="C13" s="6" t="s">
        <v>16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01">
        <f>SUM(E13:P13)</f>
        <v>0</v>
      </c>
      <c r="R13" s="184">
        <f t="shared" si="1"/>
        <v>0</v>
      </c>
      <c r="S13" s="304">
        <v>0</v>
      </c>
      <c r="T13" s="308" t="str">
        <f t="shared" ref="T13:T14" si="2">IFERROR(Q13/S13-1,"")</f>
        <v/>
      </c>
    </row>
    <row r="14" spans="1:22" x14ac:dyDescent="0.35">
      <c r="A14" s="66" t="s">
        <v>134</v>
      </c>
      <c r="C14" s="6" t="s">
        <v>17</v>
      </c>
      <c r="E14" s="12">
        <f>1.03*15</f>
        <v>15.450000000000001</v>
      </c>
      <c r="F14" s="12">
        <f t="shared" ref="F14:P14" si="3">1.03*15</f>
        <v>15.450000000000001</v>
      </c>
      <c r="G14" s="12">
        <f t="shared" si="3"/>
        <v>15.450000000000001</v>
      </c>
      <c r="H14" s="12">
        <f t="shared" si="3"/>
        <v>15.450000000000001</v>
      </c>
      <c r="I14" s="12">
        <f t="shared" si="3"/>
        <v>15.450000000000001</v>
      </c>
      <c r="J14" s="12">
        <f t="shared" si="3"/>
        <v>15.450000000000001</v>
      </c>
      <c r="K14" s="12">
        <f t="shared" si="3"/>
        <v>15.450000000000001</v>
      </c>
      <c r="L14" s="12">
        <f t="shared" si="3"/>
        <v>15.450000000000001</v>
      </c>
      <c r="M14" s="12">
        <f t="shared" si="3"/>
        <v>15.450000000000001</v>
      </c>
      <c r="N14" s="12">
        <f t="shared" si="3"/>
        <v>15.450000000000001</v>
      </c>
      <c r="O14" s="12">
        <f t="shared" si="3"/>
        <v>15.450000000000001</v>
      </c>
      <c r="P14" s="12">
        <f t="shared" si="3"/>
        <v>15.450000000000001</v>
      </c>
      <c r="Q14" s="101">
        <f>SUM(E14:P14)</f>
        <v>185.39999999999998</v>
      </c>
      <c r="R14" s="184">
        <f t="shared" si="1"/>
        <v>1.2509277376695228E-2</v>
      </c>
      <c r="S14" s="304">
        <v>101</v>
      </c>
      <c r="T14" s="320">
        <f t="shared" si="2"/>
        <v>0.8356435643564355</v>
      </c>
      <c r="U14" s="23" t="s">
        <v>283</v>
      </c>
      <c r="V14" s="6" t="s">
        <v>348</v>
      </c>
    </row>
    <row r="15" spans="1:22" x14ac:dyDescent="0.35">
      <c r="A15" s="66"/>
      <c r="C15" s="6" t="s">
        <v>18</v>
      </c>
      <c r="D15" s="16"/>
      <c r="E15" s="28">
        <f t="shared" ref="E15:Q15" si="4">SUM(E10:E14)</f>
        <v>18007.490000000002</v>
      </c>
      <c r="F15" s="28">
        <f t="shared" si="4"/>
        <v>18007.490000000002</v>
      </c>
      <c r="G15" s="28">
        <f t="shared" si="4"/>
        <v>18007.490000000002</v>
      </c>
      <c r="H15" s="28">
        <f t="shared" si="4"/>
        <v>18007.490000000002</v>
      </c>
      <c r="I15" s="28">
        <f t="shared" si="4"/>
        <v>18007.490000000002</v>
      </c>
      <c r="J15" s="28">
        <f t="shared" si="4"/>
        <v>18007.490000000002</v>
      </c>
      <c r="K15" s="28">
        <f t="shared" si="4"/>
        <v>18007.490000000002</v>
      </c>
      <c r="L15" s="28">
        <f t="shared" si="4"/>
        <v>18007.490000000002</v>
      </c>
      <c r="M15" s="28">
        <f t="shared" si="4"/>
        <v>18007.490000000002</v>
      </c>
      <c r="N15" s="28">
        <f t="shared" si="4"/>
        <v>18007.490000000002</v>
      </c>
      <c r="O15" s="28">
        <f t="shared" si="4"/>
        <v>18007.490000000002</v>
      </c>
      <c r="P15" s="28">
        <f t="shared" si="4"/>
        <v>18007.490000000002</v>
      </c>
      <c r="Q15" s="110">
        <f t="shared" si="4"/>
        <v>216089.88000000006</v>
      </c>
      <c r="R15" s="191">
        <f t="shared" si="1"/>
        <v>14.57997975845085</v>
      </c>
      <c r="S15" s="309">
        <f>SUM(S10:S14)</f>
        <v>199529</v>
      </c>
      <c r="T15" s="310">
        <f>Q15/S15-1</f>
        <v>8.2999864681324809E-2</v>
      </c>
    </row>
    <row r="16" spans="1:22" ht="18" x14ac:dyDescent="0.35">
      <c r="A16" s="66"/>
      <c r="Q16" s="103"/>
      <c r="R16" s="185"/>
      <c r="S16" s="311"/>
      <c r="T16" s="312"/>
    </row>
    <row r="17" spans="1:21" ht="18" x14ac:dyDescent="0.35">
      <c r="A17" s="66"/>
      <c r="B17" s="7" t="s">
        <v>19</v>
      </c>
      <c r="Q17" s="101"/>
      <c r="R17" s="184"/>
      <c r="S17" s="304"/>
      <c r="T17" s="308"/>
    </row>
    <row r="18" spans="1:21" x14ac:dyDescent="0.35">
      <c r="A18" s="66" t="s">
        <v>98</v>
      </c>
      <c r="C18" s="6" t="s">
        <v>20</v>
      </c>
      <c r="E18" s="12">
        <f>0.65*E29</f>
        <v>0</v>
      </c>
      <c r="F18" s="12">
        <f t="shared" ref="F18:P18" si="5">0.65*F29</f>
        <v>0</v>
      </c>
      <c r="G18" s="12">
        <f t="shared" si="5"/>
        <v>0</v>
      </c>
      <c r="H18" s="12">
        <f t="shared" si="5"/>
        <v>0</v>
      </c>
      <c r="I18" s="12">
        <f t="shared" si="5"/>
        <v>0</v>
      </c>
      <c r="J18" s="12">
        <f t="shared" si="5"/>
        <v>0</v>
      </c>
      <c r="K18" s="12">
        <f t="shared" si="5"/>
        <v>0</v>
      </c>
      <c r="L18" s="12">
        <f t="shared" si="5"/>
        <v>0</v>
      </c>
      <c r="M18" s="12">
        <f t="shared" si="5"/>
        <v>0</v>
      </c>
      <c r="N18" s="12">
        <f t="shared" si="5"/>
        <v>0</v>
      </c>
      <c r="O18" s="12">
        <f t="shared" si="5"/>
        <v>0</v>
      </c>
      <c r="P18" s="12">
        <f t="shared" si="5"/>
        <v>0</v>
      </c>
      <c r="Q18" s="101">
        <f>SUM(E18:P18)</f>
        <v>0</v>
      </c>
      <c r="R18" s="184">
        <f t="shared" ref="R18" si="6">Q18/$B$4</f>
        <v>0</v>
      </c>
      <c r="S18" s="304">
        <v>0</v>
      </c>
      <c r="T18" s="308" t="str">
        <f t="shared" ref="T18:T20" si="7">IFERROR(Q18/S18-1,"")</f>
        <v/>
      </c>
    </row>
    <row r="19" spans="1:21" x14ac:dyDescent="0.35">
      <c r="A19" s="66" t="s">
        <v>99</v>
      </c>
      <c r="C19" s="6" t="s">
        <v>21</v>
      </c>
      <c r="E19" s="6">
        <f>+'Tenant Recoveries'!L26</f>
        <v>0</v>
      </c>
      <c r="F19" s="6">
        <f>+E19</f>
        <v>0</v>
      </c>
      <c r="G19" s="6">
        <f t="shared" ref="G19:P20" si="8">+F19</f>
        <v>0</v>
      </c>
      <c r="H19" s="6">
        <f t="shared" si="8"/>
        <v>0</v>
      </c>
      <c r="I19" s="6">
        <f t="shared" si="8"/>
        <v>0</v>
      </c>
      <c r="J19" s="6">
        <f t="shared" si="8"/>
        <v>0</v>
      </c>
      <c r="K19" s="6">
        <f t="shared" si="8"/>
        <v>0</v>
      </c>
      <c r="L19" s="6">
        <f t="shared" si="8"/>
        <v>0</v>
      </c>
      <c r="M19" s="6">
        <f t="shared" si="8"/>
        <v>0</v>
      </c>
      <c r="N19" s="6">
        <f t="shared" si="8"/>
        <v>0</v>
      </c>
      <c r="O19" s="6">
        <f t="shared" si="8"/>
        <v>0</v>
      </c>
      <c r="P19" s="6">
        <f t="shared" si="8"/>
        <v>0</v>
      </c>
      <c r="Q19" s="101">
        <f>SUM(E19:P19)</f>
        <v>0</v>
      </c>
      <c r="R19" s="184">
        <f t="shared" si="1"/>
        <v>0</v>
      </c>
      <c r="S19" s="304">
        <v>0</v>
      </c>
      <c r="T19" s="308" t="str">
        <f t="shared" si="7"/>
        <v/>
      </c>
    </row>
    <row r="20" spans="1:21" x14ac:dyDescent="0.35">
      <c r="A20" s="66" t="s">
        <v>100</v>
      </c>
      <c r="C20" s="6" t="s">
        <v>22</v>
      </c>
      <c r="E20" s="6">
        <f>+'Tenant Recoveries'!L27</f>
        <v>0</v>
      </c>
      <c r="F20" s="6">
        <f>+E20</f>
        <v>0</v>
      </c>
      <c r="G20" s="6">
        <f t="shared" si="8"/>
        <v>0</v>
      </c>
      <c r="H20" s="6">
        <f t="shared" si="8"/>
        <v>0</v>
      </c>
      <c r="I20" s="6">
        <f t="shared" si="8"/>
        <v>0</v>
      </c>
      <c r="J20" s="6">
        <f t="shared" si="8"/>
        <v>0</v>
      </c>
      <c r="K20" s="6">
        <f t="shared" si="8"/>
        <v>0</v>
      </c>
      <c r="L20" s="6">
        <f t="shared" si="8"/>
        <v>0</v>
      </c>
      <c r="M20" s="6">
        <f t="shared" si="8"/>
        <v>0</v>
      </c>
      <c r="N20" s="6">
        <f t="shared" si="8"/>
        <v>0</v>
      </c>
      <c r="O20" s="6">
        <f t="shared" si="8"/>
        <v>0</v>
      </c>
      <c r="P20" s="6">
        <f t="shared" si="8"/>
        <v>0</v>
      </c>
      <c r="Q20" s="101">
        <f>SUM(E20:P20)</f>
        <v>0</v>
      </c>
      <c r="R20" s="184">
        <f t="shared" si="1"/>
        <v>0</v>
      </c>
      <c r="S20" s="304">
        <v>36624</v>
      </c>
      <c r="T20" s="308">
        <f t="shared" si="7"/>
        <v>-1</v>
      </c>
    </row>
    <row r="21" spans="1:21" x14ac:dyDescent="0.35">
      <c r="A21" s="66" t="s">
        <v>135</v>
      </c>
      <c r="C21" s="6" t="s">
        <v>23</v>
      </c>
      <c r="Q21" s="101">
        <f>SUM(E21:P21)</f>
        <v>0</v>
      </c>
      <c r="R21" s="184">
        <f t="shared" si="1"/>
        <v>0</v>
      </c>
      <c r="S21" s="304">
        <v>1530</v>
      </c>
      <c r="T21" s="308">
        <f>IFERROR(Q21/S21-1,"")</f>
        <v>-1</v>
      </c>
    </row>
    <row r="22" spans="1:21" x14ac:dyDescent="0.35">
      <c r="A22" s="66"/>
      <c r="C22" s="6" t="s">
        <v>24</v>
      </c>
      <c r="D22" s="16"/>
      <c r="E22" s="28">
        <f t="shared" ref="E22:Q22" si="9">SUM(E19:E21)</f>
        <v>0</v>
      </c>
      <c r="F22" s="28">
        <f t="shared" si="9"/>
        <v>0</v>
      </c>
      <c r="G22" s="28">
        <f t="shared" si="9"/>
        <v>0</v>
      </c>
      <c r="H22" s="28">
        <f t="shared" si="9"/>
        <v>0</v>
      </c>
      <c r="I22" s="28">
        <f t="shared" si="9"/>
        <v>0</v>
      </c>
      <c r="J22" s="28">
        <f t="shared" si="9"/>
        <v>0</v>
      </c>
      <c r="K22" s="28">
        <f t="shared" si="9"/>
        <v>0</v>
      </c>
      <c r="L22" s="28">
        <f t="shared" si="9"/>
        <v>0</v>
      </c>
      <c r="M22" s="28">
        <f t="shared" si="9"/>
        <v>0</v>
      </c>
      <c r="N22" s="28">
        <f t="shared" si="9"/>
        <v>0</v>
      </c>
      <c r="O22" s="28">
        <f t="shared" si="9"/>
        <v>0</v>
      </c>
      <c r="P22" s="28">
        <f t="shared" si="9"/>
        <v>0</v>
      </c>
      <c r="Q22" s="110">
        <f t="shared" si="9"/>
        <v>0</v>
      </c>
      <c r="R22" s="191">
        <f t="shared" si="1"/>
        <v>0</v>
      </c>
      <c r="S22" s="309">
        <f t="shared" ref="S22" si="10">SUM(S18:S21)</f>
        <v>38154</v>
      </c>
      <c r="T22" s="310">
        <f>Q22/S22-1</f>
        <v>-1</v>
      </c>
    </row>
    <row r="23" spans="1:21" ht="16.5" thickBot="1" x14ac:dyDescent="0.4">
      <c r="A23" s="66"/>
      <c r="Q23" s="101"/>
      <c r="R23" s="184">
        <f t="shared" si="1"/>
        <v>0</v>
      </c>
      <c r="S23" s="304"/>
      <c r="T23" s="308"/>
    </row>
    <row r="24" spans="1:21" s="9" customFormat="1" ht="18" thickBot="1" x14ac:dyDescent="0.4">
      <c r="A24" s="218"/>
      <c r="B24" s="219" t="s">
        <v>25</v>
      </c>
      <c r="C24" s="220"/>
      <c r="D24" s="220"/>
      <c r="E24" s="220">
        <f t="shared" ref="E24:Q24" si="11">+E15+E22</f>
        <v>18007.490000000002</v>
      </c>
      <c r="F24" s="220">
        <f t="shared" si="11"/>
        <v>18007.490000000002</v>
      </c>
      <c r="G24" s="220">
        <f t="shared" si="11"/>
        <v>18007.490000000002</v>
      </c>
      <c r="H24" s="220">
        <f t="shared" si="11"/>
        <v>18007.490000000002</v>
      </c>
      <c r="I24" s="220">
        <f t="shared" si="11"/>
        <v>18007.490000000002</v>
      </c>
      <c r="J24" s="220">
        <f t="shared" si="11"/>
        <v>18007.490000000002</v>
      </c>
      <c r="K24" s="220">
        <f t="shared" si="11"/>
        <v>18007.490000000002</v>
      </c>
      <c r="L24" s="220">
        <f t="shared" si="11"/>
        <v>18007.490000000002</v>
      </c>
      <c r="M24" s="220">
        <f t="shared" si="11"/>
        <v>18007.490000000002</v>
      </c>
      <c r="N24" s="220">
        <f t="shared" si="11"/>
        <v>18007.490000000002</v>
      </c>
      <c r="O24" s="220">
        <f t="shared" si="11"/>
        <v>18007.490000000002</v>
      </c>
      <c r="P24" s="220">
        <f t="shared" si="11"/>
        <v>18007.490000000002</v>
      </c>
      <c r="Q24" s="221">
        <f t="shared" si="11"/>
        <v>216089.88000000006</v>
      </c>
      <c r="R24" s="222">
        <f t="shared" si="1"/>
        <v>14.57997975845085</v>
      </c>
      <c r="S24" s="313">
        <f t="shared" ref="S24" si="12">+S15+S22</f>
        <v>237683</v>
      </c>
      <c r="T24" s="314">
        <f>Q24/S24-1</f>
        <v>-9.0848398917886208E-2</v>
      </c>
      <c r="U24" s="241"/>
    </row>
    <row r="25" spans="1:21" ht="18" x14ac:dyDescent="0.35">
      <c r="A25" s="66"/>
      <c r="Q25" s="103"/>
      <c r="R25" s="185"/>
      <c r="S25" s="311"/>
      <c r="T25" s="312"/>
    </row>
    <row r="26" spans="1:21" ht="18" x14ac:dyDescent="0.35">
      <c r="A26" s="66"/>
      <c r="B26" s="7" t="s">
        <v>26</v>
      </c>
      <c r="Q26" s="101"/>
      <c r="R26" s="184"/>
      <c r="S26" s="304"/>
      <c r="T26" s="308"/>
    </row>
    <row r="27" spans="1:21" x14ac:dyDescent="0.35">
      <c r="A27" s="66" t="s">
        <v>101</v>
      </c>
      <c r="C27" s="6" t="s">
        <v>27</v>
      </c>
      <c r="E27" s="6">
        <f>VLOOKUP($B$1,'Allocated Expenses'!$B$6:$P$15,4,FALSE)</f>
        <v>456.38494610612997</v>
      </c>
      <c r="F27" s="6">
        <f>VLOOKUP($B$1,'Allocated Expenses'!$B$6:$P$15,5,FALSE)</f>
        <v>456.38494610612997</v>
      </c>
      <c r="G27" s="6">
        <f>VLOOKUP($B$1,'Allocated Expenses'!$B$6:$P$15,6,FALSE)</f>
        <v>456.38494610612997</v>
      </c>
      <c r="H27" s="6">
        <f>VLOOKUP($B$1,'Allocated Expenses'!$B$6:$P$15,7,FALSE)</f>
        <v>456.38494610612997</v>
      </c>
      <c r="I27" s="6">
        <f>VLOOKUP($B$1,'Allocated Expenses'!$B$6:$P$15,8,FALSE)</f>
        <v>456.38494610612997</v>
      </c>
      <c r="J27" s="6">
        <f>VLOOKUP($B$1,'Allocated Expenses'!$B$6:$P$15,9,FALSE)</f>
        <v>456.38494610612997</v>
      </c>
      <c r="K27" s="6">
        <f>VLOOKUP($B$1,'Allocated Expenses'!$B$6:$P$15,10,FALSE)</f>
        <v>456.38494610612997</v>
      </c>
      <c r="L27" s="6">
        <f>VLOOKUP($B$1,'Allocated Expenses'!$B$6:$P$15,11,FALSE)</f>
        <v>456.38494610612997</v>
      </c>
      <c r="M27" s="6">
        <f>VLOOKUP($B$1,'Allocated Expenses'!$B$6:$P$15,12,FALSE)</f>
        <v>456.38494610612997</v>
      </c>
      <c r="N27" s="6">
        <f>VLOOKUP($B$1,'Allocated Expenses'!$B$6:$P$15,13,FALSE)</f>
        <v>456.38494610612997</v>
      </c>
      <c r="O27" s="6">
        <f>VLOOKUP($B$1,'Allocated Expenses'!$B$6:$P$15,14,FALSE)</f>
        <v>456.38494610612997</v>
      </c>
      <c r="P27" s="6">
        <f>VLOOKUP($B$1,'Allocated Expenses'!$B$6:$P$15,15,FALSE)</f>
        <v>456.38494610612997</v>
      </c>
      <c r="Q27" s="101">
        <f>SUM(E27:P27)</f>
        <v>5476.6193532735597</v>
      </c>
      <c r="R27" s="184">
        <f t="shared" si="1"/>
        <v>0.36951753277603128</v>
      </c>
      <c r="S27" s="304">
        <v>5640</v>
      </c>
      <c r="T27" s="308">
        <f t="shared" ref="T27" si="13">IFERROR(Q27/S27-1,"")</f>
        <v>-2.8968199774191516E-2</v>
      </c>
    </row>
    <row r="28" spans="1:21" x14ac:dyDescent="0.35">
      <c r="A28" s="66"/>
      <c r="Q28" s="101"/>
      <c r="R28" s="184"/>
      <c r="S28" s="304"/>
      <c r="T28" s="308"/>
    </row>
    <row r="29" spans="1:21" x14ac:dyDescent="0.35">
      <c r="A29" s="66" t="s">
        <v>102</v>
      </c>
      <c r="C29" s="6" t="s">
        <v>20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01">
        <f>SUM(E29:P29)</f>
        <v>0</v>
      </c>
      <c r="R29" s="184">
        <f t="shared" si="1"/>
        <v>0</v>
      </c>
      <c r="S29" s="304">
        <v>0</v>
      </c>
      <c r="T29" s="308" t="str">
        <f t="shared" ref="T29" si="14">IFERROR(Q29/S29-1,"")</f>
        <v/>
      </c>
    </row>
    <row r="30" spans="1:21" x14ac:dyDescent="0.35">
      <c r="A30" s="66"/>
      <c r="Q30" s="101"/>
      <c r="R30" s="184"/>
      <c r="S30" s="304"/>
      <c r="T30" s="308"/>
    </row>
    <row r="31" spans="1:21" x14ac:dyDescent="0.35">
      <c r="A31" s="66" t="s">
        <v>103</v>
      </c>
      <c r="C31" s="6" t="s">
        <v>28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01">
        <f>SUM(E31:P31)</f>
        <v>0</v>
      </c>
      <c r="R31" s="184">
        <f t="shared" si="1"/>
        <v>0</v>
      </c>
      <c r="S31" s="304">
        <v>0</v>
      </c>
      <c r="T31" s="308" t="str">
        <f t="shared" ref="T31" si="15">IFERROR(Q31/S31-1,"")</f>
        <v/>
      </c>
    </row>
    <row r="32" spans="1:21" x14ac:dyDescent="0.35">
      <c r="A32" s="66"/>
      <c r="Q32" s="101"/>
      <c r="R32" s="184"/>
      <c r="S32" s="304"/>
      <c r="T32" s="308"/>
    </row>
    <row r="33" spans="1:20" x14ac:dyDescent="0.35">
      <c r="A33" s="66"/>
      <c r="D33" s="50" t="s">
        <v>29</v>
      </c>
      <c r="E33" s="45">
        <f>'Building Maint'!C26</f>
        <v>0</v>
      </c>
      <c r="F33" s="45">
        <f>'Building Maint'!D26</f>
        <v>0</v>
      </c>
      <c r="G33" s="45">
        <f>'Building Maint'!E26</f>
        <v>0</v>
      </c>
      <c r="H33" s="45">
        <f>'Building Maint'!F26</f>
        <v>0</v>
      </c>
      <c r="I33" s="45">
        <f>'Building Maint'!G26</f>
        <v>0</v>
      </c>
      <c r="J33" s="45">
        <f>'Building Maint'!H26</f>
        <v>0</v>
      </c>
      <c r="K33" s="45">
        <f>'Building Maint'!I26</f>
        <v>0</v>
      </c>
      <c r="L33" s="45">
        <f>'Building Maint'!J26</f>
        <v>0</v>
      </c>
      <c r="M33" s="45">
        <f>'Building Maint'!K26</f>
        <v>0</v>
      </c>
      <c r="N33" s="45">
        <f>'Building Maint'!L26</f>
        <v>0</v>
      </c>
      <c r="O33" s="45">
        <f>'Building Maint'!M26</f>
        <v>0</v>
      </c>
      <c r="P33" s="45">
        <f>'Building Maint'!N26</f>
        <v>0</v>
      </c>
      <c r="Q33" s="195">
        <f>SUM(E33:P33)</f>
        <v>0</v>
      </c>
      <c r="R33" s="186">
        <f t="shared" si="1"/>
        <v>0</v>
      </c>
      <c r="S33" s="304"/>
      <c r="T33" s="308"/>
    </row>
    <row r="34" spans="1:20" x14ac:dyDescent="0.35">
      <c r="A34" s="66"/>
      <c r="D34" s="51" t="s">
        <v>30</v>
      </c>
      <c r="E34" s="6">
        <f>'Building Maint'!C12</f>
        <v>0</v>
      </c>
      <c r="F34" s="6">
        <f>'Building Maint'!D12</f>
        <v>0</v>
      </c>
      <c r="G34" s="6">
        <f>'Building Maint'!E12</f>
        <v>0</v>
      </c>
      <c r="H34" s="6">
        <f>'Building Maint'!F12</f>
        <v>0</v>
      </c>
      <c r="I34" s="6">
        <f>'Building Maint'!G12</f>
        <v>0</v>
      </c>
      <c r="J34" s="6">
        <f>'Building Maint'!H12</f>
        <v>0</v>
      </c>
      <c r="K34" s="6">
        <f>'Building Maint'!I12</f>
        <v>0</v>
      </c>
      <c r="L34" s="6">
        <f>'Building Maint'!J12</f>
        <v>0</v>
      </c>
      <c r="M34" s="6">
        <f>'Building Maint'!K12</f>
        <v>0</v>
      </c>
      <c r="N34" s="6">
        <f>'Building Maint'!L12</f>
        <v>0</v>
      </c>
      <c r="O34" s="6">
        <f>'Building Maint'!M12</f>
        <v>0</v>
      </c>
      <c r="P34" s="6">
        <f>'Building Maint'!N12</f>
        <v>0</v>
      </c>
      <c r="Q34" s="196">
        <f>SUM(E34:P34)</f>
        <v>0</v>
      </c>
      <c r="R34" s="187">
        <f t="shared" si="1"/>
        <v>0</v>
      </c>
      <c r="S34" s="304"/>
      <c r="T34" s="308"/>
    </row>
    <row r="35" spans="1:20" x14ac:dyDescent="0.35">
      <c r="A35" s="66"/>
      <c r="D35" s="52" t="s">
        <v>31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97">
        <f>SUM(E35:P35)</f>
        <v>0</v>
      </c>
      <c r="R35" s="188">
        <f t="shared" si="1"/>
        <v>0</v>
      </c>
      <c r="S35" s="304"/>
      <c r="T35" s="308"/>
    </row>
    <row r="36" spans="1:20" x14ac:dyDescent="0.35">
      <c r="A36" s="66" t="s">
        <v>104</v>
      </c>
      <c r="C36" s="6" t="s">
        <v>32</v>
      </c>
      <c r="E36" s="15">
        <f t="shared" ref="E36:Q36" si="16">SUM(E33:E35)</f>
        <v>0</v>
      </c>
      <c r="F36" s="15">
        <f t="shared" si="16"/>
        <v>0</v>
      </c>
      <c r="G36" s="15">
        <f>SUM(G33:G35)</f>
        <v>0</v>
      </c>
      <c r="H36" s="15">
        <f t="shared" si="16"/>
        <v>0</v>
      </c>
      <c r="I36" s="15">
        <f t="shared" si="16"/>
        <v>0</v>
      </c>
      <c r="J36" s="15">
        <f t="shared" si="16"/>
        <v>0</v>
      </c>
      <c r="K36" s="15">
        <f>SUM(K33:K35)</f>
        <v>0</v>
      </c>
      <c r="L36" s="15">
        <f t="shared" si="16"/>
        <v>0</v>
      </c>
      <c r="M36" s="15">
        <f t="shared" si="16"/>
        <v>0</v>
      </c>
      <c r="N36" s="15">
        <f t="shared" si="16"/>
        <v>0</v>
      </c>
      <c r="O36" s="15">
        <f t="shared" si="16"/>
        <v>0</v>
      </c>
      <c r="P36" s="15">
        <f t="shared" si="16"/>
        <v>0</v>
      </c>
      <c r="Q36" s="108">
        <f t="shared" si="16"/>
        <v>0</v>
      </c>
      <c r="R36" s="189">
        <f t="shared" si="1"/>
        <v>0</v>
      </c>
      <c r="S36" s="309">
        <v>0</v>
      </c>
      <c r="T36" s="310" t="str">
        <f>IFERROR(Q36/S36-1,"")</f>
        <v/>
      </c>
    </row>
    <row r="37" spans="1:20" x14ac:dyDescent="0.35">
      <c r="A37" s="66"/>
      <c r="Q37" s="101"/>
      <c r="R37" s="184"/>
      <c r="S37" s="304"/>
      <c r="T37" s="308"/>
    </row>
    <row r="38" spans="1:20" x14ac:dyDescent="0.35">
      <c r="A38" s="66" t="s">
        <v>136</v>
      </c>
      <c r="B38" s="6" t="s">
        <v>33</v>
      </c>
      <c r="C38" s="6" t="s">
        <v>34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01">
        <f>SUM(E38:P38)</f>
        <v>0</v>
      </c>
      <c r="R38" s="184">
        <f t="shared" si="1"/>
        <v>0</v>
      </c>
      <c r="S38" s="304">
        <v>0</v>
      </c>
      <c r="T38" s="308" t="str">
        <f t="shared" ref="T38" si="17">IFERROR(Q38/S38-1,"")</f>
        <v/>
      </c>
    </row>
    <row r="39" spans="1:20" x14ac:dyDescent="0.35">
      <c r="A39" s="66"/>
      <c r="Q39" s="101"/>
      <c r="R39" s="184"/>
      <c r="S39" s="304"/>
      <c r="T39" s="308"/>
    </row>
    <row r="40" spans="1:20" x14ac:dyDescent="0.35">
      <c r="A40" s="66"/>
      <c r="D40" s="50" t="s">
        <v>35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195">
        <f>SUM(E40:P40)</f>
        <v>0</v>
      </c>
      <c r="R40" s="186">
        <f t="shared" si="1"/>
        <v>0</v>
      </c>
      <c r="S40" s="304"/>
      <c r="T40" s="308"/>
    </row>
    <row r="41" spans="1:20" x14ac:dyDescent="0.35">
      <c r="A41" s="66"/>
      <c r="D41" s="51" t="s">
        <v>36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96">
        <f>SUM(E41:P41)</f>
        <v>0</v>
      </c>
      <c r="R41" s="187">
        <f t="shared" si="1"/>
        <v>0</v>
      </c>
      <c r="S41" s="304"/>
      <c r="T41" s="308"/>
    </row>
    <row r="42" spans="1:20" x14ac:dyDescent="0.35">
      <c r="A42" s="66"/>
      <c r="D42" s="52" t="s">
        <v>37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97">
        <f>SUM(E42:P42)</f>
        <v>0</v>
      </c>
      <c r="R42" s="188">
        <f t="shared" si="1"/>
        <v>0</v>
      </c>
      <c r="S42" s="304"/>
      <c r="T42" s="308"/>
    </row>
    <row r="43" spans="1:20" x14ac:dyDescent="0.35">
      <c r="A43" s="66" t="s">
        <v>105</v>
      </c>
      <c r="C43" s="6" t="s">
        <v>38</v>
      </c>
      <c r="E43" s="15">
        <f t="shared" ref="E43:Q43" si="18">SUM(E40:E42)</f>
        <v>0</v>
      </c>
      <c r="F43" s="15">
        <f t="shared" si="18"/>
        <v>0</v>
      </c>
      <c r="G43" s="15">
        <f t="shared" si="18"/>
        <v>0</v>
      </c>
      <c r="H43" s="15">
        <f t="shared" si="18"/>
        <v>0</v>
      </c>
      <c r="I43" s="15">
        <f t="shared" si="18"/>
        <v>0</v>
      </c>
      <c r="J43" s="15">
        <f t="shared" si="18"/>
        <v>0</v>
      </c>
      <c r="K43" s="15">
        <f t="shared" si="18"/>
        <v>0</v>
      </c>
      <c r="L43" s="15">
        <f t="shared" si="18"/>
        <v>0</v>
      </c>
      <c r="M43" s="15">
        <f t="shared" si="18"/>
        <v>0</v>
      </c>
      <c r="N43" s="15">
        <f t="shared" si="18"/>
        <v>0</v>
      </c>
      <c r="O43" s="15">
        <f t="shared" si="18"/>
        <v>0</v>
      </c>
      <c r="P43" s="15">
        <f t="shared" si="18"/>
        <v>0</v>
      </c>
      <c r="Q43" s="108">
        <f t="shared" si="18"/>
        <v>0</v>
      </c>
      <c r="R43" s="189">
        <f t="shared" si="1"/>
        <v>0</v>
      </c>
      <c r="S43" s="309">
        <v>0</v>
      </c>
      <c r="T43" s="310" t="str">
        <f t="shared" ref="T43" si="19">IFERROR(Q43/S43-1,"")</f>
        <v/>
      </c>
    </row>
    <row r="44" spans="1:20" x14ac:dyDescent="0.35">
      <c r="A44" s="66"/>
      <c r="Q44" s="101"/>
      <c r="R44" s="184"/>
      <c r="S44" s="304"/>
      <c r="T44" s="308"/>
    </row>
    <row r="45" spans="1:20" x14ac:dyDescent="0.35">
      <c r="A45" s="66" t="s">
        <v>106</v>
      </c>
      <c r="C45" s="6" t="s">
        <v>39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01">
        <f>SUM(E45:P45)</f>
        <v>0</v>
      </c>
      <c r="R45" s="184">
        <f t="shared" si="1"/>
        <v>0</v>
      </c>
      <c r="S45" s="304">
        <v>0</v>
      </c>
      <c r="T45" s="308" t="str">
        <f t="shared" ref="T45" si="20">IFERROR(Q45/S45-1,"")</f>
        <v/>
      </c>
    </row>
    <row r="46" spans="1:20" x14ac:dyDescent="0.35">
      <c r="A46" s="66"/>
      <c r="Q46" s="101"/>
      <c r="R46" s="184"/>
      <c r="S46" s="304"/>
      <c r="T46" s="308"/>
    </row>
    <row r="47" spans="1:20" x14ac:dyDescent="0.35">
      <c r="A47" s="66"/>
      <c r="D47" s="50" t="s">
        <v>40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195">
        <f>SUM(E47:P47)</f>
        <v>0</v>
      </c>
      <c r="R47" s="186">
        <f t="shared" si="1"/>
        <v>0</v>
      </c>
      <c r="S47" s="304"/>
      <c r="T47" s="308"/>
    </row>
    <row r="48" spans="1:20" x14ac:dyDescent="0.35">
      <c r="A48" s="66"/>
      <c r="D48" s="51" t="s">
        <v>41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96">
        <f>SUM(E48:P48)</f>
        <v>0</v>
      </c>
      <c r="R48" s="187">
        <f t="shared" si="1"/>
        <v>0</v>
      </c>
      <c r="S48" s="304"/>
      <c r="T48" s="308"/>
    </row>
    <row r="49" spans="1:20" x14ac:dyDescent="0.35">
      <c r="A49" s="66"/>
      <c r="D49" s="52" t="s">
        <v>42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97">
        <f>SUM(E49:P49)</f>
        <v>0</v>
      </c>
      <c r="R49" s="188">
        <f t="shared" si="1"/>
        <v>0</v>
      </c>
      <c r="S49" s="304"/>
      <c r="T49" s="308"/>
    </row>
    <row r="50" spans="1:20" x14ac:dyDescent="0.35">
      <c r="A50" s="66" t="s">
        <v>107</v>
      </c>
      <c r="C50" s="6" t="s">
        <v>43</v>
      </c>
      <c r="E50" s="15">
        <f t="shared" ref="E50:Q50" si="21">SUM(E47:E49)</f>
        <v>0</v>
      </c>
      <c r="F50" s="15">
        <f t="shared" si="21"/>
        <v>0</v>
      </c>
      <c r="G50" s="15">
        <f t="shared" si="21"/>
        <v>0</v>
      </c>
      <c r="H50" s="15">
        <f t="shared" si="21"/>
        <v>0</v>
      </c>
      <c r="I50" s="15">
        <f t="shared" si="21"/>
        <v>0</v>
      </c>
      <c r="J50" s="15">
        <f t="shared" si="21"/>
        <v>0</v>
      </c>
      <c r="K50" s="15">
        <f t="shared" si="21"/>
        <v>0</v>
      </c>
      <c r="L50" s="15">
        <f t="shared" si="21"/>
        <v>0</v>
      </c>
      <c r="M50" s="15">
        <f t="shared" si="21"/>
        <v>0</v>
      </c>
      <c r="N50" s="15">
        <f t="shared" si="21"/>
        <v>0</v>
      </c>
      <c r="O50" s="15">
        <f t="shared" si="21"/>
        <v>0</v>
      </c>
      <c r="P50" s="15">
        <f t="shared" si="21"/>
        <v>0</v>
      </c>
      <c r="Q50" s="108">
        <f t="shared" si="21"/>
        <v>0</v>
      </c>
      <c r="R50" s="189">
        <f t="shared" si="1"/>
        <v>0</v>
      </c>
      <c r="S50" s="309">
        <v>0</v>
      </c>
      <c r="T50" s="310" t="str">
        <f t="shared" ref="T50" si="22">IFERROR(Q50/S50-1,"")</f>
        <v/>
      </c>
    </row>
    <row r="51" spans="1:20" x14ac:dyDescent="0.35">
      <c r="A51" s="66"/>
      <c r="Q51" s="101"/>
      <c r="R51" s="184"/>
      <c r="S51" s="304"/>
      <c r="T51" s="308"/>
    </row>
    <row r="52" spans="1:20" x14ac:dyDescent="0.35">
      <c r="A52" s="66" t="s">
        <v>108</v>
      </c>
      <c r="C52" s="6" t="s">
        <v>44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01">
        <f>SUM(E52:P52)</f>
        <v>0</v>
      </c>
      <c r="R52" s="184">
        <f t="shared" si="1"/>
        <v>0</v>
      </c>
      <c r="S52" s="304">
        <v>0</v>
      </c>
      <c r="T52" s="308" t="str">
        <f t="shared" ref="T52" si="23">IFERROR(Q52/S52-1,"")</f>
        <v/>
      </c>
    </row>
    <row r="53" spans="1:20" x14ac:dyDescent="0.35">
      <c r="A53" s="66"/>
      <c r="Q53" s="101"/>
      <c r="R53" s="184"/>
      <c r="S53" s="304"/>
      <c r="T53" s="308"/>
    </row>
    <row r="54" spans="1:20" hidden="1" x14ac:dyDescent="0.35">
      <c r="A54" s="66" t="s">
        <v>109</v>
      </c>
      <c r="B54" s="6" t="s">
        <v>45</v>
      </c>
      <c r="C54" s="6" t="s">
        <v>46</v>
      </c>
      <c r="Q54" s="101">
        <f>SUM(E54:P54)</f>
        <v>0</v>
      </c>
      <c r="R54" s="184">
        <f t="shared" si="1"/>
        <v>0</v>
      </c>
      <c r="S54" s="304"/>
      <c r="T54" s="308" t="e">
        <f t="shared" ref="T54" si="24">R54/S54-1</f>
        <v>#DIV/0!</v>
      </c>
    </row>
    <row r="55" spans="1:20" hidden="1" x14ac:dyDescent="0.35">
      <c r="A55" s="66"/>
      <c r="Q55" s="101"/>
      <c r="R55" s="184"/>
      <c r="S55" s="304"/>
      <c r="T55" s="308"/>
    </row>
    <row r="56" spans="1:20" x14ac:dyDescent="0.35">
      <c r="A56" s="66" t="s">
        <v>110</v>
      </c>
      <c r="C56" s="6" t="s">
        <v>47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01">
        <f>SUM(E56:P56)</f>
        <v>0</v>
      </c>
      <c r="R56" s="184">
        <f t="shared" si="1"/>
        <v>0</v>
      </c>
      <c r="S56" s="304">
        <v>0</v>
      </c>
      <c r="T56" s="308" t="str">
        <f t="shared" ref="T56" si="25">IFERROR(Q56/S56-1,"")</f>
        <v/>
      </c>
    </row>
    <row r="57" spans="1:20" x14ac:dyDescent="0.35">
      <c r="A57" s="66"/>
      <c r="Q57" s="101"/>
      <c r="R57" s="184"/>
      <c r="S57" s="304"/>
      <c r="T57" s="308"/>
    </row>
    <row r="58" spans="1:20" x14ac:dyDescent="0.35">
      <c r="A58" s="66" t="s">
        <v>111</v>
      </c>
      <c r="C58" s="6" t="s">
        <v>22</v>
      </c>
      <c r="E58" s="6">
        <f>+'INS RET DEBT'!E88</f>
        <v>3143.5917583333339</v>
      </c>
      <c r="F58" s="6">
        <f>+'INS RET DEBT'!F88</f>
        <v>3143.5917583333339</v>
      </c>
      <c r="G58" s="6">
        <f>+'INS RET DEBT'!G88</f>
        <v>3143.5917583333339</v>
      </c>
      <c r="H58" s="6">
        <f>+'INS RET DEBT'!H88</f>
        <v>3143.5917583333339</v>
      </c>
      <c r="I58" s="6">
        <f>+'INS RET DEBT'!I88</f>
        <v>3143.5917583333339</v>
      </c>
      <c r="J58" s="6">
        <f>+'INS RET DEBT'!J88</f>
        <v>3143.5917583333339</v>
      </c>
      <c r="K58" s="6">
        <f>+'INS RET DEBT'!K88</f>
        <v>3143.5917583333339</v>
      </c>
      <c r="L58" s="6">
        <f>+'INS RET DEBT'!L88</f>
        <v>3143.5917583333339</v>
      </c>
      <c r="M58" s="6">
        <f>+'INS RET DEBT'!M88</f>
        <v>3143.5917583333339</v>
      </c>
      <c r="N58" s="6">
        <f>+'INS RET DEBT'!N88</f>
        <v>3143.5917583333339</v>
      </c>
      <c r="O58" s="6">
        <f>+'INS RET DEBT'!O88</f>
        <v>3143.5917583333339</v>
      </c>
      <c r="P58" s="6">
        <f>+'INS RET DEBT'!P88</f>
        <v>3143.5917583333339</v>
      </c>
      <c r="Q58" s="101">
        <f>SUM(E58:P58)</f>
        <v>37723.101100000014</v>
      </c>
      <c r="R58" s="184">
        <f t="shared" si="1"/>
        <v>2.5452466837595313</v>
      </c>
      <c r="S58" s="304">
        <v>36624</v>
      </c>
      <c r="T58" s="308">
        <f t="shared" ref="T58" si="26">IFERROR(Q58/S58-1,"")</f>
        <v>3.001040574486713E-2</v>
      </c>
    </row>
    <row r="59" spans="1:20" x14ac:dyDescent="0.35">
      <c r="A59" s="66"/>
      <c r="Q59" s="101"/>
      <c r="R59" s="184"/>
      <c r="S59" s="304"/>
      <c r="T59" s="308"/>
    </row>
    <row r="60" spans="1:20" x14ac:dyDescent="0.35">
      <c r="A60" s="66"/>
      <c r="D60" s="50" t="s">
        <v>48</v>
      </c>
      <c r="E60" s="45">
        <f>+'INS RET DEBT'!E48+'INS RET DEBT'!E49</f>
        <v>420</v>
      </c>
      <c r="F60" s="45">
        <f>+'INS RET DEBT'!F48+'INS RET DEBT'!F49</f>
        <v>420</v>
      </c>
      <c r="G60" s="45">
        <f>+'INS RET DEBT'!G48+'INS RET DEBT'!G49</f>
        <v>420</v>
      </c>
      <c r="H60" s="45">
        <f>+'INS RET DEBT'!H48+'INS RET DEBT'!H49</f>
        <v>420</v>
      </c>
      <c r="I60" s="45">
        <f>+'INS RET DEBT'!I48+'INS RET DEBT'!I49</f>
        <v>420</v>
      </c>
      <c r="J60" s="45">
        <f>+'INS RET DEBT'!J48+'INS RET DEBT'!J49</f>
        <v>420</v>
      </c>
      <c r="K60" s="45">
        <f>+'INS RET DEBT'!K48+'INS RET DEBT'!K49</f>
        <v>420</v>
      </c>
      <c r="L60" s="45">
        <f>+'INS RET DEBT'!L48+'INS RET DEBT'!L49</f>
        <v>420</v>
      </c>
      <c r="M60" s="45">
        <f>+'INS RET DEBT'!M48+'INS RET DEBT'!M49</f>
        <v>420</v>
      </c>
      <c r="N60" s="45">
        <f>+'INS RET DEBT'!N48+'INS RET DEBT'!N49</f>
        <v>420</v>
      </c>
      <c r="O60" s="45">
        <f>+'INS RET DEBT'!O48+'INS RET DEBT'!O49</f>
        <v>428.4</v>
      </c>
      <c r="P60" s="45">
        <f>+'INS RET DEBT'!P48+'INS RET DEBT'!P49</f>
        <v>428.4</v>
      </c>
      <c r="Q60" s="195">
        <f>SUM(E60:P60)</f>
        <v>5056.7999999999993</v>
      </c>
      <c r="R60" s="186">
        <f t="shared" si="1"/>
        <v>0.34119155252681999</v>
      </c>
      <c r="S60" s="304"/>
      <c r="T60" s="308"/>
    </row>
    <row r="61" spans="1:20" x14ac:dyDescent="0.35">
      <c r="A61" s="66"/>
      <c r="D61" s="51" t="s">
        <v>89</v>
      </c>
      <c r="E61" s="6">
        <f>+'INS RET DEBT'!E51</f>
        <v>150</v>
      </c>
      <c r="F61" s="6">
        <f>+'INS RET DEBT'!F51</f>
        <v>150</v>
      </c>
      <c r="G61" s="6">
        <f>+'INS RET DEBT'!G51</f>
        <v>150</v>
      </c>
      <c r="H61" s="6">
        <f>+'INS RET DEBT'!H51</f>
        <v>150</v>
      </c>
      <c r="I61" s="6">
        <f>+'INS RET DEBT'!I51</f>
        <v>150</v>
      </c>
      <c r="J61" s="6">
        <f>+'INS RET DEBT'!J51</f>
        <v>150</v>
      </c>
      <c r="K61" s="6">
        <f>+'INS RET DEBT'!K51</f>
        <v>150</v>
      </c>
      <c r="L61" s="6">
        <f>+'INS RET DEBT'!L51</f>
        <v>150</v>
      </c>
      <c r="M61" s="6">
        <f>+'INS RET DEBT'!M51</f>
        <v>150</v>
      </c>
      <c r="N61" s="6">
        <f>+'INS RET DEBT'!N51</f>
        <v>150</v>
      </c>
      <c r="O61" s="6">
        <f>+'INS RET DEBT'!O51</f>
        <v>153</v>
      </c>
      <c r="P61" s="6">
        <f>+'INS RET DEBT'!P51</f>
        <v>153</v>
      </c>
      <c r="Q61" s="196">
        <f>SUM(E61:P61)</f>
        <v>1806</v>
      </c>
      <c r="R61" s="187">
        <f t="shared" si="1"/>
        <v>0.12185412590243573</v>
      </c>
      <c r="S61" s="304"/>
      <c r="T61" s="308"/>
    </row>
    <row r="62" spans="1:20" x14ac:dyDescent="0.35">
      <c r="A62" s="66"/>
      <c r="D62" s="52" t="s">
        <v>50</v>
      </c>
      <c r="E62" s="15">
        <f>+'INS RET DEBT'!E52</f>
        <v>0</v>
      </c>
      <c r="F62" s="15">
        <f>+'INS RET DEBT'!F52</f>
        <v>0</v>
      </c>
      <c r="G62" s="15">
        <f>+'INS RET DEBT'!G52</f>
        <v>0</v>
      </c>
      <c r="H62" s="15">
        <f>+'INS RET DEBT'!H52</f>
        <v>0</v>
      </c>
      <c r="I62" s="15">
        <f>+'INS RET DEBT'!I52</f>
        <v>0</v>
      </c>
      <c r="J62" s="15">
        <f>+'INS RET DEBT'!J52</f>
        <v>0</v>
      </c>
      <c r="K62" s="15">
        <f>+'INS RET DEBT'!K52</f>
        <v>0</v>
      </c>
      <c r="L62" s="15">
        <f>+'INS RET DEBT'!L52</f>
        <v>0</v>
      </c>
      <c r="M62" s="15">
        <f>+'INS RET DEBT'!M52</f>
        <v>0</v>
      </c>
      <c r="N62" s="15">
        <f>+'INS RET DEBT'!N52</f>
        <v>0</v>
      </c>
      <c r="O62" s="15">
        <f>+'INS RET DEBT'!O52</f>
        <v>0</v>
      </c>
      <c r="P62" s="15">
        <f>+'INS RET DEBT'!P52</f>
        <v>0</v>
      </c>
      <c r="Q62" s="197">
        <f>SUM(E62:P62)</f>
        <v>0</v>
      </c>
      <c r="R62" s="188">
        <f t="shared" si="1"/>
        <v>0</v>
      </c>
      <c r="S62" s="304"/>
      <c r="T62" s="308"/>
    </row>
    <row r="63" spans="1:20" x14ac:dyDescent="0.35">
      <c r="A63" s="66" t="s">
        <v>112</v>
      </c>
      <c r="C63" s="6" t="s">
        <v>23</v>
      </c>
      <c r="E63" s="15">
        <f t="shared" ref="E63:Q63" si="27">SUM(E60:E62)</f>
        <v>570</v>
      </c>
      <c r="F63" s="15">
        <f t="shared" si="27"/>
        <v>570</v>
      </c>
      <c r="G63" s="15">
        <f t="shared" si="27"/>
        <v>570</v>
      </c>
      <c r="H63" s="15">
        <f t="shared" si="27"/>
        <v>570</v>
      </c>
      <c r="I63" s="15">
        <f t="shared" si="27"/>
        <v>570</v>
      </c>
      <c r="J63" s="15">
        <f t="shared" si="27"/>
        <v>570</v>
      </c>
      <c r="K63" s="15">
        <f t="shared" si="27"/>
        <v>570</v>
      </c>
      <c r="L63" s="15">
        <f t="shared" si="27"/>
        <v>570</v>
      </c>
      <c r="M63" s="15">
        <f t="shared" si="27"/>
        <v>570</v>
      </c>
      <c r="N63" s="15">
        <f t="shared" si="27"/>
        <v>570</v>
      </c>
      <c r="O63" s="15">
        <f t="shared" si="27"/>
        <v>581.4</v>
      </c>
      <c r="P63" s="15">
        <f t="shared" si="27"/>
        <v>581.4</v>
      </c>
      <c r="Q63" s="108">
        <f t="shared" si="27"/>
        <v>6862.7999999999993</v>
      </c>
      <c r="R63" s="189">
        <f t="shared" si="1"/>
        <v>0.46304567842925576</v>
      </c>
      <c r="S63" s="309">
        <v>6898</v>
      </c>
      <c r="T63" s="310">
        <f t="shared" ref="T63" si="28">IFERROR(Q63/S63-1,"")</f>
        <v>-5.1029283850392293E-3</v>
      </c>
    </row>
    <row r="64" spans="1:20" x14ac:dyDescent="0.35">
      <c r="A64" s="66"/>
      <c r="Q64" s="101"/>
      <c r="R64" s="184"/>
      <c r="S64" s="304"/>
      <c r="T64" s="308"/>
    </row>
    <row r="65" spans="1:20" x14ac:dyDescent="0.35">
      <c r="A65" s="66"/>
      <c r="D65" s="50" t="s">
        <v>51</v>
      </c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198">
        <f>SUM(E65:P65)</f>
        <v>0</v>
      </c>
      <c r="R65" s="186">
        <f t="shared" si="1"/>
        <v>0</v>
      </c>
      <c r="S65" s="304"/>
      <c r="T65" s="308"/>
    </row>
    <row r="66" spans="1:20" x14ac:dyDescent="0.35">
      <c r="A66" s="66"/>
      <c r="D66" s="52" t="s">
        <v>52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08">
        <f>SUM(E66:P66)</f>
        <v>0</v>
      </c>
      <c r="R66" s="188">
        <f t="shared" si="1"/>
        <v>0</v>
      </c>
      <c r="S66" s="304"/>
      <c r="T66" s="308"/>
    </row>
    <row r="67" spans="1:20" x14ac:dyDescent="0.35">
      <c r="A67" s="66" t="s">
        <v>113</v>
      </c>
      <c r="B67" s="6" t="s">
        <v>45</v>
      </c>
      <c r="C67" s="6" t="s">
        <v>51</v>
      </c>
      <c r="E67" s="15">
        <f t="shared" ref="E67:Q67" si="29">SUM(E65:E66)</f>
        <v>0</v>
      </c>
      <c r="F67" s="15">
        <f t="shared" si="29"/>
        <v>0</v>
      </c>
      <c r="G67" s="15">
        <f t="shared" si="29"/>
        <v>0</v>
      </c>
      <c r="H67" s="15">
        <f t="shared" si="29"/>
        <v>0</v>
      </c>
      <c r="I67" s="15">
        <f t="shared" si="29"/>
        <v>0</v>
      </c>
      <c r="J67" s="15">
        <f t="shared" si="29"/>
        <v>0</v>
      </c>
      <c r="K67" s="15">
        <f t="shared" si="29"/>
        <v>0</v>
      </c>
      <c r="L67" s="15">
        <f t="shared" si="29"/>
        <v>0</v>
      </c>
      <c r="M67" s="15">
        <f t="shared" si="29"/>
        <v>0</v>
      </c>
      <c r="N67" s="15">
        <f t="shared" si="29"/>
        <v>0</v>
      </c>
      <c r="O67" s="15">
        <f t="shared" si="29"/>
        <v>0</v>
      </c>
      <c r="P67" s="15">
        <f t="shared" si="29"/>
        <v>0</v>
      </c>
      <c r="Q67" s="108">
        <f t="shared" si="29"/>
        <v>0</v>
      </c>
      <c r="R67" s="189">
        <f t="shared" si="1"/>
        <v>0</v>
      </c>
      <c r="S67" s="309">
        <v>0</v>
      </c>
      <c r="T67" s="310" t="str">
        <f t="shared" ref="T67" si="30">IFERROR(Q67/S67-1,"")</f>
        <v/>
      </c>
    </row>
    <row r="68" spans="1:20" x14ac:dyDescent="0.35">
      <c r="A68" s="66"/>
      <c r="Q68" s="101"/>
      <c r="R68" s="184"/>
      <c r="S68" s="304"/>
      <c r="T68" s="308"/>
    </row>
    <row r="69" spans="1:20" x14ac:dyDescent="0.35">
      <c r="A69" s="66"/>
      <c r="B69" s="6" t="s">
        <v>33</v>
      </c>
      <c r="C69" s="6" t="s">
        <v>53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01">
        <f>SUM(E69:P69)</f>
        <v>0</v>
      </c>
      <c r="R69" s="184">
        <f t="shared" si="1"/>
        <v>0</v>
      </c>
      <c r="S69" s="304"/>
      <c r="T69" s="308" t="str">
        <f t="shared" ref="T69" si="31">IFERROR(Q69/S69-1,"")</f>
        <v/>
      </c>
    </row>
    <row r="70" spans="1:20" x14ac:dyDescent="0.35">
      <c r="A70" s="66"/>
      <c r="Q70" s="101"/>
      <c r="R70" s="184"/>
      <c r="S70" s="304"/>
      <c r="T70" s="308"/>
    </row>
    <row r="71" spans="1:20" ht="18" x14ac:dyDescent="0.35">
      <c r="A71" s="66"/>
      <c r="C71" s="53" t="s">
        <v>54</v>
      </c>
      <c r="D71" s="54"/>
      <c r="E71" s="54">
        <f>+E27+E29+E31+E36+E38+E43+E45+E50+E52+E54+E56+E58+E63+E67+E69</f>
        <v>4169.9767044394639</v>
      </c>
      <c r="F71" s="54">
        <f t="shared" ref="F71:P71" si="32">+F27+F29+F31+F36+F38+F43+F45+F50+F52+F54+F56+F58+F63+F67+F69</f>
        <v>4169.9767044394639</v>
      </c>
      <c r="G71" s="54">
        <f t="shared" si="32"/>
        <v>4169.9767044394639</v>
      </c>
      <c r="H71" s="54">
        <f t="shared" si="32"/>
        <v>4169.9767044394639</v>
      </c>
      <c r="I71" s="54">
        <f t="shared" si="32"/>
        <v>4169.9767044394639</v>
      </c>
      <c r="J71" s="54">
        <f t="shared" si="32"/>
        <v>4169.9767044394639</v>
      </c>
      <c r="K71" s="54">
        <f t="shared" si="32"/>
        <v>4169.9767044394639</v>
      </c>
      <c r="L71" s="54">
        <f t="shared" si="32"/>
        <v>4169.9767044394639</v>
      </c>
      <c r="M71" s="54">
        <f t="shared" si="32"/>
        <v>4169.9767044394639</v>
      </c>
      <c r="N71" s="54">
        <f t="shared" si="32"/>
        <v>4169.9767044394639</v>
      </c>
      <c r="O71" s="54">
        <f t="shared" si="32"/>
        <v>4181.3767044394635</v>
      </c>
      <c r="P71" s="54">
        <f t="shared" si="32"/>
        <v>4181.3767044394635</v>
      </c>
      <c r="Q71" s="109">
        <f>+Q27+Q29+Q31+Q36+Q38+Q43+Q45+Q50+Q52+Q54+Q56+Q58+Q63+Q67+Q69</f>
        <v>50062.520453273581</v>
      </c>
      <c r="R71" s="190">
        <f t="shared" si="1"/>
        <v>3.3778098949648188</v>
      </c>
      <c r="S71" s="315">
        <f>+S27+S29+S31+S36+S38+S43+S45+S50+S52+S54+S56+S58+S63+S67+S69</f>
        <v>49162</v>
      </c>
      <c r="T71" s="316">
        <f>Q71/S71-1</f>
        <v>1.8317408837589699E-2</v>
      </c>
    </row>
    <row r="72" spans="1:20" ht="18" x14ac:dyDescent="0.35">
      <c r="A72" s="66"/>
      <c r="Q72" s="103"/>
      <c r="R72" s="185"/>
      <c r="S72" s="311"/>
      <c r="T72" s="312"/>
    </row>
    <row r="73" spans="1:20" ht="18" x14ac:dyDescent="0.35">
      <c r="A73" s="66"/>
      <c r="B73" s="7" t="s">
        <v>55</v>
      </c>
      <c r="Q73" s="101"/>
      <c r="R73" s="184">
        <f t="shared" si="1"/>
        <v>0</v>
      </c>
      <c r="S73" s="304"/>
      <c r="T73" s="308"/>
    </row>
    <row r="74" spans="1:20" x14ac:dyDescent="0.35">
      <c r="A74" s="66"/>
      <c r="Q74" s="101"/>
      <c r="R74" s="184"/>
      <c r="S74" s="304"/>
      <c r="T74" s="308"/>
    </row>
    <row r="75" spans="1:20" x14ac:dyDescent="0.35">
      <c r="A75" s="66" t="s">
        <v>137</v>
      </c>
      <c r="C75" s="6" t="s">
        <v>56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01">
        <f>SUM(E75:P75)</f>
        <v>0</v>
      </c>
      <c r="R75" s="184">
        <f t="shared" ref="R75:R134" si="33">Q75/$B$4</f>
        <v>0</v>
      </c>
      <c r="S75" s="304">
        <v>0</v>
      </c>
      <c r="T75" s="308" t="str">
        <f t="shared" ref="T75" si="34">IFERROR(Q75/S75-1,"")</f>
        <v/>
      </c>
    </row>
    <row r="76" spans="1:20" x14ac:dyDescent="0.35">
      <c r="A76" s="66"/>
      <c r="Q76" s="101"/>
      <c r="R76" s="184"/>
      <c r="S76" s="304"/>
      <c r="T76" s="308"/>
    </row>
    <row r="77" spans="1:20" x14ac:dyDescent="0.35">
      <c r="A77" s="66" t="s">
        <v>114</v>
      </c>
      <c r="D77" s="6" t="s">
        <v>57</v>
      </c>
      <c r="E77" s="6">
        <f>'Allocated Expenses'!E26</f>
        <v>1102.1799353814733</v>
      </c>
      <c r="F77" s="6">
        <f>'Allocated Expenses'!F26</f>
        <v>1102.1799353814733</v>
      </c>
      <c r="G77" s="6">
        <f>'Allocated Expenses'!G26</f>
        <v>1102.1799353814733</v>
      </c>
      <c r="H77" s="6">
        <f>'Allocated Expenses'!H26</f>
        <v>1102.1799353814733</v>
      </c>
      <c r="I77" s="6">
        <f>'Allocated Expenses'!I26</f>
        <v>1102.1799353814733</v>
      </c>
      <c r="J77" s="6">
        <f>'Allocated Expenses'!J26</f>
        <v>1102.1799353814733</v>
      </c>
      <c r="K77" s="6">
        <f>'Allocated Expenses'!K26</f>
        <v>1102.1799353814733</v>
      </c>
      <c r="L77" s="6">
        <f>'Allocated Expenses'!L26</f>
        <v>1102.1799353814733</v>
      </c>
      <c r="M77" s="6">
        <f>'Allocated Expenses'!M26</f>
        <v>1102.1799353814733</v>
      </c>
      <c r="N77" s="6">
        <f>'Allocated Expenses'!N26</f>
        <v>1102.1799353814733</v>
      </c>
      <c r="O77" s="6">
        <f>'Allocated Expenses'!O26</f>
        <v>1102.1799353814733</v>
      </c>
      <c r="P77" s="6">
        <f>'Allocated Expenses'!P26</f>
        <v>1102.1799353814733</v>
      </c>
      <c r="Q77" s="101">
        <f>SUM(E77:P77)</f>
        <v>13226.159224577679</v>
      </c>
      <c r="R77" s="184">
        <f t="shared" si="33"/>
        <v>0.89239317350905334</v>
      </c>
      <c r="S77" s="304"/>
      <c r="T77" s="308"/>
    </row>
    <row r="78" spans="1:20" x14ac:dyDescent="0.35">
      <c r="A78" s="66" t="s">
        <v>115</v>
      </c>
      <c r="D78" s="6" t="s">
        <v>58</v>
      </c>
      <c r="E78" s="15">
        <f>VLOOKUP($B$1,'Allocated Expenses'!$B$132:$P$141,4,FALSE)</f>
        <v>0</v>
      </c>
      <c r="F78" s="15">
        <f>VLOOKUP($B$1,'Allocated Expenses'!$B$132:$P$141,5,FALSE)</f>
        <v>0</v>
      </c>
      <c r="G78" s="15">
        <f>VLOOKUP($B$1,'Allocated Expenses'!$B$132:$P$141,6,FALSE)</f>
        <v>0</v>
      </c>
      <c r="H78" s="15">
        <f>VLOOKUP($B$1,'Allocated Expenses'!$B$132:$P$141,7,FALSE)</f>
        <v>0</v>
      </c>
      <c r="I78" s="15">
        <f>VLOOKUP($B$1,'Allocated Expenses'!$B$132:$P$141,8,FALSE)</f>
        <v>0</v>
      </c>
      <c r="J78" s="15">
        <f>VLOOKUP($B$1,'Allocated Expenses'!$B$132:$P$141,9,FALSE)</f>
        <v>0</v>
      </c>
      <c r="K78" s="15">
        <f>VLOOKUP($B$1,'Allocated Expenses'!$B$132:$P$141,10,FALSE)</f>
        <v>0</v>
      </c>
      <c r="L78" s="15">
        <f>VLOOKUP($B$1,'Allocated Expenses'!$B$132:$P$141,11,FALSE)</f>
        <v>0</v>
      </c>
      <c r="M78" s="15">
        <f>VLOOKUP($B$1,'Allocated Expenses'!$B$132:$P$141,12,FALSE)</f>
        <v>0</v>
      </c>
      <c r="N78" s="15">
        <f>VLOOKUP($B$1,'Allocated Expenses'!$B$132:$P$141,13,FALSE)</f>
        <v>0</v>
      </c>
      <c r="O78" s="15">
        <f>VLOOKUP($B$1,'Allocated Expenses'!$B$132:$P$141,14,FALSE)</f>
        <v>0</v>
      </c>
      <c r="P78" s="15">
        <f>VLOOKUP($B$1,'Allocated Expenses'!$B$132:$P$141,15,FALSE)</f>
        <v>0</v>
      </c>
      <c r="Q78" s="108">
        <f>SUM(E78:P78)</f>
        <v>0</v>
      </c>
      <c r="R78" s="189">
        <f t="shared" si="33"/>
        <v>0</v>
      </c>
      <c r="S78" s="304"/>
      <c r="T78" s="308"/>
    </row>
    <row r="79" spans="1:20" x14ac:dyDescent="0.35">
      <c r="A79" s="66"/>
      <c r="C79" s="6" t="s">
        <v>59</v>
      </c>
      <c r="E79" s="15">
        <f t="shared" ref="E79:Q79" si="35">SUM(E77:E78)</f>
        <v>1102.1799353814733</v>
      </c>
      <c r="F79" s="15">
        <f t="shared" si="35"/>
        <v>1102.1799353814733</v>
      </c>
      <c r="G79" s="15">
        <f t="shared" si="35"/>
        <v>1102.1799353814733</v>
      </c>
      <c r="H79" s="15">
        <f t="shared" si="35"/>
        <v>1102.1799353814733</v>
      </c>
      <c r="I79" s="15">
        <f t="shared" si="35"/>
        <v>1102.1799353814733</v>
      </c>
      <c r="J79" s="15">
        <f t="shared" si="35"/>
        <v>1102.1799353814733</v>
      </c>
      <c r="K79" s="15">
        <f t="shared" si="35"/>
        <v>1102.1799353814733</v>
      </c>
      <c r="L79" s="15">
        <f t="shared" si="35"/>
        <v>1102.1799353814733</v>
      </c>
      <c r="M79" s="15">
        <f t="shared" si="35"/>
        <v>1102.1799353814733</v>
      </c>
      <c r="N79" s="15">
        <f t="shared" si="35"/>
        <v>1102.1799353814733</v>
      </c>
      <c r="O79" s="15">
        <f t="shared" si="35"/>
        <v>1102.1799353814733</v>
      </c>
      <c r="P79" s="15">
        <f t="shared" si="35"/>
        <v>1102.1799353814733</v>
      </c>
      <c r="Q79" s="108">
        <f t="shared" si="35"/>
        <v>13226.159224577679</v>
      </c>
      <c r="R79" s="189">
        <f t="shared" si="33"/>
        <v>0.89239317350905334</v>
      </c>
      <c r="S79" s="309">
        <v>15480</v>
      </c>
      <c r="T79" s="310">
        <f t="shared" ref="T79" si="36">IFERROR(Q79/S79-1,"")</f>
        <v>-0.14559694931668743</v>
      </c>
    </row>
    <row r="80" spans="1:20" x14ac:dyDescent="0.35">
      <c r="A80" s="66"/>
      <c r="Q80" s="101"/>
      <c r="R80" s="184"/>
      <c r="S80" s="304"/>
      <c r="T80" s="308"/>
    </row>
    <row r="81" spans="1:22" x14ac:dyDescent="0.35">
      <c r="A81" s="66" t="s">
        <v>138</v>
      </c>
      <c r="D81" s="6" t="s">
        <v>60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01">
        <f>SUM(E81:P81)</f>
        <v>0</v>
      </c>
      <c r="R81" s="184">
        <f t="shared" si="33"/>
        <v>0</v>
      </c>
      <c r="S81" s="304"/>
      <c r="T81" s="308"/>
    </row>
    <row r="82" spans="1:22" x14ac:dyDescent="0.35">
      <c r="A82" s="66" t="s">
        <v>139</v>
      </c>
      <c r="D82" s="6" t="s">
        <v>20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01">
        <f>SUM(E82:P82)</f>
        <v>0</v>
      </c>
      <c r="R82" s="184">
        <f t="shared" si="33"/>
        <v>0</v>
      </c>
      <c r="S82" s="304"/>
      <c r="T82" s="308"/>
    </row>
    <row r="83" spans="1:22" x14ac:dyDescent="0.35">
      <c r="A83" s="66" t="s">
        <v>140</v>
      </c>
      <c r="D83" s="6" t="s">
        <v>28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08">
        <f>SUM(E83:P83)</f>
        <v>0</v>
      </c>
      <c r="R83" s="189">
        <f t="shared" si="33"/>
        <v>0</v>
      </c>
      <c r="S83" s="304"/>
      <c r="T83" s="308"/>
    </row>
    <row r="84" spans="1:22" x14ac:dyDescent="0.35">
      <c r="A84" s="66"/>
      <c r="C84" s="6" t="s">
        <v>61</v>
      </c>
      <c r="E84" s="15">
        <f t="shared" ref="E84:Q84" si="37">SUM(E81:E83)</f>
        <v>0</v>
      </c>
      <c r="F84" s="15">
        <f t="shared" si="37"/>
        <v>0</v>
      </c>
      <c r="G84" s="15">
        <f t="shared" si="37"/>
        <v>0</v>
      </c>
      <c r="H84" s="15">
        <f t="shared" si="37"/>
        <v>0</v>
      </c>
      <c r="I84" s="15">
        <f t="shared" si="37"/>
        <v>0</v>
      </c>
      <c r="J84" s="15">
        <f t="shared" si="37"/>
        <v>0</v>
      </c>
      <c r="K84" s="15">
        <f t="shared" si="37"/>
        <v>0</v>
      </c>
      <c r="L84" s="15">
        <f t="shared" si="37"/>
        <v>0</v>
      </c>
      <c r="M84" s="15">
        <f t="shared" si="37"/>
        <v>0</v>
      </c>
      <c r="N84" s="15">
        <f t="shared" si="37"/>
        <v>0</v>
      </c>
      <c r="O84" s="15">
        <f t="shared" si="37"/>
        <v>0</v>
      </c>
      <c r="P84" s="15">
        <f t="shared" si="37"/>
        <v>0</v>
      </c>
      <c r="Q84" s="108">
        <f t="shared" si="37"/>
        <v>0</v>
      </c>
      <c r="R84" s="189">
        <f t="shared" si="33"/>
        <v>0</v>
      </c>
      <c r="S84" s="309">
        <v>0</v>
      </c>
      <c r="T84" s="310" t="str">
        <f>IFERROR(Q84/S84-1,"")</f>
        <v/>
      </c>
    </row>
    <row r="85" spans="1:22" x14ac:dyDescent="0.35">
      <c r="A85" s="66"/>
      <c r="Q85" s="101"/>
      <c r="R85" s="184"/>
      <c r="S85" s="304"/>
      <c r="T85" s="308"/>
    </row>
    <row r="86" spans="1:22" x14ac:dyDescent="0.35">
      <c r="A86" s="66"/>
      <c r="D86" s="50" t="s">
        <v>30</v>
      </c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198">
        <f>SUM(E86:P86)</f>
        <v>0</v>
      </c>
      <c r="R86" s="186">
        <f t="shared" si="33"/>
        <v>0</v>
      </c>
      <c r="S86" s="304"/>
      <c r="T86" s="308"/>
    </row>
    <row r="87" spans="1:22" x14ac:dyDescent="0.35">
      <c r="A87" s="66"/>
      <c r="D87" s="52" t="s">
        <v>31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08">
        <f>SUM(E87:P87)</f>
        <v>0</v>
      </c>
      <c r="R87" s="188">
        <f t="shared" si="33"/>
        <v>0</v>
      </c>
      <c r="S87" s="304"/>
      <c r="T87" s="308"/>
    </row>
    <row r="88" spans="1:22" x14ac:dyDescent="0.35">
      <c r="A88" s="66" t="s">
        <v>116</v>
      </c>
      <c r="C88" s="6" t="s">
        <v>32</v>
      </c>
      <c r="E88" s="15">
        <f t="shared" ref="E88:Q88" si="38">SUM(E86:E87)</f>
        <v>0</v>
      </c>
      <c r="F88" s="15">
        <f t="shared" si="38"/>
        <v>0</v>
      </c>
      <c r="G88" s="15">
        <f t="shared" si="38"/>
        <v>0</v>
      </c>
      <c r="H88" s="15">
        <f t="shared" si="38"/>
        <v>0</v>
      </c>
      <c r="I88" s="15">
        <f t="shared" si="38"/>
        <v>0</v>
      </c>
      <c r="J88" s="15">
        <f t="shared" si="38"/>
        <v>0</v>
      </c>
      <c r="K88" s="15">
        <f t="shared" si="38"/>
        <v>0</v>
      </c>
      <c r="L88" s="15">
        <f t="shared" si="38"/>
        <v>0</v>
      </c>
      <c r="M88" s="15">
        <f t="shared" si="38"/>
        <v>0</v>
      </c>
      <c r="N88" s="15">
        <f t="shared" si="38"/>
        <v>0</v>
      </c>
      <c r="O88" s="15">
        <f t="shared" si="38"/>
        <v>0</v>
      </c>
      <c r="P88" s="15">
        <f t="shared" si="38"/>
        <v>0</v>
      </c>
      <c r="Q88" s="108">
        <f t="shared" si="38"/>
        <v>0</v>
      </c>
      <c r="R88" s="189">
        <f t="shared" si="33"/>
        <v>0</v>
      </c>
      <c r="S88" s="309">
        <v>982</v>
      </c>
      <c r="T88" s="310">
        <f t="shared" ref="T88" si="39">IFERROR(Q88/S88-1,"")</f>
        <v>-1</v>
      </c>
    </row>
    <row r="89" spans="1:22" x14ac:dyDescent="0.35">
      <c r="A89" s="66"/>
      <c r="Q89" s="101"/>
      <c r="R89" s="184"/>
      <c r="S89" s="304"/>
      <c r="T89" s="308"/>
    </row>
    <row r="90" spans="1:22" x14ac:dyDescent="0.35">
      <c r="A90" s="66" t="s">
        <v>141</v>
      </c>
      <c r="B90" s="6" t="s">
        <v>33</v>
      </c>
      <c r="C90" s="6" t="s">
        <v>62</v>
      </c>
      <c r="E90" s="6">
        <f>ROUND(E$24*0.06,0)</f>
        <v>1080</v>
      </c>
      <c r="F90" s="6">
        <f t="shared" ref="F90:P90" si="40">ROUND(F$24*0.06,0)</f>
        <v>1080</v>
      </c>
      <c r="G90" s="6">
        <f t="shared" si="40"/>
        <v>1080</v>
      </c>
      <c r="H90" s="6">
        <f t="shared" si="40"/>
        <v>1080</v>
      </c>
      <c r="I90" s="6">
        <f t="shared" si="40"/>
        <v>1080</v>
      </c>
      <c r="J90" s="6">
        <f t="shared" si="40"/>
        <v>1080</v>
      </c>
      <c r="K90" s="6">
        <f t="shared" si="40"/>
        <v>1080</v>
      </c>
      <c r="L90" s="6">
        <f t="shared" si="40"/>
        <v>1080</v>
      </c>
      <c r="M90" s="6">
        <f t="shared" si="40"/>
        <v>1080</v>
      </c>
      <c r="N90" s="6">
        <f t="shared" si="40"/>
        <v>1080</v>
      </c>
      <c r="O90" s="6">
        <f t="shared" si="40"/>
        <v>1080</v>
      </c>
      <c r="P90" s="6">
        <f t="shared" si="40"/>
        <v>1080</v>
      </c>
      <c r="Q90" s="101">
        <f>SUM(E90:P90)</f>
        <v>12960</v>
      </c>
      <c r="R90" s="184">
        <f t="shared" ref="R90" si="41">Q90/$B$4</f>
        <v>0.87443492341947238</v>
      </c>
      <c r="S90" s="304">
        <v>13167</v>
      </c>
      <c r="T90" s="308">
        <f t="shared" ref="T90:T92" si="42">IFERROR(Q90/S90-1,"")</f>
        <v>-1.5721120984278913E-2</v>
      </c>
      <c r="U90" s="233"/>
    </row>
    <row r="91" spans="1:22" x14ac:dyDescent="0.35">
      <c r="A91" s="66"/>
      <c r="Q91" s="101"/>
      <c r="R91" s="184"/>
      <c r="S91" s="304"/>
      <c r="T91" s="308" t="str">
        <f t="shared" si="42"/>
        <v/>
      </c>
    </row>
    <row r="92" spans="1:22" x14ac:dyDescent="0.35">
      <c r="A92" s="66" t="s">
        <v>117</v>
      </c>
      <c r="C92" s="6" t="s">
        <v>63</v>
      </c>
      <c r="E92" s="6">
        <f>VLOOKUP($B$1,'Allocated Expenses'!$B$34:$P$43,4,FALSE)+VLOOKUP($B$1,'Allocated Expenses'!$B$48:$P$57,4,FALSE)</f>
        <v>360.9409284186645</v>
      </c>
      <c r="F92" s="6">
        <f>VLOOKUP($B$1,'Allocated Expenses'!$B$34:$P$43,5,FALSE)+VLOOKUP($B$1,'Allocated Expenses'!$B$48:$P$57,5,FALSE)</f>
        <v>360.9409284186645</v>
      </c>
      <c r="G92" s="6">
        <f>VLOOKUP($B$1,'Allocated Expenses'!$B$34:$P$43,6,FALSE)+VLOOKUP($B$1,'Allocated Expenses'!$B$48:$P$57,6,FALSE)</f>
        <v>360.9409284186645</v>
      </c>
      <c r="H92" s="6">
        <f>VLOOKUP($B$1,'Allocated Expenses'!$B$34:$P$43,7,FALSE)+VLOOKUP($B$1,'Allocated Expenses'!$B$48:$P$57,7,FALSE)</f>
        <v>360.9409284186645</v>
      </c>
      <c r="I92" s="6">
        <f>VLOOKUP($B$1,'Allocated Expenses'!$B$34:$P$43,8,FALSE)+VLOOKUP($B$1,'Allocated Expenses'!$B$48:$P$57,8,FALSE)</f>
        <v>360.9409284186645</v>
      </c>
      <c r="J92" s="6">
        <f>VLOOKUP($B$1,'Allocated Expenses'!$B$34:$P$43,9,FALSE)+VLOOKUP($B$1,'Allocated Expenses'!$B$48:$P$57,9,FALSE)</f>
        <v>360.9409284186645</v>
      </c>
      <c r="K92" s="6">
        <f>VLOOKUP($B$1,'Allocated Expenses'!$B$34:$P$43,10,FALSE)+VLOOKUP($B$1,'Allocated Expenses'!$B$48:$P$57,10,FALSE)</f>
        <v>360.9409284186645</v>
      </c>
      <c r="L92" s="6">
        <f>VLOOKUP($B$1,'Allocated Expenses'!$B$34:$P$43,11,FALSE)+VLOOKUP($B$1,'Allocated Expenses'!$B$48:$P$57,11,FALSE)</f>
        <v>360.9409284186645</v>
      </c>
      <c r="M92" s="6">
        <f>VLOOKUP($B$1,'Allocated Expenses'!$B$34:$P$43,12,FALSE)+VLOOKUP($B$1,'Allocated Expenses'!$B$48:$P$57,12,FALSE)</f>
        <v>360.9409284186645</v>
      </c>
      <c r="N92" s="6">
        <f>VLOOKUP($B$1,'Allocated Expenses'!$B$34:$P$43,13,FALSE)+VLOOKUP($B$1,'Allocated Expenses'!$B$48:$P$57,13,FALSE)</f>
        <v>360.9409284186645</v>
      </c>
      <c r="O92" s="6">
        <f>VLOOKUP($B$1,'Allocated Expenses'!$B$34:$P$43,14,FALSE)+VLOOKUP($B$1,'Allocated Expenses'!$B$48:$P$57,14,FALSE)</f>
        <v>360.9409284186645</v>
      </c>
      <c r="P92" s="6">
        <f>VLOOKUP($B$1,'Allocated Expenses'!$B$34:$P$43,15,FALSE)+VLOOKUP($B$1,'Allocated Expenses'!$B$48:$P$57,15,FALSE)</f>
        <v>360.9409284186645</v>
      </c>
      <c r="Q92" s="101">
        <f>SUM(E92:P92)</f>
        <v>4331.291141023974</v>
      </c>
      <c r="R92" s="184">
        <f t="shared" si="33"/>
        <v>0.29224014175993346</v>
      </c>
      <c r="S92" s="304">
        <v>2000</v>
      </c>
      <c r="T92" s="308">
        <f t="shared" si="42"/>
        <v>1.165645570511987</v>
      </c>
    </row>
    <row r="93" spans="1:22" x14ac:dyDescent="0.35">
      <c r="A93" s="66"/>
      <c r="Q93" s="101"/>
      <c r="R93" s="184"/>
      <c r="S93" s="304"/>
      <c r="T93" s="308"/>
    </row>
    <row r="94" spans="1:22" x14ac:dyDescent="0.35">
      <c r="A94" s="66" t="s">
        <v>118</v>
      </c>
      <c r="C94" s="6" t="s">
        <v>64</v>
      </c>
      <c r="E94" s="12">
        <v>0</v>
      </c>
      <c r="F94" s="12">
        <v>0</v>
      </c>
      <c r="G94" s="12">
        <v>0</v>
      </c>
      <c r="H94" s="12">
        <f>1.03*3200</f>
        <v>3296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01">
        <f>SUM(E94:P94)</f>
        <v>3296</v>
      </c>
      <c r="R94" s="184">
        <f t="shared" ref="R94" si="43">Q94/$B$4</f>
        <v>0.22238715336347076</v>
      </c>
      <c r="S94" s="304">
        <v>1838</v>
      </c>
      <c r="T94" s="308">
        <f t="shared" ref="T94" si="44">IFERROR(Q94/S94-1,"")</f>
        <v>0.79325353645266583</v>
      </c>
      <c r="U94" s="233" t="s">
        <v>283</v>
      </c>
      <c r="V94" s="6" t="s">
        <v>348</v>
      </c>
    </row>
    <row r="95" spans="1:22" x14ac:dyDescent="0.35">
      <c r="A95" s="66"/>
      <c r="Q95" s="101"/>
      <c r="R95" s="184"/>
      <c r="S95" s="304"/>
      <c r="T95" s="308"/>
    </row>
    <row r="96" spans="1:22" x14ac:dyDescent="0.35">
      <c r="A96" s="66" t="s">
        <v>119</v>
      </c>
      <c r="C96" s="6" t="s">
        <v>65</v>
      </c>
      <c r="E96" s="6">
        <f>VLOOKUP($B$1,'Allocated Expenses'!$B$62:$P$71,4,FALSE)</f>
        <v>309</v>
      </c>
      <c r="F96" s="6">
        <f>VLOOKUP($B$1,'Allocated Expenses'!$B$62:$P$71,5,FALSE)</f>
        <v>309</v>
      </c>
      <c r="G96" s="6">
        <f>VLOOKUP($B$1,'Allocated Expenses'!$B$62:$P$71,6,FALSE)</f>
        <v>309</v>
      </c>
      <c r="H96" s="6">
        <f>VLOOKUP($B$1,'Allocated Expenses'!$B$62:$P$71,7,FALSE)</f>
        <v>309</v>
      </c>
      <c r="I96" s="6">
        <f>VLOOKUP($B$1,'Allocated Expenses'!$B$62:$P$71,8,FALSE)</f>
        <v>309</v>
      </c>
      <c r="J96" s="6">
        <f>VLOOKUP($B$1,'Allocated Expenses'!$B$62:$P$71,9,FALSE)</f>
        <v>309</v>
      </c>
      <c r="K96" s="6">
        <f>VLOOKUP($B$1,'Allocated Expenses'!$B$62:$P$71,10,FALSE)</f>
        <v>309</v>
      </c>
      <c r="L96" s="6">
        <f>VLOOKUP($B$1,'Allocated Expenses'!$B$62:$P$71,11,FALSE)</f>
        <v>309</v>
      </c>
      <c r="M96" s="6">
        <f>VLOOKUP($B$1,'Allocated Expenses'!$B$62:$P$71,12,FALSE)</f>
        <v>309</v>
      </c>
      <c r="N96" s="6">
        <f>VLOOKUP($B$1,'Allocated Expenses'!$B$62:$P$71,13,FALSE)</f>
        <v>309</v>
      </c>
      <c r="O96" s="6">
        <f>VLOOKUP($B$1,'Allocated Expenses'!$B$62:$P$71,14,FALSE)</f>
        <v>309</v>
      </c>
      <c r="P96" s="6">
        <f>VLOOKUP($B$1,'Allocated Expenses'!$B$62:$P$71,15,FALSE)</f>
        <v>309</v>
      </c>
      <c r="Q96" s="101">
        <f>SUM(E96:P96)</f>
        <v>3708</v>
      </c>
      <c r="R96" s="184">
        <f t="shared" si="33"/>
        <v>0.2501855475339046</v>
      </c>
      <c r="S96" s="304">
        <v>4969</v>
      </c>
      <c r="T96" s="308">
        <f t="shared" ref="T96" si="45">IFERROR(Q96/S96-1,"")</f>
        <v>-0.25377339504930574</v>
      </c>
    </row>
    <row r="97" spans="1:21" x14ac:dyDescent="0.35">
      <c r="A97" s="66"/>
      <c r="Q97" s="101"/>
      <c r="R97" s="184"/>
      <c r="S97" s="304"/>
      <c r="T97" s="308"/>
    </row>
    <row r="98" spans="1:21" x14ac:dyDescent="0.35">
      <c r="A98" s="66" t="s">
        <v>126</v>
      </c>
      <c r="D98" s="6" t="s">
        <v>66</v>
      </c>
      <c r="E98" s="6">
        <f>VLOOKUP($B$1,'Allocated Expenses'!$B$76:$P$85,4,FALSE)</f>
        <v>0</v>
      </c>
      <c r="F98" s="6">
        <f>VLOOKUP($B$1,'Allocated Expenses'!$B$76:$P$85,5,FALSE)</f>
        <v>0</v>
      </c>
      <c r="G98" s="6">
        <f>VLOOKUP($B$1,'Allocated Expenses'!$B$76:$P$85,6,FALSE)</f>
        <v>0</v>
      </c>
      <c r="H98" s="6">
        <f>VLOOKUP($B$1,'Allocated Expenses'!$B$76:$P$85,7,FALSE)</f>
        <v>0</v>
      </c>
      <c r="I98" s="6">
        <f>VLOOKUP($B$1,'Allocated Expenses'!$B$76:$P$85,8,FALSE)</f>
        <v>0</v>
      </c>
      <c r="J98" s="6">
        <f>VLOOKUP($B$1,'Allocated Expenses'!$B$76:$P$85,9,FALSE)</f>
        <v>0</v>
      </c>
      <c r="K98" s="6">
        <f>VLOOKUP($B$1,'Allocated Expenses'!$B$76:$P$85,10,FALSE)</f>
        <v>0</v>
      </c>
      <c r="L98" s="6">
        <f>VLOOKUP($B$1,'Allocated Expenses'!$B$76:$P$85,11,FALSE)</f>
        <v>0</v>
      </c>
      <c r="M98" s="6">
        <f>VLOOKUP($B$1,'Allocated Expenses'!$B$76:$P$85,12,FALSE)</f>
        <v>0</v>
      </c>
      <c r="N98" s="6">
        <f>VLOOKUP($B$1,'Allocated Expenses'!$B$76:$P$85,13,FALSE)</f>
        <v>0</v>
      </c>
      <c r="O98" s="6">
        <f>VLOOKUP($B$1,'Allocated Expenses'!$B$76:$P$85,14,FALSE)</f>
        <v>0</v>
      </c>
      <c r="P98" s="6">
        <f>VLOOKUP($B$1,'Allocated Expenses'!$B$76:$P$85,15,FALSE)</f>
        <v>0</v>
      </c>
      <c r="Q98" s="101">
        <f>SUM(E98:P98)</f>
        <v>0</v>
      </c>
      <c r="R98" s="184">
        <f t="shared" si="33"/>
        <v>0</v>
      </c>
      <c r="S98" s="304"/>
      <c r="T98" s="308"/>
    </row>
    <row r="99" spans="1:21" x14ac:dyDescent="0.35">
      <c r="A99" s="66" t="s">
        <v>142</v>
      </c>
      <c r="D99" s="6" t="s">
        <v>67</v>
      </c>
      <c r="E99" s="6">
        <f>VLOOKUP($B$1,'Allocated Expenses'!$B$104:$P$113,4,FALSE)</f>
        <v>0</v>
      </c>
      <c r="F99" s="6">
        <f>VLOOKUP($B$1,'Allocated Expenses'!$B$104:$P$113,5,FALSE)</f>
        <v>0</v>
      </c>
      <c r="G99" s="6">
        <f>VLOOKUP($B$1,'Allocated Expenses'!$B$104:$P$113,6,FALSE)</f>
        <v>0</v>
      </c>
      <c r="H99" s="6">
        <f>VLOOKUP($B$1,'Allocated Expenses'!$B$104:$P$113,7,FALSE)</f>
        <v>0</v>
      </c>
      <c r="I99" s="6">
        <f>VLOOKUP($B$1,'Allocated Expenses'!$B$104:$P$113,8,FALSE)</f>
        <v>0</v>
      </c>
      <c r="J99" s="6">
        <f>VLOOKUP($B$1,'Allocated Expenses'!$B$104:$P$113,9,FALSE)</f>
        <v>0</v>
      </c>
      <c r="K99" s="6">
        <f>VLOOKUP($B$1,'Allocated Expenses'!$B$104:$P$113,10,FALSE)</f>
        <v>0</v>
      </c>
      <c r="L99" s="6">
        <f>VLOOKUP($B$1,'Allocated Expenses'!$B$104:$P$113,11,FALSE)</f>
        <v>0</v>
      </c>
      <c r="M99" s="6">
        <f>VLOOKUP($B$1,'Allocated Expenses'!$B$104:$P$113,12,FALSE)</f>
        <v>0</v>
      </c>
      <c r="N99" s="6">
        <f>VLOOKUP($B$1,'Allocated Expenses'!$B$104:$P$113,13,FALSE)</f>
        <v>0</v>
      </c>
      <c r="O99" s="6">
        <f>VLOOKUP($B$1,'Allocated Expenses'!$B$104:$P$113,14,FALSE)</f>
        <v>0</v>
      </c>
      <c r="P99" s="6">
        <f>VLOOKUP($B$1,'Allocated Expenses'!$B$104:$P$113,15,FALSE)</f>
        <v>0</v>
      </c>
      <c r="Q99" s="101">
        <f>SUM(E99:P99)</f>
        <v>0</v>
      </c>
      <c r="R99" s="184">
        <f t="shared" si="33"/>
        <v>0</v>
      </c>
      <c r="S99" s="304"/>
      <c r="T99" s="308"/>
    </row>
    <row r="100" spans="1:21" x14ac:dyDescent="0.35">
      <c r="A100" s="66" t="s">
        <v>143</v>
      </c>
      <c r="D100" s="6" t="s">
        <v>68</v>
      </c>
      <c r="E100" s="6">
        <f>VLOOKUP($B$1,'Allocated Expenses'!$B$90:$P$99,4,FALSE)</f>
        <v>0</v>
      </c>
      <c r="F100" s="6">
        <f>VLOOKUP($B$1,'Allocated Expenses'!$B$90:$P$99,5,FALSE)</f>
        <v>0</v>
      </c>
      <c r="G100" s="6">
        <f>VLOOKUP($B$1,'Allocated Expenses'!$B$90:$P$99,6,FALSE)</f>
        <v>0</v>
      </c>
      <c r="H100" s="6">
        <f>VLOOKUP($B$1,'Allocated Expenses'!$B$90:$P$99,7,FALSE)</f>
        <v>0</v>
      </c>
      <c r="I100" s="6">
        <f>VLOOKUP($B$1,'Allocated Expenses'!$B$90:$P$99,8,FALSE)</f>
        <v>0</v>
      </c>
      <c r="J100" s="6">
        <f>VLOOKUP($B$1,'Allocated Expenses'!$B$90:$P$99,9,FALSE)</f>
        <v>0</v>
      </c>
      <c r="K100" s="6">
        <f>VLOOKUP($B$1,'Allocated Expenses'!$B$90:$P$99,10,FALSE)</f>
        <v>0</v>
      </c>
      <c r="L100" s="6">
        <f>VLOOKUP($B$1,'Allocated Expenses'!$B$90:$P$99,11,FALSE)</f>
        <v>0</v>
      </c>
      <c r="M100" s="6">
        <f>VLOOKUP($B$1,'Allocated Expenses'!$B$90:$P$99,12,FALSE)</f>
        <v>0</v>
      </c>
      <c r="N100" s="6">
        <f>VLOOKUP($B$1,'Allocated Expenses'!$B$90:$P$99,13,FALSE)</f>
        <v>0</v>
      </c>
      <c r="O100" s="6">
        <f>VLOOKUP($B$1,'Allocated Expenses'!$B$90:$P$99,14,FALSE)</f>
        <v>0</v>
      </c>
      <c r="P100" s="6">
        <f>VLOOKUP($B$1,'Allocated Expenses'!$B$90:$P$99,15,FALSE)</f>
        <v>0</v>
      </c>
      <c r="Q100" s="101">
        <f>SUM(E100:P100)</f>
        <v>0</v>
      </c>
      <c r="R100" s="184">
        <f t="shared" si="33"/>
        <v>0</v>
      </c>
      <c r="S100" s="304"/>
      <c r="T100" s="308"/>
    </row>
    <row r="101" spans="1:21" x14ac:dyDescent="0.35">
      <c r="A101" s="66" t="s">
        <v>127</v>
      </c>
      <c r="D101" s="6" t="s">
        <v>69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01">
        <f>SUM(E101:P101)</f>
        <v>0</v>
      </c>
      <c r="R101" s="184">
        <f t="shared" si="33"/>
        <v>0</v>
      </c>
      <c r="S101" s="304"/>
      <c r="T101" s="308"/>
    </row>
    <row r="102" spans="1:21" x14ac:dyDescent="0.35">
      <c r="A102" s="66" t="s">
        <v>120</v>
      </c>
      <c r="D102" s="6" t="s">
        <v>70</v>
      </c>
      <c r="E102" s="15">
        <f>VLOOKUP($B$1,'Allocated Expenses'!$B$118:$P$127,4,FALSE)</f>
        <v>42.916666666666664</v>
      </c>
      <c r="F102" s="15">
        <f>VLOOKUP($B$1,'Allocated Expenses'!$B$118:$P$127,5,FALSE)</f>
        <v>42.916666666666664</v>
      </c>
      <c r="G102" s="15">
        <f>VLOOKUP($B$1,'Allocated Expenses'!$B$118:$P$127,6,FALSE)</f>
        <v>42.916666666666664</v>
      </c>
      <c r="H102" s="15">
        <f>VLOOKUP($B$1,'Allocated Expenses'!$B$118:$P$127,7,FALSE)</f>
        <v>42.916666666666664</v>
      </c>
      <c r="I102" s="15">
        <f>VLOOKUP($B$1,'Allocated Expenses'!$B$118:$P$127,8,FALSE)</f>
        <v>42.916666666666664</v>
      </c>
      <c r="J102" s="15">
        <f>VLOOKUP($B$1,'Allocated Expenses'!$B$118:$P$127,9,FALSE)</f>
        <v>42.916666666666664</v>
      </c>
      <c r="K102" s="15">
        <f>VLOOKUP($B$1,'Allocated Expenses'!$B$118:$P$127,10,FALSE)</f>
        <v>42.916666666666664</v>
      </c>
      <c r="L102" s="15">
        <f>VLOOKUP($B$1,'Allocated Expenses'!$B$118:$P$127,11,FALSE)</f>
        <v>42.916666666666664</v>
      </c>
      <c r="M102" s="15">
        <f>VLOOKUP($B$1,'Allocated Expenses'!$B$118:$P$127,12,FALSE)</f>
        <v>42.916666666666664</v>
      </c>
      <c r="N102" s="15">
        <f>VLOOKUP($B$1,'Allocated Expenses'!$B$118:$P$127,13,FALSE)</f>
        <v>42.916666666666664</v>
      </c>
      <c r="O102" s="15">
        <f>VLOOKUP($B$1,'Allocated Expenses'!$B$118:$P$127,14,FALSE)</f>
        <v>42.916666666666664</v>
      </c>
      <c r="P102" s="15">
        <f>VLOOKUP($B$1,'Allocated Expenses'!$B$118:$P$127,15,FALSE)</f>
        <v>42.916666666666664</v>
      </c>
      <c r="Q102" s="108">
        <f>SUM(E102:P102)</f>
        <v>515.00000000000011</v>
      </c>
      <c r="R102" s="189">
        <f t="shared" si="33"/>
        <v>3.4747992713042311E-2</v>
      </c>
      <c r="S102" s="304"/>
      <c r="T102" s="308"/>
    </row>
    <row r="103" spans="1:21" x14ac:dyDescent="0.35">
      <c r="A103" s="66"/>
      <c r="C103" s="6" t="s">
        <v>71</v>
      </c>
      <c r="E103" s="15">
        <f t="shared" ref="E103:Q103" si="46">SUM(E98:E102)</f>
        <v>42.916666666666664</v>
      </c>
      <c r="F103" s="15">
        <f t="shared" si="46"/>
        <v>42.916666666666664</v>
      </c>
      <c r="G103" s="15">
        <f t="shared" si="46"/>
        <v>42.916666666666664</v>
      </c>
      <c r="H103" s="15">
        <f t="shared" si="46"/>
        <v>42.916666666666664</v>
      </c>
      <c r="I103" s="15">
        <f t="shared" si="46"/>
        <v>42.916666666666664</v>
      </c>
      <c r="J103" s="15">
        <f t="shared" si="46"/>
        <v>42.916666666666664</v>
      </c>
      <c r="K103" s="15">
        <f t="shared" si="46"/>
        <v>42.916666666666664</v>
      </c>
      <c r="L103" s="15">
        <f t="shared" si="46"/>
        <v>42.916666666666664</v>
      </c>
      <c r="M103" s="15">
        <f t="shared" si="46"/>
        <v>42.916666666666664</v>
      </c>
      <c r="N103" s="15">
        <f t="shared" si="46"/>
        <v>42.916666666666664</v>
      </c>
      <c r="O103" s="15">
        <f t="shared" si="46"/>
        <v>42.916666666666664</v>
      </c>
      <c r="P103" s="15">
        <f t="shared" si="46"/>
        <v>42.916666666666664</v>
      </c>
      <c r="Q103" s="108">
        <f t="shared" si="46"/>
        <v>515.00000000000011</v>
      </c>
      <c r="R103" s="189">
        <f t="shared" si="33"/>
        <v>3.4747992713042311E-2</v>
      </c>
      <c r="S103" s="309">
        <v>6000</v>
      </c>
      <c r="T103" s="310">
        <f t="shared" ref="T103" si="47">IFERROR(Q103/S103-1,"")</f>
        <v>-0.91416666666666668</v>
      </c>
    </row>
    <row r="104" spans="1:21" x14ac:dyDescent="0.35">
      <c r="A104" s="66"/>
      <c r="Q104" s="101"/>
      <c r="R104" s="184"/>
      <c r="S104" s="304"/>
      <c r="T104" s="308"/>
    </row>
    <row r="105" spans="1:21" ht="18" x14ac:dyDescent="0.35">
      <c r="A105" s="66"/>
      <c r="C105" s="29" t="s">
        <v>72</v>
      </c>
      <c r="D105" s="54"/>
      <c r="E105" s="54">
        <f t="shared" ref="E105:Q105" si="48">+E75+E79+E84+E88+E90+E92+E94+E96+E103</f>
        <v>2895.0375304668041</v>
      </c>
      <c r="F105" s="54">
        <f t="shared" si="48"/>
        <v>2895.0375304668041</v>
      </c>
      <c r="G105" s="54">
        <f t="shared" si="48"/>
        <v>2895.0375304668041</v>
      </c>
      <c r="H105" s="54">
        <f t="shared" si="48"/>
        <v>6191.0375304668041</v>
      </c>
      <c r="I105" s="54">
        <f t="shared" si="48"/>
        <v>2895.0375304668041</v>
      </c>
      <c r="J105" s="54">
        <f t="shared" si="48"/>
        <v>2895.0375304668041</v>
      </c>
      <c r="K105" s="54">
        <f t="shared" si="48"/>
        <v>2895.0375304668041</v>
      </c>
      <c r="L105" s="54">
        <f t="shared" si="48"/>
        <v>2895.0375304668041</v>
      </c>
      <c r="M105" s="54">
        <f t="shared" si="48"/>
        <v>2895.0375304668041</v>
      </c>
      <c r="N105" s="54">
        <f t="shared" si="48"/>
        <v>2895.0375304668041</v>
      </c>
      <c r="O105" s="54">
        <f t="shared" si="48"/>
        <v>2895.0375304668041</v>
      </c>
      <c r="P105" s="54">
        <f t="shared" si="48"/>
        <v>2895.0375304668041</v>
      </c>
      <c r="Q105" s="109">
        <f t="shared" si="48"/>
        <v>38036.450365601653</v>
      </c>
      <c r="R105" s="190">
        <f t="shared" si="33"/>
        <v>2.5663889322988767</v>
      </c>
      <c r="S105" s="315">
        <f t="shared" ref="S105" si="49">+S75+S79+S84+S88+S90+S92+S94+S96+S103</f>
        <v>44436</v>
      </c>
      <c r="T105" s="310">
        <f t="shared" ref="T105" si="50">IFERROR(Q105/S105-1,"")</f>
        <v>-0.14401723004767186</v>
      </c>
    </row>
    <row r="106" spans="1:21" ht="18" x14ac:dyDescent="0.35">
      <c r="A106" s="66"/>
      <c r="Q106" s="103"/>
      <c r="R106" s="185"/>
      <c r="S106" s="311"/>
      <c r="T106" s="312"/>
    </row>
    <row r="107" spans="1:21" ht="16.5" thickBot="1" x14ac:dyDescent="0.4">
      <c r="A107" s="66"/>
      <c r="Q107" s="101"/>
      <c r="R107" s="184"/>
      <c r="S107" s="304"/>
      <c r="T107" s="308"/>
    </row>
    <row r="108" spans="1:21" s="8" customFormat="1" ht="18" thickBot="1" x14ac:dyDescent="0.4">
      <c r="A108" s="218"/>
      <c r="B108" s="219" t="s">
        <v>73</v>
      </c>
      <c r="C108" s="220"/>
      <c r="D108" s="220"/>
      <c r="E108" s="220">
        <f t="shared" ref="E108:Q108" si="51">+E71+E105</f>
        <v>7065.014234906268</v>
      </c>
      <c r="F108" s="220">
        <f t="shared" si="51"/>
        <v>7065.014234906268</v>
      </c>
      <c r="G108" s="220">
        <f t="shared" si="51"/>
        <v>7065.014234906268</v>
      </c>
      <c r="H108" s="220">
        <f t="shared" si="51"/>
        <v>10361.014234906268</v>
      </c>
      <c r="I108" s="220">
        <f t="shared" si="51"/>
        <v>7065.014234906268</v>
      </c>
      <c r="J108" s="220">
        <f t="shared" si="51"/>
        <v>7065.014234906268</v>
      </c>
      <c r="K108" s="220">
        <f t="shared" si="51"/>
        <v>7065.014234906268</v>
      </c>
      <c r="L108" s="220">
        <f t="shared" si="51"/>
        <v>7065.014234906268</v>
      </c>
      <c r="M108" s="220">
        <f t="shared" si="51"/>
        <v>7065.014234906268</v>
      </c>
      <c r="N108" s="220">
        <f t="shared" si="51"/>
        <v>7065.014234906268</v>
      </c>
      <c r="O108" s="220">
        <f t="shared" si="51"/>
        <v>7076.4142349062677</v>
      </c>
      <c r="P108" s="220">
        <f t="shared" si="51"/>
        <v>7076.4142349062677</v>
      </c>
      <c r="Q108" s="221">
        <f t="shared" si="51"/>
        <v>88098.970818875241</v>
      </c>
      <c r="R108" s="222">
        <f t="shared" si="33"/>
        <v>5.9441988272636959</v>
      </c>
      <c r="S108" s="313">
        <f t="shared" ref="S108" si="52">+S71+S105</f>
        <v>93598</v>
      </c>
      <c r="T108" s="314">
        <f>Q108/S108-1</f>
        <v>-5.8751567139519678E-2</v>
      </c>
      <c r="U108" s="238"/>
    </row>
    <row r="109" spans="1:21" ht="18" x14ac:dyDescent="0.35">
      <c r="A109" s="66"/>
      <c r="Q109" s="103"/>
      <c r="R109" s="185"/>
      <c r="S109" s="311"/>
      <c r="T109" s="312"/>
    </row>
    <row r="110" spans="1:21" ht="16.5" thickBot="1" x14ac:dyDescent="0.4">
      <c r="A110" s="66"/>
      <c r="Q110" s="101"/>
      <c r="R110" s="184"/>
      <c r="S110" s="304"/>
      <c r="T110" s="308"/>
    </row>
    <row r="111" spans="1:21" s="8" customFormat="1" ht="18" thickBot="1" x14ac:dyDescent="0.4">
      <c r="A111" s="218"/>
      <c r="B111" s="219" t="s">
        <v>74</v>
      </c>
      <c r="C111" s="220"/>
      <c r="D111" s="220"/>
      <c r="E111" s="220">
        <f t="shared" ref="E111:Q111" si="53">+E24-E108</f>
        <v>10942.475765093734</v>
      </c>
      <c r="F111" s="220">
        <f t="shared" si="53"/>
        <v>10942.475765093734</v>
      </c>
      <c r="G111" s="220">
        <f t="shared" si="53"/>
        <v>10942.475765093734</v>
      </c>
      <c r="H111" s="220">
        <f t="shared" si="53"/>
        <v>7646.4757650937336</v>
      </c>
      <c r="I111" s="220">
        <f t="shared" si="53"/>
        <v>10942.475765093734</v>
      </c>
      <c r="J111" s="220">
        <f t="shared" si="53"/>
        <v>10942.475765093734</v>
      </c>
      <c r="K111" s="220">
        <f t="shared" si="53"/>
        <v>10942.475765093734</v>
      </c>
      <c r="L111" s="220">
        <f t="shared" si="53"/>
        <v>10942.475765093734</v>
      </c>
      <c r="M111" s="220">
        <f t="shared" si="53"/>
        <v>10942.475765093734</v>
      </c>
      <c r="N111" s="220">
        <f t="shared" si="53"/>
        <v>10942.475765093734</v>
      </c>
      <c r="O111" s="220">
        <f t="shared" si="53"/>
        <v>10931.075765093734</v>
      </c>
      <c r="P111" s="220">
        <f t="shared" si="53"/>
        <v>10931.075765093734</v>
      </c>
      <c r="Q111" s="221">
        <f t="shared" si="53"/>
        <v>127990.90918112482</v>
      </c>
      <c r="R111" s="222">
        <f t="shared" si="33"/>
        <v>8.6357809311871545</v>
      </c>
      <c r="S111" s="313">
        <f t="shared" ref="S111" si="54">+S24-S108</f>
        <v>144085</v>
      </c>
      <c r="T111" s="314">
        <f>Q111/S111-1</f>
        <v>-0.11169858638217145</v>
      </c>
      <c r="U111" s="238"/>
    </row>
    <row r="112" spans="1:21" ht="18" x14ac:dyDescent="0.35">
      <c r="A112" s="66"/>
      <c r="Q112" s="103"/>
      <c r="R112" s="185"/>
      <c r="S112" s="311"/>
      <c r="T112" s="312"/>
    </row>
    <row r="113" spans="1:21" x14ac:dyDescent="0.35">
      <c r="A113" s="66" t="s">
        <v>121</v>
      </c>
      <c r="D113" s="6" t="s">
        <v>75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01">
        <f>SUM(E113:P113)</f>
        <v>0</v>
      </c>
      <c r="R113" s="184">
        <f t="shared" si="33"/>
        <v>0</v>
      </c>
      <c r="S113" s="304"/>
      <c r="T113" s="308"/>
    </row>
    <row r="114" spans="1:21" x14ac:dyDescent="0.35">
      <c r="A114" s="66" t="s">
        <v>122</v>
      </c>
      <c r="D114" s="6" t="s">
        <v>76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01">
        <f>SUM(E114:P114)</f>
        <v>0</v>
      </c>
      <c r="R114" s="184">
        <f t="shared" si="33"/>
        <v>0</v>
      </c>
      <c r="S114" s="304"/>
      <c r="T114" s="308"/>
    </row>
    <row r="115" spans="1:21" x14ac:dyDescent="0.35">
      <c r="A115" s="66" t="s">
        <v>123</v>
      </c>
      <c r="D115" s="6" t="s">
        <v>77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01">
        <f>SUM(E115:P115)</f>
        <v>0</v>
      </c>
      <c r="R115" s="184">
        <f t="shared" si="33"/>
        <v>0</v>
      </c>
      <c r="S115" s="304"/>
      <c r="T115" s="308"/>
    </row>
    <row r="116" spans="1:21" x14ac:dyDescent="0.35">
      <c r="A116" s="66" t="s">
        <v>129</v>
      </c>
      <c r="D116" s="6" t="s">
        <v>78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08">
        <f>SUM(E116:P116)</f>
        <v>0</v>
      </c>
      <c r="R116" s="189">
        <f t="shared" si="33"/>
        <v>0</v>
      </c>
      <c r="S116" s="304"/>
      <c r="T116" s="308"/>
    </row>
    <row r="117" spans="1:21" x14ac:dyDescent="0.35">
      <c r="A117" s="66"/>
      <c r="C117" s="6" t="s">
        <v>78</v>
      </c>
      <c r="E117" s="15">
        <f t="shared" ref="E117:Q117" si="55">SUM(E113:E116)</f>
        <v>0</v>
      </c>
      <c r="F117" s="15">
        <f t="shared" si="55"/>
        <v>0</v>
      </c>
      <c r="G117" s="15">
        <f t="shared" si="55"/>
        <v>0</v>
      </c>
      <c r="H117" s="15">
        <f t="shared" si="55"/>
        <v>0</v>
      </c>
      <c r="I117" s="15">
        <f t="shared" si="55"/>
        <v>0</v>
      </c>
      <c r="J117" s="15">
        <f t="shared" si="55"/>
        <v>0</v>
      </c>
      <c r="K117" s="15">
        <f t="shared" si="55"/>
        <v>0</v>
      </c>
      <c r="L117" s="15">
        <f t="shared" si="55"/>
        <v>0</v>
      </c>
      <c r="M117" s="15">
        <f t="shared" si="55"/>
        <v>0</v>
      </c>
      <c r="N117" s="15">
        <f t="shared" si="55"/>
        <v>0</v>
      </c>
      <c r="O117" s="15">
        <f t="shared" si="55"/>
        <v>0</v>
      </c>
      <c r="P117" s="15">
        <f t="shared" si="55"/>
        <v>0</v>
      </c>
      <c r="Q117" s="108">
        <f t="shared" si="55"/>
        <v>0</v>
      </c>
      <c r="R117" s="189">
        <f t="shared" si="33"/>
        <v>0</v>
      </c>
      <c r="S117" s="309">
        <v>0</v>
      </c>
      <c r="T117" s="310" t="str">
        <f>IFERROR(Q117/S117-1,"")</f>
        <v/>
      </c>
    </row>
    <row r="118" spans="1:21" x14ac:dyDescent="0.35">
      <c r="A118" s="66"/>
      <c r="Q118" s="101"/>
      <c r="R118" s="184"/>
      <c r="S118" s="304"/>
      <c r="T118" s="308"/>
    </row>
    <row r="119" spans="1:21" x14ac:dyDescent="0.35">
      <c r="A119" s="66" t="s">
        <v>124</v>
      </c>
      <c r="C119" s="6" t="s">
        <v>79</v>
      </c>
      <c r="E119" s="6">
        <f>'Renew &amp; Vac '!AJ143</f>
        <v>0</v>
      </c>
      <c r="F119" s="6">
        <f>'Renew &amp; Vac '!AK143</f>
        <v>0</v>
      </c>
      <c r="G119" s="6">
        <f>'Renew &amp; Vac '!AL143</f>
        <v>0</v>
      </c>
      <c r="H119" s="6">
        <f>'Renew &amp; Vac '!AM143</f>
        <v>0</v>
      </c>
      <c r="I119" s="6">
        <f>'Renew &amp; Vac '!AN143</f>
        <v>0</v>
      </c>
      <c r="J119" s="6">
        <f>'Renew &amp; Vac '!AO143</f>
        <v>0</v>
      </c>
      <c r="K119" s="6">
        <f>'Renew &amp; Vac '!AP143</f>
        <v>0</v>
      </c>
      <c r="L119" s="6">
        <f>'Renew &amp; Vac '!AQ143</f>
        <v>0</v>
      </c>
      <c r="M119" s="6">
        <f>'Renew &amp; Vac '!AR143</f>
        <v>0</v>
      </c>
      <c r="N119" s="6">
        <f>'Renew &amp; Vac '!AS143</f>
        <v>0</v>
      </c>
      <c r="O119" s="6">
        <f>'Renew &amp; Vac '!AT143</f>
        <v>0</v>
      </c>
      <c r="P119" s="6">
        <f>'Renew &amp; Vac '!AU143</f>
        <v>0</v>
      </c>
      <c r="Q119" s="101">
        <f>SUM(E119:P119)</f>
        <v>0</v>
      </c>
      <c r="R119" s="184">
        <f t="shared" si="33"/>
        <v>0</v>
      </c>
      <c r="S119" s="304">
        <v>0</v>
      </c>
      <c r="T119" s="308" t="str">
        <f t="shared" ref="T119" si="56">IFERROR(Q119/S119-1,"")</f>
        <v/>
      </c>
    </row>
    <row r="120" spans="1:21" ht="18" x14ac:dyDescent="0.35">
      <c r="A120" s="6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11"/>
      <c r="R120" s="192"/>
      <c r="S120" s="317"/>
      <c r="T120" s="318"/>
    </row>
    <row r="121" spans="1:21" ht="18" x14ac:dyDescent="0.35">
      <c r="A121" s="66" t="s">
        <v>125</v>
      </c>
      <c r="D121" s="6" t="s">
        <v>80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03">
        <f>SUM(E121:P121)</f>
        <v>0</v>
      </c>
      <c r="R121" s="185">
        <f t="shared" si="33"/>
        <v>0</v>
      </c>
      <c r="S121" s="311"/>
      <c r="T121" s="312"/>
    </row>
    <row r="122" spans="1:21" x14ac:dyDescent="0.35">
      <c r="A122" s="66" t="s">
        <v>125</v>
      </c>
      <c r="B122" s="8"/>
      <c r="D122" s="6" t="s">
        <v>81</v>
      </c>
      <c r="E122" s="15">
        <f>'Renew &amp; Vac '!AJ144</f>
        <v>0</v>
      </c>
      <c r="F122" s="15">
        <f>'Renew &amp; Vac '!AK144</f>
        <v>0</v>
      </c>
      <c r="G122" s="15">
        <f>'Renew &amp; Vac '!AL144</f>
        <v>0</v>
      </c>
      <c r="H122" s="15">
        <f>'Renew &amp; Vac '!AM144</f>
        <v>0</v>
      </c>
      <c r="I122" s="15">
        <f>'Renew &amp; Vac '!AN144</f>
        <v>0</v>
      </c>
      <c r="J122" s="15">
        <f>'Renew &amp; Vac '!AO144</f>
        <v>0</v>
      </c>
      <c r="K122" s="15">
        <f>'Renew &amp; Vac '!AP144</f>
        <v>0</v>
      </c>
      <c r="L122" s="15">
        <f>'Renew &amp; Vac '!AQ144</f>
        <v>0</v>
      </c>
      <c r="M122" s="15">
        <f>'Renew &amp; Vac '!AR144</f>
        <v>0</v>
      </c>
      <c r="N122" s="15">
        <f>'Renew &amp; Vac '!AS144</f>
        <v>0</v>
      </c>
      <c r="O122" s="15">
        <f>'Renew &amp; Vac '!AT144</f>
        <v>0</v>
      </c>
      <c r="P122" s="15">
        <f>'Renew &amp; Vac '!AU144</f>
        <v>0</v>
      </c>
      <c r="Q122" s="108">
        <f>SUM(E122:P122)</f>
        <v>0</v>
      </c>
      <c r="R122" s="189">
        <f t="shared" si="33"/>
        <v>0</v>
      </c>
      <c r="S122" s="319"/>
      <c r="T122" s="320"/>
    </row>
    <row r="123" spans="1:21" x14ac:dyDescent="0.35">
      <c r="A123" s="66"/>
      <c r="C123" s="6" t="s">
        <v>81</v>
      </c>
      <c r="D123" s="30"/>
      <c r="E123" s="6">
        <f>SUM(E121:E121)</f>
        <v>0</v>
      </c>
      <c r="F123" s="6">
        <f t="shared" ref="F123:Q123" si="57">SUM(F121:F122)</f>
        <v>0</v>
      </c>
      <c r="G123" s="6">
        <f t="shared" si="57"/>
        <v>0</v>
      </c>
      <c r="H123" s="6">
        <f t="shared" si="57"/>
        <v>0</v>
      </c>
      <c r="I123" s="6">
        <f t="shared" si="57"/>
        <v>0</v>
      </c>
      <c r="J123" s="6">
        <f t="shared" si="57"/>
        <v>0</v>
      </c>
      <c r="K123" s="6">
        <f t="shared" si="57"/>
        <v>0</v>
      </c>
      <c r="L123" s="6">
        <f t="shared" si="57"/>
        <v>0</v>
      </c>
      <c r="M123" s="6">
        <f t="shared" si="57"/>
        <v>0</v>
      </c>
      <c r="N123" s="6">
        <f t="shared" si="57"/>
        <v>0</v>
      </c>
      <c r="O123" s="6">
        <f t="shared" si="57"/>
        <v>0</v>
      </c>
      <c r="P123" s="6">
        <f t="shared" si="57"/>
        <v>0</v>
      </c>
      <c r="Q123" s="101">
        <f t="shared" si="57"/>
        <v>0</v>
      </c>
      <c r="R123" s="184">
        <f t="shared" si="33"/>
        <v>0</v>
      </c>
      <c r="S123" s="309"/>
      <c r="T123" s="310" t="str">
        <f t="shared" ref="T123" si="58">IFERROR(Q123/S123-1,"")</f>
        <v/>
      </c>
    </row>
    <row r="124" spans="1:21" s="8" customFormat="1" ht="18.5" thickBot="1" x14ac:dyDescent="0.4">
      <c r="A124" s="67"/>
      <c r="Q124" s="113"/>
      <c r="R124" s="194"/>
      <c r="S124" s="321"/>
      <c r="T124" s="322"/>
      <c r="U124" s="238"/>
    </row>
    <row r="125" spans="1:21" s="8" customFormat="1" ht="18" thickBot="1" x14ac:dyDescent="0.4">
      <c r="A125" s="218"/>
      <c r="B125" s="223" t="s">
        <v>82</v>
      </c>
      <c r="C125" s="224"/>
      <c r="D125" s="224"/>
      <c r="E125" s="224">
        <f t="shared" ref="E125:Q125" si="59">+E111-E117-E119-E123</f>
        <v>10942.475765093734</v>
      </c>
      <c r="F125" s="224">
        <f t="shared" si="59"/>
        <v>10942.475765093734</v>
      </c>
      <c r="G125" s="224">
        <f t="shared" si="59"/>
        <v>10942.475765093734</v>
      </c>
      <c r="H125" s="224">
        <f t="shared" si="59"/>
        <v>7646.4757650937336</v>
      </c>
      <c r="I125" s="224">
        <f t="shared" si="59"/>
        <v>10942.475765093734</v>
      </c>
      <c r="J125" s="224">
        <f t="shared" si="59"/>
        <v>10942.475765093734</v>
      </c>
      <c r="K125" s="224">
        <f t="shared" si="59"/>
        <v>10942.475765093734</v>
      </c>
      <c r="L125" s="224">
        <f t="shared" si="59"/>
        <v>10942.475765093734</v>
      </c>
      <c r="M125" s="224">
        <f t="shared" si="59"/>
        <v>10942.475765093734</v>
      </c>
      <c r="N125" s="224">
        <f t="shared" si="59"/>
        <v>10942.475765093734</v>
      </c>
      <c r="O125" s="224">
        <f t="shared" si="59"/>
        <v>10931.075765093734</v>
      </c>
      <c r="P125" s="224">
        <f t="shared" si="59"/>
        <v>10931.075765093734</v>
      </c>
      <c r="Q125" s="221">
        <f t="shared" si="59"/>
        <v>127990.90918112482</v>
      </c>
      <c r="R125" s="225">
        <f t="shared" si="33"/>
        <v>8.6357809311871545</v>
      </c>
      <c r="S125" s="313">
        <f>+S111-S117-S119-S123</f>
        <v>144085</v>
      </c>
      <c r="T125" s="314">
        <f>Q125/S125-1</f>
        <v>-0.11169858638217145</v>
      </c>
      <c r="U125" s="238"/>
    </row>
    <row r="126" spans="1:21" ht="18" x14ac:dyDescent="0.35">
      <c r="A126" s="66"/>
      <c r="Q126" s="101"/>
      <c r="R126" s="184"/>
      <c r="S126" s="311"/>
      <c r="T126" s="312"/>
    </row>
    <row r="127" spans="1:21" x14ac:dyDescent="0.35">
      <c r="A127" s="66"/>
      <c r="B127" s="6" t="s">
        <v>83</v>
      </c>
      <c r="Q127" s="101"/>
      <c r="R127" s="184"/>
      <c r="S127" s="304"/>
      <c r="T127" s="308"/>
    </row>
    <row r="128" spans="1:21" x14ac:dyDescent="0.35">
      <c r="A128" s="66" t="s">
        <v>128</v>
      </c>
      <c r="C128" s="6" t="s">
        <v>84</v>
      </c>
      <c r="E128" s="6">
        <f>VLOOKUP($B$1,'INS RET DEBT'!$C$98:$Q$107,3,FALSE)</f>
        <v>0</v>
      </c>
      <c r="F128" s="6">
        <f>VLOOKUP($B$1,'INS RET DEBT'!$C$98:$Q$107,4,FALSE)</f>
        <v>0</v>
      </c>
      <c r="G128" s="6">
        <f>VLOOKUP($B$1,'INS RET DEBT'!$C$98:$Q$107,5,FALSE)</f>
        <v>0</v>
      </c>
      <c r="H128" s="6">
        <f>VLOOKUP($B$1,'INS RET DEBT'!$C$98:$Q$107,6,FALSE)</f>
        <v>0</v>
      </c>
      <c r="I128" s="6">
        <f>VLOOKUP($B$1,'INS RET DEBT'!$C$98:$Q$107,7,FALSE)</f>
        <v>0</v>
      </c>
      <c r="J128" s="6">
        <f>VLOOKUP($B$1,'INS RET DEBT'!$C$98:$Q$107,8,FALSE)</f>
        <v>0</v>
      </c>
      <c r="K128" s="6">
        <f>VLOOKUP($B$1,'INS RET DEBT'!$C$98:$Q$107,9,FALSE)</f>
        <v>0</v>
      </c>
      <c r="L128" s="6">
        <f>VLOOKUP($B$1,'INS RET DEBT'!$C$98:$Q$107,10,FALSE)</f>
        <v>0</v>
      </c>
      <c r="M128" s="6">
        <f>VLOOKUP($B$1,'INS RET DEBT'!$C$98:$Q$107,11,FALSE)</f>
        <v>0</v>
      </c>
      <c r="N128" s="6">
        <f>VLOOKUP($B$1,'INS RET DEBT'!$C$98:$Q$107,12,FALSE)</f>
        <v>0</v>
      </c>
      <c r="O128" s="6">
        <f>VLOOKUP($B$1,'INS RET DEBT'!$C$98:$Q$107,13,FALSE)</f>
        <v>0</v>
      </c>
      <c r="P128" s="6">
        <f>VLOOKUP($B$1,'INS RET DEBT'!$C$98:$Q$107,14,FALSE)</f>
        <v>0</v>
      </c>
      <c r="Q128" s="101">
        <f>SUM(E128:P128)</f>
        <v>0</v>
      </c>
      <c r="R128" s="184">
        <f t="shared" si="33"/>
        <v>0</v>
      </c>
      <c r="S128" s="304">
        <v>0</v>
      </c>
      <c r="T128" s="308" t="str">
        <f t="shared" ref="T128:T129" si="60">IFERROR(Q128/S128-1,"")</f>
        <v/>
      </c>
    </row>
    <row r="129" spans="1:21" x14ac:dyDescent="0.35">
      <c r="A129" s="66" t="s">
        <v>145</v>
      </c>
      <c r="C129" s="6" t="s">
        <v>85</v>
      </c>
      <c r="E129" s="6">
        <f>VLOOKUP($B$1,'INS RET DEBT'!$C$113:$Q$122,3,FALSE)</f>
        <v>0</v>
      </c>
      <c r="F129" s="6">
        <f>VLOOKUP($B$1,'INS RET DEBT'!$C$113:$Q$122,4,FALSE)</f>
        <v>0</v>
      </c>
      <c r="G129" s="6">
        <f>VLOOKUP($B$1,'INS RET DEBT'!$C$113:$Q$122,5,FALSE)</f>
        <v>0</v>
      </c>
      <c r="H129" s="6">
        <f>VLOOKUP($B$1,'INS RET DEBT'!$C$113:$Q$122,6,FALSE)</f>
        <v>0</v>
      </c>
      <c r="I129" s="6">
        <f>VLOOKUP($B$1,'INS RET DEBT'!$C$113:$Q$122,7,FALSE)</f>
        <v>0</v>
      </c>
      <c r="J129" s="6">
        <f>VLOOKUP($B$1,'INS RET DEBT'!$C$113:$Q$122,8,FALSE)</f>
        <v>0</v>
      </c>
      <c r="K129" s="6">
        <f>VLOOKUP($B$1,'INS RET DEBT'!$C$113:$Q$122,9,FALSE)</f>
        <v>0</v>
      </c>
      <c r="L129" s="6">
        <f>VLOOKUP($B$1,'INS RET DEBT'!$C$113:$Q$122,10,FALSE)</f>
        <v>0</v>
      </c>
      <c r="M129" s="6">
        <f>VLOOKUP($B$1,'INS RET DEBT'!$C$113:$Q$122,11,FALSE)</f>
        <v>0</v>
      </c>
      <c r="N129" s="6">
        <f>VLOOKUP($B$1,'INS RET DEBT'!$C$113:$Q$122,12,FALSE)</f>
        <v>0</v>
      </c>
      <c r="O129" s="6">
        <f>VLOOKUP($B$1,'INS RET DEBT'!$C$113:$Q$122,13,FALSE)</f>
        <v>0</v>
      </c>
      <c r="P129" s="6">
        <f>VLOOKUP($B$1,'INS RET DEBT'!$C$113:$Q$122,14,FALSE)</f>
        <v>0</v>
      </c>
      <c r="Q129" s="101">
        <f>SUM(E129:P129)</f>
        <v>0</v>
      </c>
      <c r="R129" s="184">
        <f t="shared" si="33"/>
        <v>0</v>
      </c>
      <c r="S129" s="304">
        <v>0</v>
      </c>
      <c r="T129" s="308" t="str">
        <f t="shared" si="60"/>
        <v/>
      </c>
    </row>
    <row r="130" spans="1:21" x14ac:dyDescent="0.35">
      <c r="A130" s="66" t="s">
        <v>146</v>
      </c>
      <c r="C130" s="6" t="s">
        <v>86</v>
      </c>
      <c r="Q130" s="101">
        <f>SUM(E130:P130)</f>
        <v>0</v>
      </c>
      <c r="R130" s="184">
        <f t="shared" si="33"/>
        <v>0</v>
      </c>
      <c r="S130" s="304"/>
      <c r="T130" s="308"/>
    </row>
    <row r="131" spans="1:21" x14ac:dyDescent="0.35">
      <c r="A131" s="66"/>
      <c r="C131" s="6" t="s">
        <v>87</v>
      </c>
      <c r="E131" s="28">
        <f t="shared" ref="E131:Q131" si="61">SUM(E128:E130)</f>
        <v>0</v>
      </c>
      <c r="F131" s="28">
        <f t="shared" si="61"/>
        <v>0</v>
      </c>
      <c r="G131" s="28">
        <f t="shared" si="61"/>
        <v>0</v>
      </c>
      <c r="H131" s="28">
        <f t="shared" si="61"/>
        <v>0</v>
      </c>
      <c r="I131" s="28">
        <f t="shared" si="61"/>
        <v>0</v>
      </c>
      <c r="J131" s="28">
        <f t="shared" si="61"/>
        <v>0</v>
      </c>
      <c r="K131" s="28">
        <f t="shared" si="61"/>
        <v>0</v>
      </c>
      <c r="L131" s="28">
        <f t="shared" si="61"/>
        <v>0</v>
      </c>
      <c r="M131" s="28">
        <f t="shared" si="61"/>
        <v>0</v>
      </c>
      <c r="N131" s="28">
        <f t="shared" si="61"/>
        <v>0</v>
      </c>
      <c r="O131" s="28">
        <f t="shared" si="61"/>
        <v>0</v>
      </c>
      <c r="P131" s="28">
        <f t="shared" si="61"/>
        <v>0</v>
      </c>
      <c r="Q131" s="110">
        <f t="shared" si="61"/>
        <v>0</v>
      </c>
      <c r="R131" s="191">
        <f t="shared" si="33"/>
        <v>0</v>
      </c>
      <c r="S131" s="309">
        <f>SUM(S128:S129)</f>
        <v>0</v>
      </c>
      <c r="T131" s="310" t="str">
        <f>IFERROR(Q131/S131-1,"")</f>
        <v/>
      </c>
    </row>
    <row r="132" spans="1:21" ht="18" x14ac:dyDescent="0.35">
      <c r="A132" s="66"/>
      <c r="Q132" s="101"/>
      <c r="R132" s="184"/>
      <c r="S132" s="311"/>
      <c r="T132" s="312"/>
    </row>
    <row r="133" spans="1:21" ht="18.5" thickBot="1" x14ac:dyDescent="0.4">
      <c r="A133" s="67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12"/>
      <c r="R133" s="193"/>
      <c r="S133" s="311"/>
      <c r="T133" s="312"/>
    </row>
    <row r="134" spans="1:21" s="8" customFormat="1" ht="18" thickBot="1" x14ac:dyDescent="0.4">
      <c r="A134" s="218"/>
      <c r="B134" s="223" t="s">
        <v>88</v>
      </c>
      <c r="C134" s="224"/>
      <c r="D134" s="224"/>
      <c r="E134" s="224">
        <f t="shared" ref="E134:Q134" si="62">+E125-E131</f>
        <v>10942.475765093734</v>
      </c>
      <c r="F134" s="224">
        <f t="shared" si="62"/>
        <v>10942.475765093734</v>
      </c>
      <c r="G134" s="224">
        <f t="shared" si="62"/>
        <v>10942.475765093734</v>
      </c>
      <c r="H134" s="224">
        <f t="shared" si="62"/>
        <v>7646.4757650937336</v>
      </c>
      <c r="I134" s="224">
        <f t="shared" si="62"/>
        <v>10942.475765093734</v>
      </c>
      <c r="J134" s="224">
        <f t="shared" si="62"/>
        <v>10942.475765093734</v>
      </c>
      <c r="K134" s="224">
        <f t="shared" si="62"/>
        <v>10942.475765093734</v>
      </c>
      <c r="L134" s="224">
        <f t="shared" si="62"/>
        <v>10942.475765093734</v>
      </c>
      <c r="M134" s="224">
        <f t="shared" si="62"/>
        <v>10942.475765093734</v>
      </c>
      <c r="N134" s="224">
        <f t="shared" si="62"/>
        <v>10942.475765093734</v>
      </c>
      <c r="O134" s="224">
        <f t="shared" si="62"/>
        <v>10931.075765093734</v>
      </c>
      <c r="P134" s="224">
        <f t="shared" si="62"/>
        <v>10931.075765093734</v>
      </c>
      <c r="Q134" s="221">
        <f t="shared" si="62"/>
        <v>127990.90918112482</v>
      </c>
      <c r="R134" s="225">
        <f t="shared" si="33"/>
        <v>8.6357809311871545</v>
      </c>
      <c r="S134" s="313">
        <f>+S125-S131</f>
        <v>144085</v>
      </c>
      <c r="T134" s="314">
        <f>Q134/S134-1</f>
        <v>-0.11169858638217145</v>
      </c>
      <c r="U134" s="238"/>
    </row>
    <row r="135" spans="1:21" ht="18" x14ac:dyDescent="0.35">
      <c r="A135" s="68"/>
      <c r="B135" s="8"/>
      <c r="C135" s="32"/>
      <c r="S135" s="328"/>
      <c r="T135" s="329"/>
    </row>
    <row r="136" spans="1:21" s="8" customFormat="1" ht="17.5" x14ac:dyDescent="0.3">
      <c r="A136" s="68"/>
      <c r="C136" s="32"/>
      <c r="D136" s="33"/>
      <c r="S136" s="328"/>
      <c r="T136" s="329"/>
      <c r="U136" s="238"/>
    </row>
    <row r="137" spans="1:21" ht="18" x14ac:dyDescent="0.35">
      <c r="A137" s="66"/>
      <c r="S137" s="328"/>
      <c r="T137" s="329"/>
    </row>
    <row r="138" spans="1:21" x14ac:dyDescent="0.35">
      <c r="A138" s="69"/>
    </row>
    <row r="139" spans="1:21" x14ac:dyDescent="0.35">
      <c r="A139" s="47"/>
      <c r="S139" s="330"/>
    </row>
    <row r="140" spans="1:21" x14ac:dyDescent="0.35">
      <c r="A140" s="47"/>
    </row>
    <row r="141" spans="1:21" ht="17.5" x14ac:dyDescent="0.35">
      <c r="A141" s="47"/>
      <c r="S141" s="9"/>
      <c r="T141" s="331"/>
    </row>
    <row r="142" spans="1:21" ht="18" x14ac:dyDescent="0.35">
      <c r="A142" s="47"/>
      <c r="S142" s="328"/>
      <c r="T142" s="329"/>
    </row>
    <row r="143" spans="1:21" x14ac:dyDescent="0.35">
      <c r="A143" s="47"/>
    </row>
    <row r="144" spans="1:21" x14ac:dyDescent="0.35">
      <c r="A144" s="47"/>
    </row>
    <row r="145" spans="1:20" ht="18" x14ac:dyDescent="0.35">
      <c r="A145" s="47"/>
      <c r="D145" s="7" t="str">
        <f>"Budget Import - "&amp;B1</f>
        <v>Budget Import - 7200</v>
      </c>
      <c r="E145" s="389">
        <v>5</v>
      </c>
      <c r="F145" s="390">
        <f>E145+1</f>
        <v>6</v>
      </c>
      <c r="G145" s="390">
        <f t="shared" ref="G145:P145" si="63">F145+1</f>
        <v>7</v>
      </c>
      <c r="H145" s="390">
        <f t="shared" si="63"/>
        <v>8</v>
      </c>
      <c r="I145" s="390">
        <f t="shared" si="63"/>
        <v>9</v>
      </c>
      <c r="J145" s="390">
        <f t="shared" si="63"/>
        <v>10</v>
      </c>
      <c r="K145" s="390">
        <f t="shared" si="63"/>
        <v>11</v>
      </c>
      <c r="L145" s="390">
        <f t="shared" si="63"/>
        <v>12</v>
      </c>
      <c r="M145" s="390">
        <f t="shared" si="63"/>
        <v>13</v>
      </c>
      <c r="N145" s="390">
        <f t="shared" si="63"/>
        <v>14</v>
      </c>
      <c r="O145" s="390">
        <f t="shared" si="63"/>
        <v>15</v>
      </c>
      <c r="P145" s="390">
        <f t="shared" si="63"/>
        <v>16</v>
      </c>
      <c r="Q145" s="390" t="s">
        <v>566</v>
      </c>
    </row>
    <row r="146" spans="1:20" ht="16.5" thickBot="1" x14ac:dyDescent="0.4">
      <c r="A146" s="47"/>
      <c r="D146" s="6" t="s">
        <v>96</v>
      </c>
      <c r="E146" s="6">
        <v>1</v>
      </c>
      <c r="F146" s="6">
        <v>2</v>
      </c>
      <c r="G146" s="6">
        <v>3</v>
      </c>
      <c r="H146" s="6">
        <v>4</v>
      </c>
      <c r="I146" s="6">
        <v>5</v>
      </c>
      <c r="J146" s="6">
        <v>6</v>
      </c>
      <c r="K146" s="6">
        <v>7</v>
      </c>
      <c r="L146" s="6">
        <v>8</v>
      </c>
      <c r="M146" s="6">
        <v>9</v>
      </c>
      <c r="N146" s="6">
        <v>10</v>
      </c>
      <c r="O146" s="6">
        <v>11</v>
      </c>
      <c r="P146" s="6">
        <v>12</v>
      </c>
      <c r="Q146" s="6" t="s">
        <v>12</v>
      </c>
    </row>
    <row r="147" spans="1:20" x14ac:dyDescent="0.35">
      <c r="A147" s="294" t="str">
        <f>VLOOKUP($D147,$A$10:$D$130,3,FALSE)</f>
        <v>Rental Income - In Place</v>
      </c>
      <c r="D147" s="57" t="s">
        <v>132</v>
      </c>
      <c r="E147" s="58">
        <f>-(VLOOKUP($D147,$A$10:$P$134,E$145,FALSE)+E11)</f>
        <v>-17992.04</v>
      </c>
      <c r="F147" s="58">
        <f t="shared" ref="F147:O147" si="64">-(VLOOKUP($D147,$A$10:$P$134,F$145,FALSE)+F11)</f>
        <v>-17992.04</v>
      </c>
      <c r="G147" s="58">
        <f t="shared" si="64"/>
        <v>-17992.04</v>
      </c>
      <c r="H147" s="58">
        <f t="shared" si="64"/>
        <v>-17992.04</v>
      </c>
      <c r="I147" s="58">
        <f t="shared" si="64"/>
        <v>-17992.04</v>
      </c>
      <c r="J147" s="58">
        <f t="shared" si="64"/>
        <v>-17992.04</v>
      </c>
      <c r="K147" s="58">
        <f t="shared" si="64"/>
        <v>-17992.04</v>
      </c>
      <c r="L147" s="58">
        <f t="shared" si="64"/>
        <v>-17992.04</v>
      </c>
      <c r="M147" s="58">
        <f t="shared" si="64"/>
        <v>-17992.04</v>
      </c>
      <c r="N147" s="58">
        <f t="shared" si="64"/>
        <v>-17992.04</v>
      </c>
      <c r="O147" s="58">
        <f t="shared" si="64"/>
        <v>-17992.04</v>
      </c>
      <c r="P147" s="59">
        <f>-(VLOOKUP($D147,$A$10:$P$134,P$145,FALSE)+P11)</f>
        <v>-17992.04</v>
      </c>
      <c r="Q147" s="13">
        <f>SUM(E147:P147)</f>
        <v>-215904.48000000007</v>
      </c>
      <c r="R147" s="13"/>
    </row>
    <row r="148" spans="1:20" x14ac:dyDescent="0.35">
      <c r="A148" s="294" t="str">
        <f t="shared" ref="A148:A182" si="65">VLOOKUP($D148,$A$10:$D$130,3,FALSE)</f>
        <v>Interest Income</v>
      </c>
      <c r="D148" s="60" t="s">
        <v>134</v>
      </c>
      <c r="E148" s="61">
        <f t="shared" ref="E148:P151" si="66">-VLOOKUP($D148,$A$10:$P$134,E$145,FALSE)</f>
        <v>-15.450000000000001</v>
      </c>
      <c r="F148" s="61">
        <f t="shared" si="66"/>
        <v>-15.450000000000001</v>
      </c>
      <c r="G148" s="61">
        <f t="shared" si="66"/>
        <v>-15.450000000000001</v>
      </c>
      <c r="H148" s="61">
        <f t="shared" si="66"/>
        <v>-15.450000000000001</v>
      </c>
      <c r="I148" s="61">
        <f t="shared" si="66"/>
        <v>-15.450000000000001</v>
      </c>
      <c r="J148" s="61">
        <f t="shared" si="66"/>
        <v>-15.450000000000001</v>
      </c>
      <c r="K148" s="61">
        <f t="shared" si="66"/>
        <v>-15.450000000000001</v>
      </c>
      <c r="L148" s="61">
        <f t="shared" si="66"/>
        <v>-15.450000000000001</v>
      </c>
      <c r="M148" s="61">
        <f t="shared" si="66"/>
        <v>-15.450000000000001</v>
      </c>
      <c r="N148" s="61">
        <f t="shared" si="66"/>
        <v>-15.450000000000001</v>
      </c>
      <c r="O148" s="61">
        <f t="shared" si="66"/>
        <v>-15.450000000000001</v>
      </c>
      <c r="P148" s="62">
        <f t="shared" si="66"/>
        <v>-15.450000000000001</v>
      </c>
      <c r="Q148" s="13">
        <f t="shared" ref="Q148" si="67">SUM(E148:P148)</f>
        <v>-185.39999999999998</v>
      </c>
      <c r="R148" s="13"/>
    </row>
    <row r="149" spans="1:20" x14ac:dyDescent="0.35">
      <c r="A149" s="294" t="str">
        <f t="shared" si="65"/>
        <v>Electric</v>
      </c>
      <c r="D149" s="60" t="s">
        <v>98</v>
      </c>
      <c r="E149" s="61">
        <f t="shared" si="66"/>
        <v>0</v>
      </c>
      <c r="F149" s="61">
        <f t="shared" si="66"/>
        <v>0</v>
      </c>
      <c r="G149" s="61">
        <f t="shared" si="66"/>
        <v>0</v>
      </c>
      <c r="H149" s="61">
        <f t="shared" si="66"/>
        <v>0</v>
      </c>
      <c r="I149" s="61">
        <f t="shared" si="66"/>
        <v>0</v>
      </c>
      <c r="J149" s="61">
        <f t="shared" si="66"/>
        <v>0</v>
      </c>
      <c r="K149" s="61">
        <f t="shared" si="66"/>
        <v>0</v>
      </c>
      <c r="L149" s="61">
        <f t="shared" si="66"/>
        <v>0</v>
      </c>
      <c r="M149" s="61">
        <f t="shared" si="66"/>
        <v>0</v>
      </c>
      <c r="N149" s="61">
        <f t="shared" si="66"/>
        <v>0</v>
      </c>
      <c r="O149" s="61">
        <f t="shared" si="66"/>
        <v>0</v>
      </c>
      <c r="P149" s="62">
        <f t="shared" si="66"/>
        <v>0</v>
      </c>
      <c r="Q149" s="13">
        <f t="shared" ref="Q149:Q182" si="68">SUM(E149:P149)</f>
        <v>0</v>
      </c>
      <c r="R149" s="13"/>
    </row>
    <row r="150" spans="1:20" ht="18" x14ac:dyDescent="0.35">
      <c r="A150" s="294" t="str">
        <f t="shared" si="65"/>
        <v>Common Area Maintenance</v>
      </c>
      <c r="D150" s="60" t="s">
        <v>99</v>
      </c>
      <c r="E150" s="61">
        <f t="shared" si="66"/>
        <v>0</v>
      </c>
      <c r="F150" s="61">
        <f t="shared" si="66"/>
        <v>0</v>
      </c>
      <c r="G150" s="61">
        <f t="shared" si="66"/>
        <v>0</v>
      </c>
      <c r="H150" s="61">
        <f t="shared" si="66"/>
        <v>0</v>
      </c>
      <c r="I150" s="61">
        <f t="shared" si="66"/>
        <v>0</v>
      </c>
      <c r="J150" s="61">
        <f t="shared" si="66"/>
        <v>0</v>
      </c>
      <c r="K150" s="61">
        <f t="shared" si="66"/>
        <v>0</v>
      </c>
      <c r="L150" s="61">
        <f t="shared" si="66"/>
        <v>0</v>
      </c>
      <c r="M150" s="61">
        <f t="shared" si="66"/>
        <v>0</v>
      </c>
      <c r="N150" s="61">
        <f t="shared" si="66"/>
        <v>0</v>
      </c>
      <c r="O150" s="61">
        <f t="shared" si="66"/>
        <v>0</v>
      </c>
      <c r="P150" s="62">
        <f t="shared" si="66"/>
        <v>0</v>
      </c>
      <c r="Q150" s="13">
        <f t="shared" si="68"/>
        <v>0</v>
      </c>
      <c r="R150" s="13"/>
      <c r="S150" s="328"/>
      <c r="T150" s="329"/>
    </row>
    <row r="151" spans="1:20" x14ac:dyDescent="0.35">
      <c r="A151" s="294" t="str">
        <f t="shared" si="65"/>
        <v>Real Estate Taxes</v>
      </c>
      <c r="D151" s="60" t="s">
        <v>100</v>
      </c>
      <c r="E151" s="61">
        <f t="shared" si="66"/>
        <v>0</v>
      </c>
      <c r="F151" s="61">
        <f t="shared" si="66"/>
        <v>0</v>
      </c>
      <c r="G151" s="61">
        <f t="shared" si="66"/>
        <v>0</v>
      </c>
      <c r="H151" s="61">
        <f t="shared" si="66"/>
        <v>0</v>
      </c>
      <c r="I151" s="61">
        <f t="shared" si="66"/>
        <v>0</v>
      </c>
      <c r="J151" s="61">
        <f t="shared" si="66"/>
        <v>0</v>
      </c>
      <c r="K151" s="61">
        <f t="shared" si="66"/>
        <v>0</v>
      </c>
      <c r="L151" s="61">
        <f t="shared" si="66"/>
        <v>0</v>
      </c>
      <c r="M151" s="61">
        <f t="shared" si="66"/>
        <v>0</v>
      </c>
      <c r="N151" s="61">
        <f t="shared" si="66"/>
        <v>0</v>
      </c>
      <c r="O151" s="61">
        <f t="shared" si="66"/>
        <v>0</v>
      </c>
      <c r="P151" s="62">
        <f t="shared" si="66"/>
        <v>0</v>
      </c>
      <c r="Q151" s="13">
        <f t="shared" si="68"/>
        <v>0</v>
      </c>
      <c r="R151" s="13"/>
    </row>
    <row r="152" spans="1:20" x14ac:dyDescent="0.35">
      <c r="A152" s="294" t="str">
        <f t="shared" si="65"/>
        <v>Insurance</v>
      </c>
      <c r="D152" s="60" t="s">
        <v>135</v>
      </c>
      <c r="E152" s="61">
        <f>-VLOOKUP($D152,$A$10:$P$134,E$145,FALSE)</f>
        <v>0</v>
      </c>
      <c r="F152" s="61">
        <f t="shared" ref="F152:P152" si="69">-VLOOKUP($D152,$A$10:$P$134,F$145,FALSE)</f>
        <v>0</v>
      </c>
      <c r="G152" s="61">
        <f t="shared" si="69"/>
        <v>0</v>
      </c>
      <c r="H152" s="61">
        <f t="shared" si="69"/>
        <v>0</v>
      </c>
      <c r="I152" s="61">
        <f t="shared" si="69"/>
        <v>0</v>
      </c>
      <c r="J152" s="61">
        <f t="shared" si="69"/>
        <v>0</v>
      </c>
      <c r="K152" s="61">
        <f t="shared" si="69"/>
        <v>0</v>
      </c>
      <c r="L152" s="61">
        <f t="shared" si="69"/>
        <v>0</v>
      </c>
      <c r="M152" s="61">
        <f t="shared" si="69"/>
        <v>0</v>
      </c>
      <c r="N152" s="61">
        <f t="shared" si="69"/>
        <v>0</v>
      </c>
      <c r="O152" s="61">
        <f t="shared" si="69"/>
        <v>0</v>
      </c>
      <c r="P152" s="62">
        <f t="shared" si="69"/>
        <v>0</v>
      </c>
      <c r="Q152" s="13">
        <f>SUM(E152:P152)</f>
        <v>0</v>
      </c>
      <c r="R152" s="13"/>
    </row>
    <row r="153" spans="1:20" x14ac:dyDescent="0.35">
      <c r="A153" s="294" t="str">
        <f t="shared" si="65"/>
        <v>Maintenance Salaries</v>
      </c>
      <c r="D153" s="60" t="s">
        <v>101</v>
      </c>
      <c r="E153" s="61">
        <f>VLOOKUP($D153,$A$10:$P$134,E$145,FALSE)</f>
        <v>456.38494610612997</v>
      </c>
      <c r="F153" s="61">
        <f t="shared" ref="F153:P168" si="70">VLOOKUP($D153,$A$10:$P$134,F$145,FALSE)</f>
        <v>456.38494610612997</v>
      </c>
      <c r="G153" s="61">
        <f t="shared" si="70"/>
        <v>456.38494610612997</v>
      </c>
      <c r="H153" s="61">
        <f t="shared" si="70"/>
        <v>456.38494610612997</v>
      </c>
      <c r="I153" s="61">
        <f t="shared" si="70"/>
        <v>456.38494610612997</v>
      </c>
      <c r="J153" s="61">
        <f t="shared" si="70"/>
        <v>456.38494610612997</v>
      </c>
      <c r="K153" s="61">
        <f t="shared" si="70"/>
        <v>456.38494610612997</v>
      </c>
      <c r="L153" s="61">
        <f t="shared" si="70"/>
        <v>456.38494610612997</v>
      </c>
      <c r="M153" s="61">
        <f t="shared" si="70"/>
        <v>456.38494610612997</v>
      </c>
      <c r="N153" s="61">
        <f t="shared" si="70"/>
        <v>456.38494610612997</v>
      </c>
      <c r="O153" s="61">
        <f t="shared" si="70"/>
        <v>456.38494610612997</v>
      </c>
      <c r="P153" s="62">
        <f t="shared" si="70"/>
        <v>456.38494610612997</v>
      </c>
      <c r="Q153" s="13">
        <f t="shared" si="68"/>
        <v>5476.6193532735597</v>
      </c>
      <c r="R153" s="13"/>
      <c r="S153" s="8"/>
      <c r="T153" s="323"/>
    </row>
    <row r="154" spans="1:20" x14ac:dyDescent="0.35">
      <c r="A154" s="294" t="str">
        <f t="shared" si="65"/>
        <v>Electric</v>
      </c>
      <c r="D154" s="60" t="s">
        <v>102</v>
      </c>
      <c r="E154" s="61">
        <f t="shared" ref="E154:P182" si="71">VLOOKUP($D154,$A$10:$P$134,E$145,FALSE)</f>
        <v>0</v>
      </c>
      <c r="F154" s="61">
        <f t="shared" si="70"/>
        <v>0</v>
      </c>
      <c r="G154" s="61">
        <f t="shared" si="70"/>
        <v>0</v>
      </c>
      <c r="H154" s="61">
        <f t="shared" si="70"/>
        <v>0</v>
      </c>
      <c r="I154" s="61">
        <f t="shared" si="70"/>
        <v>0</v>
      </c>
      <c r="J154" s="61">
        <f t="shared" si="70"/>
        <v>0</v>
      </c>
      <c r="K154" s="61">
        <f t="shared" si="70"/>
        <v>0</v>
      </c>
      <c r="L154" s="61">
        <f t="shared" si="70"/>
        <v>0</v>
      </c>
      <c r="M154" s="61">
        <f t="shared" si="70"/>
        <v>0</v>
      </c>
      <c r="N154" s="61">
        <f t="shared" si="70"/>
        <v>0</v>
      </c>
      <c r="O154" s="61">
        <f t="shared" si="70"/>
        <v>0</v>
      </c>
      <c r="P154" s="62">
        <f t="shared" si="70"/>
        <v>0</v>
      </c>
      <c r="Q154" s="13">
        <f t="shared" si="68"/>
        <v>0</v>
      </c>
      <c r="R154" s="13"/>
    </row>
    <row r="155" spans="1:20" x14ac:dyDescent="0.35">
      <c r="A155" s="294" t="str">
        <f t="shared" si="65"/>
        <v>Water &amp; Sewer</v>
      </c>
      <c r="D155" s="60" t="s">
        <v>103</v>
      </c>
      <c r="E155" s="61">
        <f t="shared" si="71"/>
        <v>0</v>
      </c>
      <c r="F155" s="61">
        <f t="shared" si="70"/>
        <v>0</v>
      </c>
      <c r="G155" s="61">
        <f t="shared" si="70"/>
        <v>0</v>
      </c>
      <c r="H155" s="61">
        <f t="shared" si="70"/>
        <v>0</v>
      </c>
      <c r="I155" s="61">
        <f t="shared" si="70"/>
        <v>0</v>
      </c>
      <c r="J155" s="61">
        <f t="shared" si="70"/>
        <v>0</v>
      </c>
      <c r="K155" s="61">
        <f t="shared" si="70"/>
        <v>0</v>
      </c>
      <c r="L155" s="61">
        <f t="shared" si="70"/>
        <v>0</v>
      </c>
      <c r="M155" s="61">
        <f t="shared" si="70"/>
        <v>0</v>
      </c>
      <c r="N155" s="61">
        <f t="shared" si="70"/>
        <v>0</v>
      </c>
      <c r="O155" s="61">
        <f t="shared" si="70"/>
        <v>0</v>
      </c>
      <c r="P155" s="62">
        <f t="shared" si="70"/>
        <v>0</v>
      </c>
      <c r="Q155" s="13">
        <f t="shared" si="68"/>
        <v>0</v>
      </c>
      <c r="R155" s="13"/>
    </row>
    <row r="156" spans="1:20" x14ac:dyDescent="0.35">
      <c r="A156" s="294" t="str">
        <f t="shared" si="65"/>
        <v>Building Maintenance</v>
      </c>
      <c r="D156" s="60" t="s">
        <v>104</v>
      </c>
      <c r="E156" s="61">
        <f t="shared" si="71"/>
        <v>0</v>
      </c>
      <c r="F156" s="61">
        <f t="shared" si="70"/>
        <v>0</v>
      </c>
      <c r="G156" s="61">
        <f t="shared" si="70"/>
        <v>0</v>
      </c>
      <c r="H156" s="61">
        <f t="shared" si="70"/>
        <v>0</v>
      </c>
      <c r="I156" s="61">
        <f t="shared" si="70"/>
        <v>0</v>
      </c>
      <c r="J156" s="61">
        <f t="shared" si="70"/>
        <v>0</v>
      </c>
      <c r="K156" s="61">
        <f t="shared" si="70"/>
        <v>0</v>
      </c>
      <c r="L156" s="61">
        <f t="shared" si="70"/>
        <v>0</v>
      </c>
      <c r="M156" s="61">
        <f t="shared" si="70"/>
        <v>0</v>
      </c>
      <c r="N156" s="61">
        <f t="shared" si="70"/>
        <v>0</v>
      </c>
      <c r="O156" s="61">
        <f t="shared" si="70"/>
        <v>0</v>
      </c>
      <c r="P156" s="62">
        <f t="shared" si="70"/>
        <v>0</v>
      </c>
      <c r="Q156" s="13">
        <f t="shared" si="68"/>
        <v>0</v>
      </c>
      <c r="R156" s="13"/>
    </row>
    <row r="157" spans="1:20" x14ac:dyDescent="0.35">
      <c r="A157" s="294" t="str">
        <f t="shared" si="65"/>
        <v>Parking Lot Cleaning</v>
      </c>
      <c r="D157" s="60" t="s">
        <v>136</v>
      </c>
      <c r="E157" s="61">
        <f t="shared" si="71"/>
        <v>0</v>
      </c>
      <c r="F157" s="61">
        <f t="shared" si="70"/>
        <v>0</v>
      </c>
      <c r="G157" s="61">
        <f t="shared" si="70"/>
        <v>0</v>
      </c>
      <c r="H157" s="61">
        <f t="shared" si="70"/>
        <v>0</v>
      </c>
      <c r="I157" s="61">
        <f t="shared" si="70"/>
        <v>0</v>
      </c>
      <c r="J157" s="61">
        <f t="shared" si="70"/>
        <v>0</v>
      </c>
      <c r="K157" s="61">
        <f t="shared" si="70"/>
        <v>0</v>
      </c>
      <c r="L157" s="61">
        <f t="shared" si="70"/>
        <v>0</v>
      </c>
      <c r="M157" s="61">
        <f t="shared" si="70"/>
        <v>0</v>
      </c>
      <c r="N157" s="61">
        <f t="shared" si="70"/>
        <v>0</v>
      </c>
      <c r="O157" s="61">
        <f t="shared" si="70"/>
        <v>0</v>
      </c>
      <c r="P157" s="62">
        <f t="shared" si="70"/>
        <v>0</v>
      </c>
      <c r="Q157" s="13">
        <f t="shared" si="68"/>
        <v>0</v>
      </c>
      <c r="R157" s="13"/>
    </row>
    <row r="158" spans="1:20" x14ac:dyDescent="0.35">
      <c r="A158" s="294" t="str">
        <f t="shared" si="65"/>
        <v>Parking Lot Maintenance</v>
      </c>
      <c r="D158" s="60" t="s">
        <v>105</v>
      </c>
      <c r="E158" s="61">
        <f t="shared" si="71"/>
        <v>0</v>
      </c>
      <c r="F158" s="61">
        <f t="shared" si="70"/>
        <v>0</v>
      </c>
      <c r="G158" s="61">
        <f t="shared" si="70"/>
        <v>0</v>
      </c>
      <c r="H158" s="61">
        <f t="shared" si="70"/>
        <v>0</v>
      </c>
      <c r="I158" s="61">
        <f t="shared" si="70"/>
        <v>0</v>
      </c>
      <c r="J158" s="61">
        <f t="shared" si="70"/>
        <v>0</v>
      </c>
      <c r="K158" s="61">
        <f t="shared" si="70"/>
        <v>0</v>
      </c>
      <c r="L158" s="61">
        <f t="shared" si="70"/>
        <v>0</v>
      </c>
      <c r="M158" s="61">
        <f t="shared" si="70"/>
        <v>0</v>
      </c>
      <c r="N158" s="61">
        <f t="shared" si="70"/>
        <v>0</v>
      </c>
      <c r="O158" s="61">
        <f t="shared" si="70"/>
        <v>0</v>
      </c>
      <c r="P158" s="62">
        <f t="shared" si="70"/>
        <v>0</v>
      </c>
      <c r="Q158" s="13">
        <f t="shared" si="68"/>
        <v>0</v>
      </c>
      <c r="R158" s="13"/>
    </row>
    <row r="159" spans="1:20" x14ac:dyDescent="0.35">
      <c r="A159" s="294" t="str">
        <f t="shared" si="65"/>
        <v>Snow Removal</v>
      </c>
      <c r="D159" s="60" t="s">
        <v>106</v>
      </c>
      <c r="E159" s="61">
        <f t="shared" si="71"/>
        <v>0</v>
      </c>
      <c r="F159" s="61">
        <f t="shared" si="70"/>
        <v>0</v>
      </c>
      <c r="G159" s="61">
        <f t="shared" si="70"/>
        <v>0</v>
      </c>
      <c r="H159" s="61">
        <f t="shared" si="70"/>
        <v>0</v>
      </c>
      <c r="I159" s="61">
        <f t="shared" si="70"/>
        <v>0</v>
      </c>
      <c r="J159" s="61">
        <f t="shared" si="70"/>
        <v>0</v>
      </c>
      <c r="K159" s="61">
        <f t="shared" si="70"/>
        <v>0</v>
      </c>
      <c r="L159" s="61">
        <f t="shared" si="70"/>
        <v>0</v>
      </c>
      <c r="M159" s="61">
        <f t="shared" si="70"/>
        <v>0</v>
      </c>
      <c r="N159" s="61">
        <f t="shared" si="70"/>
        <v>0</v>
      </c>
      <c r="O159" s="61">
        <f t="shared" si="70"/>
        <v>0</v>
      </c>
      <c r="P159" s="62">
        <f t="shared" si="70"/>
        <v>0</v>
      </c>
      <c r="Q159" s="13">
        <f t="shared" si="68"/>
        <v>0</v>
      </c>
      <c r="R159" s="13"/>
    </row>
    <row r="160" spans="1:20" x14ac:dyDescent="0.35">
      <c r="A160" s="294" t="str">
        <f t="shared" si="65"/>
        <v>Landscaping</v>
      </c>
      <c r="D160" s="60" t="s">
        <v>107</v>
      </c>
      <c r="E160" s="61">
        <f t="shared" si="71"/>
        <v>0</v>
      </c>
      <c r="F160" s="61">
        <f t="shared" si="70"/>
        <v>0</v>
      </c>
      <c r="G160" s="61">
        <f t="shared" si="70"/>
        <v>0</v>
      </c>
      <c r="H160" s="61">
        <f t="shared" si="70"/>
        <v>0</v>
      </c>
      <c r="I160" s="61">
        <f t="shared" si="70"/>
        <v>0</v>
      </c>
      <c r="J160" s="61">
        <f t="shared" si="70"/>
        <v>0</v>
      </c>
      <c r="K160" s="61">
        <f t="shared" si="70"/>
        <v>0</v>
      </c>
      <c r="L160" s="61">
        <f t="shared" si="70"/>
        <v>0</v>
      </c>
      <c r="M160" s="61">
        <f t="shared" si="70"/>
        <v>0</v>
      </c>
      <c r="N160" s="61">
        <f t="shared" si="70"/>
        <v>0</v>
      </c>
      <c r="O160" s="61">
        <f t="shared" si="70"/>
        <v>0</v>
      </c>
      <c r="P160" s="62">
        <f t="shared" si="70"/>
        <v>0</v>
      </c>
      <c r="Q160" s="13">
        <f t="shared" si="68"/>
        <v>0</v>
      </c>
      <c r="R160" s="13"/>
    </row>
    <row r="161" spans="1:18" x14ac:dyDescent="0.35">
      <c r="A161" s="294" t="str">
        <f t="shared" si="65"/>
        <v>Security</v>
      </c>
      <c r="D161" s="60" t="s">
        <v>108</v>
      </c>
      <c r="E161" s="61">
        <f t="shared" si="71"/>
        <v>0</v>
      </c>
      <c r="F161" s="61">
        <f t="shared" si="70"/>
        <v>0</v>
      </c>
      <c r="G161" s="61">
        <f t="shared" si="70"/>
        <v>0</v>
      </c>
      <c r="H161" s="61">
        <f t="shared" si="70"/>
        <v>0</v>
      </c>
      <c r="I161" s="61">
        <f t="shared" si="70"/>
        <v>0</v>
      </c>
      <c r="J161" s="61">
        <f t="shared" si="70"/>
        <v>0</v>
      </c>
      <c r="K161" s="61">
        <f t="shared" si="70"/>
        <v>0</v>
      </c>
      <c r="L161" s="61">
        <f t="shared" si="70"/>
        <v>0</v>
      </c>
      <c r="M161" s="61">
        <f t="shared" si="70"/>
        <v>0</v>
      </c>
      <c r="N161" s="61">
        <f t="shared" si="70"/>
        <v>0</v>
      </c>
      <c r="O161" s="61">
        <f t="shared" si="70"/>
        <v>0</v>
      </c>
      <c r="P161" s="62">
        <f t="shared" si="70"/>
        <v>0</v>
      </c>
      <c r="Q161" s="13">
        <f t="shared" si="68"/>
        <v>0</v>
      </c>
      <c r="R161" s="13"/>
    </row>
    <row r="162" spans="1:18" x14ac:dyDescent="0.35">
      <c r="A162" s="294" t="str">
        <f t="shared" si="65"/>
        <v>Management fee</v>
      </c>
      <c r="D162" s="60" t="s">
        <v>141</v>
      </c>
      <c r="E162" s="61">
        <f t="shared" si="71"/>
        <v>1080</v>
      </c>
      <c r="F162" s="61">
        <f t="shared" si="70"/>
        <v>1080</v>
      </c>
      <c r="G162" s="61">
        <f t="shared" si="70"/>
        <v>1080</v>
      </c>
      <c r="H162" s="61">
        <f t="shared" si="70"/>
        <v>1080</v>
      </c>
      <c r="I162" s="61">
        <f t="shared" si="70"/>
        <v>1080</v>
      </c>
      <c r="J162" s="61">
        <f t="shared" si="70"/>
        <v>1080</v>
      </c>
      <c r="K162" s="61">
        <f t="shared" si="70"/>
        <v>1080</v>
      </c>
      <c r="L162" s="61">
        <f t="shared" si="70"/>
        <v>1080</v>
      </c>
      <c r="M162" s="61">
        <f t="shared" si="70"/>
        <v>1080</v>
      </c>
      <c r="N162" s="61">
        <f t="shared" si="70"/>
        <v>1080</v>
      </c>
      <c r="O162" s="61">
        <f t="shared" si="70"/>
        <v>1080</v>
      </c>
      <c r="P162" s="62">
        <f t="shared" si="70"/>
        <v>1080</v>
      </c>
      <c r="Q162" s="13">
        <f t="shared" si="68"/>
        <v>12960</v>
      </c>
      <c r="R162" s="13"/>
    </row>
    <row r="163" spans="1:18" x14ac:dyDescent="0.35">
      <c r="A163" s="294" t="str">
        <f t="shared" si="65"/>
        <v>Trash Removal</v>
      </c>
      <c r="D163" s="60" t="s">
        <v>110</v>
      </c>
      <c r="E163" s="61">
        <f t="shared" si="71"/>
        <v>0</v>
      </c>
      <c r="F163" s="61">
        <f t="shared" si="70"/>
        <v>0</v>
      </c>
      <c r="G163" s="61">
        <f t="shared" si="70"/>
        <v>0</v>
      </c>
      <c r="H163" s="61">
        <f t="shared" si="70"/>
        <v>0</v>
      </c>
      <c r="I163" s="61">
        <f t="shared" si="70"/>
        <v>0</v>
      </c>
      <c r="J163" s="61">
        <f t="shared" si="70"/>
        <v>0</v>
      </c>
      <c r="K163" s="61">
        <f t="shared" si="70"/>
        <v>0</v>
      </c>
      <c r="L163" s="61">
        <f t="shared" si="70"/>
        <v>0</v>
      </c>
      <c r="M163" s="61">
        <f t="shared" si="70"/>
        <v>0</v>
      </c>
      <c r="N163" s="61">
        <f t="shared" si="70"/>
        <v>0</v>
      </c>
      <c r="O163" s="61">
        <f t="shared" si="70"/>
        <v>0</v>
      </c>
      <c r="P163" s="62">
        <f t="shared" si="70"/>
        <v>0</v>
      </c>
      <c r="Q163" s="13">
        <f t="shared" si="68"/>
        <v>0</v>
      </c>
      <c r="R163" s="13"/>
    </row>
    <row r="164" spans="1:18" x14ac:dyDescent="0.35">
      <c r="A164" s="294" t="str">
        <f t="shared" si="65"/>
        <v>Real Estate Taxes</v>
      </c>
      <c r="D164" s="60" t="s">
        <v>111</v>
      </c>
      <c r="E164" s="61">
        <f t="shared" si="71"/>
        <v>3143.5917583333339</v>
      </c>
      <c r="F164" s="61">
        <f t="shared" si="70"/>
        <v>3143.5917583333339</v>
      </c>
      <c r="G164" s="61">
        <f t="shared" si="70"/>
        <v>3143.5917583333339</v>
      </c>
      <c r="H164" s="61">
        <f t="shared" si="70"/>
        <v>3143.5917583333339</v>
      </c>
      <c r="I164" s="61">
        <f t="shared" si="70"/>
        <v>3143.5917583333339</v>
      </c>
      <c r="J164" s="61">
        <f t="shared" si="70"/>
        <v>3143.5917583333339</v>
      </c>
      <c r="K164" s="61">
        <f t="shared" si="70"/>
        <v>3143.5917583333339</v>
      </c>
      <c r="L164" s="61">
        <f t="shared" si="70"/>
        <v>3143.5917583333339</v>
      </c>
      <c r="M164" s="61">
        <f t="shared" si="70"/>
        <v>3143.5917583333339</v>
      </c>
      <c r="N164" s="61">
        <f t="shared" si="70"/>
        <v>3143.5917583333339</v>
      </c>
      <c r="O164" s="61">
        <f t="shared" si="70"/>
        <v>3143.5917583333339</v>
      </c>
      <c r="P164" s="62">
        <f t="shared" si="70"/>
        <v>3143.5917583333339</v>
      </c>
      <c r="Q164" s="13">
        <f t="shared" si="68"/>
        <v>37723.101100000014</v>
      </c>
      <c r="R164" s="13"/>
    </row>
    <row r="165" spans="1:18" x14ac:dyDescent="0.35">
      <c r="A165" s="294" t="str">
        <f t="shared" si="65"/>
        <v>Insurance</v>
      </c>
      <c r="D165" s="60" t="s">
        <v>112</v>
      </c>
      <c r="E165" s="61">
        <f t="shared" si="71"/>
        <v>570</v>
      </c>
      <c r="F165" s="61">
        <f t="shared" si="70"/>
        <v>570</v>
      </c>
      <c r="G165" s="61">
        <f t="shared" si="70"/>
        <v>570</v>
      </c>
      <c r="H165" s="61">
        <f t="shared" si="70"/>
        <v>570</v>
      </c>
      <c r="I165" s="61">
        <f t="shared" si="70"/>
        <v>570</v>
      </c>
      <c r="J165" s="61">
        <f t="shared" si="70"/>
        <v>570</v>
      </c>
      <c r="K165" s="61">
        <f t="shared" si="70"/>
        <v>570</v>
      </c>
      <c r="L165" s="61">
        <f t="shared" si="70"/>
        <v>570</v>
      </c>
      <c r="M165" s="61">
        <f t="shared" si="70"/>
        <v>570</v>
      </c>
      <c r="N165" s="61">
        <f t="shared" si="70"/>
        <v>570</v>
      </c>
      <c r="O165" s="61">
        <f t="shared" si="70"/>
        <v>581.4</v>
      </c>
      <c r="P165" s="62">
        <f t="shared" si="70"/>
        <v>581.4</v>
      </c>
      <c r="Q165" s="13">
        <f t="shared" si="68"/>
        <v>6862.7999999999993</v>
      </c>
      <c r="R165" s="13"/>
    </row>
    <row r="166" spans="1:18" x14ac:dyDescent="0.35">
      <c r="A166" s="294" t="str">
        <f t="shared" si="65"/>
        <v>Cleaning &amp; Supplies</v>
      </c>
      <c r="D166" s="60" t="s">
        <v>113</v>
      </c>
      <c r="E166" s="61">
        <f t="shared" si="71"/>
        <v>0</v>
      </c>
      <c r="F166" s="61">
        <f t="shared" si="70"/>
        <v>0</v>
      </c>
      <c r="G166" s="61">
        <f t="shared" si="70"/>
        <v>0</v>
      </c>
      <c r="H166" s="61">
        <f t="shared" si="70"/>
        <v>0</v>
      </c>
      <c r="I166" s="61">
        <f t="shared" si="70"/>
        <v>0</v>
      </c>
      <c r="J166" s="61">
        <f t="shared" si="70"/>
        <v>0</v>
      </c>
      <c r="K166" s="61">
        <f t="shared" si="70"/>
        <v>0</v>
      </c>
      <c r="L166" s="61">
        <f t="shared" si="70"/>
        <v>0</v>
      </c>
      <c r="M166" s="61">
        <f t="shared" si="70"/>
        <v>0</v>
      </c>
      <c r="N166" s="61">
        <f t="shared" si="70"/>
        <v>0</v>
      </c>
      <c r="O166" s="61">
        <f t="shared" si="70"/>
        <v>0</v>
      </c>
      <c r="P166" s="62">
        <f t="shared" si="70"/>
        <v>0</v>
      </c>
      <c r="Q166" s="13">
        <f t="shared" si="68"/>
        <v>0</v>
      </c>
      <c r="R166" s="13"/>
    </row>
    <row r="167" spans="1:18" x14ac:dyDescent="0.35">
      <c r="A167" s="294" t="str">
        <f>VLOOKUP($D167,$A$10:$D$130,4,FALSE)</f>
        <v>Salaries &amp; Wages</v>
      </c>
      <c r="D167" s="60" t="s">
        <v>114</v>
      </c>
      <c r="E167" s="61">
        <f t="shared" si="71"/>
        <v>1102.1799353814733</v>
      </c>
      <c r="F167" s="61">
        <f t="shared" si="70"/>
        <v>1102.1799353814733</v>
      </c>
      <c r="G167" s="61">
        <f t="shared" si="70"/>
        <v>1102.1799353814733</v>
      </c>
      <c r="H167" s="61">
        <f t="shared" si="70"/>
        <v>1102.1799353814733</v>
      </c>
      <c r="I167" s="61">
        <f t="shared" si="70"/>
        <v>1102.1799353814733</v>
      </c>
      <c r="J167" s="61">
        <f t="shared" si="70"/>
        <v>1102.1799353814733</v>
      </c>
      <c r="K167" s="61">
        <f t="shared" si="70"/>
        <v>1102.1799353814733</v>
      </c>
      <c r="L167" s="61">
        <f t="shared" si="70"/>
        <v>1102.1799353814733</v>
      </c>
      <c r="M167" s="61">
        <f t="shared" si="70"/>
        <v>1102.1799353814733</v>
      </c>
      <c r="N167" s="61">
        <f t="shared" si="70"/>
        <v>1102.1799353814733</v>
      </c>
      <c r="O167" s="61">
        <f t="shared" si="70"/>
        <v>1102.1799353814733</v>
      </c>
      <c r="P167" s="62">
        <f t="shared" si="70"/>
        <v>1102.1799353814733</v>
      </c>
      <c r="Q167" s="13">
        <f t="shared" si="68"/>
        <v>13226.159224577679</v>
      </c>
      <c r="R167" s="13"/>
    </row>
    <row r="168" spans="1:18" x14ac:dyDescent="0.35">
      <c r="A168" s="294" t="str">
        <f>VLOOKUP($D168,$A$10:$D$130,4,FALSE)</f>
        <v>Commissions-Internal Broker</v>
      </c>
      <c r="D168" s="60" t="s">
        <v>115</v>
      </c>
      <c r="E168" s="61">
        <f t="shared" si="71"/>
        <v>0</v>
      </c>
      <c r="F168" s="61">
        <f t="shared" si="70"/>
        <v>0</v>
      </c>
      <c r="G168" s="61">
        <f t="shared" si="70"/>
        <v>0</v>
      </c>
      <c r="H168" s="61">
        <f t="shared" si="70"/>
        <v>0</v>
      </c>
      <c r="I168" s="61">
        <f t="shared" si="70"/>
        <v>0</v>
      </c>
      <c r="J168" s="61">
        <f t="shared" si="70"/>
        <v>0</v>
      </c>
      <c r="K168" s="61">
        <f t="shared" si="70"/>
        <v>0</v>
      </c>
      <c r="L168" s="61">
        <f t="shared" si="70"/>
        <v>0</v>
      </c>
      <c r="M168" s="61">
        <f t="shared" si="70"/>
        <v>0</v>
      </c>
      <c r="N168" s="61">
        <f t="shared" si="70"/>
        <v>0</v>
      </c>
      <c r="O168" s="61">
        <f t="shared" si="70"/>
        <v>0</v>
      </c>
      <c r="P168" s="62">
        <f t="shared" si="70"/>
        <v>0</v>
      </c>
      <c r="Q168" s="13">
        <f t="shared" si="68"/>
        <v>0</v>
      </c>
      <c r="R168" s="13"/>
    </row>
    <row r="169" spans="1:18" x14ac:dyDescent="0.35">
      <c r="A169" s="294" t="str">
        <f t="shared" si="65"/>
        <v>Building Maintenance</v>
      </c>
      <c r="D169" s="60" t="s">
        <v>116</v>
      </c>
      <c r="E169" s="61">
        <f t="shared" si="71"/>
        <v>0</v>
      </c>
      <c r="F169" s="61">
        <f t="shared" si="71"/>
        <v>0</v>
      </c>
      <c r="G169" s="61">
        <f t="shared" si="71"/>
        <v>0</v>
      </c>
      <c r="H169" s="61">
        <f t="shared" si="71"/>
        <v>0</v>
      </c>
      <c r="I169" s="61">
        <f t="shared" si="71"/>
        <v>0</v>
      </c>
      <c r="J169" s="61">
        <f t="shared" si="71"/>
        <v>0</v>
      </c>
      <c r="K169" s="61">
        <f t="shared" si="71"/>
        <v>0</v>
      </c>
      <c r="L169" s="61">
        <f t="shared" si="71"/>
        <v>0</v>
      </c>
      <c r="M169" s="61">
        <f t="shared" si="71"/>
        <v>0</v>
      </c>
      <c r="N169" s="61">
        <f t="shared" si="71"/>
        <v>0</v>
      </c>
      <c r="O169" s="61">
        <f t="shared" si="71"/>
        <v>0</v>
      </c>
      <c r="P169" s="62">
        <f t="shared" si="71"/>
        <v>0</v>
      </c>
      <c r="Q169" s="13">
        <f t="shared" si="68"/>
        <v>0</v>
      </c>
      <c r="R169" s="13"/>
    </row>
    <row r="170" spans="1:18" x14ac:dyDescent="0.35">
      <c r="A170" s="294" t="str">
        <f t="shared" si="65"/>
        <v>Marketing</v>
      </c>
      <c r="D170" s="60" t="s">
        <v>117</v>
      </c>
      <c r="E170" s="61">
        <f t="shared" si="71"/>
        <v>360.9409284186645</v>
      </c>
      <c r="F170" s="61">
        <f t="shared" si="71"/>
        <v>360.9409284186645</v>
      </c>
      <c r="G170" s="61">
        <f t="shared" si="71"/>
        <v>360.9409284186645</v>
      </c>
      <c r="H170" s="61">
        <f t="shared" si="71"/>
        <v>360.9409284186645</v>
      </c>
      <c r="I170" s="61">
        <f t="shared" si="71"/>
        <v>360.9409284186645</v>
      </c>
      <c r="J170" s="61">
        <f t="shared" si="71"/>
        <v>360.9409284186645</v>
      </c>
      <c r="K170" s="61">
        <f t="shared" si="71"/>
        <v>360.9409284186645</v>
      </c>
      <c r="L170" s="61">
        <f t="shared" si="71"/>
        <v>360.9409284186645</v>
      </c>
      <c r="M170" s="61">
        <f t="shared" si="71"/>
        <v>360.9409284186645</v>
      </c>
      <c r="N170" s="61">
        <f t="shared" si="71"/>
        <v>360.9409284186645</v>
      </c>
      <c r="O170" s="61">
        <f t="shared" si="71"/>
        <v>360.9409284186645</v>
      </c>
      <c r="P170" s="62">
        <f t="shared" si="71"/>
        <v>360.9409284186645</v>
      </c>
      <c r="Q170" s="13">
        <f t="shared" si="68"/>
        <v>4331.291141023974</v>
      </c>
      <c r="R170" s="13"/>
    </row>
    <row r="171" spans="1:18" x14ac:dyDescent="0.35">
      <c r="A171" s="294" t="str">
        <f t="shared" si="65"/>
        <v>Business Taxes</v>
      </c>
      <c r="D171" s="60" t="s">
        <v>118</v>
      </c>
      <c r="E171" s="61">
        <f t="shared" si="71"/>
        <v>0</v>
      </c>
      <c r="F171" s="61">
        <f t="shared" si="71"/>
        <v>0</v>
      </c>
      <c r="G171" s="61">
        <f t="shared" si="71"/>
        <v>0</v>
      </c>
      <c r="H171" s="61">
        <f t="shared" si="71"/>
        <v>3296</v>
      </c>
      <c r="I171" s="61">
        <f t="shared" si="71"/>
        <v>0</v>
      </c>
      <c r="J171" s="61">
        <f t="shared" si="71"/>
        <v>0</v>
      </c>
      <c r="K171" s="61">
        <f t="shared" si="71"/>
        <v>0</v>
      </c>
      <c r="L171" s="61">
        <f t="shared" si="71"/>
        <v>0</v>
      </c>
      <c r="M171" s="61">
        <f t="shared" si="71"/>
        <v>0</v>
      </c>
      <c r="N171" s="61">
        <f t="shared" si="71"/>
        <v>0</v>
      </c>
      <c r="O171" s="61">
        <f t="shared" si="71"/>
        <v>0</v>
      </c>
      <c r="P171" s="62">
        <f t="shared" si="71"/>
        <v>0</v>
      </c>
      <c r="Q171" s="13">
        <f t="shared" si="68"/>
        <v>3296</v>
      </c>
      <c r="R171" s="13"/>
    </row>
    <row r="172" spans="1:18" x14ac:dyDescent="0.35">
      <c r="A172" s="294" t="str">
        <f t="shared" si="65"/>
        <v>Legal &amp; Accounting</v>
      </c>
      <c r="D172" s="60" t="s">
        <v>119</v>
      </c>
      <c r="E172" s="61">
        <f t="shared" si="71"/>
        <v>309</v>
      </c>
      <c r="F172" s="61">
        <f t="shared" si="71"/>
        <v>309</v>
      </c>
      <c r="G172" s="61">
        <f t="shared" si="71"/>
        <v>309</v>
      </c>
      <c r="H172" s="61">
        <f t="shared" si="71"/>
        <v>309</v>
      </c>
      <c r="I172" s="61">
        <f t="shared" si="71"/>
        <v>309</v>
      </c>
      <c r="J172" s="61">
        <f t="shared" si="71"/>
        <v>309</v>
      </c>
      <c r="K172" s="61">
        <f t="shared" si="71"/>
        <v>309</v>
      </c>
      <c r="L172" s="61">
        <f t="shared" si="71"/>
        <v>309</v>
      </c>
      <c r="M172" s="61">
        <f t="shared" si="71"/>
        <v>309</v>
      </c>
      <c r="N172" s="61">
        <f t="shared" si="71"/>
        <v>309</v>
      </c>
      <c r="O172" s="61">
        <f t="shared" si="71"/>
        <v>309</v>
      </c>
      <c r="P172" s="62">
        <f t="shared" si="71"/>
        <v>309</v>
      </c>
      <c r="Q172" s="13">
        <f t="shared" si="68"/>
        <v>3708</v>
      </c>
      <c r="R172" s="13"/>
    </row>
    <row r="173" spans="1:18" x14ac:dyDescent="0.35">
      <c r="A173" s="294" t="str">
        <f t="shared" ref="A173:A178" si="72">VLOOKUP($D173,$A$10:$D$130,4,FALSE)</f>
        <v>Bank Fees</v>
      </c>
      <c r="D173" s="60" t="s">
        <v>126</v>
      </c>
      <c r="E173" s="61">
        <f t="shared" si="71"/>
        <v>0</v>
      </c>
      <c r="F173" s="61">
        <f t="shared" si="71"/>
        <v>0</v>
      </c>
      <c r="G173" s="61">
        <f t="shared" si="71"/>
        <v>0</v>
      </c>
      <c r="H173" s="61">
        <f t="shared" si="71"/>
        <v>0</v>
      </c>
      <c r="I173" s="61">
        <f t="shared" si="71"/>
        <v>0</v>
      </c>
      <c r="J173" s="61">
        <f t="shared" si="71"/>
        <v>0</v>
      </c>
      <c r="K173" s="61">
        <f t="shared" si="71"/>
        <v>0</v>
      </c>
      <c r="L173" s="61">
        <f t="shared" si="71"/>
        <v>0</v>
      </c>
      <c r="M173" s="61">
        <f t="shared" si="71"/>
        <v>0</v>
      </c>
      <c r="N173" s="61">
        <f t="shared" si="71"/>
        <v>0</v>
      </c>
      <c r="O173" s="61">
        <f t="shared" si="71"/>
        <v>0</v>
      </c>
      <c r="P173" s="62">
        <f t="shared" si="71"/>
        <v>0</v>
      </c>
      <c r="Q173" s="13">
        <f t="shared" si="68"/>
        <v>0</v>
      </c>
      <c r="R173" s="13"/>
    </row>
    <row r="174" spans="1:18" x14ac:dyDescent="0.35">
      <c r="A174" s="294" t="str">
        <f t="shared" si="72"/>
        <v>Other G&amp;A Expense</v>
      </c>
      <c r="D174" s="60" t="s">
        <v>127</v>
      </c>
      <c r="E174" s="61">
        <f t="shared" si="71"/>
        <v>0</v>
      </c>
      <c r="F174" s="61">
        <f t="shared" si="71"/>
        <v>0</v>
      </c>
      <c r="G174" s="61">
        <f t="shared" si="71"/>
        <v>0</v>
      </c>
      <c r="H174" s="61">
        <f t="shared" si="71"/>
        <v>0</v>
      </c>
      <c r="I174" s="61">
        <f t="shared" si="71"/>
        <v>0</v>
      </c>
      <c r="J174" s="61">
        <f t="shared" si="71"/>
        <v>0</v>
      </c>
      <c r="K174" s="61">
        <f t="shared" si="71"/>
        <v>0</v>
      </c>
      <c r="L174" s="61">
        <f t="shared" si="71"/>
        <v>0</v>
      </c>
      <c r="M174" s="61">
        <f t="shared" si="71"/>
        <v>0</v>
      </c>
      <c r="N174" s="61">
        <f t="shared" si="71"/>
        <v>0</v>
      </c>
      <c r="O174" s="61">
        <f t="shared" si="71"/>
        <v>0</v>
      </c>
      <c r="P174" s="62">
        <f t="shared" si="71"/>
        <v>0</v>
      </c>
      <c r="Q174" s="13">
        <f t="shared" si="68"/>
        <v>0</v>
      </c>
      <c r="R174" s="13"/>
    </row>
    <row r="175" spans="1:18" x14ac:dyDescent="0.35">
      <c r="A175" s="294" t="str">
        <f t="shared" si="72"/>
        <v>Other G&amp;A-allocated from LIK</v>
      </c>
      <c r="D175" s="60" t="s">
        <v>120</v>
      </c>
      <c r="E175" s="61">
        <f t="shared" si="71"/>
        <v>42.916666666666664</v>
      </c>
      <c r="F175" s="61">
        <f t="shared" si="71"/>
        <v>42.916666666666664</v>
      </c>
      <c r="G175" s="61">
        <f t="shared" si="71"/>
        <v>42.916666666666664</v>
      </c>
      <c r="H175" s="61">
        <f t="shared" si="71"/>
        <v>42.916666666666664</v>
      </c>
      <c r="I175" s="61">
        <f t="shared" si="71"/>
        <v>42.916666666666664</v>
      </c>
      <c r="J175" s="61">
        <f t="shared" si="71"/>
        <v>42.916666666666664</v>
      </c>
      <c r="K175" s="61">
        <f t="shared" si="71"/>
        <v>42.916666666666664</v>
      </c>
      <c r="L175" s="61">
        <f t="shared" si="71"/>
        <v>42.916666666666664</v>
      </c>
      <c r="M175" s="61">
        <f t="shared" si="71"/>
        <v>42.916666666666664</v>
      </c>
      <c r="N175" s="61">
        <f t="shared" si="71"/>
        <v>42.916666666666664</v>
      </c>
      <c r="O175" s="61">
        <f t="shared" si="71"/>
        <v>42.916666666666664</v>
      </c>
      <c r="P175" s="62">
        <f t="shared" si="71"/>
        <v>42.916666666666664</v>
      </c>
      <c r="Q175" s="13">
        <f t="shared" si="68"/>
        <v>515.00000000000011</v>
      </c>
      <c r="R175" s="13"/>
    </row>
    <row r="176" spans="1:18" x14ac:dyDescent="0.35">
      <c r="A176" s="294" t="str">
        <f t="shared" si="72"/>
        <v>Land Improvements</v>
      </c>
      <c r="D176" s="60" t="s">
        <v>121</v>
      </c>
      <c r="E176" s="61">
        <f t="shared" si="71"/>
        <v>0</v>
      </c>
      <c r="F176" s="61">
        <f t="shared" si="71"/>
        <v>0</v>
      </c>
      <c r="G176" s="61">
        <f t="shared" si="71"/>
        <v>0</v>
      </c>
      <c r="H176" s="61">
        <f t="shared" si="71"/>
        <v>0</v>
      </c>
      <c r="I176" s="61">
        <f t="shared" si="71"/>
        <v>0</v>
      </c>
      <c r="J176" s="61">
        <f t="shared" si="71"/>
        <v>0</v>
      </c>
      <c r="K176" s="61">
        <f t="shared" si="71"/>
        <v>0</v>
      </c>
      <c r="L176" s="61">
        <f t="shared" si="71"/>
        <v>0</v>
      </c>
      <c r="M176" s="61">
        <f t="shared" si="71"/>
        <v>0</v>
      </c>
      <c r="N176" s="61">
        <f t="shared" si="71"/>
        <v>0</v>
      </c>
      <c r="O176" s="61">
        <f t="shared" si="71"/>
        <v>0</v>
      </c>
      <c r="P176" s="62">
        <f t="shared" si="71"/>
        <v>0</v>
      </c>
      <c r="Q176" s="13">
        <f t="shared" si="68"/>
        <v>0</v>
      </c>
      <c r="R176" s="13"/>
    </row>
    <row r="177" spans="1:18" x14ac:dyDescent="0.35">
      <c r="A177" s="294" t="str">
        <f t="shared" si="72"/>
        <v>Buildings</v>
      </c>
      <c r="D177" s="60" t="s">
        <v>122</v>
      </c>
      <c r="E177" s="61">
        <f t="shared" si="71"/>
        <v>0</v>
      </c>
      <c r="F177" s="61">
        <f t="shared" si="71"/>
        <v>0</v>
      </c>
      <c r="G177" s="61">
        <f t="shared" si="71"/>
        <v>0</v>
      </c>
      <c r="H177" s="61">
        <f t="shared" si="71"/>
        <v>0</v>
      </c>
      <c r="I177" s="61">
        <f t="shared" si="71"/>
        <v>0</v>
      </c>
      <c r="J177" s="61">
        <f t="shared" si="71"/>
        <v>0</v>
      </c>
      <c r="K177" s="61">
        <f t="shared" si="71"/>
        <v>0</v>
      </c>
      <c r="L177" s="61">
        <f t="shared" si="71"/>
        <v>0</v>
      </c>
      <c r="M177" s="61">
        <f t="shared" si="71"/>
        <v>0</v>
      </c>
      <c r="N177" s="61">
        <f t="shared" si="71"/>
        <v>0</v>
      </c>
      <c r="O177" s="61">
        <f t="shared" si="71"/>
        <v>0</v>
      </c>
      <c r="P177" s="62">
        <f t="shared" si="71"/>
        <v>0</v>
      </c>
      <c r="Q177" s="13">
        <f t="shared" si="68"/>
        <v>0</v>
      </c>
      <c r="R177" s="13"/>
    </row>
    <row r="178" spans="1:18" x14ac:dyDescent="0.35">
      <c r="A178" s="294" t="str">
        <f t="shared" si="72"/>
        <v>Equipment</v>
      </c>
      <c r="D178" s="60" t="s">
        <v>123</v>
      </c>
      <c r="E178" s="61">
        <f t="shared" si="71"/>
        <v>0</v>
      </c>
      <c r="F178" s="61">
        <f t="shared" si="71"/>
        <v>0</v>
      </c>
      <c r="G178" s="61">
        <f t="shared" si="71"/>
        <v>0</v>
      </c>
      <c r="H178" s="61">
        <f t="shared" si="71"/>
        <v>0</v>
      </c>
      <c r="I178" s="61">
        <f t="shared" si="71"/>
        <v>0</v>
      </c>
      <c r="J178" s="61">
        <f t="shared" si="71"/>
        <v>0</v>
      </c>
      <c r="K178" s="61">
        <f t="shared" si="71"/>
        <v>0</v>
      </c>
      <c r="L178" s="61">
        <f t="shared" si="71"/>
        <v>0</v>
      </c>
      <c r="M178" s="61">
        <f t="shared" si="71"/>
        <v>0</v>
      </c>
      <c r="N178" s="61">
        <f t="shared" si="71"/>
        <v>0</v>
      </c>
      <c r="O178" s="61">
        <f t="shared" si="71"/>
        <v>0</v>
      </c>
      <c r="P178" s="62">
        <f t="shared" si="71"/>
        <v>0</v>
      </c>
      <c r="Q178" s="13">
        <f t="shared" si="68"/>
        <v>0</v>
      </c>
      <c r="R178" s="13"/>
    </row>
    <row r="179" spans="1:18" x14ac:dyDescent="0.35">
      <c r="A179" s="294" t="str">
        <f t="shared" si="65"/>
        <v>Tenant Improvements</v>
      </c>
      <c r="D179" s="60" t="s">
        <v>124</v>
      </c>
      <c r="E179" s="61">
        <f t="shared" si="71"/>
        <v>0</v>
      </c>
      <c r="F179" s="61">
        <f t="shared" si="71"/>
        <v>0</v>
      </c>
      <c r="G179" s="61">
        <f t="shared" si="71"/>
        <v>0</v>
      </c>
      <c r="H179" s="61">
        <f t="shared" si="71"/>
        <v>0</v>
      </c>
      <c r="I179" s="61">
        <f t="shared" si="71"/>
        <v>0</v>
      </c>
      <c r="J179" s="61">
        <f t="shared" si="71"/>
        <v>0</v>
      </c>
      <c r="K179" s="61">
        <f t="shared" si="71"/>
        <v>0</v>
      </c>
      <c r="L179" s="61">
        <f t="shared" si="71"/>
        <v>0</v>
      </c>
      <c r="M179" s="61">
        <f t="shared" si="71"/>
        <v>0</v>
      </c>
      <c r="N179" s="61">
        <f t="shared" si="71"/>
        <v>0</v>
      </c>
      <c r="O179" s="61">
        <f t="shared" si="71"/>
        <v>0</v>
      </c>
      <c r="P179" s="62">
        <f t="shared" si="71"/>
        <v>0</v>
      </c>
      <c r="Q179" s="13">
        <f t="shared" si="68"/>
        <v>0</v>
      </c>
      <c r="R179" s="13"/>
    </row>
    <row r="180" spans="1:18" x14ac:dyDescent="0.35">
      <c r="A180" s="294" t="str">
        <f>VLOOKUP($D180,$A$10:$D$130,4,FALSE)</f>
        <v>Deferred Marketing</v>
      </c>
      <c r="D180" s="60" t="s">
        <v>125</v>
      </c>
      <c r="E180" s="61">
        <f t="shared" si="71"/>
        <v>0</v>
      </c>
      <c r="F180" s="61">
        <f t="shared" si="71"/>
        <v>0</v>
      </c>
      <c r="G180" s="61">
        <f t="shared" si="71"/>
        <v>0</v>
      </c>
      <c r="H180" s="61">
        <f t="shared" si="71"/>
        <v>0</v>
      </c>
      <c r="I180" s="61">
        <f t="shared" si="71"/>
        <v>0</v>
      </c>
      <c r="J180" s="61">
        <f t="shared" si="71"/>
        <v>0</v>
      </c>
      <c r="K180" s="61">
        <f t="shared" si="71"/>
        <v>0</v>
      </c>
      <c r="L180" s="61">
        <f t="shared" si="71"/>
        <v>0</v>
      </c>
      <c r="M180" s="61">
        <f t="shared" si="71"/>
        <v>0</v>
      </c>
      <c r="N180" s="61">
        <f t="shared" si="71"/>
        <v>0</v>
      </c>
      <c r="O180" s="61">
        <f t="shared" si="71"/>
        <v>0</v>
      </c>
      <c r="P180" s="62">
        <f t="shared" si="71"/>
        <v>0</v>
      </c>
      <c r="Q180" s="13">
        <f t="shared" si="68"/>
        <v>0</v>
      </c>
      <c r="R180" s="13"/>
    </row>
    <row r="181" spans="1:18" x14ac:dyDescent="0.35">
      <c r="A181" s="294" t="str">
        <f t="shared" si="65"/>
        <v>Interest</v>
      </c>
      <c r="D181" s="60" t="s">
        <v>128</v>
      </c>
      <c r="E181" s="61">
        <f t="shared" si="71"/>
        <v>0</v>
      </c>
      <c r="F181" s="61">
        <f t="shared" si="71"/>
        <v>0</v>
      </c>
      <c r="G181" s="61">
        <f t="shared" si="71"/>
        <v>0</v>
      </c>
      <c r="H181" s="61">
        <f t="shared" si="71"/>
        <v>0</v>
      </c>
      <c r="I181" s="61">
        <f t="shared" si="71"/>
        <v>0</v>
      </c>
      <c r="J181" s="61">
        <f t="shared" si="71"/>
        <v>0</v>
      </c>
      <c r="K181" s="61">
        <f t="shared" si="71"/>
        <v>0</v>
      </c>
      <c r="L181" s="61">
        <f t="shared" si="71"/>
        <v>0</v>
      </c>
      <c r="M181" s="61">
        <f t="shared" si="71"/>
        <v>0</v>
      </c>
      <c r="N181" s="61">
        <f t="shared" si="71"/>
        <v>0</v>
      </c>
      <c r="O181" s="61">
        <f t="shared" si="71"/>
        <v>0</v>
      </c>
      <c r="P181" s="62">
        <f t="shared" si="71"/>
        <v>0</v>
      </c>
      <c r="Q181" s="13">
        <f t="shared" si="68"/>
        <v>0</v>
      </c>
      <c r="R181" s="13"/>
    </row>
    <row r="182" spans="1:18" ht="16.5" thickBot="1" x14ac:dyDescent="0.4">
      <c r="A182" s="294" t="str">
        <f t="shared" si="65"/>
        <v>Mortgage Amortization</v>
      </c>
      <c r="D182" s="63" t="s">
        <v>145</v>
      </c>
      <c r="E182" s="64">
        <f t="shared" si="71"/>
        <v>0</v>
      </c>
      <c r="F182" s="64">
        <f t="shared" si="71"/>
        <v>0</v>
      </c>
      <c r="G182" s="64">
        <f t="shared" si="71"/>
        <v>0</v>
      </c>
      <c r="H182" s="64">
        <f t="shared" si="71"/>
        <v>0</v>
      </c>
      <c r="I182" s="64">
        <f t="shared" si="71"/>
        <v>0</v>
      </c>
      <c r="J182" s="64">
        <f t="shared" si="71"/>
        <v>0</v>
      </c>
      <c r="K182" s="64">
        <f t="shared" si="71"/>
        <v>0</v>
      </c>
      <c r="L182" s="64">
        <f t="shared" si="71"/>
        <v>0</v>
      </c>
      <c r="M182" s="64">
        <f t="shared" si="71"/>
        <v>0</v>
      </c>
      <c r="N182" s="64">
        <f t="shared" si="71"/>
        <v>0</v>
      </c>
      <c r="O182" s="64">
        <f t="shared" si="71"/>
        <v>0</v>
      </c>
      <c r="P182" s="65">
        <f t="shared" si="71"/>
        <v>0</v>
      </c>
      <c r="Q182" s="13">
        <f t="shared" si="68"/>
        <v>0</v>
      </c>
      <c r="R182" s="13"/>
    </row>
    <row r="183" spans="1:18" x14ac:dyDescent="0.35">
      <c r="D183" s="6" t="s">
        <v>12</v>
      </c>
      <c r="E183" s="6">
        <f t="shared" ref="E183:Q183" si="73">SUM(E147:E182)</f>
        <v>-10942.475765093735</v>
      </c>
      <c r="F183" s="6">
        <f t="shared" si="73"/>
        <v>-10942.475765093735</v>
      </c>
      <c r="G183" s="6">
        <f t="shared" si="73"/>
        <v>-10942.475765093735</v>
      </c>
      <c r="H183" s="6">
        <f t="shared" si="73"/>
        <v>-7646.4757650937345</v>
      </c>
      <c r="I183" s="6">
        <f t="shared" si="73"/>
        <v>-10942.475765093735</v>
      </c>
      <c r="J183" s="6">
        <f t="shared" si="73"/>
        <v>-10942.475765093735</v>
      </c>
      <c r="K183" s="6">
        <f t="shared" si="73"/>
        <v>-10942.475765093735</v>
      </c>
      <c r="L183" s="6">
        <f t="shared" si="73"/>
        <v>-10942.475765093735</v>
      </c>
      <c r="M183" s="6">
        <f t="shared" si="73"/>
        <v>-10942.475765093735</v>
      </c>
      <c r="N183" s="6">
        <f t="shared" si="73"/>
        <v>-10942.475765093735</v>
      </c>
      <c r="O183" s="6">
        <f t="shared" si="73"/>
        <v>-10931.075765093736</v>
      </c>
      <c r="P183" s="6">
        <f t="shared" si="73"/>
        <v>-10931.075765093736</v>
      </c>
      <c r="Q183" s="6">
        <f t="shared" si="73"/>
        <v>-127990.90918112485</v>
      </c>
    </row>
    <row r="184" spans="1:18" x14ac:dyDescent="0.35">
      <c r="E184" s="31">
        <f>E134+E183</f>
        <v>0</v>
      </c>
      <c r="F184" s="31">
        <f t="shared" ref="F184:Q184" si="74">F134+F183</f>
        <v>0</v>
      </c>
      <c r="G184" s="31">
        <f t="shared" si="74"/>
        <v>0</v>
      </c>
      <c r="H184" s="31">
        <f t="shared" si="74"/>
        <v>0</v>
      </c>
      <c r="I184" s="31">
        <f t="shared" si="74"/>
        <v>0</v>
      </c>
      <c r="J184" s="31">
        <f t="shared" si="74"/>
        <v>0</v>
      </c>
      <c r="K184" s="31">
        <f t="shared" si="74"/>
        <v>0</v>
      </c>
      <c r="L184" s="31">
        <f t="shared" si="74"/>
        <v>0</v>
      </c>
      <c r="M184" s="31">
        <f t="shared" si="74"/>
        <v>0</v>
      </c>
      <c r="N184" s="31">
        <f t="shared" si="74"/>
        <v>0</v>
      </c>
      <c r="O184" s="31">
        <f t="shared" si="74"/>
        <v>0</v>
      </c>
      <c r="P184" s="31">
        <f t="shared" si="74"/>
        <v>0</v>
      </c>
      <c r="Q184" s="31">
        <f t="shared" si="74"/>
        <v>0</v>
      </c>
    </row>
    <row r="186" spans="1:18" ht="17.5" x14ac:dyDescent="0.5">
      <c r="D186" s="35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x14ac:dyDescent="0.35"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7.5" x14ac:dyDescent="0.5">
      <c r="D188" s="36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93" spans="5:16" x14ac:dyDescent="0.35"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</row>
    <row r="280" spans="19:20" x14ac:dyDescent="0.35">
      <c r="S280" s="10"/>
      <c r="T280" s="324"/>
    </row>
    <row r="281" spans="19:20" x14ac:dyDescent="0.35">
      <c r="S281" s="10"/>
      <c r="T281" s="324"/>
    </row>
    <row r="282" spans="19:20" x14ac:dyDescent="0.35">
      <c r="S282" s="10"/>
      <c r="T282" s="324"/>
    </row>
    <row r="283" spans="19:20" x14ac:dyDescent="0.35">
      <c r="S283" s="10"/>
      <c r="T283" s="324"/>
    </row>
    <row r="284" spans="19:20" x14ac:dyDescent="0.35">
      <c r="S284" s="10"/>
      <c r="T284" s="324"/>
    </row>
    <row r="285" spans="19:20" x14ac:dyDescent="0.35">
      <c r="S285" s="10"/>
      <c r="T285" s="324"/>
    </row>
    <row r="286" spans="19:20" x14ac:dyDescent="0.35">
      <c r="S286" s="10"/>
      <c r="T286" s="324"/>
    </row>
    <row r="287" spans="19:20" x14ac:dyDescent="0.35">
      <c r="S287" s="10"/>
      <c r="T287" s="324"/>
    </row>
    <row r="288" spans="19:20" x14ac:dyDescent="0.35">
      <c r="S288" s="10"/>
      <c r="T288" s="324"/>
    </row>
    <row r="289" spans="19:20" x14ac:dyDescent="0.35">
      <c r="S289" s="10"/>
      <c r="T289" s="324"/>
    </row>
    <row r="290" spans="19:20" x14ac:dyDescent="0.35">
      <c r="S290" s="10"/>
      <c r="T290" s="324"/>
    </row>
    <row r="291" spans="19:20" x14ac:dyDescent="0.35">
      <c r="S291" s="10"/>
      <c r="T291" s="324"/>
    </row>
    <row r="292" spans="19:20" x14ac:dyDescent="0.35">
      <c r="S292" s="10"/>
      <c r="T292" s="324"/>
    </row>
    <row r="293" spans="19:20" x14ac:dyDescent="0.35">
      <c r="S293" s="10"/>
      <c r="T293" s="324"/>
    </row>
    <row r="294" spans="19:20" x14ac:dyDescent="0.35">
      <c r="S294" s="10"/>
      <c r="T294" s="324"/>
    </row>
    <row r="295" spans="19:20" x14ac:dyDescent="0.35">
      <c r="S295" s="10"/>
      <c r="T295" s="324"/>
    </row>
    <row r="296" spans="19:20" x14ac:dyDescent="0.35">
      <c r="S296" s="10"/>
      <c r="T296" s="324"/>
    </row>
    <row r="297" spans="19:20" x14ac:dyDescent="0.35">
      <c r="S297" s="10"/>
      <c r="T297" s="324"/>
    </row>
    <row r="298" spans="19:20" x14ac:dyDescent="0.35">
      <c r="S298" s="10"/>
      <c r="T298" s="324"/>
    </row>
    <row r="299" spans="19:20" x14ac:dyDescent="0.35">
      <c r="S299" s="10"/>
      <c r="T299" s="324"/>
    </row>
    <row r="300" spans="19:20" x14ac:dyDescent="0.35">
      <c r="S300" s="10"/>
      <c r="T300" s="324"/>
    </row>
    <row r="301" spans="19:20" x14ac:dyDescent="0.35">
      <c r="S301" s="10"/>
      <c r="T301" s="324"/>
    </row>
    <row r="302" spans="19:20" x14ac:dyDescent="0.35">
      <c r="S302" s="10"/>
      <c r="T302" s="324"/>
    </row>
    <row r="303" spans="19:20" x14ac:dyDescent="0.35">
      <c r="S303" s="10"/>
      <c r="T303" s="324"/>
    </row>
    <row r="304" spans="19:20" x14ac:dyDescent="0.35">
      <c r="S304" s="10"/>
      <c r="T304" s="324"/>
    </row>
    <row r="305" spans="19:20" x14ac:dyDescent="0.35">
      <c r="S305" s="10"/>
      <c r="T305" s="324"/>
    </row>
    <row r="306" spans="19:20" x14ac:dyDescent="0.35">
      <c r="S306" s="10"/>
      <c r="T306" s="324"/>
    </row>
    <row r="307" spans="19:20" x14ac:dyDescent="0.35">
      <c r="S307" s="10"/>
      <c r="T307" s="324"/>
    </row>
    <row r="308" spans="19:20" x14ac:dyDescent="0.35">
      <c r="S308" s="10"/>
      <c r="T308" s="324"/>
    </row>
    <row r="309" spans="19:20" x14ac:dyDescent="0.35">
      <c r="S309" s="10"/>
      <c r="T309" s="324"/>
    </row>
    <row r="310" spans="19:20" x14ac:dyDescent="0.35">
      <c r="S310" s="10"/>
      <c r="T310" s="324"/>
    </row>
    <row r="311" spans="19:20" x14ac:dyDescent="0.35">
      <c r="S311" s="10"/>
      <c r="T311" s="324"/>
    </row>
    <row r="312" spans="19:20" x14ac:dyDescent="0.35">
      <c r="S312" s="10"/>
      <c r="T312" s="324"/>
    </row>
    <row r="313" spans="19:20" x14ac:dyDescent="0.35">
      <c r="S313" s="10"/>
      <c r="T313" s="324"/>
    </row>
    <row r="314" spans="19:20" x14ac:dyDescent="0.35">
      <c r="S314" s="10"/>
      <c r="T314" s="324"/>
    </row>
    <row r="315" spans="19:20" x14ac:dyDescent="0.35">
      <c r="S315" s="10"/>
      <c r="T315" s="324"/>
    </row>
    <row r="316" spans="19:20" x14ac:dyDescent="0.35">
      <c r="S316" s="10"/>
      <c r="T316" s="324"/>
    </row>
    <row r="317" spans="19:20" x14ac:dyDescent="0.35">
      <c r="S317" s="10"/>
      <c r="T317" s="324"/>
    </row>
    <row r="318" spans="19:20" x14ac:dyDescent="0.35">
      <c r="S318" s="10"/>
      <c r="T318" s="324"/>
    </row>
    <row r="319" spans="19:20" x14ac:dyDescent="0.35">
      <c r="S319" s="10"/>
      <c r="T319" s="324"/>
    </row>
    <row r="320" spans="19:20" x14ac:dyDescent="0.35">
      <c r="S320" s="10"/>
      <c r="T320" s="324"/>
    </row>
    <row r="321" spans="19:20" x14ac:dyDescent="0.35">
      <c r="S321" s="10"/>
      <c r="T321" s="324"/>
    </row>
    <row r="322" spans="19:20" x14ac:dyDescent="0.35">
      <c r="S322" s="10"/>
      <c r="T322" s="324"/>
    </row>
    <row r="323" spans="19:20" x14ac:dyDescent="0.35">
      <c r="S323" s="10"/>
      <c r="T323" s="324"/>
    </row>
    <row r="324" spans="19:20" x14ac:dyDescent="0.35">
      <c r="S324" s="10"/>
      <c r="T324" s="324"/>
    </row>
    <row r="325" spans="19:20" x14ac:dyDescent="0.35">
      <c r="S325" s="10"/>
      <c r="T325" s="324"/>
    </row>
    <row r="326" spans="19:20" x14ac:dyDescent="0.35">
      <c r="S326" s="10"/>
      <c r="T326" s="324"/>
    </row>
    <row r="327" spans="19:20" x14ac:dyDescent="0.35">
      <c r="S327" s="10"/>
      <c r="T327" s="324"/>
    </row>
    <row r="328" spans="19:20" x14ac:dyDescent="0.35">
      <c r="S328" s="10"/>
      <c r="T328" s="324"/>
    </row>
    <row r="329" spans="19:20" x14ac:dyDescent="0.35">
      <c r="S329" s="10"/>
      <c r="T329" s="324"/>
    </row>
    <row r="330" spans="19:20" x14ac:dyDescent="0.35">
      <c r="S330" s="10"/>
      <c r="T330" s="324"/>
    </row>
    <row r="331" spans="19:20" x14ac:dyDescent="0.35">
      <c r="S331" s="10"/>
      <c r="T331" s="324"/>
    </row>
    <row r="342" spans="19:20" x14ac:dyDescent="0.35">
      <c r="S342" s="10"/>
      <c r="T342" s="324"/>
    </row>
    <row r="343" spans="19:20" x14ac:dyDescent="0.35">
      <c r="S343" s="10"/>
      <c r="T343" s="324"/>
    </row>
    <row r="344" spans="19:20" x14ac:dyDescent="0.35">
      <c r="S344" s="10"/>
      <c r="T344" s="324"/>
    </row>
    <row r="345" spans="19:20" x14ac:dyDescent="0.35">
      <c r="S345" s="44"/>
      <c r="T345" s="325"/>
    </row>
    <row r="346" spans="19:20" x14ac:dyDescent="0.35">
      <c r="S346" s="42"/>
      <c r="T346" s="326"/>
    </row>
    <row r="347" spans="19:20" x14ac:dyDescent="0.35">
      <c r="S347" s="10"/>
      <c r="T347" s="324"/>
    </row>
    <row r="348" spans="19:20" x14ac:dyDescent="0.35">
      <c r="S348" s="10"/>
      <c r="T348" s="324"/>
    </row>
    <row r="349" spans="19:20" x14ac:dyDescent="0.35">
      <c r="S349" s="10"/>
      <c r="T349" s="324"/>
    </row>
    <row r="350" spans="19:20" x14ac:dyDescent="0.35">
      <c r="S350" s="10"/>
      <c r="T350" s="324"/>
    </row>
    <row r="351" spans="19:20" x14ac:dyDescent="0.35">
      <c r="S351" s="10"/>
      <c r="T351" s="324"/>
    </row>
    <row r="352" spans="19:20" x14ac:dyDescent="0.35">
      <c r="S352" s="10"/>
      <c r="T352" s="324"/>
    </row>
    <row r="353" spans="19:20" x14ac:dyDescent="0.35">
      <c r="S353" s="10"/>
      <c r="T353" s="324"/>
    </row>
    <row r="354" spans="19:20" x14ac:dyDescent="0.35">
      <c r="S354" s="10"/>
      <c r="T354" s="324"/>
    </row>
    <row r="355" spans="19:20" x14ac:dyDescent="0.35">
      <c r="S355" s="10"/>
      <c r="T355" s="324"/>
    </row>
    <row r="356" spans="19:20" x14ac:dyDescent="0.35">
      <c r="S356" s="10"/>
      <c r="T356" s="324"/>
    </row>
    <row r="357" spans="19:20" x14ac:dyDescent="0.35">
      <c r="S357" s="10"/>
      <c r="T357" s="324"/>
    </row>
    <row r="358" spans="19:20" x14ac:dyDescent="0.35">
      <c r="S358" s="10"/>
      <c r="T358" s="324"/>
    </row>
    <row r="359" spans="19:20" x14ac:dyDescent="0.35">
      <c r="S359" s="10"/>
      <c r="T359" s="324"/>
    </row>
    <row r="360" spans="19:20" x14ac:dyDescent="0.35">
      <c r="S360" s="10"/>
      <c r="T360" s="324"/>
    </row>
    <row r="361" spans="19:20" x14ac:dyDescent="0.35">
      <c r="S361" s="10"/>
      <c r="T361" s="324"/>
    </row>
    <row r="362" spans="19:20" x14ac:dyDescent="0.35">
      <c r="S362" s="10"/>
      <c r="T362" s="324"/>
    </row>
    <row r="363" spans="19:20" x14ac:dyDescent="0.35">
      <c r="S363" s="10"/>
      <c r="T363" s="324"/>
    </row>
    <row r="364" spans="19:20" x14ac:dyDescent="0.35">
      <c r="S364" s="10"/>
      <c r="T364" s="324"/>
    </row>
    <row r="365" spans="19:20" x14ac:dyDescent="0.35">
      <c r="S365" s="10"/>
      <c r="T365" s="324"/>
    </row>
    <row r="366" spans="19:20" x14ac:dyDescent="0.35">
      <c r="S366" s="10"/>
      <c r="T366" s="324"/>
    </row>
    <row r="367" spans="19:20" x14ac:dyDescent="0.35">
      <c r="S367" s="10"/>
      <c r="T367" s="324"/>
    </row>
    <row r="368" spans="19:20" x14ac:dyDescent="0.35">
      <c r="S368" s="10"/>
      <c r="T368" s="324"/>
    </row>
    <row r="369" spans="19:20" x14ac:dyDescent="0.35">
      <c r="S369" s="10"/>
      <c r="T369" s="324"/>
    </row>
    <row r="370" spans="19:20" x14ac:dyDescent="0.35">
      <c r="S370" s="10"/>
      <c r="T370" s="324"/>
    </row>
    <row r="371" spans="19:20" x14ac:dyDescent="0.35">
      <c r="S371" s="10"/>
      <c r="T371" s="324"/>
    </row>
    <row r="372" spans="19:20" x14ac:dyDescent="0.35">
      <c r="S372" s="10"/>
      <c r="T372" s="324"/>
    </row>
    <row r="373" spans="19:20" x14ac:dyDescent="0.35">
      <c r="S373" s="10"/>
      <c r="T373" s="324"/>
    </row>
    <row r="374" spans="19:20" x14ac:dyDescent="0.35">
      <c r="S374" s="10"/>
      <c r="T374" s="324"/>
    </row>
    <row r="375" spans="19:20" x14ac:dyDescent="0.35">
      <c r="S375" s="10"/>
      <c r="T375" s="324"/>
    </row>
    <row r="376" spans="19:20" x14ac:dyDescent="0.35">
      <c r="S376" s="10"/>
      <c r="T376" s="324"/>
    </row>
    <row r="377" spans="19:20" x14ac:dyDescent="0.35">
      <c r="S377" s="10"/>
      <c r="T377" s="324"/>
    </row>
    <row r="378" spans="19:20" x14ac:dyDescent="0.35">
      <c r="S378" s="10"/>
      <c r="T378" s="324"/>
    </row>
    <row r="379" spans="19:20" x14ac:dyDescent="0.35">
      <c r="S379" s="10"/>
      <c r="T379" s="324"/>
    </row>
    <row r="380" spans="19:20" x14ac:dyDescent="0.35">
      <c r="S380" s="10"/>
      <c r="T380" s="324"/>
    </row>
    <row r="382" spans="19:20" x14ac:dyDescent="0.35">
      <c r="S382" s="46"/>
      <c r="T382" s="327"/>
    </row>
    <row r="385" spans="19:20" x14ac:dyDescent="0.35">
      <c r="S385" s="10"/>
      <c r="T385" s="324"/>
    </row>
    <row r="386" spans="19:20" x14ac:dyDescent="0.35">
      <c r="S386" s="10"/>
      <c r="T386" s="324"/>
    </row>
  </sheetData>
  <sheetProtection selectLockedCells="1"/>
  <phoneticPr fontId="4" type="noConversion"/>
  <conditionalFormatting sqref="E184:Q184">
    <cfRule type="cellIs" dxfId="93" priority="1" operator="between">
      <formula>-1</formula>
      <formula>1</formula>
    </cfRule>
  </conditionalFormatting>
  <dataValidations disablePrompts="1" count="1">
    <dataValidation operator="notEqual" showInputMessage="1" showErrorMessage="1" sqref="E18:P18" xr:uid="{00000000-0002-0000-0800-000000000000}"/>
  </dataValidations>
  <pageMargins left="0" right="0" top="0" bottom="0" header="0.05" footer="0"/>
  <pageSetup scale="47" fitToHeight="2" orientation="landscape" cellComments="asDisplayed" r:id="rId1"/>
  <headerFooter alignWithMargins="0">
    <oddFooter>&amp;L&amp;Z&amp;F\&amp;A&amp;R&amp;D;&amp;T</oddFooter>
  </headerFooter>
  <rowBreaks count="1" manualBreakCount="1">
    <brk id="72" max="1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8"/>
  <dimension ref="A3:N63"/>
  <sheetViews>
    <sheetView workbookViewId="0"/>
  </sheetViews>
  <sheetFormatPr defaultRowHeight="12.5" x14ac:dyDescent="0.25"/>
  <cols>
    <col min="1" max="1" width="15" customWidth="1"/>
    <col min="2" max="2" width="18.1796875" bestFit="1" customWidth="1"/>
    <col min="3" max="13" width="11.1796875" bestFit="1" customWidth="1"/>
    <col min="14" max="15" width="12.81640625" bestFit="1" customWidth="1"/>
  </cols>
  <sheetData>
    <row r="3" spans="1:14" x14ac:dyDescent="0.25">
      <c r="B3" s="1" t="s">
        <v>200</v>
      </c>
    </row>
    <row r="4" spans="1:14" x14ac:dyDescent="0.25">
      <c r="A4" s="1" t="s">
        <v>198</v>
      </c>
      <c r="B4" t="s">
        <v>234</v>
      </c>
      <c r="C4" t="s">
        <v>235</v>
      </c>
      <c r="D4" t="s">
        <v>236</v>
      </c>
      <c r="E4" t="s">
        <v>237</v>
      </c>
      <c r="F4" t="s">
        <v>238</v>
      </c>
      <c r="G4" t="s">
        <v>239</v>
      </c>
      <c r="H4" t="s">
        <v>240</v>
      </c>
      <c r="I4" t="s">
        <v>241</v>
      </c>
      <c r="J4" t="s">
        <v>242</v>
      </c>
      <c r="K4" t="s">
        <v>243</v>
      </c>
      <c r="L4" t="s">
        <v>244</v>
      </c>
      <c r="M4" t="s">
        <v>245</v>
      </c>
      <c r="N4" t="s">
        <v>199</v>
      </c>
    </row>
    <row r="5" spans="1:14" x14ac:dyDescent="0.25">
      <c r="A5" s="2" t="s">
        <v>164</v>
      </c>
    </row>
    <row r="6" spans="1:14" x14ac:dyDescent="0.25">
      <c r="A6" s="4" t="s">
        <v>166</v>
      </c>
    </row>
    <row r="7" spans="1:14" x14ac:dyDescent="0.25">
      <c r="A7" s="4" t="s">
        <v>216</v>
      </c>
    </row>
    <row r="8" spans="1:14" x14ac:dyDescent="0.25">
      <c r="A8" s="4" t="s">
        <v>217</v>
      </c>
    </row>
    <row r="9" spans="1:14" x14ac:dyDescent="0.25">
      <c r="A9" s="4" t="s">
        <v>215</v>
      </c>
    </row>
    <row r="10" spans="1:14" x14ac:dyDescent="0.25">
      <c r="A10" s="4" t="s">
        <v>167</v>
      </c>
    </row>
    <row r="11" spans="1:14" x14ac:dyDescent="0.25">
      <c r="A11" s="4" t="s">
        <v>218</v>
      </c>
    </row>
    <row r="12" spans="1:14" x14ac:dyDescent="0.25">
      <c r="A12" s="4" t="s">
        <v>168</v>
      </c>
    </row>
    <row r="13" spans="1:14" x14ac:dyDescent="0.25">
      <c r="A13" s="4" t="s">
        <v>246</v>
      </c>
    </row>
    <row r="14" spans="1:14" x14ac:dyDescent="0.25">
      <c r="A14" s="4" t="s">
        <v>219</v>
      </c>
    </row>
    <row r="15" spans="1:14" x14ac:dyDescent="0.25">
      <c r="A15" s="2" t="s">
        <v>169</v>
      </c>
    </row>
    <row r="16" spans="1:14" x14ac:dyDescent="0.25">
      <c r="A16" s="4" t="s">
        <v>247</v>
      </c>
    </row>
    <row r="17" spans="1:1" x14ac:dyDescent="0.25">
      <c r="A17" s="4" t="s">
        <v>225</v>
      </c>
    </row>
    <row r="18" spans="1:1" x14ac:dyDescent="0.25">
      <c r="A18" s="4" t="s">
        <v>170</v>
      </c>
    </row>
    <row r="19" spans="1:1" x14ac:dyDescent="0.25">
      <c r="A19" s="4" t="s">
        <v>248</v>
      </c>
    </row>
    <row r="20" spans="1:1" x14ac:dyDescent="0.25">
      <c r="A20" s="4" t="s">
        <v>171</v>
      </c>
    </row>
    <row r="21" spans="1:1" x14ac:dyDescent="0.25">
      <c r="A21" s="4" t="s">
        <v>220</v>
      </c>
    </row>
    <row r="22" spans="1:1" x14ac:dyDescent="0.25">
      <c r="A22" s="4" t="s">
        <v>224</v>
      </c>
    </row>
    <row r="23" spans="1:1" x14ac:dyDescent="0.25">
      <c r="A23" s="4" t="s">
        <v>172</v>
      </c>
    </row>
    <row r="24" spans="1:1" x14ac:dyDescent="0.25">
      <c r="A24" s="4" t="s">
        <v>173</v>
      </c>
    </row>
    <row r="25" spans="1:1" x14ac:dyDescent="0.25">
      <c r="A25" s="4" t="s">
        <v>174</v>
      </c>
    </row>
    <row r="26" spans="1:1" x14ac:dyDescent="0.25">
      <c r="A26" s="4" t="s">
        <v>175</v>
      </c>
    </row>
    <row r="27" spans="1:1" x14ac:dyDescent="0.25">
      <c r="A27" s="4" t="s">
        <v>176</v>
      </c>
    </row>
    <row r="28" spans="1:1" x14ac:dyDescent="0.25">
      <c r="A28" s="4" t="s">
        <v>177</v>
      </c>
    </row>
    <row r="29" spans="1:1" x14ac:dyDescent="0.25">
      <c r="A29" s="2" t="s">
        <v>178</v>
      </c>
    </row>
    <row r="30" spans="1:1" x14ac:dyDescent="0.25">
      <c r="A30" s="4" t="s">
        <v>179</v>
      </c>
    </row>
    <row r="31" spans="1:1" x14ac:dyDescent="0.25">
      <c r="A31" s="4" t="s">
        <v>227</v>
      </c>
    </row>
    <row r="32" spans="1:1" x14ac:dyDescent="0.25">
      <c r="A32" s="4" t="s">
        <v>232</v>
      </c>
    </row>
    <row r="33" spans="1:1" x14ac:dyDescent="0.25">
      <c r="A33" s="4" t="s">
        <v>180</v>
      </c>
    </row>
    <row r="34" spans="1:1" x14ac:dyDescent="0.25">
      <c r="A34" s="4" t="s">
        <v>181</v>
      </c>
    </row>
    <row r="35" spans="1:1" x14ac:dyDescent="0.25">
      <c r="A35" s="4" t="s">
        <v>182</v>
      </c>
    </row>
    <row r="36" spans="1:1" x14ac:dyDescent="0.25">
      <c r="A36" s="4" t="s">
        <v>183</v>
      </c>
    </row>
    <row r="37" spans="1:1" x14ac:dyDescent="0.25">
      <c r="A37" s="4" t="s">
        <v>226</v>
      </c>
    </row>
    <row r="38" spans="1:1" x14ac:dyDescent="0.25">
      <c r="A38" s="4" t="s">
        <v>184</v>
      </c>
    </row>
    <row r="39" spans="1:1" x14ac:dyDescent="0.25">
      <c r="A39" s="2" t="s">
        <v>185</v>
      </c>
    </row>
    <row r="40" spans="1:1" x14ac:dyDescent="0.25">
      <c r="A40" s="4" t="s">
        <v>249</v>
      </c>
    </row>
    <row r="41" spans="1:1" x14ac:dyDescent="0.25">
      <c r="A41" s="4" t="s">
        <v>228</v>
      </c>
    </row>
    <row r="42" spans="1:1" x14ac:dyDescent="0.25">
      <c r="A42" s="4" t="s">
        <v>186</v>
      </c>
    </row>
    <row r="43" spans="1:1" x14ac:dyDescent="0.25">
      <c r="A43" s="4" t="s">
        <v>250</v>
      </c>
    </row>
    <row r="44" spans="1:1" x14ac:dyDescent="0.25">
      <c r="A44" s="4" t="s">
        <v>251</v>
      </c>
    </row>
    <row r="45" spans="1:1" x14ac:dyDescent="0.25">
      <c r="A45" s="4" t="s">
        <v>205</v>
      </c>
    </row>
    <row r="46" spans="1:1" x14ac:dyDescent="0.25">
      <c r="A46" s="4" t="s">
        <v>187</v>
      </c>
    </row>
    <row r="47" spans="1:1" x14ac:dyDescent="0.25">
      <c r="A47" s="4" t="s">
        <v>188</v>
      </c>
    </row>
    <row r="48" spans="1:1" x14ac:dyDescent="0.25">
      <c r="A48" s="4" t="s">
        <v>221</v>
      </c>
    </row>
    <row r="49" spans="1:1" x14ac:dyDescent="0.25">
      <c r="A49" s="4" t="s">
        <v>229</v>
      </c>
    </row>
    <row r="50" spans="1:1" x14ac:dyDescent="0.25">
      <c r="A50" s="4" t="s">
        <v>189</v>
      </c>
    </row>
    <row r="51" spans="1:1" x14ac:dyDescent="0.25">
      <c r="A51" s="4" t="s">
        <v>190</v>
      </c>
    </row>
    <row r="52" spans="1:1" x14ac:dyDescent="0.25">
      <c r="A52" s="4" t="s">
        <v>252</v>
      </c>
    </row>
    <row r="53" spans="1:1" x14ac:dyDescent="0.25">
      <c r="A53" s="4" t="s">
        <v>222</v>
      </c>
    </row>
    <row r="54" spans="1:1" x14ac:dyDescent="0.25">
      <c r="A54" s="4" t="s">
        <v>214</v>
      </c>
    </row>
    <row r="55" spans="1:1" x14ac:dyDescent="0.25">
      <c r="A55" s="2" t="s">
        <v>191</v>
      </c>
    </row>
    <row r="56" spans="1:1" x14ac:dyDescent="0.25">
      <c r="A56" s="4" t="s">
        <v>193</v>
      </c>
    </row>
    <row r="57" spans="1:1" x14ac:dyDescent="0.25">
      <c r="A57" s="4" t="s">
        <v>223</v>
      </c>
    </row>
    <row r="58" spans="1:1" x14ac:dyDescent="0.25">
      <c r="A58" s="4" t="s">
        <v>192</v>
      </c>
    </row>
    <row r="59" spans="1:1" x14ac:dyDescent="0.25">
      <c r="A59" s="2" t="s">
        <v>194</v>
      </c>
    </row>
    <row r="60" spans="1:1" x14ac:dyDescent="0.25">
      <c r="A60" s="4" t="s">
        <v>195</v>
      </c>
    </row>
    <row r="61" spans="1:1" x14ac:dyDescent="0.25">
      <c r="A61" s="2" t="s">
        <v>196</v>
      </c>
    </row>
    <row r="62" spans="1:1" x14ac:dyDescent="0.25">
      <c r="A62" s="4" t="s">
        <v>197</v>
      </c>
    </row>
    <row r="63" spans="1:1" x14ac:dyDescent="0.25">
      <c r="A63" s="2" t="s">
        <v>199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V386"/>
  <sheetViews>
    <sheetView topLeftCell="A137" zoomScaleNormal="100" workbookViewId="0">
      <selection activeCell="E184" sqref="E184:Q185"/>
    </sheetView>
  </sheetViews>
  <sheetFormatPr defaultColWidth="10.81640625" defaultRowHeight="16" outlineLevelCol="1" x14ac:dyDescent="0.35"/>
  <cols>
    <col min="1" max="1" width="15.54296875" style="6" bestFit="1" customWidth="1"/>
    <col min="2" max="2" width="9.1796875" style="6" customWidth="1"/>
    <col min="3" max="3" width="2.81640625" style="6" customWidth="1"/>
    <col min="4" max="4" width="37.81640625" style="6" customWidth="1"/>
    <col min="5" max="5" width="14" style="6" bestFit="1" customWidth="1"/>
    <col min="6" max="6" width="12.81640625" style="6" bestFit="1" customWidth="1"/>
    <col min="7" max="8" width="15.81640625" style="6" customWidth="1"/>
    <col min="9" max="9" width="13.81640625" style="6" customWidth="1"/>
    <col min="10" max="10" width="13.1796875" style="6" customWidth="1"/>
    <col min="11" max="16" width="12.81640625" style="6" bestFit="1" customWidth="1"/>
    <col min="17" max="18" width="15.1796875" style="6" bestFit="1" customWidth="1"/>
    <col min="19" max="19" width="17.26953125" style="6" customWidth="1" outlineLevel="1"/>
    <col min="20" max="20" width="14.26953125" style="273" customWidth="1" outlineLevel="1"/>
    <col min="21" max="21" width="9.1796875" style="23" bestFit="1" customWidth="1"/>
    <col min="22" max="22" width="8.81640625" style="6" bestFit="1" customWidth="1"/>
    <col min="23" max="16384" width="10.81640625" style="6"/>
  </cols>
  <sheetData>
    <row r="1" spans="1:22" s="20" customFormat="1" ht="29" x14ac:dyDescent="0.25">
      <c r="B1" s="214">
        <v>7300</v>
      </c>
      <c r="C1" s="388" t="s">
        <v>563</v>
      </c>
      <c r="J1" s="21" t="str">
        <f>+'7010'!J1</f>
        <v>Operating Budget</v>
      </c>
      <c r="Q1" s="22">
        <f>'All Shopping Centers'!Q1</f>
        <v>46023</v>
      </c>
      <c r="R1" s="22"/>
      <c r="S1" s="22"/>
      <c r="T1" s="299"/>
      <c r="U1" s="240"/>
    </row>
    <row r="2" spans="1:22" ht="18" x14ac:dyDescent="0.35">
      <c r="J2" s="73" t="str">
        <f>'All Shopping Centers'!J2&amp;" - "&amp;B1</f>
        <v>Shopping Centers - 7300</v>
      </c>
    </row>
    <row r="3" spans="1:22" ht="18" x14ac:dyDescent="0.35">
      <c r="S3" s="300" t="s">
        <v>496</v>
      </c>
      <c r="T3" s="301"/>
    </row>
    <row r="4" spans="1:22" s="11" customFormat="1" ht="18" x14ac:dyDescent="0.35">
      <c r="B4" s="215">
        <v>22500</v>
      </c>
      <c r="C4" s="215"/>
      <c r="D4" s="13"/>
      <c r="E4" s="24" t="s">
        <v>0</v>
      </c>
      <c r="F4" s="24" t="s">
        <v>1</v>
      </c>
      <c r="G4" s="24" t="s">
        <v>2</v>
      </c>
      <c r="H4" s="24" t="s">
        <v>3</v>
      </c>
      <c r="I4" s="24" t="s">
        <v>4</v>
      </c>
      <c r="J4" s="24" t="s">
        <v>5</v>
      </c>
      <c r="K4" s="24" t="s">
        <v>6</v>
      </c>
      <c r="L4" s="24" t="s">
        <v>7</v>
      </c>
      <c r="M4" s="24" t="s">
        <v>8</v>
      </c>
      <c r="N4" s="24" t="s">
        <v>9</v>
      </c>
      <c r="O4" s="24" t="s">
        <v>10</v>
      </c>
      <c r="P4" s="24" t="s">
        <v>11</v>
      </c>
      <c r="Q4" s="100" t="s">
        <v>12</v>
      </c>
      <c r="R4" s="100" t="s">
        <v>317</v>
      </c>
      <c r="S4" s="302" t="s">
        <v>12</v>
      </c>
      <c r="T4" s="303" t="s">
        <v>495</v>
      </c>
      <c r="U4" s="231" t="s">
        <v>349</v>
      </c>
      <c r="V4" s="227" t="s">
        <v>282</v>
      </c>
    </row>
    <row r="5" spans="1:22" x14ac:dyDescent="0.35">
      <c r="Q5" s="101"/>
      <c r="R5" s="101"/>
      <c r="S5" s="304"/>
      <c r="T5" s="305"/>
    </row>
    <row r="6" spans="1:22" s="25" customFormat="1" x14ac:dyDescent="0.35">
      <c r="B6" s="26"/>
      <c r="D6" s="211" t="s">
        <v>13</v>
      </c>
      <c r="E6" s="212">
        <f>'Renew &amp; Vac '!AJ163</f>
        <v>1</v>
      </c>
      <c r="F6" s="212">
        <f>'Renew &amp; Vac '!AK163</f>
        <v>1</v>
      </c>
      <c r="G6" s="212">
        <f>'Renew &amp; Vac '!AL163</f>
        <v>1</v>
      </c>
      <c r="H6" s="212">
        <f>'Renew &amp; Vac '!AM163</f>
        <v>1</v>
      </c>
      <c r="I6" s="212">
        <f>'Renew &amp; Vac '!AN163</f>
        <v>1</v>
      </c>
      <c r="J6" s="212">
        <f>'Renew &amp; Vac '!AO163</f>
        <v>1</v>
      </c>
      <c r="K6" s="212">
        <f>'Renew &amp; Vac '!AP163</f>
        <v>1</v>
      </c>
      <c r="L6" s="212">
        <f>'Renew &amp; Vac '!AQ163</f>
        <v>1</v>
      </c>
      <c r="M6" s="212">
        <f>'Renew &amp; Vac '!AR163</f>
        <v>1</v>
      </c>
      <c r="N6" s="212">
        <f>'Renew &amp; Vac '!AS163</f>
        <v>1</v>
      </c>
      <c r="O6" s="212">
        <f>'Renew &amp; Vac '!AT163</f>
        <v>1</v>
      </c>
      <c r="P6" s="212">
        <f>'Renew &amp; Vac '!AU163</f>
        <v>1</v>
      </c>
      <c r="Q6" s="102"/>
      <c r="R6" s="102"/>
      <c r="S6" s="306"/>
      <c r="T6" s="307"/>
      <c r="U6" s="232"/>
    </row>
    <row r="7" spans="1:22" s="25" customFormat="1" x14ac:dyDescent="0.35">
      <c r="B7" s="26"/>
      <c r="D7" s="211" t="s">
        <v>323</v>
      </c>
      <c r="E7" s="213">
        <f>$B$4*E6</f>
        <v>22500</v>
      </c>
      <c r="F7" s="213">
        <f t="shared" ref="F7:P7" si="0">$B$4*F6</f>
        <v>22500</v>
      </c>
      <c r="G7" s="213">
        <f t="shared" si="0"/>
        <v>22500</v>
      </c>
      <c r="H7" s="213">
        <f t="shared" si="0"/>
        <v>22500</v>
      </c>
      <c r="I7" s="213">
        <f t="shared" si="0"/>
        <v>22500</v>
      </c>
      <c r="J7" s="213">
        <f t="shared" si="0"/>
        <v>22500</v>
      </c>
      <c r="K7" s="213">
        <f t="shared" si="0"/>
        <v>22500</v>
      </c>
      <c r="L7" s="213">
        <f t="shared" si="0"/>
        <v>22500</v>
      </c>
      <c r="M7" s="213">
        <f t="shared" si="0"/>
        <v>22500</v>
      </c>
      <c r="N7" s="213">
        <f t="shared" si="0"/>
        <v>22500</v>
      </c>
      <c r="O7" s="213">
        <f t="shared" si="0"/>
        <v>22500</v>
      </c>
      <c r="P7" s="213">
        <f t="shared" si="0"/>
        <v>22500</v>
      </c>
      <c r="Q7" s="102"/>
      <c r="R7" s="102"/>
      <c r="S7" s="306"/>
      <c r="T7" s="307"/>
      <c r="U7" s="232"/>
    </row>
    <row r="8" spans="1:22" ht="18" x14ac:dyDescent="0.35">
      <c r="B8" s="7" t="s">
        <v>14</v>
      </c>
      <c r="Q8" s="101"/>
      <c r="R8" s="101"/>
      <c r="S8" s="304"/>
      <c r="T8" s="305"/>
    </row>
    <row r="9" spans="1:22" x14ac:dyDescent="0.35">
      <c r="A9" s="66"/>
      <c r="Q9" s="101"/>
      <c r="R9" s="101"/>
      <c r="S9" s="304"/>
      <c r="T9" s="305"/>
    </row>
    <row r="10" spans="1:22" x14ac:dyDescent="0.35">
      <c r="A10" s="66" t="s">
        <v>132</v>
      </c>
      <c r="C10" s="6" t="s">
        <v>159</v>
      </c>
      <c r="E10" s="6">
        <f>SUMIFS('In Place Revenue'!$G:$G,'In Place Revenue'!$A:$A,$B$1,'In Place Revenue'!$H:$H,1)</f>
        <v>34687.5</v>
      </c>
      <c r="F10" s="6">
        <f>SUMIFS('In Place Revenue'!$G:$G,'In Place Revenue'!$A:$A,$B$1,'In Place Revenue'!$H:$H,2)</f>
        <v>34687.5</v>
      </c>
      <c r="G10" s="6">
        <f>SUMIFS('In Place Revenue'!$G:$G,'In Place Revenue'!$A:$A,$B$1,'In Place Revenue'!$H:$H,3)</f>
        <v>34687.5</v>
      </c>
      <c r="H10" s="6">
        <f>SUMIFS('In Place Revenue'!$G:$G,'In Place Revenue'!$A:$A,$B$1,'In Place Revenue'!$H:$H,4)</f>
        <v>34687.5</v>
      </c>
      <c r="I10" s="6">
        <f>SUMIFS('In Place Revenue'!$G:$G,'In Place Revenue'!$A:$A,$B$1,'In Place Revenue'!$H:$H,5)</f>
        <v>34687.5</v>
      </c>
      <c r="J10" s="6">
        <f>SUMIFS('In Place Revenue'!$G:$G,'In Place Revenue'!$A:$A,$B$1,'In Place Revenue'!$H:$H,6)</f>
        <v>34687.5</v>
      </c>
      <c r="K10" s="6">
        <f>SUMIFS('In Place Revenue'!$G:$G,'In Place Revenue'!$A:$A,$B$1,'In Place Revenue'!$H:$H,7)</f>
        <v>34687.5</v>
      </c>
      <c r="L10" s="6">
        <f>SUMIFS('In Place Revenue'!$G:$G,'In Place Revenue'!$A:$A,$B$1,'In Place Revenue'!$H:$H,8)</f>
        <v>34687.5</v>
      </c>
      <c r="M10" s="6">
        <f>SUMIFS('In Place Revenue'!$G:$G,'In Place Revenue'!$A:$A,$B$1,'In Place Revenue'!$H:$H,9)</f>
        <v>34687.5</v>
      </c>
      <c r="N10" s="6">
        <f>SUMIFS('In Place Revenue'!$G:$G,'In Place Revenue'!$A:$A,$B$1,'In Place Revenue'!$H:$H,10)</f>
        <v>34687.5</v>
      </c>
      <c r="O10" s="6">
        <f>SUMIFS('In Place Revenue'!$G:$G,'In Place Revenue'!$A:$A,$B$1,'In Place Revenue'!$H:$H,11)</f>
        <v>34687.5</v>
      </c>
      <c r="P10" s="6">
        <f>SUMIFS('In Place Revenue'!$G:$G,'In Place Revenue'!$A:$A,$B$1,'In Place Revenue'!$H:$H,12)</f>
        <v>34687.5</v>
      </c>
      <c r="Q10" s="101">
        <f>SUM(E10:P10)</f>
        <v>416250</v>
      </c>
      <c r="R10" s="184">
        <f>Q10/$B$4</f>
        <v>18.5</v>
      </c>
      <c r="S10" s="304">
        <v>416252</v>
      </c>
      <c r="T10" s="308">
        <f>(Q10+Q11)/S10-1</f>
        <v>-4.8047817187146791E-6</v>
      </c>
    </row>
    <row r="11" spans="1:22" x14ac:dyDescent="0.35">
      <c r="A11" s="66" t="s">
        <v>132</v>
      </c>
      <c r="C11" s="6" t="s">
        <v>160</v>
      </c>
      <c r="E11" s="6">
        <f>'Renew &amp; Vac '!AJ164</f>
        <v>0</v>
      </c>
      <c r="F11" s="6">
        <f>'Renew &amp; Vac '!AK164</f>
        <v>0</v>
      </c>
      <c r="G11" s="6">
        <f>'Renew &amp; Vac '!AL164</f>
        <v>0</v>
      </c>
      <c r="H11" s="6">
        <f>'Renew &amp; Vac '!AM164</f>
        <v>0</v>
      </c>
      <c r="I11" s="6">
        <f>'Renew &amp; Vac '!AN164</f>
        <v>0</v>
      </c>
      <c r="J11" s="6">
        <f>'Renew &amp; Vac '!AO164</f>
        <v>0</v>
      </c>
      <c r="K11" s="6">
        <f>'Renew &amp; Vac '!AP164</f>
        <v>0</v>
      </c>
      <c r="L11" s="6">
        <f>'Renew &amp; Vac '!AQ164</f>
        <v>0</v>
      </c>
      <c r="M11" s="6">
        <f>'Renew &amp; Vac '!AR164</f>
        <v>0</v>
      </c>
      <c r="N11" s="6">
        <f>'Renew &amp; Vac '!AS164</f>
        <v>0</v>
      </c>
      <c r="O11" s="6">
        <f>'Renew &amp; Vac '!AT164</f>
        <v>0</v>
      </c>
      <c r="P11" s="6">
        <f>'Renew &amp; Vac '!AU164</f>
        <v>0</v>
      </c>
      <c r="Q11" s="101">
        <f>SUM(E11:P11)</f>
        <v>0</v>
      </c>
      <c r="R11" s="184">
        <f t="shared" ref="R11:R73" si="1">Q11/$B$4</f>
        <v>0</v>
      </c>
      <c r="S11" s="304"/>
      <c r="T11" s="308"/>
    </row>
    <row r="12" spans="1:22" x14ac:dyDescent="0.35">
      <c r="A12" s="66" t="s">
        <v>97</v>
      </c>
      <c r="C12" s="6" t="s">
        <v>15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01">
        <f>SUM(E12:P12)</f>
        <v>0</v>
      </c>
      <c r="R12" s="184">
        <f t="shared" si="1"/>
        <v>0</v>
      </c>
      <c r="S12" s="304">
        <v>0</v>
      </c>
      <c r="T12" s="308" t="str">
        <f>IFERROR(Q12/S12-1,"")</f>
        <v/>
      </c>
    </row>
    <row r="13" spans="1:22" x14ac:dyDescent="0.35">
      <c r="A13" s="66" t="s">
        <v>133</v>
      </c>
      <c r="C13" s="6" t="s">
        <v>16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01">
        <f>SUM(E13:P13)</f>
        <v>0</v>
      </c>
      <c r="R13" s="184">
        <f t="shared" si="1"/>
        <v>0</v>
      </c>
      <c r="S13" s="304">
        <v>0</v>
      </c>
      <c r="T13" s="308" t="str">
        <f t="shared" ref="T13:T14" si="2">IFERROR(Q13/S13-1,"")</f>
        <v/>
      </c>
    </row>
    <row r="14" spans="1:22" x14ac:dyDescent="0.35">
      <c r="A14" s="66" t="s">
        <v>134</v>
      </c>
      <c r="C14" s="6" t="s">
        <v>17</v>
      </c>
      <c r="E14" s="12">
        <f>1.03*29</f>
        <v>29.87</v>
      </c>
      <c r="F14" s="12">
        <f t="shared" ref="F14:P14" si="3">1.03*29</f>
        <v>29.87</v>
      </c>
      <c r="G14" s="12">
        <f t="shared" si="3"/>
        <v>29.87</v>
      </c>
      <c r="H14" s="12">
        <f t="shared" si="3"/>
        <v>29.87</v>
      </c>
      <c r="I14" s="12">
        <f t="shared" si="3"/>
        <v>29.87</v>
      </c>
      <c r="J14" s="12">
        <f t="shared" si="3"/>
        <v>29.87</v>
      </c>
      <c r="K14" s="12">
        <f t="shared" si="3"/>
        <v>29.87</v>
      </c>
      <c r="L14" s="12">
        <f t="shared" si="3"/>
        <v>29.87</v>
      </c>
      <c r="M14" s="12">
        <f t="shared" si="3"/>
        <v>29.87</v>
      </c>
      <c r="N14" s="12">
        <f t="shared" si="3"/>
        <v>29.87</v>
      </c>
      <c r="O14" s="12">
        <f t="shared" si="3"/>
        <v>29.87</v>
      </c>
      <c r="P14" s="12">
        <f t="shared" si="3"/>
        <v>29.87</v>
      </c>
      <c r="Q14" s="101">
        <f>SUM(E14:P14)</f>
        <v>358.44</v>
      </c>
      <c r="R14" s="184">
        <f t="shared" si="1"/>
        <v>1.5930666666666666E-2</v>
      </c>
      <c r="S14" s="304">
        <v>12464</v>
      </c>
      <c r="T14" s="320">
        <f t="shared" si="2"/>
        <v>-0.97124197689345315</v>
      </c>
      <c r="U14" s="23" t="s">
        <v>283</v>
      </c>
      <c r="V14" s="6" t="s">
        <v>348</v>
      </c>
    </row>
    <row r="15" spans="1:22" x14ac:dyDescent="0.35">
      <c r="A15" s="66"/>
      <c r="C15" s="6" t="s">
        <v>18</v>
      </c>
      <c r="D15" s="16"/>
      <c r="E15" s="28">
        <f t="shared" ref="E15:Q15" si="4">SUM(E10:E14)</f>
        <v>34717.370000000003</v>
      </c>
      <c r="F15" s="28">
        <f t="shared" si="4"/>
        <v>34717.370000000003</v>
      </c>
      <c r="G15" s="28">
        <f t="shared" si="4"/>
        <v>34717.370000000003</v>
      </c>
      <c r="H15" s="28">
        <f t="shared" si="4"/>
        <v>34717.370000000003</v>
      </c>
      <c r="I15" s="28">
        <f t="shared" si="4"/>
        <v>34717.370000000003</v>
      </c>
      <c r="J15" s="28">
        <f t="shared" si="4"/>
        <v>34717.370000000003</v>
      </c>
      <c r="K15" s="28">
        <f t="shared" si="4"/>
        <v>34717.370000000003</v>
      </c>
      <c r="L15" s="28">
        <f t="shared" si="4"/>
        <v>34717.370000000003</v>
      </c>
      <c r="M15" s="28">
        <f t="shared" si="4"/>
        <v>34717.370000000003</v>
      </c>
      <c r="N15" s="28">
        <f t="shared" si="4"/>
        <v>34717.370000000003</v>
      </c>
      <c r="O15" s="28">
        <f t="shared" si="4"/>
        <v>34717.370000000003</v>
      </c>
      <c r="P15" s="28">
        <f t="shared" si="4"/>
        <v>34717.370000000003</v>
      </c>
      <c r="Q15" s="110">
        <f t="shared" si="4"/>
        <v>416608.44</v>
      </c>
      <c r="R15" s="191">
        <f t="shared" si="1"/>
        <v>18.515930666666666</v>
      </c>
      <c r="S15" s="309">
        <f>SUM(S10:S14)</f>
        <v>428716</v>
      </c>
      <c r="T15" s="310">
        <f>Q15/S15-1</f>
        <v>-2.8241446552029759E-2</v>
      </c>
    </row>
    <row r="16" spans="1:22" ht="18" x14ac:dyDescent="0.35">
      <c r="A16" s="66"/>
      <c r="Q16" s="103"/>
      <c r="R16" s="185"/>
      <c r="S16" s="311"/>
      <c r="T16" s="312"/>
    </row>
    <row r="17" spans="1:21" ht="18" x14ac:dyDescent="0.35">
      <c r="A17" s="66"/>
      <c r="B17" s="7" t="s">
        <v>19</v>
      </c>
      <c r="Q17" s="101"/>
      <c r="R17" s="184"/>
      <c r="S17" s="304"/>
      <c r="T17" s="308"/>
    </row>
    <row r="18" spans="1:21" x14ac:dyDescent="0.35">
      <c r="A18" s="66" t="s">
        <v>98</v>
      </c>
      <c r="C18" s="6" t="s">
        <v>20</v>
      </c>
      <c r="E18" s="12">
        <f>0.65*E29</f>
        <v>0</v>
      </c>
      <c r="F18" s="12">
        <f t="shared" ref="F18:P18" si="5">0.65*F29</f>
        <v>0</v>
      </c>
      <c r="G18" s="12">
        <f t="shared" si="5"/>
        <v>0</v>
      </c>
      <c r="H18" s="12">
        <f t="shared" si="5"/>
        <v>0</v>
      </c>
      <c r="I18" s="12">
        <f t="shared" si="5"/>
        <v>0</v>
      </c>
      <c r="J18" s="12">
        <f t="shared" si="5"/>
        <v>0</v>
      </c>
      <c r="K18" s="12">
        <f t="shared" si="5"/>
        <v>0</v>
      </c>
      <c r="L18" s="12">
        <f t="shared" si="5"/>
        <v>0</v>
      </c>
      <c r="M18" s="12">
        <f t="shared" si="5"/>
        <v>0</v>
      </c>
      <c r="N18" s="12">
        <f t="shared" si="5"/>
        <v>0</v>
      </c>
      <c r="O18" s="12">
        <f t="shared" si="5"/>
        <v>0</v>
      </c>
      <c r="P18" s="12">
        <f t="shared" si="5"/>
        <v>0</v>
      </c>
      <c r="Q18" s="101">
        <f>SUM(E18:P18)</f>
        <v>0</v>
      </c>
      <c r="R18" s="184">
        <f t="shared" ref="R18" si="6">Q18/$B$4</f>
        <v>0</v>
      </c>
      <c r="S18" s="304">
        <v>0</v>
      </c>
      <c r="T18" s="308" t="str">
        <f t="shared" ref="T18:T20" si="7">IFERROR(Q18/S18-1,"")</f>
        <v/>
      </c>
    </row>
    <row r="19" spans="1:21" x14ac:dyDescent="0.35">
      <c r="A19" s="66" t="s">
        <v>99</v>
      </c>
      <c r="C19" s="6" t="s">
        <v>21</v>
      </c>
      <c r="E19" s="6">
        <f>'Tenant Recoveries'!M26</f>
        <v>0</v>
      </c>
      <c r="F19" s="6">
        <f>+E19</f>
        <v>0</v>
      </c>
      <c r="G19" s="6">
        <f t="shared" ref="G19:P20" si="8">+F19</f>
        <v>0</v>
      </c>
      <c r="H19" s="6">
        <f t="shared" si="8"/>
        <v>0</v>
      </c>
      <c r="I19" s="6">
        <f t="shared" si="8"/>
        <v>0</v>
      </c>
      <c r="J19" s="6">
        <f t="shared" si="8"/>
        <v>0</v>
      </c>
      <c r="K19" s="6">
        <f t="shared" si="8"/>
        <v>0</v>
      </c>
      <c r="L19" s="6">
        <f t="shared" si="8"/>
        <v>0</v>
      </c>
      <c r="M19" s="6">
        <f t="shared" si="8"/>
        <v>0</v>
      </c>
      <c r="N19" s="6">
        <f t="shared" si="8"/>
        <v>0</v>
      </c>
      <c r="O19" s="6">
        <f t="shared" si="8"/>
        <v>0</v>
      </c>
      <c r="P19" s="6">
        <f t="shared" si="8"/>
        <v>0</v>
      </c>
      <c r="Q19" s="101">
        <f>SUM(E19:P19)</f>
        <v>0</v>
      </c>
      <c r="R19" s="184">
        <f t="shared" si="1"/>
        <v>0</v>
      </c>
      <c r="S19" s="304">
        <v>0</v>
      </c>
      <c r="T19" s="308" t="str">
        <f t="shared" si="7"/>
        <v/>
      </c>
    </row>
    <row r="20" spans="1:21" x14ac:dyDescent="0.35">
      <c r="A20" s="66" t="s">
        <v>100</v>
      </c>
      <c r="C20" s="6" t="s">
        <v>22</v>
      </c>
      <c r="E20" s="6">
        <f>+'Tenant Recoveries'!M27</f>
        <v>0</v>
      </c>
      <c r="F20" s="6">
        <f>+E20</f>
        <v>0</v>
      </c>
      <c r="G20" s="6">
        <f t="shared" si="8"/>
        <v>0</v>
      </c>
      <c r="H20" s="6">
        <f t="shared" si="8"/>
        <v>0</v>
      </c>
      <c r="I20" s="6">
        <f t="shared" si="8"/>
        <v>0</v>
      </c>
      <c r="J20" s="6">
        <f t="shared" si="8"/>
        <v>0</v>
      </c>
      <c r="K20" s="6">
        <f t="shared" si="8"/>
        <v>0</v>
      </c>
      <c r="L20" s="6">
        <f t="shared" si="8"/>
        <v>0</v>
      </c>
      <c r="M20" s="6">
        <f t="shared" si="8"/>
        <v>0</v>
      </c>
      <c r="N20" s="6">
        <f t="shared" si="8"/>
        <v>0</v>
      </c>
      <c r="O20" s="6">
        <f t="shared" si="8"/>
        <v>0</v>
      </c>
      <c r="P20" s="6">
        <f t="shared" si="8"/>
        <v>0</v>
      </c>
      <c r="Q20" s="101">
        <f>SUM(E20:P20)</f>
        <v>0</v>
      </c>
      <c r="R20" s="184">
        <f t="shared" si="1"/>
        <v>0</v>
      </c>
      <c r="S20" s="304">
        <v>44409</v>
      </c>
      <c r="T20" s="308">
        <f t="shared" si="7"/>
        <v>-1</v>
      </c>
    </row>
    <row r="21" spans="1:21" x14ac:dyDescent="0.35">
      <c r="A21" s="66" t="s">
        <v>135</v>
      </c>
      <c r="C21" s="6" t="s">
        <v>23</v>
      </c>
      <c r="Q21" s="101">
        <f>SUM(E21:P21)</f>
        <v>0</v>
      </c>
      <c r="R21" s="184">
        <f t="shared" si="1"/>
        <v>0</v>
      </c>
      <c r="S21" s="304">
        <v>0</v>
      </c>
      <c r="T21" s="308" t="str">
        <f>IFERROR(Q21/S21-1,"")</f>
        <v/>
      </c>
    </row>
    <row r="22" spans="1:21" x14ac:dyDescent="0.35">
      <c r="A22" s="66"/>
      <c r="C22" s="6" t="s">
        <v>24</v>
      </c>
      <c r="D22" s="16"/>
      <c r="E22" s="28">
        <f t="shared" ref="E22:Q22" si="9">SUM(E19:E21)</f>
        <v>0</v>
      </c>
      <c r="F22" s="28">
        <f t="shared" si="9"/>
        <v>0</v>
      </c>
      <c r="G22" s="28">
        <f t="shared" si="9"/>
        <v>0</v>
      </c>
      <c r="H22" s="28">
        <f t="shared" si="9"/>
        <v>0</v>
      </c>
      <c r="I22" s="28">
        <f t="shared" si="9"/>
        <v>0</v>
      </c>
      <c r="J22" s="28">
        <f t="shared" si="9"/>
        <v>0</v>
      </c>
      <c r="K22" s="28">
        <f t="shared" si="9"/>
        <v>0</v>
      </c>
      <c r="L22" s="28">
        <f t="shared" si="9"/>
        <v>0</v>
      </c>
      <c r="M22" s="28">
        <f t="shared" si="9"/>
        <v>0</v>
      </c>
      <c r="N22" s="28">
        <f t="shared" si="9"/>
        <v>0</v>
      </c>
      <c r="O22" s="28">
        <f t="shared" si="9"/>
        <v>0</v>
      </c>
      <c r="P22" s="28">
        <f t="shared" si="9"/>
        <v>0</v>
      </c>
      <c r="Q22" s="110">
        <f t="shared" si="9"/>
        <v>0</v>
      </c>
      <c r="R22" s="191">
        <f t="shared" si="1"/>
        <v>0</v>
      </c>
      <c r="S22" s="309">
        <f t="shared" ref="S22" si="10">SUM(S18:S21)</f>
        <v>44409</v>
      </c>
      <c r="T22" s="310">
        <f>Q22/S22-1</f>
        <v>-1</v>
      </c>
    </row>
    <row r="23" spans="1:21" ht="16.5" thickBot="1" x14ac:dyDescent="0.4">
      <c r="A23" s="66"/>
      <c r="Q23" s="101"/>
      <c r="R23" s="184">
        <f t="shared" si="1"/>
        <v>0</v>
      </c>
      <c r="S23" s="304"/>
      <c r="T23" s="308"/>
    </row>
    <row r="24" spans="1:21" s="9" customFormat="1" ht="18" thickBot="1" x14ac:dyDescent="0.4">
      <c r="A24" s="218"/>
      <c r="B24" s="219" t="s">
        <v>25</v>
      </c>
      <c r="C24" s="220"/>
      <c r="D24" s="220"/>
      <c r="E24" s="220">
        <f t="shared" ref="E24:Q24" si="11">+E15+E22</f>
        <v>34717.370000000003</v>
      </c>
      <c r="F24" s="220">
        <f t="shared" si="11"/>
        <v>34717.370000000003</v>
      </c>
      <c r="G24" s="220">
        <f t="shared" si="11"/>
        <v>34717.370000000003</v>
      </c>
      <c r="H24" s="220">
        <f t="shared" si="11"/>
        <v>34717.370000000003</v>
      </c>
      <c r="I24" s="220">
        <f t="shared" si="11"/>
        <v>34717.370000000003</v>
      </c>
      <c r="J24" s="220">
        <f t="shared" si="11"/>
        <v>34717.370000000003</v>
      </c>
      <c r="K24" s="220">
        <f t="shared" si="11"/>
        <v>34717.370000000003</v>
      </c>
      <c r="L24" s="220">
        <f t="shared" si="11"/>
        <v>34717.370000000003</v>
      </c>
      <c r="M24" s="220">
        <f t="shared" si="11"/>
        <v>34717.370000000003</v>
      </c>
      <c r="N24" s="220">
        <f t="shared" si="11"/>
        <v>34717.370000000003</v>
      </c>
      <c r="O24" s="220">
        <f t="shared" si="11"/>
        <v>34717.370000000003</v>
      </c>
      <c r="P24" s="220">
        <f t="shared" si="11"/>
        <v>34717.370000000003</v>
      </c>
      <c r="Q24" s="221">
        <f t="shared" si="11"/>
        <v>416608.44</v>
      </c>
      <c r="R24" s="222">
        <f t="shared" si="1"/>
        <v>18.515930666666666</v>
      </c>
      <c r="S24" s="313">
        <f t="shared" ref="S24" si="12">+S15+S22</f>
        <v>473125</v>
      </c>
      <c r="T24" s="314">
        <f>Q24/S24-1</f>
        <v>-0.11945375957727877</v>
      </c>
      <c r="U24" s="241"/>
    </row>
    <row r="25" spans="1:21" ht="18" x14ac:dyDescent="0.35">
      <c r="A25" s="66"/>
      <c r="Q25" s="103"/>
      <c r="R25" s="185"/>
      <c r="S25" s="311"/>
      <c r="T25" s="312"/>
    </row>
    <row r="26" spans="1:21" ht="18" x14ac:dyDescent="0.35">
      <c r="A26" s="66"/>
      <c r="B26" s="7" t="s">
        <v>26</v>
      </c>
      <c r="Q26" s="101"/>
      <c r="R26" s="184"/>
      <c r="S26" s="304"/>
      <c r="T26" s="308"/>
    </row>
    <row r="27" spans="1:21" x14ac:dyDescent="0.35">
      <c r="A27" s="66" t="s">
        <v>101</v>
      </c>
      <c r="C27" s="6" t="s">
        <v>27</v>
      </c>
      <c r="E27" s="6">
        <f>VLOOKUP($B$1,'Allocated Expenses'!$B$6:$P$15,4,FALSE)</f>
        <v>692.84537395505868</v>
      </c>
      <c r="F27" s="6">
        <f>VLOOKUP($B$1,'Allocated Expenses'!$B$6:$P$15,5,FALSE)</f>
        <v>692.84537395505868</v>
      </c>
      <c r="G27" s="6">
        <f>VLOOKUP($B$1,'Allocated Expenses'!$B$6:$P$15,6,FALSE)</f>
        <v>692.84537395505868</v>
      </c>
      <c r="H27" s="6">
        <f>VLOOKUP($B$1,'Allocated Expenses'!$B$6:$P$15,7,FALSE)</f>
        <v>692.84537395505868</v>
      </c>
      <c r="I27" s="6">
        <f>VLOOKUP($B$1,'Allocated Expenses'!$B$6:$P$15,8,FALSE)</f>
        <v>692.84537395505868</v>
      </c>
      <c r="J27" s="6">
        <f>VLOOKUP($B$1,'Allocated Expenses'!$B$6:$P$15,9,FALSE)</f>
        <v>692.84537395505868</v>
      </c>
      <c r="K27" s="6">
        <f>VLOOKUP($B$1,'Allocated Expenses'!$B$6:$P$15,10,FALSE)</f>
        <v>692.84537395505868</v>
      </c>
      <c r="L27" s="6">
        <f>VLOOKUP($B$1,'Allocated Expenses'!$B$6:$P$15,11,FALSE)</f>
        <v>692.84537395505868</v>
      </c>
      <c r="M27" s="6">
        <f>VLOOKUP($B$1,'Allocated Expenses'!$B$6:$P$15,12,FALSE)</f>
        <v>692.84537395505868</v>
      </c>
      <c r="N27" s="6">
        <f>VLOOKUP($B$1,'Allocated Expenses'!$B$6:$P$15,13,FALSE)</f>
        <v>692.84537395505868</v>
      </c>
      <c r="O27" s="6">
        <f>VLOOKUP($B$1,'Allocated Expenses'!$B$6:$P$15,14,FALSE)</f>
        <v>692.84537395505868</v>
      </c>
      <c r="P27" s="6">
        <f>VLOOKUP($B$1,'Allocated Expenses'!$B$6:$P$15,15,FALSE)</f>
        <v>692.84537395505868</v>
      </c>
      <c r="Q27" s="101">
        <f>SUM(E27:P27)</f>
        <v>8314.1444874607041</v>
      </c>
      <c r="R27" s="184">
        <f t="shared" si="1"/>
        <v>0.36951753277603128</v>
      </c>
      <c r="S27" s="304">
        <v>8640</v>
      </c>
      <c r="T27" s="308">
        <f t="shared" ref="T27" si="13">IFERROR(Q27/S27-1,"")</f>
        <v>-3.7714758395751891E-2</v>
      </c>
    </row>
    <row r="28" spans="1:21" x14ac:dyDescent="0.35">
      <c r="A28" s="66"/>
      <c r="Q28" s="101"/>
      <c r="R28" s="184"/>
      <c r="S28" s="304"/>
      <c r="T28" s="308"/>
    </row>
    <row r="29" spans="1:21" x14ac:dyDescent="0.35">
      <c r="A29" s="66" t="s">
        <v>102</v>
      </c>
      <c r="C29" s="6" t="s">
        <v>20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01">
        <f>SUM(E29:P29)</f>
        <v>0</v>
      </c>
      <c r="R29" s="184">
        <f t="shared" si="1"/>
        <v>0</v>
      </c>
      <c r="S29" s="304">
        <v>0</v>
      </c>
      <c r="T29" s="308" t="str">
        <f t="shared" ref="T29" si="14">IFERROR(Q29/S29-1,"")</f>
        <v/>
      </c>
    </row>
    <row r="30" spans="1:21" x14ac:dyDescent="0.35">
      <c r="A30" s="66"/>
      <c r="Q30" s="101"/>
      <c r="R30" s="184"/>
      <c r="S30" s="304"/>
      <c r="T30" s="308"/>
    </row>
    <row r="31" spans="1:21" x14ac:dyDescent="0.35">
      <c r="A31" s="66" t="s">
        <v>103</v>
      </c>
      <c r="C31" s="6" t="s">
        <v>28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01">
        <f>SUM(E31:P31)</f>
        <v>0</v>
      </c>
      <c r="R31" s="184">
        <f t="shared" si="1"/>
        <v>0</v>
      </c>
      <c r="S31" s="304">
        <v>0</v>
      </c>
      <c r="T31" s="308" t="str">
        <f t="shared" ref="T31" si="15">IFERROR(Q31/S31-1,"")</f>
        <v/>
      </c>
    </row>
    <row r="32" spans="1:21" x14ac:dyDescent="0.35">
      <c r="A32" s="66"/>
      <c r="Q32" s="101"/>
      <c r="R32" s="184"/>
      <c r="S32" s="304"/>
      <c r="T32" s="308"/>
    </row>
    <row r="33" spans="1:20" x14ac:dyDescent="0.35">
      <c r="A33" s="66"/>
      <c r="D33" s="50" t="s">
        <v>29</v>
      </c>
      <c r="E33" s="45">
        <f>'Building Maint'!C27</f>
        <v>0</v>
      </c>
      <c r="F33" s="45">
        <f>'Building Maint'!D27</f>
        <v>0</v>
      </c>
      <c r="G33" s="45">
        <f>'Building Maint'!E27</f>
        <v>0</v>
      </c>
      <c r="H33" s="45">
        <f>'Building Maint'!F27</f>
        <v>0</v>
      </c>
      <c r="I33" s="45">
        <f>'Building Maint'!G27</f>
        <v>0</v>
      </c>
      <c r="J33" s="45">
        <f>'Building Maint'!H27</f>
        <v>0</v>
      </c>
      <c r="K33" s="45">
        <f>'Building Maint'!I27</f>
        <v>0</v>
      </c>
      <c r="L33" s="45">
        <f>'Building Maint'!J27</f>
        <v>0</v>
      </c>
      <c r="M33" s="45">
        <f>'Building Maint'!K27</f>
        <v>0</v>
      </c>
      <c r="N33" s="45">
        <f>'Building Maint'!L27</f>
        <v>0</v>
      </c>
      <c r="O33" s="45">
        <f>'Building Maint'!M27</f>
        <v>0</v>
      </c>
      <c r="P33" s="45">
        <f>'Building Maint'!N27</f>
        <v>0</v>
      </c>
      <c r="Q33" s="195">
        <f>SUM(E33:P33)</f>
        <v>0</v>
      </c>
      <c r="R33" s="186">
        <f t="shared" si="1"/>
        <v>0</v>
      </c>
      <c r="S33" s="304"/>
      <c r="T33" s="308"/>
    </row>
    <row r="34" spans="1:20" x14ac:dyDescent="0.35">
      <c r="A34" s="66"/>
      <c r="D34" s="51" t="s">
        <v>30</v>
      </c>
      <c r="E34" s="6">
        <f>'Building Maint'!C13</f>
        <v>0</v>
      </c>
      <c r="F34" s="6">
        <f>'Building Maint'!D13</f>
        <v>0</v>
      </c>
      <c r="G34" s="6">
        <f>'Building Maint'!E13</f>
        <v>0</v>
      </c>
      <c r="H34" s="6">
        <f>'Building Maint'!F13</f>
        <v>0</v>
      </c>
      <c r="I34" s="6">
        <f>'Building Maint'!G13</f>
        <v>0</v>
      </c>
      <c r="J34" s="6">
        <f>'Building Maint'!H13</f>
        <v>0</v>
      </c>
      <c r="K34" s="6">
        <f>'Building Maint'!I13</f>
        <v>0</v>
      </c>
      <c r="L34" s="6">
        <f>'Building Maint'!J13</f>
        <v>0</v>
      </c>
      <c r="M34" s="6">
        <f>'Building Maint'!K13</f>
        <v>0</v>
      </c>
      <c r="N34" s="6">
        <f>'Building Maint'!L13</f>
        <v>0</v>
      </c>
      <c r="O34" s="6">
        <f>'Building Maint'!M13</f>
        <v>0</v>
      </c>
      <c r="P34" s="6">
        <f>'Building Maint'!N13</f>
        <v>0</v>
      </c>
      <c r="Q34" s="196">
        <f>SUM(E34:P34)</f>
        <v>0</v>
      </c>
      <c r="R34" s="187">
        <f t="shared" si="1"/>
        <v>0</v>
      </c>
      <c r="S34" s="304"/>
      <c r="T34" s="308"/>
    </row>
    <row r="35" spans="1:20" x14ac:dyDescent="0.35">
      <c r="A35" s="66"/>
      <c r="D35" s="52" t="s">
        <v>31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97">
        <f>SUM(E35:P35)</f>
        <v>0</v>
      </c>
      <c r="R35" s="188">
        <f t="shared" si="1"/>
        <v>0</v>
      </c>
      <c r="S35" s="304"/>
      <c r="T35" s="308"/>
    </row>
    <row r="36" spans="1:20" x14ac:dyDescent="0.35">
      <c r="A36" s="66" t="s">
        <v>104</v>
      </c>
      <c r="C36" s="6" t="s">
        <v>32</v>
      </c>
      <c r="E36" s="15">
        <f t="shared" ref="E36:Q36" si="16">SUM(E33:E35)</f>
        <v>0</v>
      </c>
      <c r="F36" s="15">
        <f t="shared" si="16"/>
        <v>0</v>
      </c>
      <c r="G36" s="15">
        <f>SUM(G33:G35)</f>
        <v>0</v>
      </c>
      <c r="H36" s="15">
        <f t="shared" si="16"/>
        <v>0</v>
      </c>
      <c r="I36" s="15">
        <f t="shared" si="16"/>
        <v>0</v>
      </c>
      <c r="J36" s="15">
        <f t="shared" si="16"/>
        <v>0</v>
      </c>
      <c r="K36" s="15">
        <f>SUM(K33:K35)</f>
        <v>0</v>
      </c>
      <c r="L36" s="15">
        <f t="shared" si="16"/>
        <v>0</v>
      </c>
      <c r="M36" s="15">
        <f t="shared" si="16"/>
        <v>0</v>
      </c>
      <c r="N36" s="15">
        <f t="shared" si="16"/>
        <v>0</v>
      </c>
      <c r="O36" s="15">
        <f t="shared" si="16"/>
        <v>0</v>
      </c>
      <c r="P36" s="15">
        <f t="shared" si="16"/>
        <v>0</v>
      </c>
      <c r="Q36" s="108">
        <f t="shared" si="16"/>
        <v>0</v>
      </c>
      <c r="R36" s="189">
        <f t="shared" si="1"/>
        <v>0</v>
      </c>
      <c r="S36" s="309">
        <v>0</v>
      </c>
      <c r="T36" s="310" t="str">
        <f>IFERROR(Q36/S36-1,"")</f>
        <v/>
      </c>
    </row>
    <row r="37" spans="1:20" x14ac:dyDescent="0.35">
      <c r="A37" s="66"/>
      <c r="Q37" s="101"/>
      <c r="R37" s="184"/>
      <c r="S37" s="304"/>
      <c r="T37" s="308"/>
    </row>
    <row r="38" spans="1:20" x14ac:dyDescent="0.35">
      <c r="A38" s="66" t="s">
        <v>136</v>
      </c>
      <c r="B38" s="6" t="s">
        <v>33</v>
      </c>
      <c r="C38" s="6" t="s">
        <v>34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01">
        <f>SUM(E38:P38)</f>
        <v>0</v>
      </c>
      <c r="R38" s="184">
        <f t="shared" si="1"/>
        <v>0</v>
      </c>
      <c r="S38" s="304">
        <v>0</v>
      </c>
      <c r="T38" s="308" t="str">
        <f t="shared" ref="T38" si="17">IFERROR(Q38/S38-1,"")</f>
        <v/>
      </c>
    </row>
    <row r="39" spans="1:20" x14ac:dyDescent="0.35">
      <c r="A39" s="66"/>
      <c r="Q39" s="101"/>
      <c r="R39" s="184"/>
      <c r="S39" s="304"/>
      <c r="T39" s="308"/>
    </row>
    <row r="40" spans="1:20" x14ac:dyDescent="0.35">
      <c r="A40" s="66"/>
      <c r="D40" s="50" t="s">
        <v>35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195">
        <f>SUM(E40:P40)</f>
        <v>0</v>
      </c>
      <c r="R40" s="186">
        <f t="shared" si="1"/>
        <v>0</v>
      </c>
      <c r="S40" s="304"/>
      <c r="T40" s="308"/>
    </row>
    <row r="41" spans="1:20" x14ac:dyDescent="0.35">
      <c r="A41" s="66"/>
      <c r="D41" s="51" t="s">
        <v>36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96">
        <f>SUM(E41:P41)</f>
        <v>0</v>
      </c>
      <c r="R41" s="187">
        <f t="shared" si="1"/>
        <v>0</v>
      </c>
      <c r="S41" s="304"/>
      <c r="T41" s="308"/>
    </row>
    <row r="42" spans="1:20" x14ac:dyDescent="0.35">
      <c r="A42" s="66"/>
      <c r="D42" s="52" t="s">
        <v>37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97">
        <f>SUM(E42:P42)</f>
        <v>0</v>
      </c>
      <c r="R42" s="188">
        <f t="shared" si="1"/>
        <v>0</v>
      </c>
      <c r="S42" s="304"/>
      <c r="T42" s="308"/>
    </row>
    <row r="43" spans="1:20" x14ac:dyDescent="0.35">
      <c r="A43" s="66" t="s">
        <v>105</v>
      </c>
      <c r="C43" s="6" t="s">
        <v>38</v>
      </c>
      <c r="E43" s="15">
        <f t="shared" ref="E43:Q43" si="18">SUM(E40:E42)</f>
        <v>0</v>
      </c>
      <c r="F43" s="15">
        <f t="shared" si="18"/>
        <v>0</v>
      </c>
      <c r="G43" s="15">
        <f t="shared" si="18"/>
        <v>0</v>
      </c>
      <c r="H43" s="15">
        <f t="shared" si="18"/>
        <v>0</v>
      </c>
      <c r="I43" s="15">
        <f t="shared" si="18"/>
        <v>0</v>
      </c>
      <c r="J43" s="15">
        <f t="shared" si="18"/>
        <v>0</v>
      </c>
      <c r="K43" s="15">
        <f t="shared" si="18"/>
        <v>0</v>
      </c>
      <c r="L43" s="15">
        <f t="shared" si="18"/>
        <v>0</v>
      </c>
      <c r="M43" s="15">
        <f t="shared" si="18"/>
        <v>0</v>
      </c>
      <c r="N43" s="15">
        <f t="shared" si="18"/>
        <v>0</v>
      </c>
      <c r="O43" s="15">
        <f t="shared" si="18"/>
        <v>0</v>
      </c>
      <c r="P43" s="15">
        <f t="shared" si="18"/>
        <v>0</v>
      </c>
      <c r="Q43" s="108">
        <f t="shared" si="18"/>
        <v>0</v>
      </c>
      <c r="R43" s="189">
        <f t="shared" si="1"/>
        <v>0</v>
      </c>
      <c r="S43" s="309">
        <v>0</v>
      </c>
      <c r="T43" s="310" t="str">
        <f t="shared" ref="T43" si="19">IFERROR(Q43/S43-1,"")</f>
        <v/>
      </c>
    </row>
    <row r="44" spans="1:20" x14ac:dyDescent="0.35">
      <c r="A44" s="66"/>
      <c r="Q44" s="101"/>
      <c r="R44" s="184"/>
      <c r="S44" s="304"/>
      <c r="T44" s="308"/>
    </row>
    <row r="45" spans="1:20" x14ac:dyDescent="0.35">
      <c r="A45" s="66" t="s">
        <v>106</v>
      </c>
      <c r="C45" s="6" t="s">
        <v>39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01">
        <f>SUM(E45:P45)</f>
        <v>0</v>
      </c>
      <c r="R45" s="184">
        <f t="shared" si="1"/>
        <v>0</v>
      </c>
      <c r="S45" s="304">
        <v>0</v>
      </c>
      <c r="T45" s="308" t="str">
        <f t="shared" ref="T45" si="20">IFERROR(Q45/S45-1,"")</f>
        <v/>
      </c>
    </row>
    <row r="46" spans="1:20" x14ac:dyDescent="0.35">
      <c r="A46" s="66"/>
      <c r="Q46" s="101"/>
      <c r="R46" s="184"/>
      <c r="S46" s="304"/>
      <c r="T46" s="308"/>
    </row>
    <row r="47" spans="1:20" x14ac:dyDescent="0.35">
      <c r="A47" s="66"/>
      <c r="D47" s="50" t="s">
        <v>40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195">
        <f>SUM(E47:P47)</f>
        <v>0</v>
      </c>
      <c r="R47" s="186">
        <f t="shared" si="1"/>
        <v>0</v>
      </c>
      <c r="S47" s="304"/>
      <c r="T47" s="308"/>
    </row>
    <row r="48" spans="1:20" x14ac:dyDescent="0.35">
      <c r="A48" s="66"/>
      <c r="D48" s="51" t="s">
        <v>41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96">
        <f>SUM(E48:P48)</f>
        <v>0</v>
      </c>
      <c r="R48" s="187">
        <f t="shared" si="1"/>
        <v>0</v>
      </c>
      <c r="S48" s="304"/>
      <c r="T48" s="308"/>
    </row>
    <row r="49" spans="1:20" x14ac:dyDescent="0.35">
      <c r="A49" s="66"/>
      <c r="D49" s="52" t="s">
        <v>42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97">
        <f>SUM(E49:P49)</f>
        <v>0</v>
      </c>
      <c r="R49" s="188">
        <f t="shared" si="1"/>
        <v>0</v>
      </c>
      <c r="S49" s="304"/>
      <c r="T49" s="308"/>
    </row>
    <row r="50" spans="1:20" x14ac:dyDescent="0.35">
      <c r="A50" s="66" t="s">
        <v>107</v>
      </c>
      <c r="C50" s="6" t="s">
        <v>43</v>
      </c>
      <c r="E50" s="15">
        <f t="shared" ref="E50:Q50" si="21">SUM(E47:E49)</f>
        <v>0</v>
      </c>
      <c r="F50" s="15">
        <f t="shared" si="21"/>
        <v>0</v>
      </c>
      <c r="G50" s="15">
        <f t="shared" si="21"/>
        <v>0</v>
      </c>
      <c r="H50" s="15">
        <f t="shared" si="21"/>
        <v>0</v>
      </c>
      <c r="I50" s="15">
        <f t="shared" si="21"/>
        <v>0</v>
      </c>
      <c r="J50" s="15">
        <f t="shared" si="21"/>
        <v>0</v>
      </c>
      <c r="K50" s="15">
        <f t="shared" si="21"/>
        <v>0</v>
      </c>
      <c r="L50" s="15">
        <f t="shared" si="21"/>
        <v>0</v>
      </c>
      <c r="M50" s="15">
        <f t="shared" si="21"/>
        <v>0</v>
      </c>
      <c r="N50" s="15">
        <f t="shared" si="21"/>
        <v>0</v>
      </c>
      <c r="O50" s="15">
        <f t="shared" si="21"/>
        <v>0</v>
      </c>
      <c r="P50" s="15">
        <f t="shared" si="21"/>
        <v>0</v>
      </c>
      <c r="Q50" s="108">
        <f t="shared" si="21"/>
        <v>0</v>
      </c>
      <c r="R50" s="189">
        <f t="shared" si="1"/>
        <v>0</v>
      </c>
      <c r="S50" s="309">
        <v>0</v>
      </c>
      <c r="T50" s="310" t="str">
        <f t="shared" ref="T50" si="22">IFERROR(Q50/S50-1,"")</f>
        <v/>
      </c>
    </row>
    <row r="51" spans="1:20" x14ac:dyDescent="0.35">
      <c r="A51" s="66"/>
      <c r="Q51" s="101"/>
      <c r="R51" s="184"/>
      <c r="S51" s="304"/>
      <c r="T51" s="308"/>
    </row>
    <row r="52" spans="1:20" x14ac:dyDescent="0.35">
      <c r="A52" s="66" t="s">
        <v>108</v>
      </c>
      <c r="C52" s="6" t="s">
        <v>44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01">
        <f>SUM(E52:P52)</f>
        <v>0</v>
      </c>
      <c r="R52" s="184">
        <f t="shared" si="1"/>
        <v>0</v>
      </c>
      <c r="S52" s="304">
        <v>0</v>
      </c>
      <c r="T52" s="308" t="str">
        <f t="shared" ref="T52" si="23">IFERROR(Q52/S52-1,"")</f>
        <v/>
      </c>
    </row>
    <row r="53" spans="1:20" x14ac:dyDescent="0.35">
      <c r="A53" s="66"/>
      <c r="Q53" s="101"/>
      <c r="R53" s="184"/>
      <c r="S53" s="304"/>
      <c r="T53" s="308"/>
    </row>
    <row r="54" spans="1:20" hidden="1" x14ac:dyDescent="0.35">
      <c r="A54" s="66" t="s">
        <v>109</v>
      </c>
      <c r="B54" s="6" t="s">
        <v>45</v>
      </c>
      <c r="C54" s="6" t="s">
        <v>46</v>
      </c>
      <c r="Q54" s="101">
        <f>SUM(E54:P54)</f>
        <v>0</v>
      </c>
      <c r="R54" s="184">
        <f t="shared" si="1"/>
        <v>0</v>
      </c>
      <c r="S54" s="304"/>
      <c r="T54" s="308" t="e">
        <f t="shared" ref="T54" si="24">R54/S54-1</f>
        <v>#DIV/0!</v>
      </c>
    </row>
    <row r="55" spans="1:20" hidden="1" x14ac:dyDescent="0.35">
      <c r="A55" s="66"/>
      <c r="Q55" s="101"/>
      <c r="R55" s="184"/>
      <c r="S55" s="304"/>
      <c r="T55" s="308"/>
    </row>
    <row r="56" spans="1:20" x14ac:dyDescent="0.35">
      <c r="A56" s="66" t="s">
        <v>110</v>
      </c>
      <c r="C56" s="6" t="s">
        <v>47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01">
        <f>SUM(E56:P56)</f>
        <v>0</v>
      </c>
      <c r="R56" s="184">
        <f t="shared" si="1"/>
        <v>0</v>
      </c>
      <c r="S56" s="304">
        <v>0</v>
      </c>
      <c r="T56" s="308" t="str">
        <f t="shared" ref="T56" si="25">IFERROR(Q56/S56-1,"")</f>
        <v/>
      </c>
    </row>
    <row r="57" spans="1:20" x14ac:dyDescent="0.35">
      <c r="A57" s="66"/>
      <c r="Q57" s="101"/>
      <c r="R57" s="184"/>
      <c r="S57" s="304"/>
      <c r="T57" s="308"/>
    </row>
    <row r="58" spans="1:20" x14ac:dyDescent="0.35">
      <c r="A58" s="66" t="s">
        <v>111</v>
      </c>
      <c r="C58" s="6" t="s">
        <v>22</v>
      </c>
      <c r="E58" s="6">
        <f>'INS RET DEBT'!E89</f>
        <v>3811.4849583333339</v>
      </c>
      <c r="F58" s="6">
        <f>'INS RET DEBT'!F89</f>
        <v>3811.4849583333339</v>
      </c>
      <c r="G58" s="6">
        <f>'INS RET DEBT'!G89</f>
        <v>3811.4849583333339</v>
      </c>
      <c r="H58" s="6">
        <f>'INS RET DEBT'!H89</f>
        <v>3811.4849583333339</v>
      </c>
      <c r="I58" s="6">
        <f>'INS RET DEBT'!I89</f>
        <v>3811.4849583333339</v>
      </c>
      <c r="J58" s="6">
        <f>'INS RET DEBT'!J89</f>
        <v>3811.4849583333339</v>
      </c>
      <c r="K58" s="6">
        <f>'INS RET DEBT'!K89</f>
        <v>3811.4849583333339</v>
      </c>
      <c r="L58" s="6">
        <f>'INS RET DEBT'!L89</f>
        <v>3811.4849583333339</v>
      </c>
      <c r="M58" s="6">
        <f>'INS RET DEBT'!M89</f>
        <v>3811.4849583333339</v>
      </c>
      <c r="N58" s="6">
        <f>'INS RET DEBT'!N89</f>
        <v>3811.4849583333339</v>
      </c>
      <c r="O58" s="6">
        <f>'INS RET DEBT'!O89</f>
        <v>3811.4849583333339</v>
      </c>
      <c r="P58" s="6">
        <f>'INS RET DEBT'!P89</f>
        <v>3811.4849583333339</v>
      </c>
      <c r="Q58" s="101">
        <f>SUM(E58:P58)</f>
        <v>45737.819500000005</v>
      </c>
      <c r="R58" s="184">
        <f t="shared" si="1"/>
        <v>2.0327919777777779</v>
      </c>
      <c r="S58" s="55">
        <v>0</v>
      </c>
      <c r="T58" s="308" t="str">
        <f t="shared" ref="T58" si="26">IFERROR(Q58/S58-1,"")</f>
        <v/>
      </c>
    </row>
    <row r="59" spans="1:20" x14ac:dyDescent="0.35">
      <c r="A59" s="66"/>
      <c r="Q59" s="101"/>
      <c r="R59" s="184"/>
      <c r="S59" s="304"/>
      <c r="T59" s="308"/>
    </row>
    <row r="60" spans="1:20" x14ac:dyDescent="0.35">
      <c r="A60" s="66"/>
      <c r="D60" s="50" t="s">
        <v>48</v>
      </c>
      <c r="E60" s="45">
        <f>+'INS RET DEBT'!E57</f>
        <v>1173</v>
      </c>
      <c r="F60" s="45">
        <f>+'INS RET DEBT'!F57</f>
        <v>1173</v>
      </c>
      <c r="G60" s="45">
        <f>+'INS RET DEBT'!G57</f>
        <v>1173</v>
      </c>
      <c r="H60" s="45">
        <f>+'INS RET DEBT'!H57</f>
        <v>1173</v>
      </c>
      <c r="I60" s="45">
        <f>+'INS RET DEBT'!I57</f>
        <v>1173</v>
      </c>
      <c r="J60" s="45">
        <f>+'INS RET DEBT'!J57</f>
        <v>1173</v>
      </c>
      <c r="K60" s="45">
        <f>+'INS RET DEBT'!K57</f>
        <v>1173</v>
      </c>
      <c r="L60" s="45">
        <f>+'INS RET DEBT'!L57</f>
        <v>1173</v>
      </c>
      <c r="M60" s="45">
        <f>+'INS RET DEBT'!M57</f>
        <v>1173</v>
      </c>
      <c r="N60" s="45">
        <f>+'INS RET DEBT'!N57</f>
        <v>1173</v>
      </c>
      <c r="O60" s="45">
        <f>+'INS RET DEBT'!O57</f>
        <v>1196.46</v>
      </c>
      <c r="P60" s="45">
        <f>+'INS RET DEBT'!P57</f>
        <v>1196.46</v>
      </c>
      <c r="Q60" s="195">
        <f>SUM(E60:P60)</f>
        <v>14122.919999999998</v>
      </c>
      <c r="R60" s="186">
        <f t="shared" si="1"/>
        <v>0.62768533333333321</v>
      </c>
      <c r="S60" s="304"/>
      <c r="T60" s="308"/>
    </row>
    <row r="61" spans="1:20" x14ac:dyDescent="0.35">
      <c r="A61" s="66"/>
      <c r="D61" s="51" t="s">
        <v>89</v>
      </c>
      <c r="E61" s="6">
        <f>+'INS RET DEBT'!E58</f>
        <v>238</v>
      </c>
      <c r="F61" s="6">
        <f>+'INS RET DEBT'!F58</f>
        <v>238</v>
      </c>
      <c r="G61" s="6">
        <f>+'INS RET DEBT'!G58</f>
        <v>238</v>
      </c>
      <c r="H61" s="6">
        <f>+'INS RET DEBT'!H58</f>
        <v>238</v>
      </c>
      <c r="I61" s="6">
        <f>+'INS RET DEBT'!I58</f>
        <v>238</v>
      </c>
      <c r="J61" s="6">
        <f>+'INS RET DEBT'!J58</f>
        <v>238</v>
      </c>
      <c r="K61" s="6">
        <f>+'INS RET DEBT'!K58</f>
        <v>238</v>
      </c>
      <c r="L61" s="6">
        <f>+'INS RET DEBT'!L58</f>
        <v>238</v>
      </c>
      <c r="M61" s="6">
        <f>+'INS RET DEBT'!M58</f>
        <v>238</v>
      </c>
      <c r="N61" s="6">
        <f>+'INS RET DEBT'!N58</f>
        <v>238</v>
      </c>
      <c r="O61" s="6">
        <f>+'INS RET DEBT'!O58</f>
        <v>242.76</v>
      </c>
      <c r="P61" s="6">
        <f>+'INS RET DEBT'!P58</f>
        <v>242.76</v>
      </c>
      <c r="Q61" s="196">
        <f>SUM(E61:P61)</f>
        <v>2865.5200000000004</v>
      </c>
      <c r="R61" s="187">
        <f t="shared" si="1"/>
        <v>0.12735644444444447</v>
      </c>
      <c r="S61" s="304"/>
      <c r="T61" s="308"/>
    </row>
    <row r="62" spans="1:20" x14ac:dyDescent="0.35">
      <c r="A62" s="66"/>
      <c r="D62" s="52" t="s">
        <v>50</v>
      </c>
      <c r="E62" s="15">
        <f>+'INS RET DEBT'!E59</f>
        <v>0</v>
      </c>
      <c r="F62" s="15">
        <f>+'INS RET DEBT'!F59</f>
        <v>0</v>
      </c>
      <c r="G62" s="15">
        <f>+'INS RET DEBT'!G59</f>
        <v>0</v>
      </c>
      <c r="H62" s="15">
        <f>+'INS RET DEBT'!H59</f>
        <v>0</v>
      </c>
      <c r="I62" s="15">
        <f>+'INS RET DEBT'!I59</f>
        <v>0</v>
      </c>
      <c r="J62" s="15">
        <f>+'INS RET DEBT'!J59</f>
        <v>0</v>
      </c>
      <c r="K62" s="15">
        <f>+'INS RET DEBT'!K59</f>
        <v>0</v>
      </c>
      <c r="L62" s="15">
        <f>+'INS RET DEBT'!L59</f>
        <v>0</v>
      </c>
      <c r="M62" s="15">
        <f>+'INS RET DEBT'!M59</f>
        <v>0</v>
      </c>
      <c r="N62" s="15">
        <f>+'INS RET DEBT'!N59</f>
        <v>0</v>
      </c>
      <c r="O62" s="15">
        <f>+'INS RET DEBT'!O59</f>
        <v>0</v>
      </c>
      <c r="P62" s="15">
        <f>+'INS RET DEBT'!P59</f>
        <v>0</v>
      </c>
      <c r="Q62" s="197">
        <f>SUM(E62:P62)</f>
        <v>0</v>
      </c>
      <c r="R62" s="188">
        <f t="shared" si="1"/>
        <v>0</v>
      </c>
      <c r="S62" s="304"/>
      <c r="T62" s="308"/>
    </row>
    <row r="63" spans="1:20" x14ac:dyDescent="0.35">
      <c r="A63" s="66" t="s">
        <v>112</v>
      </c>
      <c r="C63" s="6" t="s">
        <v>23</v>
      </c>
      <c r="E63" s="15">
        <f t="shared" ref="E63:Q63" si="27">SUM(E60:E62)</f>
        <v>1411</v>
      </c>
      <c r="F63" s="15">
        <f t="shared" si="27"/>
        <v>1411</v>
      </c>
      <c r="G63" s="15">
        <f t="shared" si="27"/>
        <v>1411</v>
      </c>
      <c r="H63" s="15">
        <f t="shared" si="27"/>
        <v>1411</v>
      </c>
      <c r="I63" s="15">
        <f t="shared" si="27"/>
        <v>1411</v>
      </c>
      <c r="J63" s="15">
        <f t="shared" si="27"/>
        <v>1411</v>
      </c>
      <c r="K63" s="15">
        <f t="shared" si="27"/>
        <v>1411</v>
      </c>
      <c r="L63" s="15">
        <f t="shared" si="27"/>
        <v>1411</v>
      </c>
      <c r="M63" s="15">
        <f t="shared" si="27"/>
        <v>1411</v>
      </c>
      <c r="N63" s="15">
        <f t="shared" si="27"/>
        <v>1411</v>
      </c>
      <c r="O63" s="15">
        <f t="shared" si="27"/>
        <v>1439.22</v>
      </c>
      <c r="P63" s="15">
        <f t="shared" si="27"/>
        <v>1439.22</v>
      </c>
      <c r="Q63" s="108">
        <f t="shared" si="27"/>
        <v>16988.439999999999</v>
      </c>
      <c r="R63" s="189">
        <f t="shared" si="1"/>
        <v>0.7550417777777777</v>
      </c>
      <c r="S63" s="309">
        <v>17146</v>
      </c>
      <c r="T63" s="310">
        <f t="shared" ref="T63" si="28">IFERROR(Q63/S63-1,"")</f>
        <v>-9.1893152921964649E-3</v>
      </c>
    </row>
    <row r="64" spans="1:20" x14ac:dyDescent="0.35">
      <c r="A64" s="66"/>
      <c r="Q64" s="101"/>
      <c r="R64" s="184"/>
      <c r="S64" s="304"/>
      <c r="T64" s="308"/>
    </row>
    <row r="65" spans="1:20" x14ac:dyDescent="0.35">
      <c r="A65" s="66"/>
      <c r="D65" s="50" t="s">
        <v>51</v>
      </c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198">
        <f>SUM(E65:P65)</f>
        <v>0</v>
      </c>
      <c r="R65" s="186">
        <f t="shared" si="1"/>
        <v>0</v>
      </c>
      <c r="S65" s="304"/>
      <c r="T65" s="308"/>
    </row>
    <row r="66" spans="1:20" x14ac:dyDescent="0.35">
      <c r="A66" s="66"/>
      <c r="D66" s="52" t="s">
        <v>52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08">
        <f>SUM(E66:P66)</f>
        <v>0</v>
      </c>
      <c r="R66" s="188">
        <f t="shared" si="1"/>
        <v>0</v>
      </c>
      <c r="S66" s="304"/>
      <c r="T66" s="308"/>
    </row>
    <row r="67" spans="1:20" x14ac:dyDescent="0.35">
      <c r="A67" s="66" t="s">
        <v>113</v>
      </c>
      <c r="B67" s="6" t="s">
        <v>45</v>
      </c>
      <c r="C67" s="6" t="s">
        <v>51</v>
      </c>
      <c r="E67" s="15">
        <f t="shared" ref="E67:Q67" si="29">SUM(E65:E66)</f>
        <v>0</v>
      </c>
      <c r="F67" s="15">
        <f t="shared" si="29"/>
        <v>0</v>
      </c>
      <c r="G67" s="15">
        <f t="shared" si="29"/>
        <v>0</v>
      </c>
      <c r="H67" s="15">
        <f t="shared" si="29"/>
        <v>0</v>
      </c>
      <c r="I67" s="15">
        <f t="shared" si="29"/>
        <v>0</v>
      </c>
      <c r="J67" s="15">
        <f t="shared" si="29"/>
        <v>0</v>
      </c>
      <c r="K67" s="15">
        <f t="shared" si="29"/>
        <v>0</v>
      </c>
      <c r="L67" s="15">
        <f t="shared" si="29"/>
        <v>0</v>
      </c>
      <c r="M67" s="15">
        <f t="shared" si="29"/>
        <v>0</v>
      </c>
      <c r="N67" s="15">
        <f t="shared" si="29"/>
        <v>0</v>
      </c>
      <c r="O67" s="15">
        <f t="shared" si="29"/>
        <v>0</v>
      </c>
      <c r="P67" s="15">
        <f t="shared" si="29"/>
        <v>0</v>
      </c>
      <c r="Q67" s="108">
        <f t="shared" si="29"/>
        <v>0</v>
      </c>
      <c r="R67" s="189">
        <f t="shared" si="1"/>
        <v>0</v>
      </c>
      <c r="S67" s="309">
        <v>0</v>
      </c>
      <c r="T67" s="310" t="str">
        <f t="shared" ref="T67" si="30">IFERROR(Q67/S67-1,"")</f>
        <v/>
      </c>
    </row>
    <row r="68" spans="1:20" x14ac:dyDescent="0.35">
      <c r="A68" s="66"/>
      <c r="Q68" s="101"/>
      <c r="R68" s="184"/>
      <c r="S68" s="304"/>
      <c r="T68" s="308"/>
    </row>
    <row r="69" spans="1:20" x14ac:dyDescent="0.35">
      <c r="A69" s="66"/>
      <c r="B69" s="6" t="s">
        <v>33</v>
      </c>
      <c r="C69" s="6" t="s">
        <v>53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01">
        <f>SUM(E69:P69)</f>
        <v>0</v>
      </c>
      <c r="R69" s="184">
        <f t="shared" si="1"/>
        <v>0</v>
      </c>
      <c r="S69" s="304"/>
      <c r="T69" s="308" t="str">
        <f t="shared" ref="T69" si="31">IFERROR(Q69/S69-1,"")</f>
        <v/>
      </c>
    </row>
    <row r="70" spans="1:20" x14ac:dyDescent="0.35">
      <c r="A70" s="66"/>
      <c r="Q70" s="101"/>
      <c r="R70" s="184"/>
      <c r="S70" s="304"/>
      <c r="T70" s="308"/>
    </row>
    <row r="71" spans="1:20" ht="18" x14ac:dyDescent="0.35">
      <c r="A71" s="66"/>
      <c r="C71" s="53" t="s">
        <v>54</v>
      </c>
      <c r="D71" s="54"/>
      <c r="E71" s="54">
        <f>+E27+E29+E31+E36+E38+E43+E45+E50+E52+E54+E56+E58+E63+E67+E69</f>
        <v>5915.330332288393</v>
      </c>
      <c r="F71" s="54">
        <f t="shared" ref="F71:P71" si="32">+F27+F29+F31+F36+F38+F43+F45+F50+F52+F54+F56+F58+F63+F67+F69</f>
        <v>5915.330332288393</v>
      </c>
      <c r="G71" s="54">
        <f t="shared" si="32"/>
        <v>5915.330332288393</v>
      </c>
      <c r="H71" s="54">
        <f t="shared" si="32"/>
        <v>5915.330332288393</v>
      </c>
      <c r="I71" s="54">
        <f t="shared" si="32"/>
        <v>5915.330332288393</v>
      </c>
      <c r="J71" s="54">
        <f t="shared" si="32"/>
        <v>5915.330332288393</v>
      </c>
      <c r="K71" s="54">
        <f t="shared" si="32"/>
        <v>5915.330332288393</v>
      </c>
      <c r="L71" s="54">
        <f t="shared" si="32"/>
        <v>5915.330332288393</v>
      </c>
      <c r="M71" s="54">
        <f t="shared" si="32"/>
        <v>5915.330332288393</v>
      </c>
      <c r="N71" s="54">
        <f t="shared" si="32"/>
        <v>5915.330332288393</v>
      </c>
      <c r="O71" s="54">
        <f t="shared" si="32"/>
        <v>5943.5503322883933</v>
      </c>
      <c r="P71" s="54">
        <f t="shared" si="32"/>
        <v>5943.5503322883933</v>
      </c>
      <c r="Q71" s="109">
        <f>+Q27+Q29+Q31+Q36+Q38+Q43+Q45+Q50+Q52+Q54+Q56+Q58+Q63+Q67+Q69</f>
        <v>71040.403987460712</v>
      </c>
      <c r="R71" s="190">
        <f t="shared" si="1"/>
        <v>3.1573512883315873</v>
      </c>
      <c r="S71" s="315">
        <f>+S27+S29+S31+S36+S38+S43+S45+S50+S52+S54+S56+S58+S63+S67+S69</f>
        <v>25786</v>
      </c>
      <c r="T71" s="316">
        <f>Q71/S71-1</f>
        <v>1.7549989912146402</v>
      </c>
    </row>
    <row r="72" spans="1:20" ht="18" x14ac:dyDescent="0.35">
      <c r="A72" s="66"/>
      <c r="Q72" s="103"/>
      <c r="R72" s="185"/>
      <c r="S72" s="311"/>
      <c r="T72" s="312"/>
    </row>
    <row r="73" spans="1:20" ht="18" x14ac:dyDescent="0.35">
      <c r="A73" s="66"/>
      <c r="B73" s="7" t="s">
        <v>55</v>
      </c>
      <c r="Q73" s="101"/>
      <c r="R73" s="184">
        <f t="shared" si="1"/>
        <v>0</v>
      </c>
      <c r="S73" s="304"/>
      <c r="T73" s="308"/>
    </row>
    <row r="74" spans="1:20" x14ac:dyDescent="0.35">
      <c r="A74" s="66"/>
      <c r="Q74" s="101"/>
      <c r="R74" s="184"/>
      <c r="S74" s="304"/>
      <c r="T74" s="308"/>
    </row>
    <row r="75" spans="1:20" x14ac:dyDescent="0.35">
      <c r="A75" s="66" t="s">
        <v>137</v>
      </c>
      <c r="C75" s="6" t="s">
        <v>56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01">
        <f>SUM(E75:P75)</f>
        <v>0</v>
      </c>
      <c r="R75" s="184">
        <f t="shared" ref="R75:R134" si="33">Q75/$B$4</f>
        <v>0</v>
      </c>
      <c r="S75" s="304">
        <v>0</v>
      </c>
      <c r="T75" s="308" t="str">
        <f t="shared" ref="T75" si="34">IFERROR(Q75/S75-1,"")</f>
        <v/>
      </c>
    </row>
    <row r="76" spans="1:20" x14ac:dyDescent="0.35">
      <c r="A76" s="66"/>
      <c r="Q76" s="101"/>
      <c r="R76" s="184"/>
      <c r="S76" s="304"/>
      <c r="T76" s="308"/>
    </row>
    <row r="77" spans="1:20" x14ac:dyDescent="0.35">
      <c r="A77" s="66" t="s">
        <v>114</v>
      </c>
      <c r="D77" s="6" t="s">
        <v>57</v>
      </c>
      <c r="E77" s="6">
        <f>VLOOKUP($B$1,'Allocated Expenses'!$B$20:$P$29,4,FALSE)</f>
        <v>1673.2372003294752</v>
      </c>
      <c r="F77" s="6">
        <f>VLOOKUP($B$1,'Allocated Expenses'!$B$20:$P$29,5,FALSE)</f>
        <v>1673.2372003294752</v>
      </c>
      <c r="G77" s="6">
        <f>VLOOKUP($B$1,'Allocated Expenses'!$B$20:$P$29,6,FALSE)</f>
        <v>1673.2372003294752</v>
      </c>
      <c r="H77" s="6">
        <f>VLOOKUP($B$1,'Allocated Expenses'!$B$20:$P$29,7,FALSE)</f>
        <v>1673.2372003294752</v>
      </c>
      <c r="I77" s="6">
        <f>VLOOKUP($B$1,'Allocated Expenses'!$B$20:$P$29,8,FALSE)</f>
        <v>1673.2372003294752</v>
      </c>
      <c r="J77" s="6">
        <f>VLOOKUP($B$1,'Allocated Expenses'!$B$20:$P$29,9,FALSE)</f>
        <v>1673.2372003294752</v>
      </c>
      <c r="K77" s="6">
        <f>VLOOKUP($B$1,'Allocated Expenses'!$B$20:$P$29,10,FALSE)</f>
        <v>1673.2372003294752</v>
      </c>
      <c r="L77" s="6">
        <f>VLOOKUP($B$1,'Allocated Expenses'!$B$20:$P$29,11,FALSE)</f>
        <v>1673.2372003294752</v>
      </c>
      <c r="M77" s="6">
        <f>VLOOKUP($B$1,'Allocated Expenses'!$B$20:$P$29,12,FALSE)</f>
        <v>1673.2372003294752</v>
      </c>
      <c r="N77" s="6">
        <f>VLOOKUP($B$1,'Allocated Expenses'!$B$20:$P$29,13,FALSE)</f>
        <v>1673.2372003294752</v>
      </c>
      <c r="O77" s="6">
        <f>VLOOKUP($B$1,'Allocated Expenses'!$B$20:$P$29,14,FALSE)</f>
        <v>1673.2372003294752</v>
      </c>
      <c r="P77" s="6">
        <f>VLOOKUP($B$1,'Allocated Expenses'!$B$20:$P$29,15,FALSE)</f>
        <v>1673.2372003294752</v>
      </c>
      <c r="Q77" s="101">
        <f>SUM(E77:P77)</f>
        <v>20078.846403953707</v>
      </c>
      <c r="R77" s="184">
        <f t="shared" si="33"/>
        <v>0.89239317350905367</v>
      </c>
      <c r="S77" s="304"/>
      <c r="T77" s="308"/>
    </row>
    <row r="78" spans="1:20" x14ac:dyDescent="0.35">
      <c r="A78" s="66" t="s">
        <v>115</v>
      </c>
      <c r="D78" s="6" t="s">
        <v>58</v>
      </c>
      <c r="E78" s="15">
        <f>VLOOKUP($B$1,'Allocated Expenses'!$B$132:$P$141,4,FALSE)</f>
        <v>0</v>
      </c>
      <c r="F78" s="15">
        <f>VLOOKUP($B$1,'Allocated Expenses'!$B$132:$P$141,5,FALSE)</f>
        <v>0</v>
      </c>
      <c r="G78" s="15">
        <f>VLOOKUP($B$1,'Allocated Expenses'!$B$132:$P$141,6,FALSE)</f>
        <v>0</v>
      </c>
      <c r="H78" s="15">
        <f>VLOOKUP($B$1,'Allocated Expenses'!$B$132:$P$141,7,FALSE)</f>
        <v>0</v>
      </c>
      <c r="I78" s="15">
        <f>VLOOKUP($B$1,'Allocated Expenses'!$B$132:$P$141,8,FALSE)</f>
        <v>0</v>
      </c>
      <c r="J78" s="15">
        <f>VLOOKUP($B$1,'Allocated Expenses'!$B$132:$P$141,9,FALSE)</f>
        <v>0</v>
      </c>
      <c r="K78" s="15">
        <f>VLOOKUP($B$1,'Allocated Expenses'!$B$132:$P$141,10,FALSE)</f>
        <v>0</v>
      </c>
      <c r="L78" s="15">
        <f>VLOOKUP($B$1,'Allocated Expenses'!$B$132:$P$141,11,FALSE)</f>
        <v>0</v>
      </c>
      <c r="M78" s="15">
        <f>VLOOKUP($B$1,'Allocated Expenses'!$B$132:$P$141,12,FALSE)</f>
        <v>0</v>
      </c>
      <c r="N78" s="15">
        <f>VLOOKUP($B$1,'Allocated Expenses'!$B$132:$P$141,13,FALSE)</f>
        <v>0</v>
      </c>
      <c r="O78" s="15">
        <f>VLOOKUP($B$1,'Allocated Expenses'!$B$132:$P$141,14,FALSE)</f>
        <v>0</v>
      </c>
      <c r="P78" s="15">
        <f>VLOOKUP($B$1,'Allocated Expenses'!$B$132:$P$141,15,FALSE)</f>
        <v>0</v>
      </c>
      <c r="Q78" s="108">
        <f>SUM(E78:P78)</f>
        <v>0</v>
      </c>
      <c r="R78" s="189">
        <f t="shared" si="33"/>
        <v>0</v>
      </c>
      <c r="S78" s="304"/>
      <c r="T78" s="308"/>
    </row>
    <row r="79" spans="1:20" x14ac:dyDescent="0.35">
      <c r="A79" s="66"/>
      <c r="C79" s="6" t="s">
        <v>59</v>
      </c>
      <c r="E79" s="15">
        <f t="shared" ref="E79:Q79" si="35">SUM(E77:E78)</f>
        <v>1673.2372003294752</v>
      </c>
      <c r="F79" s="15">
        <f t="shared" si="35"/>
        <v>1673.2372003294752</v>
      </c>
      <c r="G79" s="15">
        <f t="shared" si="35"/>
        <v>1673.2372003294752</v>
      </c>
      <c r="H79" s="15">
        <f t="shared" si="35"/>
        <v>1673.2372003294752</v>
      </c>
      <c r="I79" s="15">
        <f t="shared" si="35"/>
        <v>1673.2372003294752</v>
      </c>
      <c r="J79" s="15">
        <f t="shared" si="35"/>
        <v>1673.2372003294752</v>
      </c>
      <c r="K79" s="15">
        <f t="shared" si="35"/>
        <v>1673.2372003294752</v>
      </c>
      <c r="L79" s="15">
        <f t="shared" si="35"/>
        <v>1673.2372003294752</v>
      </c>
      <c r="M79" s="15">
        <f t="shared" si="35"/>
        <v>1673.2372003294752</v>
      </c>
      <c r="N79" s="15">
        <f t="shared" si="35"/>
        <v>1673.2372003294752</v>
      </c>
      <c r="O79" s="15">
        <f t="shared" si="35"/>
        <v>1673.2372003294752</v>
      </c>
      <c r="P79" s="15">
        <f t="shared" si="35"/>
        <v>1673.2372003294752</v>
      </c>
      <c r="Q79" s="108">
        <f t="shared" si="35"/>
        <v>20078.846403953707</v>
      </c>
      <c r="R79" s="189">
        <f t="shared" si="33"/>
        <v>0.89239317350905367</v>
      </c>
      <c r="S79" s="309">
        <v>23640</v>
      </c>
      <c r="T79" s="310">
        <f t="shared" ref="T79" si="36">IFERROR(Q79/S79-1,"")</f>
        <v>-0.15064101506117988</v>
      </c>
    </row>
    <row r="80" spans="1:20" x14ac:dyDescent="0.35">
      <c r="A80" s="66"/>
      <c r="Q80" s="101"/>
      <c r="R80" s="184"/>
      <c r="S80" s="304"/>
      <c r="T80" s="308"/>
    </row>
    <row r="81" spans="1:22" x14ac:dyDescent="0.35">
      <c r="A81" s="66" t="s">
        <v>138</v>
      </c>
      <c r="D81" s="6" t="s">
        <v>60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01">
        <f>SUM(E81:P81)</f>
        <v>0</v>
      </c>
      <c r="R81" s="184">
        <f t="shared" si="33"/>
        <v>0</v>
      </c>
      <c r="S81" s="304"/>
      <c r="T81" s="308"/>
    </row>
    <row r="82" spans="1:22" x14ac:dyDescent="0.35">
      <c r="A82" s="66" t="s">
        <v>139</v>
      </c>
      <c r="D82" s="6" t="s">
        <v>20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01">
        <f>SUM(E82:P82)</f>
        <v>0</v>
      </c>
      <c r="R82" s="184">
        <f t="shared" si="33"/>
        <v>0</v>
      </c>
      <c r="S82" s="304"/>
      <c r="T82" s="308"/>
    </row>
    <row r="83" spans="1:22" x14ac:dyDescent="0.35">
      <c r="A83" s="66" t="s">
        <v>140</v>
      </c>
      <c r="D83" s="6" t="s">
        <v>28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08">
        <f>SUM(E83:P83)</f>
        <v>0</v>
      </c>
      <c r="R83" s="189">
        <f t="shared" si="33"/>
        <v>0</v>
      </c>
      <c r="S83" s="304"/>
      <c r="T83" s="308"/>
    </row>
    <row r="84" spans="1:22" x14ac:dyDescent="0.35">
      <c r="A84" s="66"/>
      <c r="C84" s="6" t="s">
        <v>61</v>
      </c>
      <c r="E84" s="15">
        <f t="shared" ref="E84:Q84" si="37">SUM(E81:E83)</f>
        <v>0</v>
      </c>
      <c r="F84" s="15">
        <f t="shared" si="37"/>
        <v>0</v>
      </c>
      <c r="G84" s="15">
        <f t="shared" si="37"/>
        <v>0</v>
      </c>
      <c r="H84" s="15">
        <f t="shared" si="37"/>
        <v>0</v>
      </c>
      <c r="I84" s="15">
        <f t="shared" si="37"/>
        <v>0</v>
      </c>
      <c r="J84" s="15">
        <f t="shared" si="37"/>
        <v>0</v>
      </c>
      <c r="K84" s="15">
        <f t="shared" si="37"/>
        <v>0</v>
      </c>
      <c r="L84" s="15">
        <f t="shared" si="37"/>
        <v>0</v>
      </c>
      <c r="M84" s="15">
        <f t="shared" si="37"/>
        <v>0</v>
      </c>
      <c r="N84" s="15">
        <f t="shared" si="37"/>
        <v>0</v>
      </c>
      <c r="O84" s="15">
        <f t="shared" si="37"/>
        <v>0</v>
      </c>
      <c r="P84" s="15">
        <f t="shared" si="37"/>
        <v>0</v>
      </c>
      <c r="Q84" s="108">
        <f t="shared" si="37"/>
        <v>0</v>
      </c>
      <c r="R84" s="189">
        <f t="shared" si="33"/>
        <v>0</v>
      </c>
      <c r="S84" s="309">
        <v>0</v>
      </c>
      <c r="T84" s="310" t="str">
        <f>IFERROR(Q84/S84-1,"")</f>
        <v/>
      </c>
    </row>
    <row r="85" spans="1:22" x14ac:dyDescent="0.35">
      <c r="A85" s="66"/>
      <c r="Q85" s="101"/>
      <c r="R85" s="184"/>
      <c r="S85" s="304"/>
      <c r="T85" s="308"/>
    </row>
    <row r="86" spans="1:22" x14ac:dyDescent="0.35">
      <c r="A86" s="66"/>
      <c r="D86" s="50" t="s">
        <v>30</v>
      </c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198">
        <f>SUM(E86:P86)</f>
        <v>0</v>
      </c>
      <c r="R86" s="186">
        <f t="shared" si="33"/>
        <v>0</v>
      </c>
      <c r="S86" s="304"/>
      <c r="T86" s="308"/>
    </row>
    <row r="87" spans="1:22" x14ac:dyDescent="0.35">
      <c r="A87" s="66"/>
      <c r="D87" s="52" t="s">
        <v>31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08">
        <f>SUM(E87:P87)</f>
        <v>0</v>
      </c>
      <c r="R87" s="188">
        <f t="shared" si="33"/>
        <v>0</v>
      </c>
      <c r="S87" s="304"/>
      <c r="T87" s="308"/>
    </row>
    <row r="88" spans="1:22" x14ac:dyDescent="0.35">
      <c r="A88" s="66" t="s">
        <v>116</v>
      </c>
      <c r="C88" s="6" t="s">
        <v>32</v>
      </c>
      <c r="E88" s="15">
        <f t="shared" ref="E88:Q88" si="38">SUM(E86:E87)</f>
        <v>0</v>
      </c>
      <c r="F88" s="15">
        <f t="shared" si="38"/>
        <v>0</v>
      </c>
      <c r="G88" s="15">
        <f t="shared" si="38"/>
        <v>0</v>
      </c>
      <c r="H88" s="15">
        <f t="shared" si="38"/>
        <v>0</v>
      </c>
      <c r="I88" s="15">
        <f t="shared" si="38"/>
        <v>0</v>
      </c>
      <c r="J88" s="15">
        <f t="shared" si="38"/>
        <v>0</v>
      </c>
      <c r="K88" s="15">
        <f t="shared" si="38"/>
        <v>0</v>
      </c>
      <c r="L88" s="15">
        <f t="shared" si="38"/>
        <v>0</v>
      </c>
      <c r="M88" s="15">
        <f t="shared" si="38"/>
        <v>0</v>
      </c>
      <c r="N88" s="15">
        <f t="shared" si="38"/>
        <v>0</v>
      </c>
      <c r="O88" s="15">
        <f t="shared" si="38"/>
        <v>0</v>
      </c>
      <c r="P88" s="15">
        <f t="shared" si="38"/>
        <v>0</v>
      </c>
      <c r="Q88" s="108">
        <f t="shared" si="38"/>
        <v>0</v>
      </c>
      <c r="R88" s="189">
        <f t="shared" si="33"/>
        <v>0</v>
      </c>
      <c r="S88" s="309">
        <v>0</v>
      </c>
      <c r="T88" s="310" t="str">
        <f t="shared" ref="T88" si="39">IFERROR(Q88/S88-1,"")</f>
        <v/>
      </c>
    </row>
    <row r="89" spans="1:22" x14ac:dyDescent="0.35">
      <c r="A89" s="66"/>
      <c r="Q89" s="101"/>
      <c r="R89" s="184"/>
      <c r="S89" s="304"/>
      <c r="T89" s="308"/>
    </row>
    <row r="90" spans="1:22" x14ac:dyDescent="0.35">
      <c r="A90" s="66" t="s">
        <v>141</v>
      </c>
      <c r="B90" s="6" t="s">
        <v>33</v>
      </c>
      <c r="C90" s="6" t="s">
        <v>62</v>
      </c>
      <c r="E90" s="6">
        <f>ROUND(E$24*0.06,0)</f>
        <v>2083</v>
      </c>
      <c r="F90" s="6">
        <f t="shared" ref="F90:P90" si="40">ROUND(F$24*0.06,0)</f>
        <v>2083</v>
      </c>
      <c r="G90" s="6">
        <f t="shared" si="40"/>
        <v>2083</v>
      </c>
      <c r="H90" s="6">
        <f t="shared" si="40"/>
        <v>2083</v>
      </c>
      <c r="I90" s="6">
        <f t="shared" si="40"/>
        <v>2083</v>
      </c>
      <c r="J90" s="6">
        <f t="shared" si="40"/>
        <v>2083</v>
      </c>
      <c r="K90" s="6">
        <f t="shared" si="40"/>
        <v>2083</v>
      </c>
      <c r="L90" s="6">
        <f t="shared" si="40"/>
        <v>2083</v>
      </c>
      <c r="M90" s="6">
        <f t="shared" si="40"/>
        <v>2083</v>
      </c>
      <c r="N90" s="6">
        <f t="shared" si="40"/>
        <v>2083</v>
      </c>
      <c r="O90" s="6">
        <f t="shared" si="40"/>
        <v>2083</v>
      </c>
      <c r="P90" s="6">
        <f t="shared" si="40"/>
        <v>2083</v>
      </c>
      <c r="Q90" s="101">
        <f>SUM(E90:P90)</f>
        <v>24996</v>
      </c>
      <c r="R90" s="184">
        <f t="shared" ref="R90" si="41">Q90/$B$4</f>
        <v>1.1109333333333333</v>
      </c>
      <c r="S90" s="304">
        <v>23484</v>
      </c>
      <c r="T90" s="308">
        <f t="shared" ref="T90:T92" si="42">IFERROR(Q90/S90-1,"")</f>
        <v>6.4384261624936157E-2</v>
      </c>
      <c r="U90" s="233"/>
    </row>
    <row r="91" spans="1:22" x14ac:dyDescent="0.35">
      <c r="A91" s="66"/>
      <c r="Q91" s="101"/>
      <c r="R91" s="184"/>
      <c r="S91" s="304"/>
      <c r="T91" s="308" t="str">
        <f t="shared" si="42"/>
        <v/>
      </c>
    </row>
    <row r="92" spans="1:22" x14ac:dyDescent="0.35">
      <c r="A92" s="66" t="s">
        <v>117</v>
      </c>
      <c r="C92" s="6" t="s">
        <v>63</v>
      </c>
      <c r="E92" s="6">
        <f>VLOOKUP($B$1,'Allocated Expenses'!$B$34:$P$43,4,FALSE)+VLOOKUP($B$1,'Allocated Expenses'!$B$48:$P$57,4,FALSE)</f>
        <v>544.21833138249451</v>
      </c>
      <c r="F92" s="6">
        <f>VLOOKUP($B$1,'Allocated Expenses'!$B$34:$P$43,5,FALSE)+VLOOKUP($B$1,'Allocated Expenses'!$B$48:$P$57,5,FALSE)</f>
        <v>544.21833138249451</v>
      </c>
      <c r="G92" s="6">
        <f>VLOOKUP($B$1,'Allocated Expenses'!$B$34:$P$43,6,FALSE)+VLOOKUP($B$1,'Allocated Expenses'!$B$48:$P$57,6,FALSE)</f>
        <v>544.21833138249451</v>
      </c>
      <c r="H92" s="6">
        <f>VLOOKUP($B$1,'Allocated Expenses'!$B$34:$P$43,7,FALSE)+VLOOKUP($B$1,'Allocated Expenses'!$B$48:$P$57,7,FALSE)</f>
        <v>544.21833138249451</v>
      </c>
      <c r="I92" s="6">
        <f>VLOOKUP($B$1,'Allocated Expenses'!$B$34:$P$43,8,FALSE)+VLOOKUP($B$1,'Allocated Expenses'!$B$48:$P$57,8,FALSE)</f>
        <v>544.21833138249451</v>
      </c>
      <c r="J92" s="6">
        <f>VLOOKUP($B$1,'Allocated Expenses'!$B$34:$P$43,9,FALSE)+VLOOKUP($B$1,'Allocated Expenses'!$B$48:$P$57,9,FALSE)</f>
        <v>544.21833138249451</v>
      </c>
      <c r="K92" s="6">
        <f>VLOOKUP($B$1,'Allocated Expenses'!$B$34:$P$43,10,FALSE)+VLOOKUP($B$1,'Allocated Expenses'!$B$48:$P$57,10,FALSE)</f>
        <v>544.21833138249451</v>
      </c>
      <c r="L92" s="6">
        <f>VLOOKUP($B$1,'Allocated Expenses'!$B$34:$P$43,11,FALSE)+VLOOKUP($B$1,'Allocated Expenses'!$B$48:$P$57,11,FALSE)</f>
        <v>544.21833138249451</v>
      </c>
      <c r="M92" s="6">
        <f>VLOOKUP($B$1,'Allocated Expenses'!$B$34:$P$43,12,FALSE)+VLOOKUP($B$1,'Allocated Expenses'!$B$48:$P$57,12,FALSE)</f>
        <v>544.21833138249451</v>
      </c>
      <c r="N92" s="6">
        <f>VLOOKUP($B$1,'Allocated Expenses'!$B$34:$P$43,13,FALSE)+VLOOKUP($B$1,'Allocated Expenses'!$B$48:$P$57,13,FALSE)</f>
        <v>544.21833138249451</v>
      </c>
      <c r="O92" s="6">
        <f>VLOOKUP($B$1,'Allocated Expenses'!$B$34:$P$43,14,FALSE)+VLOOKUP($B$1,'Allocated Expenses'!$B$48:$P$57,14,FALSE)</f>
        <v>544.21833138249451</v>
      </c>
      <c r="P92" s="6">
        <f>VLOOKUP($B$1,'Allocated Expenses'!$B$34:$P$43,15,FALSE)+VLOOKUP($B$1,'Allocated Expenses'!$B$48:$P$57,15,FALSE)</f>
        <v>544.21833138249451</v>
      </c>
      <c r="Q92" s="101">
        <f>SUM(E92:P92)</f>
        <v>6530.6199765899337</v>
      </c>
      <c r="R92" s="184">
        <f t="shared" si="33"/>
        <v>0.29024977673733038</v>
      </c>
      <c r="S92" s="304">
        <v>3000</v>
      </c>
      <c r="T92" s="308">
        <f t="shared" si="42"/>
        <v>1.1768733255299777</v>
      </c>
    </row>
    <row r="93" spans="1:22" x14ac:dyDescent="0.35">
      <c r="A93" s="66"/>
      <c r="Q93" s="101"/>
      <c r="R93" s="184"/>
      <c r="S93" s="304"/>
      <c r="T93" s="308"/>
    </row>
    <row r="94" spans="1:22" x14ac:dyDescent="0.35">
      <c r="A94" s="66" t="s">
        <v>118</v>
      </c>
      <c r="C94" s="6" t="s">
        <v>64</v>
      </c>
      <c r="E94" s="12">
        <v>0</v>
      </c>
      <c r="F94" s="12">
        <v>0</v>
      </c>
      <c r="G94" s="12">
        <v>0</v>
      </c>
      <c r="H94" s="12">
        <f>1.03*11300</f>
        <v>11639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01">
        <f>SUM(E94:P94)</f>
        <v>11639</v>
      </c>
      <c r="R94" s="184">
        <f t="shared" ref="R94" si="43">Q94/$B$4</f>
        <v>0.51728888888888891</v>
      </c>
      <c r="S94" s="304">
        <v>19321</v>
      </c>
      <c r="T94" s="308">
        <f t="shared" ref="T94" si="44">IFERROR(Q94/S94-1,"")</f>
        <v>-0.39759846798819942</v>
      </c>
      <c r="U94" s="233" t="s">
        <v>283</v>
      </c>
      <c r="V94" s="6" t="s">
        <v>348</v>
      </c>
    </row>
    <row r="95" spans="1:22" x14ac:dyDescent="0.35">
      <c r="A95" s="66"/>
      <c r="Q95" s="101"/>
      <c r="R95" s="184"/>
      <c r="S95" s="304"/>
      <c r="T95" s="308"/>
    </row>
    <row r="96" spans="1:22" x14ac:dyDescent="0.35">
      <c r="A96" s="66" t="s">
        <v>119</v>
      </c>
      <c r="C96" s="6" t="s">
        <v>65</v>
      </c>
      <c r="E96" s="6">
        <f>VLOOKUP($B$1,'Allocated Expenses'!$B$62:$P$71,4,FALSE)</f>
        <v>712.41666666666663</v>
      </c>
      <c r="F96" s="6">
        <f>VLOOKUP($B$1,'Allocated Expenses'!$B$62:$P$71,5,FALSE)</f>
        <v>712.41666666666663</v>
      </c>
      <c r="G96" s="6">
        <f>VLOOKUP($B$1,'Allocated Expenses'!$B$62:$P$71,6,FALSE)</f>
        <v>712.41666666666663</v>
      </c>
      <c r="H96" s="6">
        <f>VLOOKUP($B$1,'Allocated Expenses'!$B$62:$P$71,7,FALSE)</f>
        <v>712.41666666666663</v>
      </c>
      <c r="I96" s="6">
        <f>VLOOKUP($B$1,'Allocated Expenses'!$B$62:$P$71,8,FALSE)</f>
        <v>712.41666666666663</v>
      </c>
      <c r="J96" s="6">
        <f>VLOOKUP($B$1,'Allocated Expenses'!$B$62:$P$71,9,FALSE)</f>
        <v>712.41666666666663</v>
      </c>
      <c r="K96" s="6">
        <f>VLOOKUP($B$1,'Allocated Expenses'!$B$62:$P$71,10,FALSE)</f>
        <v>712.41666666666663</v>
      </c>
      <c r="L96" s="6">
        <f>VLOOKUP($B$1,'Allocated Expenses'!$B$62:$P$71,11,FALSE)</f>
        <v>712.41666666666663</v>
      </c>
      <c r="M96" s="6">
        <f>VLOOKUP($B$1,'Allocated Expenses'!$B$62:$P$71,12,FALSE)</f>
        <v>712.41666666666663</v>
      </c>
      <c r="N96" s="6">
        <f>VLOOKUP($B$1,'Allocated Expenses'!$B$62:$P$71,13,FALSE)</f>
        <v>712.41666666666663</v>
      </c>
      <c r="O96" s="6">
        <f>VLOOKUP($B$1,'Allocated Expenses'!$B$62:$P$71,14,FALSE)</f>
        <v>712.41666666666663</v>
      </c>
      <c r="P96" s="6">
        <f>VLOOKUP($B$1,'Allocated Expenses'!$B$62:$P$71,15,FALSE)</f>
        <v>712.41666666666663</v>
      </c>
      <c r="Q96" s="101">
        <f>SUM(E96:P96)</f>
        <v>8549.0000000000018</v>
      </c>
      <c r="R96" s="184">
        <f t="shared" si="33"/>
        <v>0.37995555555555566</v>
      </c>
      <c r="S96" s="304">
        <v>6529</v>
      </c>
      <c r="T96" s="308">
        <f t="shared" ref="T96" si="45">IFERROR(Q96/S96-1,"")</f>
        <v>0.30938888037984413</v>
      </c>
    </row>
    <row r="97" spans="1:21" x14ac:dyDescent="0.35">
      <c r="A97" s="66"/>
      <c r="Q97" s="101"/>
      <c r="R97" s="184"/>
      <c r="S97" s="304"/>
      <c r="T97" s="308"/>
    </row>
    <row r="98" spans="1:21" x14ac:dyDescent="0.35">
      <c r="A98" s="66" t="s">
        <v>126</v>
      </c>
      <c r="D98" s="6" t="s">
        <v>66</v>
      </c>
      <c r="E98" s="6">
        <f>VLOOKUP($B$1,'Allocated Expenses'!$B$76:$P$85,4,FALSE)</f>
        <v>51.5</v>
      </c>
      <c r="F98" s="6">
        <f>VLOOKUP($B$1,'Allocated Expenses'!$B$76:$P$85,5,FALSE)</f>
        <v>51.5</v>
      </c>
      <c r="G98" s="6">
        <f>VLOOKUP($B$1,'Allocated Expenses'!$B$76:$P$85,6,FALSE)</f>
        <v>51.5</v>
      </c>
      <c r="H98" s="6">
        <f>VLOOKUP($B$1,'Allocated Expenses'!$B$76:$P$85,7,FALSE)</f>
        <v>51.5</v>
      </c>
      <c r="I98" s="6">
        <f>VLOOKUP($B$1,'Allocated Expenses'!$B$76:$P$85,8,FALSE)</f>
        <v>51.5</v>
      </c>
      <c r="J98" s="6">
        <f>VLOOKUP($B$1,'Allocated Expenses'!$B$76:$P$85,9,FALSE)</f>
        <v>51.5</v>
      </c>
      <c r="K98" s="6">
        <f>VLOOKUP($B$1,'Allocated Expenses'!$B$76:$P$85,10,FALSE)</f>
        <v>51.5</v>
      </c>
      <c r="L98" s="6">
        <f>VLOOKUP($B$1,'Allocated Expenses'!$B$76:$P$85,11,FALSE)</f>
        <v>51.5</v>
      </c>
      <c r="M98" s="6">
        <f>VLOOKUP($B$1,'Allocated Expenses'!$B$76:$P$85,12,FALSE)</f>
        <v>51.5</v>
      </c>
      <c r="N98" s="6">
        <f>VLOOKUP($B$1,'Allocated Expenses'!$B$76:$P$85,13,FALSE)</f>
        <v>51.5</v>
      </c>
      <c r="O98" s="6">
        <f>VLOOKUP($B$1,'Allocated Expenses'!$B$76:$P$85,14,FALSE)</f>
        <v>51.5</v>
      </c>
      <c r="P98" s="6">
        <f>VLOOKUP($B$1,'Allocated Expenses'!$B$76:$P$85,15,FALSE)</f>
        <v>51.5</v>
      </c>
      <c r="Q98" s="101">
        <f>SUM(E98:P98)</f>
        <v>618</v>
      </c>
      <c r="R98" s="184">
        <f t="shared" si="33"/>
        <v>2.7466666666666667E-2</v>
      </c>
      <c r="S98" s="304"/>
      <c r="T98" s="308"/>
    </row>
    <row r="99" spans="1:21" x14ac:dyDescent="0.35">
      <c r="A99" s="66" t="s">
        <v>142</v>
      </c>
      <c r="D99" s="6" t="s">
        <v>67</v>
      </c>
      <c r="E99" s="6">
        <f>VLOOKUP($B$1,'Allocated Expenses'!$B$104:$P$113,4,FALSE)</f>
        <v>0</v>
      </c>
      <c r="F99" s="6">
        <f>VLOOKUP($B$1,'Allocated Expenses'!$B$104:$P$113,5,FALSE)</f>
        <v>0</v>
      </c>
      <c r="G99" s="6">
        <f>VLOOKUP($B$1,'Allocated Expenses'!$B$104:$P$113,6,FALSE)</f>
        <v>0</v>
      </c>
      <c r="H99" s="6">
        <f>VLOOKUP($B$1,'Allocated Expenses'!$B$104:$P$113,7,FALSE)</f>
        <v>0</v>
      </c>
      <c r="I99" s="6">
        <f>VLOOKUP($B$1,'Allocated Expenses'!$B$104:$P$113,8,FALSE)</f>
        <v>0</v>
      </c>
      <c r="J99" s="6">
        <f>VLOOKUP($B$1,'Allocated Expenses'!$B$104:$P$113,9,FALSE)</f>
        <v>0</v>
      </c>
      <c r="K99" s="6">
        <f>VLOOKUP($B$1,'Allocated Expenses'!$B$104:$P$113,10,FALSE)</f>
        <v>0</v>
      </c>
      <c r="L99" s="6">
        <f>VLOOKUP($B$1,'Allocated Expenses'!$B$104:$P$113,11,FALSE)</f>
        <v>0</v>
      </c>
      <c r="M99" s="6">
        <f>VLOOKUP($B$1,'Allocated Expenses'!$B$104:$P$113,12,FALSE)</f>
        <v>0</v>
      </c>
      <c r="N99" s="6">
        <f>VLOOKUP($B$1,'Allocated Expenses'!$B$104:$P$113,13,FALSE)</f>
        <v>0</v>
      </c>
      <c r="O99" s="6">
        <f>VLOOKUP($B$1,'Allocated Expenses'!$B$104:$P$113,14,FALSE)</f>
        <v>0</v>
      </c>
      <c r="P99" s="6">
        <f>VLOOKUP($B$1,'Allocated Expenses'!$B$104:$P$113,15,FALSE)</f>
        <v>0</v>
      </c>
      <c r="Q99" s="101">
        <f>SUM(E99:P99)</f>
        <v>0</v>
      </c>
      <c r="R99" s="184">
        <f t="shared" si="33"/>
        <v>0</v>
      </c>
      <c r="S99" s="304"/>
      <c r="T99" s="308"/>
    </row>
    <row r="100" spans="1:21" x14ac:dyDescent="0.35">
      <c r="A100" s="66" t="s">
        <v>143</v>
      </c>
      <c r="D100" s="6" t="s">
        <v>68</v>
      </c>
      <c r="E100" s="6">
        <f>VLOOKUP($B$1,'Allocated Expenses'!$B$90:$P$99,4,FALSE)</f>
        <v>0</v>
      </c>
      <c r="F100" s="6">
        <f>VLOOKUP($B$1,'Allocated Expenses'!$B$90:$P$99,5,FALSE)</f>
        <v>0</v>
      </c>
      <c r="G100" s="6">
        <f>VLOOKUP($B$1,'Allocated Expenses'!$B$90:$P$99,6,FALSE)</f>
        <v>0</v>
      </c>
      <c r="H100" s="6">
        <f>VLOOKUP($B$1,'Allocated Expenses'!$B$90:$P$99,7,FALSE)</f>
        <v>0</v>
      </c>
      <c r="I100" s="6">
        <f>VLOOKUP($B$1,'Allocated Expenses'!$B$90:$P$99,8,FALSE)</f>
        <v>0</v>
      </c>
      <c r="J100" s="6">
        <f>VLOOKUP($B$1,'Allocated Expenses'!$B$90:$P$99,9,FALSE)</f>
        <v>0</v>
      </c>
      <c r="K100" s="6">
        <f>VLOOKUP($B$1,'Allocated Expenses'!$B$90:$P$99,10,FALSE)</f>
        <v>0</v>
      </c>
      <c r="L100" s="6">
        <f>VLOOKUP($B$1,'Allocated Expenses'!$B$90:$P$99,11,FALSE)</f>
        <v>0</v>
      </c>
      <c r="M100" s="6">
        <f>VLOOKUP($B$1,'Allocated Expenses'!$B$90:$P$99,12,FALSE)</f>
        <v>0</v>
      </c>
      <c r="N100" s="6">
        <f>VLOOKUP($B$1,'Allocated Expenses'!$B$90:$P$99,13,FALSE)</f>
        <v>0</v>
      </c>
      <c r="O100" s="6">
        <f>VLOOKUP($B$1,'Allocated Expenses'!$B$90:$P$99,14,FALSE)</f>
        <v>0</v>
      </c>
      <c r="P100" s="6">
        <f>VLOOKUP($B$1,'Allocated Expenses'!$B$90:$P$99,15,FALSE)</f>
        <v>0</v>
      </c>
      <c r="Q100" s="101">
        <f>SUM(E100:P100)</f>
        <v>0</v>
      </c>
      <c r="R100" s="184">
        <f t="shared" si="33"/>
        <v>0</v>
      </c>
      <c r="S100" s="304"/>
      <c r="T100" s="308"/>
    </row>
    <row r="101" spans="1:21" x14ac:dyDescent="0.35">
      <c r="A101" s="66" t="s">
        <v>127</v>
      </c>
      <c r="D101" s="6" t="s">
        <v>69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01">
        <f>SUM(E101:P101)</f>
        <v>0</v>
      </c>
      <c r="R101" s="184">
        <f t="shared" si="33"/>
        <v>0</v>
      </c>
      <c r="S101" s="304"/>
      <c r="T101" s="308"/>
    </row>
    <row r="102" spans="1:21" x14ac:dyDescent="0.35">
      <c r="A102" s="66" t="s">
        <v>120</v>
      </c>
      <c r="D102" s="6" t="s">
        <v>70</v>
      </c>
      <c r="E102" s="15">
        <f>VLOOKUP($B$1,'Allocated Expenses'!$B$118:$P$127,4,FALSE)</f>
        <v>64.375</v>
      </c>
      <c r="F102" s="15">
        <f>VLOOKUP($B$1,'Allocated Expenses'!$B$118:$P$127,5,FALSE)</f>
        <v>64.375</v>
      </c>
      <c r="G102" s="15">
        <f>VLOOKUP($B$1,'Allocated Expenses'!$B$118:$P$127,6,FALSE)</f>
        <v>64.375</v>
      </c>
      <c r="H102" s="15">
        <f>VLOOKUP($B$1,'Allocated Expenses'!$B$118:$P$127,7,FALSE)</f>
        <v>64.375</v>
      </c>
      <c r="I102" s="15">
        <f>VLOOKUP($B$1,'Allocated Expenses'!$B$118:$P$127,8,FALSE)</f>
        <v>64.375</v>
      </c>
      <c r="J102" s="15">
        <f>VLOOKUP($B$1,'Allocated Expenses'!$B$118:$P$127,9,FALSE)</f>
        <v>64.375</v>
      </c>
      <c r="K102" s="15">
        <f>VLOOKUP($B$1,'Allocated Expenses'!$B$118:$P$127,10,FALSE)</f>
        <v>64.375</v>
      </c>
      <c r="L102" s="15">
        <f>VLOOKUP($B$1,'Allocated Expenses'!$B$118:$P$127,11,FALSE)</f>
        <v>64.375</v>
      </c>
      <c r="M102" s="15">
        <f>VLOOKUP($B$1,'Allocated Expenses'!$B$118:$P$127,12,FALSE)</f>
        <v>64.375</v>
      </c>
      <c r="N102" s="15">
        <f>VLOOKUP($B$1,'Allocated Expenses'!$B$118:$P$127,13,FALSE)</f>
        <v>64.375</v>
      </c>
      <c r="O102" s="15">
        <f>VLOOKUP($B$1,'Allocated Expenses'!$B$118:$P$127,14,FALSE)</f>
        <v>64.375</v>
      </c>
      <c r="P102" s="15">
        <f>VLOOKUP($B$1,'Allocated Expenses'!$B$118:$P$127,15,FALSE)</f>
        <v>64.375</v>
      </c>
      <c r="Q102" s="108">
        <f>SUM(E102:P102)</f>
        <v>772.5</v>
      </c>
      <c r="R102" s="189">
        <f t="shared" si="33"/>
        <v>3.4333333333333334E-2</v>
      </c>
      <c r="S102" s="304"/>
      <c r="T102" s="308"/>
    </row>
    <row r="103" spans="1:21" x14ac:dyDescent="0.35">
      <c r="A103" s="66"/>
      <c r="C103" s="6" t="s">
        <v>71</v>
      </c>
      <c r="E103" s="15">
        <f t="shared" ref="E103:Q103" si="46">SUM(E98:E102)</f>
        <v>115.875</v>
      </c>
      <c r="F103" s="15">
        <f t="shared" si="46"/>
        <v>115.875</v>
      </c>
      <c r="G103" s="15">
        <f t="shared" si="46"/>
        <v>115.875</v>
      </c>
      <c r="H103" s="15">
        <f t="shared" si="46"/>
        <v>115.875</v>
      </c>
      <c r="I103" s="15">
        <f t="shared" si="46"/>
        <v>115.875</v>
      </c>
      <c r="J103" s="15">
        <f t="shared" si="46"/>
        <v>115.875</v>
      </c>
      <c r="K103" s="15">
        <f t="shared" si="46"/>
        <v>115.875</v>
      </c>
      <c r="L103" s="15">
        <f t="shared" si="46"/>
        <v>115.875</v>
      </c>
      <c r="M103" s="15">
        <f t="shared" si="46"/>
        <v>115.875</v>
      </c>
      <c r="N103" s="15">
        <f t="shared" si="46"/>
        <v>115.875</v>
      </c>
      <c r="O103" s="15">
        <f t="shared" si="46"/>
        <v>115.875</v>
      </c>
      <c r="P103" s="15">
        <f t="shared" si="46"/>
        <v>115.875</v>
      </c>
      <c r="Q103" s="108">
        <f t="shared" si="46"/>
        <v>1390.5</v>
      </c>
      <c r="R103" s="189">
        <f t="shared" si="33"/>
        <v>6.1800000000000001E-2</v>
      </c>
      <c r="S103" s="309">
        <v>9368</v>
      </c>
      <c r="T103" s="310">
        <f t="shared" ref="T103" si="47">IFERROR(Q103/S103-1,"")</f>
        <v>-0.85156917164816393</v>
      </c>
    </row>
    <row r="104" spans="1:21" x14ac:dyDescent="0.35">
      <c r="A104" s="66"/>
      <c r="Q104" s="101"/>
      <c r="R104" s="184"/>
      <c r="S104" s="304"/>
      <c r="T104" s="308"/>
    </row>
    <row r="105" spans="1:21" ht="18" x14ac:dyDescent="0.35">
      <c r="A105" s="66"/>
      <c r="C105" s="29" t="s">
        <v>72</v>
      </c>
      <c r="D105" s="54"/>
      <c r="E105" s="54">
        <f t="shared" ref="E105:Q105" si="48">+E75+E79+E84+E88+E90+E92+E94+E96+E103</f>
        <v>5128.7471983786363</v>
      </c>
      <c r="F105" s="54">
        <f t="shared" si="48"/>
        <v>5128.7471983786363</v>
      </c>
      <c r="G105" s="54">
        <f t="shared" si="48"/>
        <v>5128.7471983786363</v>
      </c>
      <c r="H105" s="54">
        <f t="shared" si="48"/>
        <v>16767.747198378638</v>
      </c>
      <c r="I105" s="54">
        <f t="shared" si="48"/>
        <v>5128.7471983786363</v>
      </c>
      <c r="J105" s="54">
        <f t="shared" si="48"/>
        <v>5128.7471983786363</v>
      </c>
      <c r="K105" s="54">
        <f t="shared" si="48"/>
        <v>5128.7471983786363</v>
      </c>
      <c r="L105" s="54">
        <f t="shared" si="48"/>
        <v>5128.7471983786363</v>
      </c>
      <c r="M105" s="54">
        <f t="shared" si="48"/>
        <v>5128.7471983786363</v>
      </c>
      <c r="N105" s="54">
        <f t="shared" si="48"/>
        <v>5128.7471983786363</v>
      </c>
      <c r="O105" s="54">
        <f t="shared" si="48"/>
        <v>5128.7471983786363</v>
      </c>
      <c r="P105" s="54">
        <f t="shared" si="48"/>
        <v>5128.7471983786363</v>
      </c>
      <c r="Q105" s="109">
        <f t="shared" si="48"/>
        <v>73183.966380543643</v>
      </c>
      <c r="R105" s="190">
        <f t="shared" si="33"/>
        <v>3.2526207280241621</v>
      </c>
      <c r="S105" s="315">
        <f t="shared" ref="S105" si="49">+S75+S79+S84+S88+S90+S92+S94+S96+S103</f>
        <v>85342</v>
      </c>
      <c r="T105" s="310">
        <f t="shared" ref="T105" si="50">IFERROR(Q105/S105-1,"")</f>
        <v>-0.14246248763160407</v>
      </c>
    </row>
    <row r="106" spans="1:21" ht="18" x14ac:dyDescent="0.35">
      <c r="A106" s="66"/>
      <c r="Q106" s="103"/>
      <c r="R106" s="185"/>
      <c r="S106" s="311"/>
      <c r="T106" s="312"/>
    </row>
    <row r="107" spans="1:21" ht="16.5" thickBot="1" x14ac:dyDescent="0.4">
      <c r="A107" s="66"/>
      <c r="Q107" s="101"/>
      <c r="R107" s="184"/>
      <c r="S107" s="304"/>
      <c r="T107" s="308"/>
    </row>
    <row r="108" spans="1:21" s="8" customFormat="1" ht="18" thickBot="1" x14ac:dyDescent="0.4">
      <c r="A108" s="218"/>
      <c r="B108" s="219" t="s">
        <v>73</v>
      </c>
      <c r="C108" s="220"/>
      <c r="D108" s="220"/>
      <c r="E108" s="220">
        <f t="shared" ref="E108:Q108" si="51">+E71+E105</f>
        <v>11044.077530667029</v>
      </c>
      <c r="F108" s="220">
        <f t="shared" si="51"/>
        <v>11044.077530667029</v>
      </c>
      <c r="G108" s="220">
        <f t="shared" si="51"/>
        <v>11044.077530667029</v>
      </c>
      <c r="H108" s="220">
        <f t="shared" si="51"/>
        <v>22683.077530667033</v>
      </c>
      <c r="I108" s="220">
        <f t="shared" si="51"/>
        <v>11044.077530667029</v>
      </c>
      <c r="J108" s="220">
        <f t="shared" si="51"/>
        <v>11044.077530667029</v>
      </c>
      <c r="K108" s="220">
        <f t="shared" si="51"/>
        <v>11044.077530667029</v>
      </c>
      <c r="L108" s="220">
        <f t="shared" si="51"/>
        <v>11044.077530667029</v>
      </c>
      <c r="M108" s="220">
        <f t="shared" si="51"/>
        <v>11044.077530667029</v>
      </c>
      <c r="N108" s="220">
        <f t="shared" si="51"/>
        <v>11044.077530667029</v>
      </c>
      <c r="O108" s="220">
        <f t="shared" si="51"/>
        <v>11072.297530667031</v>
      </c>
      <c r="P108" s="220">
        <f t="shared" si="51"/>
        <v>11072.297530667031</v>
      </c>
      <c r="Q108" s="221">
        <f t="shared" si="51"/>
        <v>144224.37036800437</v>
      </c>
      <c r="R108" s="222">
        <f t="shared" si="33"/>
        <v>6.4099720163557494</v>
      </c>
      <c r="S108" s="313">
        <f t="shared" ref="S108" si="52">+S71+S105</f>
        <v>111128</v>
      </c>
      <c r="T108" s="314">
        <f>Q108/S108-1</f>
        <v>0.29782206435825698</v>
      </c>
      <c r="U108" s="238"/>
    </row>
    <row r="109" spans="1:21" ht="18" x14ac:dyDescent="0.35">
      <c r="A109" s="66"/>
      <c r="Q109" s="103"/>
      <c r="R109" s="185"/>
      <c r="S109" s="311"/>
      <c r="T109" s="312"/>
    </row>
    <row r="110" spans="1:21" ht="16.5" thickBot="1" x14ac:dyDescent="0.4">
      <c r="A110" s="66"/>
      <c r="Q110" s="101"/>
      <c r="R110" s="184"/>
      <c r="S110" s="304"/>
      <c r="T110" s="308"/>
    </row>
    <row r="111" spans="1:21" s="8" customFormat="1" ht="18" thickBot="1" x14ac:dyDescent="0.4">
      <c r="A111" s="218"/>
      <c r="B111" s="219" t="s">
        <v>74</v>
      </c>
      <c r="C111" s="220"/>
      <c r="D111" s="220"/>
      <c r="E111" s="220">
        <f t="shared" ref="E111:Q111" si="53">+E24-E108</f>
        <v>23673.292469332973</v>
      </c>
      <c r="F111" s="220">
        <f t="shared" si="53"/>
        <v>23673.292469332973</v>
      </c>
      <c r="G111" s="220">
        <f t="shared" si="53"/>
        <v>23673.292469332973</v>
      </c>
      <c r="H111" s="220">
        <f t="shared" si="53"/>
        <v>12034.29246933297</v>
      </c>
      <c r="I111" s="220">
        <f t="shared" si="53"/>
        <v>23673.292469332973</v>
      </c>
      <c r="J111" s="220">
        <f t="shared" si="53"/>
        <v>23673.292469332973</v>
      </c>
      <c r="K111" s="220">
        <f t="shared" si="53"/>
        <v>23673.292469332973</v>
      </c>
      <c r="L111" s="220">
        <f t="shared" si="53"/>
        <v>23673.292469332973</v>
      </c>
      <c r="M111" s="220">
        <f t="shared" si="53"/>
        <v>23673.292469332973</v>
      </c>
      <c r="N111" s="220">
        <f t="shared" si="53"/>
        <v>23673.292469332973</v>
      </c>
      <c r="O111" s="220">
        <f t="shared" si="53"/>
        <v>23645.072469332972</v>
      </c>
      <c r="P111" s="220">
        <f t="shared" si="53"/>
        <v>23645.072469332972</v>
      </c>
      <c r="Q111" s="221">
        <f t="shared" si="53"/>
        <v>272384.06963199563</v>
      </c>
      <c r="R111" s="222">
        <f t="shared" si="33"/>
        <v>12.105958650310917</v>
      </c>
      <c r="S111" s="313">
        <f t="shared" ref="S111" si="54">+S24-S108</f>
        <v>361997</v>
      </c>
      <c r="T111" s="314">
        <f>Q111/S111-1</f>
        <v>-0.24755158293578228</v>
      </c>
      <c r="U111" s="238"/>
    </row>
    <row r="112" spans="1:21" ht="18" x14ac:dyDescent="0.35">
      <c r="A112" s="66"/>
      <c r="Q112" s="103"/>
      <c r="R112" s="185"/>
      <c r="S112" s="311"/>
      <c r="T112" s="312"/>
    </row>
    <row r="113" spans="1:21" x14ac:dyDescent="0.35">
      <c r="A113" s="66" t="s">
        <v>121</v>
      </c>
      <c r="D113" s="6" t="s">
        <v>75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01">
        <f>SUM(E113:P113)</f>
        <v>0</v>
      </c>
      <c r="R113" s="184">
        <f t="shared" si="33"/>
        <v>0</v>
      </c>
      <c r="S113" s="304"/>
      <c r="T113" s="308"/>
    </row>
    <row r="114" spans="1:21" x14ac:dyDescent="0.35">
      <c r="A114" s="66" t="s">
        <v>122</v>
      </c>
      <c r="D114" s="6" t="s">
        <v>76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01">
        <f>SUM(E114:P114)</f>
        <v>0</v>
      </c>
      <c r="R114" s="184">
        <f t="shared" si="33"/>
        <v>0</v>
      </c>
      <c r="S114" s="304"/>
      <c r="T114" s="308"/>
    </row>
    <row r="115" spans="1:21" x14ac:dyDescent="0.35">
      <c r="A115" s="66" t="s">
        <v>123</v>
      </c>
      <c r="D115" s="6" t="s">
        <v>77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01">
        <f>SUM(E115:P115)</f>
        <v>0</v>
      </c>
      <c r="R115" s="184">
        <f t="shared" si="33"/>
        <v>0</v>
      </c>
      <c r="S115" s="304"/>
      <c r="T115" s="308"/>
    </row>
    <row r="116" spans="1:21" x14ac:dyDescent="0.35">
      <c r="A116" s="66" t="s">
        <v>129</v>
      </c>
      <c r="D116" s="6" t="s">
        <v>78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08">
        <f>SUM(E116:P116)</f>
        <v>0</v>
      </c>
      <c r="R116" s="189">
        <f t="shared" si="33"/>
        <v>0</v>
      </c>
      <c r="S116" s="304"/>
      <c r="T116" s="308"/>
    </row>
    <row r="117" spans="1:21" x14ac:dyDescent="0.35">
      <c r="A117" s="66"/>
      <c r="C117" s="6" t="s">
        <v>78</v>
      </c>
      <c r="E117" s="15">
        <f t="shared" ref="E117:Q117" si="55">SUM(E113:E116)</f>
        <v>0</v>
      </c>
      <c r="F117" s="15">
        <f t="shared" si="55"/>
        <v>0</v>
      </c>
      <c r="G117" s="15">
        <f t="shared" si="55"/>
        <v>0</v>
      </c>
      <c r="H117" s="15">
        <f t="shared" si="55"/>
        <v>0</v>
      </c>
      <c r="I117" s="15">
        <f t="shared" si="55"/>
        <v>0</v>
      </c>
      <c r="J117" s="15">
        <f t="shared" si="55"/>
        <v>0</v>
      </c>
      <c r="K117" s="15">
        <f t="shared" si="55"/>
        <v>0</v>
      </c>
      <c r="L117" s="15">
        <f t="shared" si="55"/>
        <v>0</v>
      </c>
      <c r="M117" s="15">
        <f t="shared" si="55"/>
        <v>0</v>
      </c>
      <c r="N117" s="15">
        <f t="shared" si="55"/>
        <v>0</v>
      </c>
      <c r="O117" s="15">
        <f t="shared" si="55"/>
        <v>0</v>
      </c>
      <c r="P117" s="15">
        <f t="shared" si="55"/>
        <v>0</v>
      </c>
      <c r="Q117" s="108">
        <f t="shared" si="55"/>
        <v>0</v>
      </c>
      <c r="R117" s="189">
        <f t="shared" si="33"/>
        <v>0</v>
      </c>
      <c r="S117" s="309">
        <v>0</v>
      </c>
      <c r="T117" s="310" t="str">
        <f>IFERROR(Q117/S117-1,"")</f>
        <v/>
      </c>
    </row>
    <row r="118" spans="1:21" x14ac:dyDescent="0.35">
      <c r="A118" s="66"/>
      <c r="Q118" s="101"/>
      <c r="R118" s="184"/>
      <c r="S118" s="304"/>
      <c r="T118" s="308"/>
    </row>
    <row r="119" spans="1:21" x14ac:dyDescent="0.35">
      <c r="A119" s="66" t="s">
        <v>124</v>
      </c>
      <c r="C119" s="6" t="s">
        <v>79</v>
      </c>
      <c r="E119" s="6">
        <f>'Renew &amp; Vac '!AJ165</f>
        <v>0</v>
      </c>
      <c r="F119" s="6">
        <f>'Renew &amp; Vac '!AK165</f>
        <v>0</v>
      </c>
      <c r="G119" s="6">
        <f>'Renew &amp; Vac '!AL165</f>
        <v>0</v>
      </c>
      <c r="H119" s="6">
        <f>'Renew &amp; Vac '!AM165</f>
        <v>0</v>
      </c>
      <c r="I119" s="6">
        <f>'Renew &amp; Vac '!AN165</f>
        <v>0</v>
      </c>
      <c r="J119" s="6">
        <f>'Renew &amp; Vac '!AO165</f>
        <v>0</v>
      </c>
      <c r="K119" s="6">
        <f>'Renew &amp; Vac '!AP165</f>
        <v>0</v>
      </c>
      <c r="L119" s="6">
        <f>'Renew &amp; Vac '!AQ165</f>
        <v>0</v>
      </c>
      <c r="M119" s="6">
        <f>'Renew &amp; Vac '!AR165</f>
        <v>0</v>
      </c>
      <c r="N119" s="6">
        <f>'Renew &amp; Vac '!AS165</f>
        <v>0</v>
      </c>
      <c r="O119" s="6">
        <f>'Renew &amp; Vac '!AT165</f>
        <v>0</v>
      </c>
      <c r="P119" s="6">
        <f>'Renew &amp; Vac '!AU165</f>
        <v>0</v>
      </c>
      <c r="Q119" s="101">
        <f>SUM(E119:P119)</f>
        <v>0</v>
      </c>
      <c r="R119" s="184">
        <f t="shared" si="33"/>
        <v>0</v>
      </c>
      <c r="S119" s="304">
        <v>0</v>
      </c>
      <c r="T119" s="308" t="str">
        <f t="shared" ref="T119" si="56">IFERROR(Q119/S119-1,"")</f>
        <v/>
      </c>
    </row>
    <row r="120" spans="1:21" ht="18" x14ac:dyDescent="0.35">
      <c r="A120" s="6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11"/>
      <c r="R120" s="192"/>
      <c r="S120" s="317"/>
      <c r="T120" s="318"/>
    </row>
    <row r="121" spans="1:21" ht="18" x14ac:dyDescent="0.35">
      <c r="A121" s="66" t="s">
        <v>125</v>
      </c>
      <c r="D121" s="6" t="s">
        <v>80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03">
        <f>SUM(E121:P121)</f>
        <v>0</v>
      </c>
      <c r="R121" s="185">
        <f t="shared" si="33"/>
        <v>0</v>
      </c>
      <c r="S121" s="311"/>
      <c r="T121" s="312"/>
    </row>
    <row r="122" spans="1:21" x14ac:dyDescent="0.35">
      <c r="A122" s="66" t="s">
        <v>125</v>
      </c>
      <c r="B122" s="8"/>
      <c r="D122" s="6" t="s">
        <v>81</v>
      </c>
      <c r="E122" s="15">
        <f>'Renew &amp; Vac '!AJ166</f>
        <v>0</v>
      </c>
      <c r="F122" s="15">
        <f>'Renew &amp; Vac '!AK166</f>
        <v>0</v>
      </c>
      <c r="G122" s="15">
        <f>'Renew &amp; Vac '!AL166</f>
        <v>0</v>
      </c>
      <c r="H122" s="15">
        <f>'Renew &amp; Vac '!AM166</f>
        <v>0</v>
      </c>
      <c r="I122" s="15">
        <f>'Renew &amp; Vac '!AN166</f>
        <v>0</v>
      </c>
      <c r="J122" s="15">
        <f>'Renew &amp; Vac '!AO166</f>
        <v>0</v>
      </c>
      <c r="K122" s="15">
        <f>'Renew &amp; Vac '!AP166</f>
        <v>0</v>
      </c>
      <c r="L122" s="15">
        <f>'Renew &amp; Vac '!AQ166</f>
        <v>0</v>
      </c>
      <c r="M122" s="15">
        <f>'Renew &amp; Vac '!AR166</f>
        <v>0</v>
      </c>
      <c r="N122" s="15">
        <f>'Renew &amp; Vac '!AS166</f>
        <v>0</v>
      </c>
      <c r="O122" s="15">
        <f>'Renew &amp; Vac '!AT166</f>
        <v>0</v>
      </c>
      <c r="P122" s="15">
        <f>'Renew &amp; Vac '!AU166</f>
        <v>0</v>
      </c>
      <c r="Q122" s="108">
        <f>SUM(E122:P122)</f>
        <v>0</v>
      </c>
      <c r="R122" s="189">
        <f t="shared" si="33"/>
        <v>0</v>
      </c>
      <c r="S122" s="319"/>
      <c r="T122" s="320"/>
    </row>
    <row r="123" spans="1:21" x14ac:dyDescent="0.35">
      <c r="A123" s="66"/>
      <c r="C123" s="6" t="s">
        <v>81</v>
      </c>
      <c r="D123" s="30"/>
      <c r="E123" s="6">
        <f>SUM(E121:E121)</f>
        <v>0</v>
      </c>
      <c r="F123" s="6">
        <f t="shared" ref="F123:Q123" si="57">SUM(F121:F122)</f>
        <v>0</v>
      </c>
      <c r="G123" s="6">
        <f t="shared" si="57"/>
        <v>0</v>
      </c>
      <c r="H123" s="6">
        <f t="shared" si="57"/>
        <v>0</v>
      </c>
      <c r="I123" s="6">
        <f t="shared" si="57"/>
        <v>0</v>
      </c>
      <c r="J123" s="6">
        <f t="shared" si="57"/>
        <v>0</v>
      </c>
      <c r="K123" s="6">
        <f t="shared" si="57"/>
        <v>0</v>
      </c>
      <c r="L123" s="6">
        <f t="shared" si="57"/>
        <v>0</v>
      </c>
      <c r="M123" s="6">
        <f t="shared" si="57"/>
        <v>0</v>
      </c>
      <c r="N123" s="6">
        <f t="shared" si="57"/>
        <v>0</v>
      </c>
      <c r="O123" s="6">
        <f t="shared" si="57"/>
        <v>0</v>
      </c>
      <c r="P123" s="6">
        <f t="shared" si="57"/>
        <v>0</v>
      </c>
      <c r="Q123" s="101">
        <f t="shared" si="57"/>
        <v>0</v>
      </c>
      <c r="R123" s="184">
        <f t="shared" si="33"/>
        <v>0</v>
      </c>
      <c r="S123" s="309"/>
      <c r="T123" s="310" t="str">
        <f t="shared" ref="T123" si="58">IFERROR(Q123/S123-1,"")</f>
        <v/>
      </c>
    </row>
    <row r="124" spans="1:21" s="8" customFormat="1" ht="18.5" thickBot="1" x14ac:dyDescent="0.4">
      <c r="A124" s="67"/>
      <c r="Q124" s="113"/>
      <c r="R124" s="194"/>
      <c r="S124" s="321"/>
      <c r="T124" s="322"/>
      <c r="U124" s="238"/>
    </row>
    <row r="125" spans="1:21" s="8" customFormat="1" ht="18" thickBot="1" x14ac:dyDescent="0.4">
      <c r="A125" s="218"/>
      <c r="B125" s="223" t="s">
        <v>82</v>
      </c>
      <c r="C125" s="224"/>
      <c r="D125" s="224"/>
      <c r="E125" s="224">
        <f t="shared" ref="E125:Q125" si="59">+E111-E117-E119-E123</f>
        <v>23673.292469332973</v>
      </c>
      <c r="F125" s="224">
        <f t="shared" si="59"/>
        <v>23673.292469332973</v>
      </c>
      <c r="G125" s="224">
        <f t="shared" si="59"/>
        <v>23673.292469332973</v>
      </c>
      <c r="H125" s="224">
        <f t="shared" si="59"/>
        <v>12034.29246933297</v>
      </c>
      <c r="I125" s="224">
        <f t="shared" si="59"/>
        <v>23673.292469332973</v>
      </c>
      <c r="J125" s="224">
        <f t="shared" si="59"/>
        <v>23673.292469332973</v>
      </c>
      <c r="K125" s="224">
        <f t="shared" si="59"/>
        <v>23673.292469332973</v>
      </c>
      <c r="L125" s="224">
        <f t="shared" si="59"/>
        <v>23673.292469332973</v>
      </c>
      <c r="M125" s="224">
        <f t="shared" si="59"/>
        <v>23673.292469332973</v>
      </c>
      <c r="N125" s="224">
        <f t="shared" si="59"/>
        <v>23673.292469332973</v>
      </c>
      <c r="O125" s="224">
        <f t="shared" si="59"/>
        <v>23645.072469332972</v>
      </c>
      <c r="P125" s="224">
        <f t="shared" si="59"/>
        <v>23645.072469332972</v>
      </c>
      <c r="Q125" s="221">
        <f t="shared" si="59"/>
        <v>272384.06963199563</v>
      </c>
      <c r="R125" s="225">
        <f t="shared" si="33"/>
        <v>12.105958650310917</v>
      </c>
      <c r="S125" s="313">
        <f>+S111-S117-S119-S123</f>
        <v>361997</v>
      </c>
      <c r="T125" s="314">
        <f>Q125/S125-1</f>
        <v>-0.24755158293578228</v>
      </c>
      <c r="U125" s="238"/>
    </row>
    <row r="126" spans="1:21" ht="18" x14ac:dyDescent="0.35">
      <c r="A126" s="66"/>
      <c r="Q126" s="101"/>
      <c r="R126" s="184"/>
      <c r="S126" s="311"/>
      <c r="T126" s="312"/>
    </row>
    <row r="127" spans="1:21" x14ac:dyDescent="0.35">
      <c r="A127" s="66"/>
      <c r="B127" s="6" t="s">
        <v>83</v>
      </c>
      <c r="Q127" s="101"/>
      <c r="R127" s="184"/>
      <c r="S127" s="304"/>
      <c r="T127" s="308"/>
    </row>
    <row r="128" spans="1:21" x14ac:dyDescent="0.35">
      <c r="A128" s="66" t="s">
        <v>128</v>
      </c>
      <c r="C128" s="6" t="s">
        <v>84</v>
      </c>
      <c r="E128" s="6">
        <f>VLOOKUP($B$1,'INS RET DEBT'!$C$98:$Q$107,3,FALSE)</f>
        <v>0</v>
      </c>
      <c r="F128" s="6">
        <f>VLOOKUP($B$1,'INS RET DEBT'!$C$98:$Q$107,4,FALSE)</f>
        <v>0</v>
      </c>
      <c r="G128" s="6">
        <f>VLOOKUP($B$1,'INS RET DEBT'!$C$98:$Q$107,5,FALSE)</f>
        <v>0</v>
      </c>
      <c r="H128" s="6">
        <f>VLOOKUP($B$1,'INS RET DEBT'!$C$98:$Q$107,6,FALSE)</f>
        <v>0</v>
      </c>
      <c r="I128" s="6">
        <f>VLOOKUP($B$1,'INS RET DEBT'!$C$98:$Q$107,7,FALSE)</f>
        <v>0</v>
      </c>
      <c r="J128" s="6">
        <f>VLOOKUP($B$1,'INS RET DEBT'!$C$98:$Q$107,8,FALSE)</f>
        <v>0</v>
      </c>
      <c r="K128" s="6">
        <f>VLOOKUP($B$1,'INS RET DEBT'!$C$98:$Q$107,9,FALSE)</f>
        <v>0</v>
      </c>
      <c r="L128" s="6">
        <f>VLOOKUP($B$1,'INS RET DEBT'!$C$98:$Q$107,10,FALSE)</f>
        <v>0</v>
      </c>
      <c r="M128" s="6">
        <f>VLOOKUP($B$1,'INS RET DEBT'!$C$98:$Q$107,11,FALSE)</f>
        <v>0</v>
      </c>
      <c r="N128" s="6">
        <f>VLOOKUP($B$1,'INS RET DEBT'!$C$98:$Q$107,12,FALSE)</f>
        <v>0</v>
      </c>
      <c r="O128" s="6">
        <f>VLOOKUP($B$1,'INS RET DEBT'!$C$98:$Q$107,13,FALSE)</f>
        <v>0</v>
      </c>
      <c r="P128" s="6">
        <f>VLOOKUP($B$1,'INS RET DEBT'!$C$98:$Q$107,14,FALSE)</f>
        <v>0</v>
      </c>
      <c r="Q128" s="101">
        <f>SUM(E128:P128)</f>
        <v>0</v>
      </c>
      <c r="R128" s="184">
        <f t="shared" si="33"/>
        <v>0</v>
      </c>
      <c r="S128" s="304">
        <v>0</v>
      </c>
      <c r="T128" s="308" t="str">
        <f t="shared" ref="T128:T129" si="60">IFERROR(Q128/S128-1,"")</f>
        <v/>
      </c>
    </row>
    <row r="129" spans="1:21" x14ac:dyDescent="0.35">
      <c r="A129" s="66" t="s">
        <v>145</v>
      </c>
      <c r="C129" s="6" t="s">
        <v>85</v>
      </c>
      <c r="E129" s="6">
        <f>VLOOKUP($B$1,'INS RET DEBT'!$C$113:$Q$122,3,FALSE)</f>
        <v>0</v>
      </c>
      <c r="F129" s="6">
        <f>VLOOKUP($B$1,'INS RET DEBT'!$C$113:$Q$122,4,FALSE)</f>
        <v>0</v>
      </c>
      <c r="G129" s="6">
        <f>VLOOKUP($B$1,'INS RET DEBT'!$C$113:$Q$122,5,FALSE)</f>
        <v>0</v>
      </c>
      <c r="H129" s="6">
        <f>VLOOKUP($B$1,'INS RET DEBT'!$C$113:$Q$122,6,FALSE)</f>
        <v>0</v>
      </c>
      <c r="I129" s="6">
        <f>VLOOKUP($B$1,'INS RET DEBT'!$C$113:$Q$122,7,FALSE)</f>
        <v>0</v>
      </c>
      <c r="J129" s="6">
        <f>VLOOKUP($B$1,'INS RET DEBT'!$C$113:$Q$122,8,FALSE)</f>
        <v>0</v>
      </c>
      <c r="K129" s="6">
        <f>VLOOKUP($B$1,'INS RET DEBT'!$C$113:$Q$122,9,FALSE)</f>
        <v>0</v>
      </c>
      <c r="L129" s="6">
        <f>VLOOKUP($B$1,'INS RET DEBT'!$C$113:$Q$122,10,FALSE)</f>
        <v>0</v>
      </c>
      <c r="M129" s="6">
        <f>VLOOKUP($B$1,'INS RET DEBT'!$C$113:$Q$122,11,FALSE)</f>
        <v>0</v>
      </c>
      <c r="N129" s="6">
        <f>VLOOKUP($B$1,'INS RET DEBT'!$C$113:$Q$122,12,FALSE)</f>
        <v>0</v>
      </c>
      <c r="O129" s="6">
        <f>VLOOKUP($B$1,'INS RET DEBT'!$C$113:$Q$122,13,FALSE)</f>
        <v>0</v>
      </c>
      <c r="P129" s="6">
        <f>VLOOKUP($B$1,'INS RET DEBT'!$C$113:$Q$122,14,FALSE)</f>
        <v>0</v>
      </c>
      <c r="Q129" s="101">
        <f>SUM(E129:P129)</f>
        <v>0</v>
      </c>
      <c r="R129" s="184">
        <f t="shared" si="33"/>
        <v>0</v>
      </c>
      <c r="S129" s="304">
        <v>0</v>
      </c>
      <c r="T129" s="308" t="str">
        <f t="shared" si="60"/>
        <v/>
      </c>
    </row>
    <row r="130" spans="1:21" x14ac:dyDescent="0.35">
      <c r="A130" s="66" t="s">
        <v>146</v>
      </c>
      <c r="C130" s="6" t="s">
        <v>86</v>
      </c>
      <c r="Q130" s="101">
        <f>SUM(E130:P130)</f>
        <v>0</v>
      </c>
      <c r="R130" s="184">
        <f t="shared" si="33"/>
        <v>0</v>
      </c>
      <c r="S130" s="304"/>
      <c r="T130" s="308"/>
    </row>
    <row r="131" spans="1:21" x14ac:dyDescent="0.35">
      <c r="A131" s="66"/>
      <c r="C131" s="6" t="s">
        <v>87</v>
      </c>
      <c r="E131" s="28">
        <f t="shared" ref="E131:Q131" si="61">SUM(E128:E130)</f>
        <v>0</v>
      </c>
      <c r="F131" s="28">
        <f t="shared" si="61"/>
        <v>0</v>
      </c>
      <c r="G131" s="28">
        <f t="shared" si="61"/>
        <v>0</v>
      </c>
      <c r="H131" s="28">
        <f t="shared" si="61"/>
        <v>0</v>
      </c>
      <c r="I131" s="28">
        <f t="shared" si="61"/>
        <v>0</v>
      </c>
      <c r="J131" s="28">
        <f t="shared" si="61"/>
        <v>0</v>
      </c>
      <c r="K131" s="28">
        <f t="shared" si="61"/>
        <v>0</v>
      </c>
      <c r="L131" s="28">
        <f t="shared" si="61"/>
        <v>0</v>
      </c>
      <c r="M131" s="28">
        <f t="shared" si="61"/>
        <v>0</v>
      </c>
      <c r="N131" s="28">
        <f t="shared" si="61"/>
        <v>0</v>
      </c>
      <c r="O131" s="28">
        <f t="shared" si="61"/>
        <v>0</v>
      </c>
      <c r="P131" s="28">
        <f t="shared" si="61"/>
        <v>0</v>
      </c>
      <c r="Q131" s="110">
        <f t="shared" si="61"/>
        <v>0</v>
      </c>
      <c r="R131" s="191">
        <f t="shared" si="33"/>
        <v>0</v>
      </c>
      <c r="S131" s="309">
        <f>SUM(S128:S129)</f>
        <v>0</v>
      </c>
      <c r="T131" s="310" t="str">
        <f>IFERROR(Q131/S131-1,"")</f>
        <v/>
      </c>
    </row>
    <row r="132" spans="1:21" ht="18" x14ac:dyDescent="0.35">
      <c r="A132" s="66"/>
      <c r="Q132" s="101"/>
      <c r="R132" s="184"/>
      <c r="S132" s="311"/>
      <c r="T132" s="312"/>
    </row>
    <row r="133" spans="1:21" ht="18.5" thickBot="1" x14ac:dyDescent="0.4">
      <c r="A133" s="67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12"/>
      <c r="R133" s="193"/>
      <c r="S133" s="311"/>
      <c r="T133" s="312"/>
    </row>
    <row r="134" spans="1:21" s="8" customFormat="1" ht="18" thickBot="1" x14ac:dyDescent="0.4">
      <c r="A134" s="218"/>
      <c r="B134" s="223" t="s">
        <v>88</v>
      </c>
      <c r="C134" s="224"/>
      <c r="D134" s="224"/>
      <c r="E134" s="224">
        <f t="shared" ref="E134:Q134" si="62">+E125-E131</f>
        <v>23673.292469332973</v>
      </c>
      <c r="F134" s="224">
        <f t="shared" si="62"/>
        <v>23673.292469332973</v>
      </c>
      <c r="G134" s="224">
        <f t="shared" si="62"/>
        <v>23673.292469332973</v>
      </c>
      <c r="H134" s="224">
        <f t="shared" si="62"/>
        <v>12034.29246933297</v>
      </c>
      <c r="I134" s="224">
        <f t="shared" si="62"/>
        <v>23673.292469332973</v>
      </c>
      <c r="J134" s="224">
        <f t="shared" si="62"/>
        <v>23673.292469332973</v>
      </c>
      <c r="K134" s="224">
        <f t="shared" si="62"/>
        <v>23673.292469332973</v>
      </c>
      <c r="L134" s="224">
        <f t="shared" si="62"/>
        <v>23673.292469332973</v>
      </c>
      <c r="M134" s="224">
        <f t="shared" si="62"/>
        <v>23673.292469332973</v>
      </c>
      <c r="N134" s="224">
        <f t="shared" si="62"/>
        <v>23673.292469332973</v>
      </c>
      <c r="O134" s="224">
        <f t="shared" si="62"/>
        <v>23645.072469332972</v>
      </c>
      <c r="P134" s="224">
        <f t="shared" si="62"/>
        <v>23645.072469332972</v>
      </c>
      <c r="Q134" s="221">
        <f t="shared" si="62"/>
        <v>272384.06963199563</v>
      </c>
      <c r="R134" s="225">
        <f t="shared" si="33"/>
        <v>12.105958650310917</v>
      </c>
      <c r="S134" s="313">
        <f>+S125-S131</f>
        <v>361997</v>
      </c>
      <c r="T134" s="314">
        <f>Q134/S134-1</f>
        <v>-0.24755158293578228</v>
      </c>
      <c r="U134" s="238"/>
    </row>
    <row r="135" spans="1:21" ht="18" x14ac:dyDescent="0.35">
      <c r="A135" s="68"/>
      <c r="B135" s="8"/>
      <c r="C135" s="32"/>
      <c r="S135" s="328"/>
      <c r="T135" s="329"/>
    </row>
    <row r="136" spans="1:21" s="8" customFormat="1" ht="17.5" x14ac:dyDescent="0.3">
      <c r="A136" s="68"/>
      <c r="C136" s="32"/>
      <c r="D136" s="33"/>
      <c r="S136" s="328"/>
      <c r="T136" s="329"/>
      <c r="U136" s="238"/>
    </row>
    <row r="137" spans="1:21" ht="18" x14ac:dyDescent="0.35">
      <c r="A137" s="66"/>
      <c r="S137" s="328"/>
      <c r="T137" s="329"/>
    </row>
    <row r="138" spans="1:21" x14ac:dyDescent="0.35">
      <c r="A138" s="47"/>
    </row>
    <row r="139" spans="1:21" x14ac:dyDescent="0.35">
      <c r="A139" s="47"/>
      <c r="S139" s="330"/>
    </row>
    <row r="140" spans="1:21" x14ac:dyDescent="0.35">
      <c r="A140" s="47"/>
    </row>
    <row r="141" spans="1:21" ht="17.5" x14ac:dyDescent="0.35">
      <c r="A141" s="47"/>
      <c r="S141" s="9"/>
      <c r="T141" s="331"/>
    </row>
    <row r="142" spans="1:21" ht="18" x14ac:dyDescent="0.35">
      <c r="A142" s="47"/>
      <c r="S142" s="328"/>
      <c r="T142" s="329"/>
    </row>
    <row r="143" spans="1:21" x14ac:dyDescent="0.35">
      <c r="A143" s="47"/>
    </row>
    <row r="144" spans="1:21" x14ac:dyDescent="0.35">
      <c r="A144" s="47"/>
    </row>
    <row r="145" spans="1:20" ht="18" x14ac:dyDescent="0.35">
      <c r="A145" s="47"/>
      <c r="D145" s="7" t="str">
        <f>"Budget Import - "&amp;B1</f>
        <v>Budget Import - 7300</v>
      </c>
      <c r="E145" s="389">
        <v>5</v>
      </c>
      <c r="F145" s="390">
        <f>E145+1</f>
        <v>6</v>
      </c>
      <c r="G145" s="390">
        <f t="shared" ref="G145:P145" si="63">F145+1</f>
        <v>7</v>
      </c>
      <c r="H145" s="390">
        <f t="shared" si="63"/>
        <v>8</v>
      </c>
      <c r="I145" s="390">
        <f t="shared" si="63"/>
        <v>9</v>
      </c>
      <c r="J145" s="390">
        <f t="shared" si="63"/>
        <v>10</v>
      </c>
      <c r="K145" s="390">
        <f t="shared" si="63"/>
        <v>11</v>
      </c>
      <c r="L145" s="390">
        <f t="shared" si="63"/>
        <v>12</v>
      </c>
      <c r="M145" s="390">
        <f t="shared" si="63"/>
        <v>13</v>
      </c>
      <c r="N145" s="390">
        <f t="shared" si="63"/>
        <v>14</v>
      </c>
      <c r="O145" s="390">
        <f t="shared" si="63"/>
        <v>15</v>
      </c>
      <c r="P145" s="390">
        <f t="shared" si="63"/>
        <v>16</v>
      </c>
      <c r="Q145" s="390" t="s">
        <v>566</v>
      </c>
    </row>
    <row r="146" spans="1:20" ht="16.5" thickBot="1" x14ac:dyDescent="0.4">
      <c r="A146" s="47"/>
      <c r="D146" s="6" t="s">
        <v>96</v>
      </c>
      <c r="E146" s="6">
        <v>1</v>
      </c>
      <c r="F146" s="6">
        <v>2</v>
      </c>
      <c r="G146" s="6">
        <v>3</v>
      </c>
      <c r="H146" s="6">
        <v>4</v>
      </c>
      <c r="I146" s="6">
        <v>5</v>
      </c>
      <c r="J146" s="6">
        <v>6</v>
      </c>
      <c r="K146" s="6">
        <v>7</v>
      </c>
      <c r="L146" s="6">
        <v>8</v>
      </c>
      <c r="M146" s="6">
        <v>9</v>
      </c>
      <c r="N146" s="6">
        <v>10</v>
      </c>
      <c r="O146" s="6">
        <v>11</v>
      </c>
      <c r="P146" s="6">
        <v>12</v>
      </c>
      <c r="Q146" s="13" t="s">
        <v>12</v>
      </c>
    </row>
    <row r="147" spans="1:20" x14ac:dyDescent="0.35">
      <c r="A147" s="294" t="str">
        <f>VLOOKUP($D147,$A$10:$D$130,3,FALSE)</f>
        <v>Rental Income - In Place</v>
      </c>
      <c r="D147" s="57" t="s">
        <v>132</v>
      </c>
      <c r="E147" s="58">
        <f>-(VLOOKUP($D147,$A$10:$P$134,E$145,FALSE)+E11)</f>
        <v>-34687.5</v>
      </c>
      <c r="F147" s="58">
        <f t="shared" ref="F147:P147" si="64">-(VLOOKUP($D147,$A$10:$P$134,F$145,FALSE)+F11)</f>
        <v>-34687.5</v>
      </c>
      <c r="G147" s="58">
        <f t="shared" si="64"/>
        <v>-34687.5</v>
      </c>
      <c r="H147" s="58">
        <f t="shared" si="64"/>
        <v>-34687.5</v>
      </c>
      <c r="I147" s="58">
        <f t="shared" si="64"/>
        <v>-34687.5</v>
      </c>
      <c r="J147" s="58">
        <f t="shared" si="64"/>
        <v>-34687.5</v>
      </c>
      <c r="K147" s="58">
        <f t="shared" si="64"/>
        <v>-34687.5</v>
      </c>
      <c r="L147" s="58">
        <f t="shared" si="64"/>
        <v>-34687.5</v>
      </c>
      <c r="M147" s="58">
        <f t="shared" si="64"/>
        <v>-34687.5</v>
      </c>
      <c r="N147" s="58">
        <f t="shared" si="64"/>
        <v>-34687.5</v>
      </c>
      <c r="O147" s="58">
        <f t="shared" si="64"/>
        <v>-34687.5</v>
      </c>
      <c r="P147" s="59">
        <f t="shared" si="64"/>
        <v>-34687.5</v>
      </c>
      <c r="Q147" s="13">
        <f>SUM(E147:P147)</f>
        <v>-416250</v>
      </c>
      <c r="R147" s="13"/>
    </row>
    <row r="148" spans="1:20" x14ac:dyDescent="0.35">
      <c r="A148" s="294" t="str">
        <f t="shared" ref="A148:A182" si="65">VLOOKUP($D148,$A$10:$D$130,3,FALSE)</f>
        <v>Interest Income</v>
      </c>
      <c r="D148" s="60" t="s">
        <v>134</v>
      </c>
      <c r="E148" s="61">
        <f t="shared" ref="E148:P151" si="66">-VLOOKUP($D148,$A$10:$P$134,E$145,FALSE)</f>
        <v>-29.87</v>
      </c>
      <c r="F148" s="61">
        <f t="shared" si="66"/>
        <v>-29.87</v>
      </c>
      <c r="G148" s="61">
        <f t="shared" si="66"/>
        <v>-29.87</v>
      </c>
      <c r="H148" s="61">
        <f t="shared" si="66"/>
        <v>-29.87</v>
      </c>
      <c r="I148" s="61">
        <f t="shared" si="66"/>
        <v>-29.87</v>
      </c>
      <c r="J148" s="61">
        <f t="shared" si="66"/>
        <v>-29.87</v>
      </c>
      <c r="K148" s="61">
        <f t="shared" si="66"/>
        <v>-29.87</v>
      </c>
      <c r="L148" s="61">
        <f t="shared" si="66"/>
        <v>-29.87</v>
      </c>
      <c r="M148" s="61">
        <f t="shared" si="66"/>
        <v>-29.87</v>
      </c>
      <c r="N148" s="61">
        <f t="shared" si="66"/>
        <v>-29.87</v>
      </c>
      <c r="O148" s="61">
        <f t="shared" si="66"/>
        <v>-29.87</v>
      </c>
      <c r="P148" s="62">
        <f t="shared" si="66"/>
        <v>-29.87</v>
      </c>
      <c r="Q148" s="13">
        <f t="shared" ref="Q148" si="67">SUM(E148:P148)</f>
        <v>-358.44</v>
      </c>
      <c r="R148" s="13"/>
    </row>
    <row r="149" spans="1:20" x14ac:dyDescent="0.35">
      <c r="A149" s="294" t="str">
        <f t="shared" si="65"/>
        <v>Electric</v>
      </c>
      <c r="D149" s="60" t="s">
        <v>98</v>
      </c>
      <c r="E149" s="61">
        <f t="shared" si="66"/>
        <v>0</v>
      </c>
      <c r="F149" s="61">
        <f t="shared" si="66"/>
        <v>0</v>
      </c>
      <c r="G149" s="61">
        <f t="shared" si="66"/>
        <v>0</v>
      </c>
      <c r="H149" s="61">
        <f t="shared" si="66"/>
        <v>0</v>
      </c>
      <c r="I149" s="61">
        <f t="shared" si="66"/>
        <v>0</v>
      </c>
      <c r="J149" s="61">
        <f t="shared" si="66"/>
        <v>0</v>
      </c>
      <c r="K149" s="61">
        <f t="shared" si="66"/>
        <v>0</v>
      </c>
      <c r="L149" s="61">
        <f t="shared" si="66"/>
        <v>0</v>
      </c>
      <c r="M149" s="61">
        <f t="shared" si="66"/>
        <v>0</v>
      </c>
      <c r="N149" s="61">
        <f t="shared" si="66"/>
        <v>0</v>
      </c>
      <c r="O149" s="61">
        <f t="shared" si="66"/>
        <v>0</v>
      </c>
      <c r="P149" s="62">
        <f t="shared" si="66"/>
        <v>0</v>
      </c>
      <c r="Q149" s="13">
        <f t="shared" ref="Q149:Q182" si="68">SUM(E149:P149)</f>
        <v>0</v>
      </c>
      <c r="R149" s="13"/>
    </row>
    <row r="150" spans="1:20" ht="18" x14ac:dyDescent="0.35">
      <c r="A150" s="294" t="str">
        <f t="shared" si="65"/>
        <v>Common Area Maintenance</v>
      </c>
      <c r="D150" s="60" t="s">
        <v>99</v>
      </c>
      <c r="E150" s="61">
        <f t="shared" si="66"/>
        <v>0</v>
      </c>
      <c r="F150" s="61">
        <f t="shared" si="66"/>
        <v>0</v>
      </c>
      <c r="G150" s="61">
        <f t="shared" si="66"/>
        <v>0</v>
      </c>
      <c r="H150" s="61">
        <f t="shared" si="66"/>
        <v>0</v>
      </c>
      <c r="I150" s="61">
        <f t="shared" si="66"/>
        <v>0</v>
      </c>
      <c r="J150" s="61">
        <f t="shared" si="66"/>
        <v>0</v>
      </c>
      <c r="K150" s="61">
        <f t="shared" si="66"/>
        <v>0</v>
      </c>
      <c r="L150" s="61">
        <f t="shared" si="66"/>
        <v>0</v>
      </c>
      <c r="M150" s="61">
        <f t="shared" si="66"/>
        <v>0</v>
      </c>
      <c r="N150" s="61">
        <f t="shared" si="66"/>
        <v>0</v>
      </c>
      <c r="O150" s="61">
        <f t="shared" si="66"/>
        <v>0</v>
      </c>
      <c r="P150" s="62">
        <f t="shared" si="66"/>
        <v>0</v>
      </c>
      <c r="Q150" s="13">
        <f t="shared" si="68"/>
        <v>0</v>
      </c>
      <c r="R150" s="13"/>
      <c r="S150" s="328"/>
      <c r="T150" s="329"/>
    </row>
    <row r="151" spans="1:20" x14ac:dyDescent="0.35">
      <c r="A151" s="294" t="str">
        <f t="shared" si="65"/>
        <v>Real Estate Taxes</v>
      </c>
      <c r="D151" s="60" t="s">
        <v>100</v>
      </c>
      <c r="E151" s="61">
        <f t="shared" si="66"/>
        <v>0</v>
      </c>
      <c r="F151" s="61">
        <f t="shared" si="66"/>
        <v>0</v>
      </c>
      <c r="G151" s="61">
        <f t="shared" si="66"/>
        <v>0</v>
      </c>
      <c r="H151" s="61">
        <f t="shared" si="66"/>
        <v>0</v>
      </c>
      <c r="I151" s="61">
        <f t="shared" si="66"/>
        <v>0</v>
      </c>
      <c r="J151" s="61">
        <f t="shared" si="66"/>
        <v>0</v>
      </c>
      <c r="K151" s="61">
        <f t="shared" si="66"/>
        <v>0</v>
      </c>
      <c r="L151" s="61">
        <f t="shared" si="66"/>
        <v>0</v>
      </c>
      <c r="M151" s="61">
        <f t="shared" si="66"/>
        <v>0</v>
      </c>
      <c r="N151" s="61">
        <f t="shared" si="66"/>
        <v>0</v>
      </c>
      <c r="O151" s="61">
        <f t="shared" si="66"/>
        <v>0</v>
      </c>
      <c r="P151" s="62">
        <f t="shared" si="66"/>
        <v>0</v>
      </c>
      <c r="Q151" s="13">
        <f t="shared" si="68"/>
        <v>0</v>
      </c>
      <c r="R151" s="13"/>
    </row>
    <row r="152" spans="1:20" x14ac:dyDescent="0.35">
      <c r="A152" s="294" t="str">
        <f t="shared" si="65"/>
        <v>Insurance</v>
      </c>
      <c r="D152" s="60" t="s">
        <v>135</v>
      </c>
      <c r="E152" s="61">
        <f>-VLOOKUP($D152,$A$10:$P$134,E$145,FALSE)</f>
        <v>0</v>
      </c>
      <c r="F152" s="61">
        <f t="shared" ref="F152:P152" si="69">-VLOOKUP($D152,$A$10:$P$134,F$145,FALSE)</f>
        <v>0</v>
      </c>
      <c r="G152" s="61">
        <f t="shared" si="69"/>
        <v>0</v>
      </c>
      <c r="H152" s="61">
        <f t="shared" si="69"/>
        <v>0</v>
      </c>
      <c r="I152" s="61">
        <f t="shared" si="69"/>
        <v>0</v>
      </c>
      <c r="J152" s="61">
        <f t="shared" si="69"/>
        <v>0</v>
      </c>
      <c r="K152" s="61">
        <f t="shared" si="69"/>
        <v>0</v>
      </c>
      <c r="L152" s="61">
        <f t="shared" si="69"/>
        <v>0</v>
      </c>
      <c r="M152" s="61">
        <f t="shared" si="69"/>
        <v>0</v>
      </c>
      <c r="N152" s="61">
        <f t="shared" si="69"/>
        <v>0</v>
      </c>
      <c r="O152" s="61">
        <f t="shared" si="69"/>
        <v>0</v>
      </c>
      <c r="P152" s="62">
        <f t="shared" si="69"/>
        <v>0</v>
      </c>
      <c r="Q152" s="13">
        <f>SUM(E152:P152)</f>
        <v>0</v>
      </c>
      <c r="R152" s="13"/>
    </row>
    <row r="153" spans="1:20" x14ac:dyDescent="0.35">
      <c r="A153" s="294" t="str">
        <f t="shared" si="65"/>
        <v>Maintenance Salaries</v>
      </c>
      <c r="D153" s="60" t="s">
        <v>101</v>
      </c>
      <c r="E153" s="61">
        <f>VLOOKUP($D153,$A$10:$P$134,E$145,FALSE)</f>
        <v>692.84537395505868</v>
      </c>
      <c r="F153" s="61">
        <f t="shared" ref="F153:P168" si="70">VLOOKUP($D153,$A$10:$P$134,F$145,FALSE)</f>
        <v>692.84537395505868</v>
      </c>
      <c r="G153" s="61">
        <f t="shared" si="70"/>
        <v>692.84537395505868</v>
      </c>
      <c r="H153" s="61">
        <f t="shared" si="70"/>
        <v>692.84537395505868</v>
      </c>
      <c r="I153" s="61">
        <f t="shared" si="70"/>
        <v>692.84537395505868</v>
      </c>
      <c r="J153" s="61">
        <f t="shared" si="70"/>
        <v>692.84537395505868</v>
      </c>
      <c r="K153" s="61">
        <f t="shared" si="70"/>
        <v>692.84537395505868</v>
      </c>
      <c r="L153" s="61">
        <f t="shared" si="70"/>
        <v>692.84537395505868</v>
      </c>
      <c r="M153" s="61">
        <f t="shared" si="70"/>
        <v>692.84537395505868</v>
      </c>
      <c r="N153" s="61">
        <f t="shared" si="70"/>
        <v>692.84537395505868</v>
      </c>
      <c r="O153" s="61">
        <f t="shared" si="70"/>
        <v>692.84537395505868</v>
      </c>
      <c r="P153" s="62">
        <f t="shared" si="70"/>
        <v>692.84537395505868</v>
      </c>
      <c r="Q153" s="13">
        <f t="shared" si="68"/>
        <v>8314.1444874607041</v>
      </c>
      <c r="R153" s="13"/>
      <c r="S153" s="8"/>
      <c r="T153" s="323"/>
    </row>
    <row r="154" spans="1:20" x14ac:dyDescent="0.35">
      <c r="A154" s="294" t="str">
        <f t="shared" si="65"/>
        <v>Electric</v>
      </c>
      <c r="D154" s="60" t="s">
        <v>102</v>
      </c>
      <c r="E154" s="61">
        <f t="shared" ref="E154:P182" si="71">VLOOKUP($D154,$A$10:$P$134,E$145,FALSE)</f>
        <v>0</v>
      </c>
      <c r="F154" s="61">
        <f t="shared" si="70"/>
        <v>0</v>
      </c>
      <c r="G154" s="61">
        <f t="shared" si="70"/>
        <v>0</v>
      </c>
      <c r="H154" s="61">
        <f t="shared" si="70"/>
        <v>0</v>
      </c>
      <c r="I154" s="61">
        <f t="shared" si="70"/>
        <v>0</v>
      </c>
      <c r="J154" s="61">
        <f t="shared" si="70"/>
        <v>0</v>
      </c>
      <c r="K154" s="61">
        <f t="shared" si="70"/>
        <v>0</v>
      </c>
      <c r="L154" s="61">
        <f t="shared" si="70"/>
        <v>0</v>
      </c>
      <c r="M154" s="61">
        <f t="shared" si="70"/>
        <v>0</v>
      </c>
      <c r="N154" s="61">
        <f t="shared" si="70"/>
        <v>0</v>
      </c>
      <c r="O154" s="61">
        <f t="shared" si="70"/>
        <v>0</v>
      </c>
      <c r="P154" s="62">
        <f t="shared" si="70"/>
        <v>0</v>
      </c>
      <c r="Q154" s="13">
        <f t="shared" si="68"/>
        <v>0</v>
      </c>
      <c r="R154" s="13"/>
    </row>
    <row r="155" spans="1:20" x14ac:dyDescent="0.35">
      <c r="A155" s="294" t="str">
        <f t="shared" si="65"/>
        <v>Water &amp; Sewer</v>
      </c>
      <c r="D155" s="60" t="s">
        <v>103</v>
      </c>
      <c r="E155" s="61">
        <f t="shared" si="71"/>
        <v>0</v>
      </c>
      <c r="F155" s="61">
        <f t="shared" si="70"/>
        <v>0</v>
      </c>
      <c r="G155" s="61">
        <f t="shared" si="70"/>
        <v>0</v>
      </c>
      <c r="H155" s="61">
        <f t="shared" si="70"/>
        <v>0</v>
      </c>
      <c r="I155" s="61">
        <f t="shared" si="70"/>
        <v>0</v>
      </c>
      <c r="J155" s="61">
        <f t="shared" si="70"/>
        <v>0</v>
      </c>
      <c r="K155" s="61">
        <f t="shared" si="70"/>
        <v>0</v>
      </c>
      <c r="L155" s="61">
        <f t="shared" si="70"/>
        <v>0</v>
      </c>
      <c r="M155" s="61">
        <f t="shared" si="70"/>
        <v>0</v>
      </c>
      <c r="N155" s="61">
        <f t="shared" si="70"/>
        <v>0</v>
      </c>
      <c r="O155" s="61">
        <f t="shared" si="70"/>
        <v>0</v>
      </c>
      <c r="P155" s="62">
        <f t="shared" si="70"/>
        <v>0</v>
      </c>
      <c r="Q155" s="13">
        <f t="shared" si="68"/>
        <v>0</v>
      </c>
      <c r="R155" s="13"/>
    </row>
    <row r="156" spans="1:20" x14ac:dyDescent="0.35">
      <c r="A156" s="294" t="str">
        <f t="shared" si="65"/>
        <v>Building Maintenance</v>
      </c>
      <c r="D156" s="60" t="s">
        <v>104</v>
      </c>
      <c r="E156" s="61">
        <f t="shared" si="71"/>
        <v>0</v>
      </c>
      <c r="F156" s="61">
        <f t="shared" si="70"/>
        <v>0</v>
      </c>
      <c r="G156" s="61">
        <f t="shared" si="70"/>
        <v>0</v>
      </c>
      <c r="H156" s="61">
        <f t="shared" si="70"/>
        <v>0</v>
      </c>
      <c r="I156" s="61">
        <f t="shared" si="70"/>
        <v>0</v>
      </c>
      <c r="J156" s="61">
        <f t="shared" si="70"/>
        <v>0</v>
      </c>
      <c r="K156" s="61">
        <f t="shared" si="70"/>
        <v>0</v>
      </c>
      <c r="L156" s="61">
        <f t="shared" si="70"/>
        <v>0</v>
      </c>
      <c r="M156" s="61">
        <f t="shared" si="70"/>
        <v>0</v>
      </c>
      <c r="N156" s="61">
        <f t="shared" si="70"/>
        <v>0</v>
      </c>
      <c r="O156" s="61">
        <f t="shared" si="70"/>
        <v>0</v>
      </c>
      <c r="P156" s="62">
        <f t="shared" si="70"/>
        <v>0</v>
      </c>
      <c r="Q156" s="13">
        <f t="shared" si="68"/>
        <v>0</v>
      </c>
      <c r="R156" s="13"/>
    </row>
    <row r="157" spans="1:20" x14ac:dyDescent="0.35">
      <c r="A157" s="294" t="str">
        <f t="shared" si="65"/>
        <v>Parking Lot Cleaning</v>
      </c>
      <c r="D157" s="60" t="s">
        <v>136</v>
      </c>
      <c r="E157" s="61">
        <f t="shared" si="71"/>
        <v>0</v>
      </c>
      <c r="F157" s="61">
        <f t="shared" si="70"/>
        <v>0</v>
      </c>
      <c r="G157" s="61">
        <f t="shared" si="70"/>
        <v>0</v>
      </c>
      <c r="H157" s="61">
        <f t="shared" si="70"/>
        <v>0</v>
      </c>
      <c r="I157" s="61">
        <f t="shared" si="70"/>
        <v>0</v>
      </c>
      <c r="J157" s="61">
        <f t="shared" si="70"/>
        <v>0</v>
      </c>
      <c r="K157" s="61">
        <f t="shared" si="70"/>
        <v>0</v>
      </c>
      <c r="L157" s="61">
        <f t="shared" si="70"/>
        <v>0</v>
      </c>
      <c r="M157" s="61">
        <f t="shared" si="70"/>
        <v>0</v>
      </c>
      <c r="N157" s="61">
        <f t="shared" si="70"/>
        <v>0</v>
      </c>
      <c r="O157" s="61">
        <f t="shared" si="70"/>
        <v>0</v>
      </c>
      <c r="P157" s="62">
        <f t="shared" si="70"/>
        <v>0</v>
      </c>
      <c r="Q157" s="13"/>
      <c r="R157" s="13"/>
    </row>
    <row r="158" spans="1:20" x14ac:dyDescent="0.35">
      <c r="A158" s="294" t="str">
        <f t="shared" si="65"/>
        <v>Parking Lot Maintenance</v>
      </c>
      <c r="D158" s="60" t="s">
        <v>105</v>
      </c>
      <c r="E158" s="61">
        <f t="shared" si="71"/>
        <v>0</v>
      </c>
      <c r="F158" s="61">
        <f t="shared" si="70"/>
        <v>0</v>
      </c>
      <c r="G158" s="61">
        <f t="shared" si="70"/>
        <v>0</v>
      </c>
      <c r="H158" s="61">
        <f t="shared" si="70"/>
        <v>0</v>
      </c>
      <c r="I158" s="61">
        <f t="shared" si="70"/>
        <v>0</v>
      </c>
      <c r="J158" s="61">
        <f t="shared" si="70"/>
        <v>0</v>
      </c>
      <c r="K158" s="61">
        <f t="shared" si="70"/>
        <v>0</v>
      </c>
      <c r="L158" s="61">
        <f t="shared" si="70"/>
        <v>0</v>
      </c>
      <c r="M158" s="61">
        <f t="shared" si="70"/>
        <v>0</v>
      </c>
      <c r="N158" s="61">
        <f t="shared" si="70"/>
        <v>0</v>
      </c>
      <c r="O158" s="61">
        <f t="shared" si="70"/>
        <v>0</v>
      </c>
      <c r="P158" s="62">
        <f t="shared" si="70"/>
        <v>0</v>
      </c>
      <c r="Q158" s="13">
        <f t="shared" si="68"/>
        <v>0</v>
      </c>
      <c r="R158" s="13"/>
    </row>
    <row r="159" spans="1:20" x14ac:dyDescent="0.35">
      <c r="A159" s="294" t="str">
        <f t="shared" si="65"/>
        <v>Snow Removal</v>
      </c>
      <c r="D159" s="60" t="s">
        <v>106</v>
      </c>
      <c r="E159" s="61">
        <f t="shared" si="71"/>
        <v>0</v>
      </c>
      <c r="F159" s="61">
        <f t="shared" si="70"/>
        <v>0</v>
      </c>
      <c r="G159" s="61">
        <f t="shared" si="70"/>
        <v>0</v>
      </c>
      <c r="H159" s="61">
        <f t="shared" si="70"/>
        <v>0</v>
      </c>
      <c r="I159" s="61">
        <f t="shared" si="70"/>
        <v>0</v>
      </c>
      <c r="J159" s="61">
        <f t="shared" si="70"/>
        <v>0</v>
      </c>
      <c r="K159" s="61">
        <f t="shared" si="70"/>
        <v>0</v>
      </c>
      <c r="L159" s="61">
        <f t="shared" si="70"/>
        <v>0</v>
      </c>
      <c r="M159" s="61">
        <f t="shared" si="70"/>
        <v>0</v>
      </c>
      <c r="N159" s="61">
        <f t="shared" si="70"/>
        <v>0</v>
      </c>
      <c r="O159" s="61">
        <f t="shared" si="70"/>
        <v>0</v>
      </c>
      <c r="P159" s="62">
        <f t="shared" si="70"/>
        <v>0</v>
      </c>
      <c r="Q159" s="13">
        <f t="shared" si="68"/>
        <v>0</v>
      </c>
      <c r="R159" s="13"/>
    </row>
    <row r="160" spans="1:20" x14ac:dyDescent="0.35">
      <c r="A160" s="294" t="str">
        <f t="shared" si="65"/>
        <v>Landscaping</v>
      </c>
      <c r="D160" s="60" t="s">
        <v>107</v>
      </c>
      <c r="E160" s="61">
        <f t="shared" si="71"/>
        <v>0</v>
      </c>
      <c r="F160" s="61">
        <f t="shared" si="70"/>
        <v>0</v>
      </c>
      <c r="G160" s="61">
        <f t="shared" si="70"/>
        <v>0</v>
      </c>
      <c r="H160" s="61">
        <f t="shared" si="70"/>
        <v>0</v>
      </c>
      <c r="I160" s="61">
        <f t="shared" si="70"/>
        <v>0</v>
      </c>
      <c r="J160" s="61">
        <f t="shared" si="70"/>
        <v>0</v>
      </c>
      <c r="K160" s="61">
        <f t="shared" si="70"/>
        <v>0</v>
      </c>
      <c r="L160" s="61">
        <f t="shared" si="70"/>
        <v>0</v>
      </c>
      <c r="M160" s="61">
        <f t="shared" si="70"/>
        <v>0</v>
      </c>
      <c r="N160" s="61">
        <f t="shared" si="70"/>
        <v>0</v>
      </c>
      <c r="O160" s="61">
        <f t="shared" si="70"/>
        <v>0</v>
      </c>
      <c r="P160" s="62">
        <f t="shared" si="70"/>
        <v>0</v>
      </c>
      <c r="Q160" s="13">
        <f t="shared" si="68"/>
        <v>0</v>
      </c>
      <c r="R160" s="13"/>
    </row>
    <row r="161" spans="1:18" x14ac:dyDescent="0.35">
      <c r="A161" s="294" t="str">
        <f t="shared" si="65"/>
        <v>Security</v>
      </c>
      <c r="D161" s="60" t="s">
        <v>108</v>
      </c>
      <c r="E161" s="61">
        <f t="shared" si="71"/>
        <v>0</v>
      </c>
      <c r="F161" s="61">
        <f t="shared" si="70"/>
        <v>0</v>
      </c>
      <c r="G161" s="61">
        <f t="shared" si="70"/>
        <v>0</v>
      </c>
      <c r="H161" s="61">
        <f t="shared" si="70"/>
        <v>0</v>
      </c>
      <c r="I161" s="61">
        <f t="shared" si="70"/>
        <v>0</v>
      </c>
      <c r="J161" s="61">
        <f t="shared" si="70"/>
        <v>0</v>
      </c>
      <c r="K161" s="61">
        <f t="shared" si="70"/>
        <v>0</v>
      </c>
      <c r="L161" s="61">
        <f t="shared" si="70"/>
        <v>0</v>
      </c>
      <c r="M161" s="61">
        <f t="shared" si="70"/>
        <v>0</v>
      </c>
      <c r="N161" s="61">
        <f t="shared" si="70"/>
        <v>0</v>
      </c>
      <c r="O161" s="61">
        <f t="shared" si="70"/>
        <v>0</v>
      </c>
      <c r="P161" s="62">
        <f t="shared" si="70"/>
        <v>0</v>
      </c>
      <c r="Q161" s="13">
        <f t="shared" si="68"/>
        <v>0</v>
      </c>
      <c r="R161" s="13"/>
    </row>
    <row r="162" spans="1:18" x14ac:dyDescent="0.35">
      <c r="A162" s="294" t="str">
        <f t="shared" si="65"/>
        <v>Management fee</v>
      </c>
      <c r="D162" s="60" t="s">
        <v>141</v>
      </c>
      <c r="E162" s="61">
        <f t="shared" si="71"/>
        <v>2083</v>
      </c>
      <c r="F162" s="61">
        <f t="shared" si="70"/>
        <v>2083</v>
      </c>
      <c r="G162" s="61">
        <f t="shared" si="70"/>
        <v>2083</v>
      </c>
      <c r="H162" s="61">
        <f t="shared" si="70"/>
        <v>2083</v>
      </c>
      <c r="I162" s="61">
        <f t="shared" si="70"/>
        <v>2083</v>
      </c>
      <c r="J162" s="61">
        <f t="shared" si="70"/>
        <v>2083</v>
      </c>
      <c r="K162" s="61">
        <f t="shared" si="70"/>
        <v>2083</v>
      </c>
      <c r="L162" s="61">
        <f t="shared" si="70"/>
        <v>2083</v>
      </c>
      <c r="M162" s="61">
        <f t="shared" si="70"/>
        <v>2083</v>
      </c>
      <c r="N162" s="61">
        <f t="shared" si="70"/>
        <v>2083</v>
      </c>
      <c r="O162" s="61">
        <f t="shared" si="70"/>
        <v>2083</v>
      </c>
      <c r="P162" s="62">
        <f t="shared" si="70"/>
        <v>2083</v>
      </c>
      <c r="Q162" s="13">
        <f t="shared" si="68"/>
        <v>24996</v>
      </c>
      <c r="R162" s="13"/>
    </row>
    <row r="163" spans="1:18" x14ac:dyDescent="0.35">
      <c r="A163" s="294" t="str">
        <f t="shared" si="65"/>
        <v>Trash Removal</v>
      </c>
      <c r="D163" s="60" t="s">
        <v>110</v>
      </c>
      <c r="E163" s="61">
        <f t="shared" si="71"/>
        <v>0</v>
      </c>
      <c r="F163" s="61">
        <f t="shared" si="70"/>
        <v>0</v>
      </c>
      <c r="G163" s="61">
        <f t="shared" si="70"/>
        <v>0</v>
      </c>
      <c r="H163" s="61">
        <f t="shared" si="70"/>
        <v>0</v>
      </c>
      <c r="I163" s="61">
        <f t="shared" si="70"/>
        <v>0</v>
      </c>
      <c r="J163" s="61">
        <f t="shared" si="70"/>
        <v>0</v>
      </c>
      <c r="K163" s="61">
        <f t="shared" si="70"/>
        <v>0</v>
      </c>
      <c r="L163" s="61">
        <f t="shared" si="70"/>
        <v>0</v>
      </c>
      <c r="M163" s="61">
        <f t="shared" si="70"/>
        <v>0</v>
      </c>
      <c r="N163" s="61">
        <f t="shared" si="70"/>
        <v>0</v>
      </c>
      <c r="O163" s="61">
        <f t="shared" si="70"/>
        <v>0</v>
      </c>
      <c r="P163" s="62">
        <f t="shared" si="70"/>
        <v>0</v>
      </c>
      <c r="Q163" s="13">
        <f t="shared" si="68"/>
        <v>0</v>
      </c>
      <c r="R163" s="13"/>
    </row>
    <row r="164" spans="1:18" x14ac:dyDescent="0.35">
      <c r="A164" s="294" t="str">
        <f t="shared" si="65"/>
        <v>Real Estate Taxes</v>
      </c>
      <c r="D164" s="60" t="s">
        <v>111</v>
      </c>
      <c r="E164" s="61">
        <f t="shared" si="71"/>
        <v>3811.4849583333339</v>
      </c>
      <c r="F164" s="61">
        <f t="shared" si="70"/>
        <v>3811.4849583333339</v>
      </c>
      <c r="G164" s="61">
        <f t="shared" si="70"/>
        <v>3811.4849583333339</v>
      </c>
      <c r="H164" s="61">
        <f t="shared" si="70"/>
        <v>3811.4849583333339</v>
      </c>
      <c r="I164" s="61">
        <f t="shared" si="70"/>
        <v>3811.4849583333339</v>
      </c>
      <c r="J164" s="61">
        <f t="shared" si="70"/>
        <v>3811.4849583333339</v>
      </c>
      <c r="K164" s="61">
        <f t="shared" si="70"/>
        <v>3811.4849583333339</v>
      </c>
      <c r="L164" s="61">
        <f t="shared" si="70"/>
        <v>3811.4849583333339</v>
      </c>
      <c r="M164" s="61">
        <f t="shared" si="70"/>
        <v>3811.4849583333339</v>
      </c>
      <c r="N164" s="61">
        <f t="shared" si="70"/>
        <v>3811.4849583333339</v>
      </c>
      <c r="O164" s="61">
        <f t="shared" si="70"/>
        <v>3811.4849583333339</v>
      </c>
      <c r="P164" s="62">
        <f t="shared" si="70"/>
        <v>3811.4849583333339</v>
      </c>
      <c r="Q164" s="13">
        <f t="shared" si="68"/>
        <v>45737.819500000005</v>
      </c>
      <c r="R164" s="13"/>
    </row>
    <row r="165" spans="1:18" x14ac:dyDescent="0.35">
      <c r="A165" s="294" t="str">
        <f t="shared" si="65"/>
        <v>Insurance</v>
      </c>
      <c r="D165" s="60" t="s">
        <v>112</v>
      </c>
      <c r="E165" s="61">
        <f t="shared" si="71"/>
        <v>1411</v>
      </c>
      <c r="F165" s="61">
        <f t="shared" si="70"/>
        <v>1411</v>
      </c>
      <c r="G165" s="61">
        <f t="shared" si="70"/>
        <v>1411</v>
      </c>
      <c r="H165" s="61">
        <f t="shared" si="70"/>
        <v>1411</v>
      </c>
      <c r="I165" s="61">
        <f t="shared" si="70"/>
        <v>1411</v>
      </c>
      <c r="J165" s="61">
        <f t="shared" si="70"/>
        <v>1411</v>
      </c>
      <c r="K165" s="61">
        <f t="shared" si="70"/>
        <v>1411</v>
      </c>
      <c r="L165" s="61">
        <f t="shared" si="70"/>
        <v>1411</v>
      </c>
      <c r="M165" s="61">
        <f t="shared" si="70"/>
        <v>1411</v>
      </c>
      <c r="N165" s="61">
        <f t="shared" si="70"/>
        <v>1411</v>
      </c>
      <c r="O165" s="61">
        <f t="shared" si="70"/>
        <v>1439.22</v>
      </c>
      <c r="P165" s="62">
        <f t="shared" si="70"/>
        <v>1439.22</v>
      </c>
      <c r="Q165" s="13">
        <f t="shared" si="68"/>
        <v>16988.439999999999</v>
      </c>
      <c r="R165" s="13"/>
    </row>
    <row r="166" spans="1:18" x14ac:dyDescent="0.35">
      <c r="A166" s="294" t="str">
        <f t="shared" si="65"/>
        <v>Cleaning &amp; Supplies</v>
      </c>
      <c r="D166" s="60" t="s">
        <v>113</v>
      </c>
      <c r="E166" s="61">
        <f t="shared" si="71"/>
        <v>0</v>
      </c>
      <c r="F166" s="61">
        <f t="shared" si="70"/>
        <v>0</v>
      </c>
      <c r="G166" s="61">
        <f t="shared" si="70"/>
        <v>0</v>
      </c>
      <c r="H166" s="61">
        <f t="shared" si="70"/>
        <v>0</v>
      </c>
      <c r="I166" s="61">
        <f t="shared" si="70"/>
        <v>0</v>
      </c>
      <c r="J166" s="61">
        <f t="shared" si="70"/>
        <v>0</v>
      </c>
      <c r="K166" s="61">
        <f t="shared" si="70"/>
        <v>0</v>
      </c>
      <c r="L166" s="61">
        <f t="shared" si="70"/>
        <v>0</v>
      </c>
      <c r="M166" s="61">
        <f t="shared" si="70"/>
        <v>0</v>
      </c>
      <c r="N166" s="61">
        <f t="shared" si="70"/>
        <v>0</v>
      </c>
      <c r="O166" s="61">
        <f t="shared" si="70"/>
        <v>0</v>
      </c>
      <c r="P166" s="62">
        <f t="shared" si="70"/>
        <v>0</v>
      </c>
      <c r="Q166" s="13">
        <f t="shared" si="68"/>
        <v>0</v>
      </c>
      <c r="R166" s="13"/>
    </row>
    <row r="167" spans="1:18" x14ac:dyDescent="0.35">
      <c r="A167" s="294" t="str">
        <f>VLOOKUP($D167,$A$10:$D$130,4,FALSE)</f>
        <v>Salaries &amp; Wages</v>
      </c>
      <c r="D167" s="60" t="s">
        <v>114</v>
      </c>
      <c r="E167" s="61">
        <f t="shared" si="71"/>
        <v>1673.2372003294752</v>
      </c>
      <c r="F167" s="61">
        <f t="shared" si="70"/>
        <v>1673.2372003294752</v>
      </c>
      <c r="G167" s="61">
        <f t="shared" si="70"/>
        <v>1673.2372003294752</v>
      </c>
      <c r="H167" s="61">
        <f t="shared" si="70"/>
        <v>1673.2372003294752</v>
      </c>
      <c r="I167" s="61">
        <f t="shared" si="70"/>
        <v>1673.2372003294752</v>
      </c>
      <c r="J167" s="61">
        <f t="shared" si="70"/>
        <v>1673.2372003294752</v>
      </c>
      <c r="K167" s="61">
        <f t="shared" si="70"/>
        <v>1673.2372003294752</v>
      </c>
      <c r="L167" s="61">
        <f t="shared" si="70"/>
        <v>1673.2372003294752</v>
      </c>
      <c r="M167" s="61">
        <f t="shared" si="70"/>
        <v>1673.2372003294752</v>
      </c>
      <c r="N167" s="61">
        <f t="shared" si="70"/>
        <v>1673.2372003294752</v>
      </c>
      <c r="O167" s="61">
        <f t="shared" si="70"/>
        <v>1673.2372003294752</v>
      </c>
      <c r="P167" s="62">
        <f t="shared" si="70"/>
        <v>1673.2372003294752</v>
      </c>
      <c r="Q167" s="13">
        <f t="shared" si="68"/>
        <v>20078.846403953707</v>
      </c>
      <c r="R167" s="13"/>
    </row>
    <row r="168" spans="1:18" x14ac:dyDescent="0.35">
      <c r="A168" s="294" t="str">
        <f>VLOOKUP($D168,$A$10:$D$130,4,FALSE)</f>
        <v>Commissions-Internal Broker</v>
      </c>
      <c r="D168" s="60" t="s">
        <v>115</v>
      </c>
      <c r="E168" s="61">
        <f t="shared" si="71"/>
        <v>0</v>
      </c>
      <c r="F168" s="61">
        <f t="shared" si="70"/>
        <v>0</v>
      </c>
      <c r="G168" s="61">
        <f t="shared" si="70"/>
        <v>0</v>
      </c>
      <c r="H168" s="61">
        <f t="shared" si="70"/>
        <v>0</v>
      </c>
      <c r="I168" s="61">
        <f t="shared" si="70"/>
        <v>0</v>
      </c>
      <c r="J168" s="61">
        <f t="shared" si="70"/>
        <v>0</v>
      </c>
      <c r="K168" s="61">
        <f t="shared" si="70"/>
        <v>0</v>
      </c>
      <c r="L168" s="61">
        <f t="shared" si="70"/>
        <v>0</v>
      </c>
      <c r="M168" s="61">
        <f t="shared" si="70"/>
        <v>0</v>
      </c>
      <c r="N168" s="61">
        <f t="shared" si="70"/>
        <v>0</v>
      </c>
      <c r="O168" s="61">
        <f t="shared" si="70"/>
        <v>0</v>
      </c>
      <c r="P168" s="62">
        <f t="shared" si="70"/>
        <v>0</v>
      </c>
      <c r="Q168" s="13">
        <f t="shared" si="68"/>
        <v>0</v>
      </c>
      <c r="R168" s="13"/>
    </row>
    <row r="169" spans="1:18" x14ac:dyDescent="0.35">
      <c r="A169" s="294" t="str">
        <f t="shared" si="65"/>
        <v>Building Maintenance</v>
      </c>
      <c r="D169" s="60" t="s">
        <v>116</v>
      </c>
      <c r="E169" s="61">
        <f t="shared" si="71"/>
        <v>0</v>
      </c>
      <c r="F169" s="61">
        <f t="shared" si="71"/>
        <v>0</v>
      </c>
      <c r="G169" s="61">
        <f t="shared" si="71"/>
        <v>0</v>
      </c>
      <c r="H169" s="61">
        <f t="shared" si="71"/>
        <v>0</v>
      </c>
      <c r="I169" s="61">
        <f t="shared" si="71"/>
        <v>0</v>
      </c>
      <c r="J169" s="61">
        <f t="shared" si="71"/>
        <v>0</v>
      </c>
      <c r="K169" s="61">
        <f t="shared" si="71"/>
        <v>0</v>
      </c>
      <c r="L169" s="61">
        <f t="shared" si="71"/>
        <v>0</v>
      </c>
      <c r="M169" s="61">
        <f t="shared" si="71"/>
        <v>0</v>
      </c>
      <c r="N169" s="61">
        <f t="shared" si="71"/>
        <v>0</v>
      </c>
      <c r="O169" s="61">
        <f t="shared" si="71"/>
        <v>0</v>
      </c>
      <c r="P169" s="62">
        <f t="shared" si="71"/>
        <v>0</v>
      </c>
      <c r="Q169" s="13">
        <f t="shared" si="68"/>
        <v>0</v>
      </c>
      <c r="R169" s="13"/>
    </row>
    <row r="170" spans="1:18" x14ac:dyDescent="0.35">
      <c r="A170" s="294" t="str">
        <f t="shared" si="65"/>
        <v>Marketing</v>
      </c>
      <c r="D170" s="60" t="s">
        <v>117</v>
      </c>
      <c r="E170" s="61">
        <f t="shared" si="71"/>
        <v>544.21833138249451</v>
      </c>
      <c r="F170" s="61">
        <f t="shared" si="71"/>
        <v>544.21833138249451</v>
      </c>
      <c r="G170" s="61">
        <f t="shared" si="71"/>
        <v>544.21833138249451</v>
      </c>
      <c r="H170" s="61">
        <f t="shared" si="71"/>
        <v>544.21833138249451</v>
      </c>
      <c r="I170" s="61">
        <f t="shared" si="71"/>
        <v>544.21833138249451</v>
      </c>
      <c r="J170" s="61">
        <f t="shared" si="71"/>
        <v>544.21833138249451</v>
      </c>
      <c r="K170" s="61">
        <f t="shared" si="71"/>
        <v>544.21833138249451</v>
      </c>
      <c r="L170" s="61">
        <f t="shared" si="71"/>
        <v>544.21833138249451</v>
      </c>
      <c r="M170" s="61">
        <f t="shared" si="71"/>
        <v>544.21833138249451</v>
      </c>
      <c r="N170" s="61">
        <f t="shared" si="71"/>
        <v>544.21833138249451</v>
      </c>
      <c r="O170" s="61">
        <f t="shared" si="71"/>
        <v>544.21833138249451</v>
      </c>
      <c r="P170" s="62">
        <f t="shared" si="71"/>
        <v>544.21833138249451</v>
      </c>
      <c r="Q170" s="13">
        <f t="shared" si="68"/>
        <v>6530.6199765899337</v>
      </c>
      <c r="R170" s="13"/>
    </row>
    <row r="171" spans="1:18" x14ac:dyDescent="0.35">
      <c r="A171" s="294" t="str">
        <f t="shared" si="65"/>
        <v>Business Taxes</v>
      </c>
      <c r="D171" s="60" t="s">
        <v>118</v>
      </c>
      <c r="E171" s="61">
        <f t="shared" si="71"/>
        <v>0</v>
      </c>
      <c r="F171" s="61">
        <f t="shared" si="71"/>
        <v>0</v>
      </c>
      <c r="G171" s="61">
        <f t="shared" si="71"/>
        <v>0</v>
      </c>
      <c r="H171" s="61">
        <f t="shared" si="71"/>
        <v>11639</v>
      </c>
      <c r="I171" s="61">
        <f t="shared" si="71"/>
        <v>0</v>
      </c>
      <c r="J171" s="61">
        <f t="shared" si="71"/>
        <v>0</v>
      </c>
      <c r="K171" s="61">
        <f t="shared" si="71"/>
        <v>0</v>
      </c>
      <c r="L171" s="61">
        <f t="shared" si="71"/>
        <v>0</v>
      </c>
      <c r="M171" s="61">
        <f t="shared" si="71"/>
        <v>0</v>
      </c>
      <c r="N171" s="61">
        <f t="shared" si="71"/>
        <v>0</v>
      </c>
      <c r="O171" s="61">
        <f t="shared" si="71"/>
        <v>0</v>
      </c>
      <c r="P171" s="62">
        <f t="shared" si="71"/>
        <v>0</v>
      </c>
      <c r="Q171" s="13">
        <f t="shared" si="68"/>
        <v>11639</v>
      </c>
      <c r="R171" s="13"/>
    </row>
    <row r="172" spans="1:18" x14ac:dyDescent="0.35">
      <c r="A172" s="294" t="str">
        <f t="shared" si="65"/>
        <v>Legal &amp; Accounting</v>
      </c>
      <c r="D172" s="60" t="s">
        <v>119</v>
      </c>
      <c r="E172" s="61">
        <f t="shared" si="71"/>
        <v>712.41666666666663</v>
      </c>
      <c r="F172" s="61">
        <f t="shared" si="71"/>
        <v>712.41666666666663</v>
      </c>
      <c r="G172" s="61">
        <f t="shared" si="71"/>
        <v>712.41666666666663</v>
      </c>
      <c r="H172" s="61">
        <f t="shared" si="71"/>
        <v>712.41666666666663</v>
      </c>
      <c r="I172" s="61">
        <f t="shared" si="71"/>
        <v>712.41666666666663</v>
      </c>
      <c r="J172" s="61">
        <f t="shared" si="71"/>
        <v>712.41666666666663</v>
      </c>
      <c r="K172" s="61">
        <f t="shared" si="71"/>
        <v>712.41666666666663</v>
      </c>
      <c r="L172" s="61">
        <f t="shared" si="71"/>
        <v>712.41666666666663</v>
      </c>
      <c r="M172" s="61">
        <f t="shared" si="71"/>
        <v>712.41666666666663</v>
      </c>
      <c r="N172" s="61">
        <f t="shared" si="71"/>
        <v>712.41666666666663</v>
      </c>
      <c r="O172" s="61">
        <f t="shared" si="71"/>
        <v>712.41666666666663</v>
      </c>
      <c r="P172" s="62">
        <f t="shared" si="71"/>
        <v>712.41666666666663</v>
      </c>
      <c r="Q172" s="13">
        <f t="shared" si="68"/>
        <v>8549.0000000000018</v>
      </c>
      <c r="R172" s="13"/>
    </row>
    <row r="173" spans="1:18" x14ac:dyDescent="0.35">
      <c r="A173" s="294" t="str">
        <f t="shared" ref="A173:A178" si="72">VLOOKUP($D173,$A$10:$D$130,4,FALSE)</f>
        <v>Bank Fees</v>
      </c>
      <c r="D173" s="60" t="s">
        <v>126</v>
      </c>
      <c r="E173" s="61">
        <f t="shared" si="71"/>
        <v>51.5</v>
      </c>
      <c r="F173" s="61">
        <f t="shared" si="71"/>
        <v>51.5</v>
      </c>
      <c r="G173" s="61">
        <f t="shared" si="71"/>
        <v>51.5</v>
      </c>
      <c r="H173" s="61">
        <f t="shared" si="71"/>
        <v>51.5</v>
      </c>
      <c r="I173" s="61">
        <f t="shared" si="71"/>
        <v>51.5</v>
      </c>
      <c r="J173" s="61">
        <f t="shared" si="71"/>
        <v>51.5</v>
      </c>
      <c r="K173" s="61">
        <f t="shared" si="71"/>
        <v>51.5</v>
      </c>
      <c r="L173" s="61">
        <f t="shared" si="71"/>
        <v>51.5</v>
      </c>
      <c r="M173" s="61">
        <f t="shared" si="71"/>
        <v>51.5</v>
      </c>
      <c r="N173" s="61">
        <f t="shared" si="71"/>
        <v>51.5</v>
      </c>
      <c r="O173" s="61">
        <f t="shared" si="71"/>
        <v>51.5</v>
      </c>
      <c r="P173" s="62">
        <f t="shared" si="71"/>
        <v>51.5</v>
      </c>
      <c r="Q173" s="13">
        <f t="shared" si="68"/>
        <v>618</v>
      </c>
      <c r="R173" s="13"/>
    </row>
    <row r="174" spans="1:18" x14ac:dyDescent="0.35">
      <c r="A174" s="294" t="str">
        <f t="shared" si="72"/>
        <v>Other G&amp;A Expense</v>
      </c>
      <c r="D174" s="60" t="s">
        <v>127</v>
      </c>
      <c r="E174" s="61">
        <f t="shared" si="71"/>
        <v>0</v>
      </c>
      <c r="F174" s="61">
        <f t="shared" si="71"/>
        <v>0</v>
      </c>
      <c r="G174" s="61">
        <f t="shared" si="71"/>
        <v>0</v>
      </c>
      <c r="H174" s="61">
        <f t="shared" si="71"/>
        <v>0</v>
      </c>
      <c r="I174" s="61">
        <f t="shared" si="71"/>
        <v>0</v>
      </c>
      <c r="J174" s="61">
        <f t="shared" si="71"/>
        <v>0</v>
      </c>
      <c r="K174" s="61">
        <f t="shared" si="71"/>
        <v>0</v>
      </c>
      <c r="L174" s="61">
        <f t="shared" si="71"/>
        <v>0</v>
      </c>
      <c r="M174" s="61">
        <f t="shared" si="71"/>
        <v>0</v>
      </c>
      <c r="N174" s="61">
        <f t="shared" si="71"/>
        <v>0</v>
      </c>
      <c r="O174" s="61">
        <f t="shared" si="71"/>
        <v>0</v>
      </c>
      <c r="P174" s="62">
        <f t="shared" si="71"/>
        <v>0</v>
      </c>
      <c r="Q174" s="13">
        <f t="shared" si="68"/>
        <v>0</v>
      </c>
      <c r="R174" s="13"/>
    </row>
    <row r="175" spans="1:18" x14ac:dyDescent="0.35">
      <c r="A175" s="294" t="str">
        <f t="shared" si="72"/>
        <v>Other G&amp;A-allocated from LIK</v>
      </c>
      <c r="D175" s="60" t="s">
        <v>120</v>
      </c>
      <c r="E175" s="61">
        <f t="shared" si="71"/>
        <v>64.375</v>
      </c>
      <c r="F175" s="61">
        <f t="shared" si="71"/>
        <v>64.375</v>
      </c>
      <c r="G175" s="61">
        <f t="shared" si="71"/>
        <v>64.375</v>
      </c>
      <c r="H175" s="61">
        <f t="shared" si="71"/>
        <v>64.375</v>
      </c>
      <c r="I175" s="61">
        <f t="shared" si="71"/>
        <v>64.375</v>
      </c>
      <c r="J175" s="61">
        <f t="shared" si="71"/>
        <v>64.375</v>
      </c>
      <c r="K175" s="61">
        <f t="shared" si="71"/>
        <v>64.375</v>
      </c>
      <c r="L175" s="61">
        <f t="shared" si="71"/>
        <v>64.375</v>
      </c>
      <c r="M175" s="61">
        <f t="shared" si="71"/>
        <v>64.375</v>
      </c>
      <c r="N175" s="61">
        <f t="shared" si="71"/>
        <v>64.375</v>
      </c>
      <c r="O175" s="61">
        <f t="shared" si="71"/>
        <v>64.375</v>
      </c>
      <c r="P175" s="62">
        <f t="shared" si="71"/>
        <v>64.375</v>
      </c>
      <c r="Q175" s="13">
        <f t="shared" si="68"/>
        <v>772.5</v>
      </c>
      <c r="R175" s="13"/>
    </row>
    <row r="176" spans="1:18" x14ac:dyDescent="0.35">
      <c r="A176" s="294" t="str">
        <f t="shared" si="72"/>
        <v>Land Improvements</v>
      </c>
      <c r="D176" s="60" t="s">
        <v>121</v>
      </c>
      <c r="E176" s="61">
        <f t="shared" si="71"/>
        <v>0</v>
      </c>
      <c r="F176" s="61">
        <f t="shared" si="71"/>
        <v>0</v>
      </c>
      <c r="G176" s="61">
        <f t="shared" si="71"/>
        <v>0</v>
      </c>
      <c r="H176" s="61">
        <f t="shared" si="71"/>
        <v>0</v>
      </c>
      <c r="I176" s="61">
        <f t="shared" si="71"/>
        <v>0</v>
      </c>
      <c r="J176" s="61">
        <f t="shared" si="71"/>
        <v>0</v>
      </c>
      <c r="K176" s="61">
        <f t="shared" si="71"/>
        <v>0</v>
      </c>
      <c r="L176" s="61">
        <f t="shared" si="71"/>
        <v>0</v>
      </c>
      <c r="M176" s="61">
        <f t="shared" si="71"/>
        <v>0</v>
      </c>
      <c r="N176" s="61">
        <f t="shared" si="71"/>
        <v>0</v>
      </c>
      <c r="O176" s="61">
        <f t="shared" si="71"/>
        <v>0</v>
      </c>
      <c r="P176" s="62">
        <f t="shared" si="71"/>
        <v>0</v>
      </c>
      <c r="Q176" s="13">
        <f t="shared" si="68"/>
        <v>0</v>
      </c>
      <c r="R176" s="13"/>
    </row>
    <row r="177" spans="1:18" x14ac:dyDescent="0.35">
      <c r="A177" s="294" t="str">
        <f t="shared" si="72"/>
        <v>Buildings</v>
      </c>
      <c r="D177" s="60" t="s">
        <v>122</v>
      </c>
      <c r="E177" s="61">
        <f t="shared" si="71"/>
        <v>0</v>
      </c>
      <c r="F177" s="61">
        <f t="shared" si="71"/>
        <v>0</v>
      </c>
      <c r="G177" s="61">
        <f t="shared" si="71"/>
        <v>0</v>
      </c>
      <c r="H177" s="61">
        <f t="shared" si="71"/>
        <v>0</v>
      </c>
      <c r="I177" s="61">
        <f t="shared" si="71"/>
        <v>0</v>
      </c>
      <c r="J177" s="61">
        <f t="shared" si="71"/>
        <v>0</v>
      </c>
      <c r="K177" s="61">
        <f t="shared" si="71"/>
        <v>0</v>
      </c>
      <c r="L177" s="61">
        <f t="shared" si="71"/>
        <v>0</v>
      </c>
      <c r="M177" s="61">
        <f t="shared" si="71"/>
        <v>0</v>
      </c>
      <c r="N177" s="61">
        <f t="shared" si="71"/>
        <v>0</v>
      </c>
      <c r="O177" s="61">
        <f t="shared" si="71"/>
        <v>0</v>
      </c>
      <c r="P177" s="62">
        <f t="shared" si="71"/>
        <v>0</v>
      </c>
      <c r="Q177" s="13">
        <f t="shared" si="68"/>
        <v>0</v>
      </c>
      <c r="R177" s="13"/>
    </row>
    <row r="178" spans="1:18" x14ac:dyDescent="0.35">
      <c r="A178" s="294" t="str">
        <f t="shared" si="72"/>
        <v>Equipment</v>
      </c>
      <c r="D178" s="60" t="s">
        <v>123</v>
      </c>
      <c r="E178" s="61">
        <f t="shared" si="71"/>
        <v>0</v>
      </c>
      <c r="F178" s="61">
        <f t="shared" si="71"/>
        <v>0</v>
      </c>
      <c r="G178" s="61">
        <f t="shared" si="71"/>
        <v>0</v>
      </c>
      <c r="H178" s="61">
        <f t="shared" si="71"/>
        <v>0</v>
      </c>
      <c r="I178" s="61">
        <f t="shared" si="71"/>
        <v>0</v>
      </c>
      <c r="J178" s="61">
        <f t="shared" si="71"/>
        <v>0</v>
      </c>
      <c r="K178" s="61">
        <f t="shared" si="71"/>
        <v>0</v>
      </c>
      <c r="L178" s="61">
        <f t="shared" si="71"/>
        <v>0</v>
      </c>
      <c r="M178" s="61">
        <f t="shared" si="71"/>
        <v>0</v>
      </c>
      <c r="N178" s="61">
        <f t="shared" si="71"/>
        <v>0</v>
      </c>
      <c r="O178" s="61">
        <f t="shared" si="71"/>
        <v>0</v>
      </c>
      <c r="P178" s="62">
        <f t="shared" si="71"/>
        <v>0</v>
      </c>
      <c r="Q178" s="13">
        <f t="shared" si="68"/>
        <v>0</v>
      </c>
      <c r="R178" s="13"/>
    </row>
    <row r="179" spans="1:18" x14ac:dyDescent="0.35">
      <c r="A179" s="294" t="str">
        <f t="shared" si="65"/>
        <v>Tenant Improvements</v>
      </c>
      <c r="D179" s="60" t="s">
        <v>124</v>
      </c>
      <c r="E179" s="61">
        <f t="shared" si="71"/>
        <v>0</v>
      </c>
      <c r="F179" s="61">
        <f t="shared" si="71"/>
        <v>0</v>
      </c>
      <c r="G179" s="61">
        <f t="shared" si="71"/>
        <v>0</v>
      </c>
      <c r="H179" s="61">
        <f t="shared" si="71"/>
        <v>0</v>
      </c>
      <c r="I179" s="61">
        <f t="shared" si="71"/>
        <v>0</v>
      </c>
      <c r="J179" s="61">
        <f t="shared" si="71"/>
        <v>0</v>
      </c>
      <c r="K179" s="61">
        <f t="shared" si="71"/>
        <v>0</v>
      </c>
      <c r="L179" s="61">
        <f t="shared" si="71"/>
        <v>0</v>
      </c>
      <c r="M179" s="61">
        <f t="shared" si="71"/>
        <v>0</v>
      </c>
      <c r="N179" s="61">
        <f t="shared" si="71"/>
        <v>0</v>
      </c>
      <c r="O179" s="61">
        <f t="shared" si="71"/>
        <v>0</v>
      </c>
      <c r="P179" s="62">
        <f t="shared" si="71"/>
        <v>0</v>
      </c>
      <c r="Q179" s="13">
        <f t="shared" si="68"/>
        <v>0</v>
      </c>
      <c r="R179" s="13"/>
    </row>
    <row r="180" spans="1:18" x14ac:dyDescent="0.35">
      <c r="A180" s="294" t="str">
        <f>VLOOKUP($D180,$A$10:$D$130,4,FALSE)</f>
        <v>Deferred Marketing</v>
      </c>
      <c r="D180" s="60" t="s">
        <v>125</v>
      </c>
      <c r="E180" s="61">
        <f t="shared" si="71"/>
        <v>0</v>
      </c>
      <c r="F180" s="61">
        <f t="shared" si="71"/>
        <v>0</v>
      </c>
      <c r="G180" s="61">
        <f t="shared" si="71"/>
        <v>0</v>
      </c>
      <c r="H180" s="61">
        <f t="shared" si="71"/>
        <v>0</v>
      </c>
      <c r="I180" s="61">
        <f t="shared" si="71"/>
        <v>0</v>
      </c>
      <c r="J180" s="61">
        <f t="shared" si="71"/>
        <v>0</v>
      </c>
      <c r="K180" s="61">
        <f t="shared" si="71"/>
        <v>0</v>
      </c>
      <c r="L180" s="61">
        <f t="shared" si="71"/>
        <v>0</v>
      </c>
      <c r="M180" s="61">
        <f t="shared" si="71"/>
        <v>0</v>
      </c>
      <c r="N180" s="61">
        <f t="shared" si="71"/>
        <v>0</v>
      </c>
      <c r="O180" s="61">
        <f t="shared" si="71"/>
        <v>0</v>
      </c>
      <c r="P180" s="62">
        <f t="shared" si="71"/>
        <v>0</v>
      </c>
      <c r="Q180" s="13">
        <f t="shared" si="68"/>
        <v>0</v>
      </c>
      <c r="R180" s="13"/>
    </row>
    <row r="181" spans="1:18" x14ac:dyDescent="0.35">
      <c r="A181" s="294" t="str">
        <f t="shared" si="65"/>
        <v>Interest</v>
      </c>
      <c r="D181" s="60" t="s">
        <v>128</v>
      </c>
      <c r="E181" s="61">
        <f t="shared" si="71"/>
        <v>0</v>
      </c>
      <c r="F181" s="61">
        <f t="shared" si="71"/>
        <v>0</v>
      </c>
      <c r="G181" s="61">
        <f t="shared" si="71"/>
        <v>0</v>
      </c>
      <c r="H181" s="61">
        <f t="shared" si="71"/>
        <v>0</v>
      </c>
      <c r="I181" s="61">
        <f t="shared" si="71"/>
        <v>0</v>
      </c>
      <c r="J181" s="61">
        <f t="shared" si="71"/>
        <v>0</v>
      </c>
      <c r="K181" s="61">
        <f t="shared" si="71"/>
        <v>0</v>
      </c>
      <c r="L181" s="61">
        <f t="shared" si="71"/>
        <v>0</v>
      </c>
      <c r="M181" s="61">
        <f t="shared" si="71"/>
        <v>0</v>
      </c>
      <c r="N181" s="61">
        <f t="shared" si="71"/>
        <v>0</v>
      </c>
      <c r="O181" s="61">
        <f t="shared" si="71"/>
        <v>0</v>
      </c>
      <c r="P181" s="62">
        <f t="shared" si="71"/>
        <v>0</v>
      </c>
      <c r="Q181" s="13">
        <f t="shared" si="68"/>
        <v>0</v>
      </c>
      <c r="R181" s="13"/>
    </row>
    <row r="182" spans="1:18" ht="16.5" thickBot="1" x14ac:dyDescent="0.4">
      <c r="A182" s="294" t="str">
        <f t="shared" si="65"/>
        <v>Mortgage Amortization</v>
      </c>
      <c r="D182" s="63" t="s">
        <v>145</v>
      </c>
      <c r="E182" s="64">
        <f t="shared" si="71"/>
        <v>0</v>
      </c>
      <c r="F182" s="64">
        <f t="shared" si="71"/>
        <v>0</v>
      </c>
      <c r="G182" s="64">
        <f t="shared" si="71"/>
        <v>0</v>
      </c>
      <c r="H182" s="64">
        <f t="shared" si="71"/>
        <v>0</v>
      </c>
      <c r="I182" s="64">
        <f t="shared" si="71"/>
        <v>0</v>
      </c>
      <c r="J182" s="64">
        <f t="shared" si="71"/>
        <v>0</v>
      </c>
      <c r="K182" s="64">
        <f t="shared" si="71"/>
        <v>0</v>
      </c>
      <c r="L182" s="64">
        <f t="shared" si="71"/>
        <v>0</v>
      </c>
      <c r="M182" s="64">
        <f t="shared" si="71"/>
        <v>0</v>
      </c>
      <c r="N182" s="64">
        <f t="shared" si="71"/>
        <v>0</v>
      </c>
      <c r="O182" s="64">
        <f t="shared" si="71"/>
        <v>0</v>
      </c>
      <c r="P182" s="65">
        <f t="shared" si="71"/>
        <v>0</v>
      </c>
      <c r="Q182" s="13">
        <f t="shared" si="68"/>
        <v>0</v>
      </c>
      <c r="R182" s="13"/>
    </row>
    <row r="183" spans="1:18" x14ac:dyDescent="0.35">
      <c r="D183" s="6" t="s">
        <v>12</v>
      </c>
      <c r="E183" s="6">
        <f t="shared" ref="E183:Q183" si="73">SUM(E147:E182)</f>
        <v>-23673.29246933297</v>
      </c>
      <c r="F183" s="6">
        <f t="shared" si="73"/>
        <v>-23673.29246933297</v>
      </c>
      <c r="G183" s="6">
        <f t="shared" si="73"/>
        <v>-23673.29246933297</v>
      </c>
      <c r="H183" s="6">
        <f t="shared" si="73"/>
        <v>-12034.292469332971</v>
      </c>
      <c r="I183" s="6">
        <f t="shared" si="73"/>
        <v>-23673.29246933297</v>
      </c>
      <c r="J183" s="6">
        <f t="shared" si="73"/>
        <v>-23673.29246933297</v>
      </c>
      <c r="K183" s="6">
        <f t="shared" si="73"/>
        <v>-23673.29246933297</v>
      </c>
      <c r="L183" s="6">
        <f t="shared" si="73"/>
        <v>-23673.29246933297</v>
      </c>
      <c r="M183" s="6">
        <f t="shared" si="73"/>
        <v>-23673.29246933297</v>
      </c>
      <c r="N183" s="6">
        <f t="shared" si="73"/>
        <v>-23673.29246933297</v>
      </c>
      <c r="O183" s="6">
        <f t="shared" si="73"/>
        <v>-23645.072469332968</v>
      </c>
      <c r="P183" s="6">
        <f t="shared" si="73"/>
        <v>-23645.072469332968</v>
      </c>
      <c r="Q183" s="6">
        <f t="shared" si="73"/>
        <v>-272384.06963199563</v>
      </c>
    </row>
    <row r="184" spans="1:18" x14ac:dyDescent="0.35">
      <c r="E184" s="31">
        <f>E134+E183</f>
        <v>0</v>
      </c>
      <c r="F184" s="31">
        <f t="shared" ref="F184:Q184" si="74">F134+F183</f>
        <v>0</v>
      </c>
      <c r="G184" s="31">
        <f t="shared" si="74"/>
        <v>0</v>
      </c>
      <c r="H184" s="31">
        <f t="shared" si="74"/>
        <v>0</v>
      </c>
      <c r="I184" s="31">
        <f t="shared" si="74"/>
        <v>0</v>
      </c>
      <c r="J184" s="31">
        <f t="shared" si="74"/>
        <v>0</v>
      </c>
      <c r="K184" s="31">
        <f t="shared" si="74"/>
        <v>0</v>
      </c>
      <c r="L184" s="31">
        <f t="shared" si="74"/>
        <v>0</v>
      </c>
      <c r="M184" s="31">
        <f t="shared" si="74"/>
        <v>0</v>
      </c>
      <c r="N184" s="31">
        <f t="shared" si="74"/>
        <v>0</v>
      </c>
      <c r="O184" s="31">
        <f t="shared" si="74"/>
        <v>0</v>
      </c>
      <c r="P184" s="31">
        <f t="shared" si="74"/>
        <v>0</v>
      </c>
      <c r="Q184" s="31">
        <f t="shared" si="74"/>
        <v>0</v>
      </c>
    </row>
    <row r="186" spans="1:18" ht="17.5" x14ac:dyDescent="0.5">
      <c r="D186" s="35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x14ac:dyDescent="0.35"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7.5" x14ac:dyDescent="0.5">
      <c r="D188" s="36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93" spans="5:16" x14ac:dyDescent="0.35"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</row>
    <row r="280" spans="19:20" x14ac:dyDescent="0.35">
      <c r="S280" s="10"/>
      <c r="T280" s="324"/>
    </row>
    <row r="281" spans="19:20" x14ac:dyDescent="0.35">
      <c r="S281" s="10"/>
      <c r="T281" s="324"/>
    </row>
    <row r="282" spans="19:20" x14ac:dyDescent="0.35">
      <c r="S282" s="10"/>
      <c r="T282" s="324"/>
    </row>
    <row r="283" spans="19:20" x14ac:dyDescent="0.35">
      <c r="S283" s="10"/>
      <c r="T283" s="324"/>
    </row>
    <row r="284" spans="19:20" x14ac:dyDescent="0.35">
      <c r="S284" s="10"/>
      <c r="T284" s="324"/>
    </row>
    <row r="285" spans="19:20" x14ac:dyDescent="0.35">
      <c r="S285" s="10"/>
      <c r="T285" s="324"/>
    </row>
    <row r="286" spans="19:20" x14ac:dyDescent="0.35">
      <c r="S286" s="10"/>
      <c r="T286" s="324"/>
    </row>
    <row r="287" spans="19:20" x14ac:dyDescent="0.35">
      <c r="S287" s="10"/>
      <c r="T287" s="324"/>
    </row>
    <row r="288" spans="19:20" x14ac:dyDescent="0.35">
      <c r="S288" s="10"/>
      <c r="T288" s="324"/>
    </row>
    <row r="289" spans="19:20" x14ac:dyDescent="0.35">
      <c r="S289" s="10"/>
      <c r="T289" s="324"/>
    </row>
    <row r="290" spans="19:20" x14ac:dyDescent="0.35">
      <c r="S290" s="10"/>
      <c r="T290" s="324"/>
    </row>
    <row r="291" spans="19:20" x14ac:dyDescent="0.35">
      <c r="S291" s="10"/>
      <c r="T291" s="324"/>
    </row>
    <row r="292" spans="19:20" x14ac:dyDescent="0.35">
      <c r="S292" s="10"/>
      <c r="T292" s="324"/>
    </row>
    <row r="293" spans="19:20" x14ac:dyDescent="0.35">
      <c r="S293" s="10"/>
      <c r="T293" s="324"/>
    </row>
    <row r="294" spans="19:20" x14ac:dyDescent="0.35">
      <c r="S294" s="10"/>
      <c r="T294" s="324"/>
    </row>
    <row r="295" spans="19:20" x14ac:dyDescent="0.35">
      <c r="S295" s="10"/>
      <c r="T295" s="324"/>
    </row>
    <row r="296" spans="19:20" x14ac:dyDescent="0.35">
      <c r="S296" s="10"/>
      <c r="T296" s="324"/>
    </row>
    <row r="297" spans="19:20" x14ac:dyDescent="0.35">
      <c r="S297" s="10"/>
      <c r="T297" s="324"/>
    </row>
    <row r="298" spans="19:20" x14ac:dyDescent="0.35">
      <c r="S298" s="10"/>
      <c r="T298" s="324"/>
    </row>
    <row r="299" spans="19:20" x14ac:dyDescent="0.35">
      <c r="S299" s="10"/>
      <c r="T299" s="324"/>
    </row>
    <row r="300" spans="19:20" x14ac:dyDescent="0.35">
      <c r="S300" s="10"/>
      <c r="T300" s="324"/>
    </row>
    <row r="301" spans="19:20" x14ac:dyDescent="0.35">
      <c r="S301" s="10"/>
      <c r="T301" s="324"/>
    </row>
    <row r="302" spans="19:20" x14ac:dyDescent="0.35">
      <c r="S302" s="10"/>
      <c r="T302" s="324"/>
    </row>
    <row r="303" spans="19:20" x14ac:dyDescent="0.35">
      <c r="S303" s="10"/>
      <c r="T303" s="324"/>
    </row>
    <row r="304" spans="19:20" x14ac:dyDescent="0.35">
      <c r="S304" s="10"/>
      <c r="T304" s="324"/>
    </row>
    <row r="305" spans="19:20" x14ac:dyDescent="0.35">
      <c r="S305" s="10"/>
      <c r="T305" s="324"/>
    </row>
    <row r="306" spans="19:20" x14ac:dyDescent="0.35">
      <c r="S306" s="10"/>
      <c r="T306" s="324"/>
    </row>
    <row r="307" spans="19:20" x14ac:dyDescent="0.35">
      <c r="S307" s="10"/>
      <c r="T307" s="324"/>
    </row>
    <row r="308" spans="19:20" x14ac:dyDescent="0.35">
      <c r="S308" s="10"/>
      <c r="T308" s="324"/>
    </row>
    <row r="309" spans="19:20" x14ac:dyDescent="0.35">
      <c r="S309" s="10"/>
      <c r="T309" s="324"/>
    </row>
    <row r="310" spans="19:20" x14ac:dyDescent="0.35">
      <c r="S310" s="10"/>
      <c r="T310" s="324"/>
    </row>
    <row r="311" spans="19:20" x14ac:dyDescent="0.35">
      <c r="S311" s="10"/>
      <c r="T311" s="324"/>
    </row>
    <row r="312" spans="19:20" x14ac:dyDescent="0.35">
      <c r="S312" s="10"/>
      <c r="T312" s="324"/>
    </row>
    <row r="313" spans="19:20" x14ac:dyDescent="0.35">
      <c r="S313" s="10"/>
      <c r="T313" s="324"/>
    </row>
    <row r="314" spans="19:20" x14ac:dyDescent="0.35">
      <c r="S314" s="10"/>
      <c r="T314" s="324"/>
    </row>
    <row r="315" spans="19:20" x14ac:dyDescent="0.35">
      <c r="S315" s="10"/>
      <c r="T315" s="324"/>
    </row>
    <row r="316" spans="19:20" x14ac:dyDescent="0.35">
      <c r="S316" s="10"/>
      <c r="T316" s="324"/>
    </row>
    <row r="317" spans="19:20" x14ac:dyDescent="0.35">
      <c r="S317" s="10"/>
      <c r="T317" s="324"/>
    </row>
    <row r="318" spans="19:20" x14ac:dyDescent="0.35">
      <c r="S318" s="10"/>
      <c r="T318" s="324"/>
    </row>
    <row r="319" spans="19:20" x14ac:dyDescent="0.35">
      <c r="S319" s="10"/>
      <c r="T319" s="324"/>
    </row>
    <row r="320" spans="19:20" x14ac:dyDescent="0.35">
      <c r="S320" s="10"/>
      <c r="T320" s="324"/>
    </row>
    <row r="321" spans="19:20" x14ac:dyDescent="0.35">
      <c r="S321" s="10"/>
      <c r="T321" s="324"/>
    </row>
    <row r="322" spans="19:20" x14ac:dyDescent="0.35">
      <c r="S322" s="10"/>
      <c r="T322" s="324"/>
    </row>
    <row r="323" spans="19:20" x14ac:dyDescent="0.35">
      <c r="S323" s="10"/>
      <c r="T323" s="324"/>
    </row>
    <row r="324" spans="19:20" x14ac:dyDescent="0.35">
      <c r="S324" s="10"/>
      <c r="T324" s="324"/>
    </row>
    <row r="325" spans="19:20" x14ac:dyDescent="0.35">
      <c r="S325" s="10"/>
      <c r="T325" s="324"/>
    </row>
    <row r="326" spans="19:20" x14ac:dyDescent="0.35">
      <c r="S326" s="10"/>
      <c r="T326" s="324"/>
    </row>
    <row r="327" spans="19:20" x14ac:dyDescent="0.35">
      <c r="S327" s="10"/>
      <c r="T327" s="324"/>
    </row>
    <row r="328" spans="19:20" x14ac:dyDescent="0.35">
      <c r="S328" s="10"/>
      <c r="T328" s="324"/>
    </row>
    <row r="329" spans="19:20" x14ac:dyDescent="0.35">
      <c r="S329" s="10"/>
      <c r="T329" s="324"/>
    </row>
    <row r="330" spans="19:20" x14ac:dyDescent="0.35">
      <c r="S330" s="10"/>
      <c r="T330" s="324"/>
    </row>
    <row r="331" spans="19:20" x14ac:dyDescent="0.35">
      <c r="S331" s="10"/>
      <c r="T331" s="324"/>
    </row>
    <row r="342" spans="19:20" x14ac:dyDescent="0.35">
      <c r="S342" s="10"/>
      <c r="T342" s="324"/>
    </row>
    <row r="343" spans="19:20" x14ac:dyDescent="0.35">
      <c r="S343" s="10"/>
      <c r="T343" s="324"/>
    </row>
    <row r="344" spans="19:20" x14ac:dyDescent="0.35">
      <c r="S344" s="10"/>
      <c r="T344" s="324"/>
    </row>
    <row r="345" spans="19:20" x14ac:dyDescent="0.35">
      <c r="S345" s="44"/>
      <c r="T345" s="325"/>
    </row>
    <row r="346" spans="19:20" x14ac:dyDescent="0.35">
      <c r="S346" s="42"/>
      <c r="T346" s="326"/>
    </row>
    <row r="347" spans="19:20" x14ac:dyDescent="0.35">
      <c r="S347" s="10"/>
      <c r="T347" s="324"/>
    </row>
    <row r="348" spans="19:20" x14ac:dyDescent="0.35">
      <c r="S348" s="10"/>
      <c r="T348" s="324"/>
    </row>
    <row r="349" spans="19:20" x14ac:dyDescent="0.35">
      <c r="S349" s="10"/>
      <c r="T349" s="324"/>
    </row>
    <row r="350" spans="19:20" x14ac:dyDescent="0.35">
      <c r="S350" s="10"/>
      <c r="T350" s="324"/>
    </row>
    <row r="351" spans="19:20" x14ac:dyDescent="0.35">
      <c r="S351" s="10"/>
      <c r="T351" s="324"/>
    </row>
    <row r="352" spans="19:20" x14ac:dyDescent="0.35">
      <c r="S352" s="10"/>
      <c r="T352" s="324"/>
    </row>
    <row r="353" spans="19:20" x14ac:dyDescent="0.35">
      <c r="S353" s="10"/>
      <c r="T353" s="324"/>
    </row>
    <row r="354" spans="19:20" x14ac:dyDescent="0.35">
      <c r="S354" s="10"/>
      <c r="T354" s="324"/>
    </row>
    <row r="355" spans="19:20" x14ac:dyDescent="0.35">
      <c r="S355" s="10"/>
      <c r="T355" s="324"/>
    </row>
    <row r="356" spans="19:20" x14ac:dyDescent="0.35">
      <c r="S356" s="10"/>
      <c r="T356" s="324"/>
    </row>
    <row r="357" spans="19:20" x14ac:dyDescent="0.35">
      <c r="S357" s="10"/>
      <c r="T357" s="324"/>
    </row>
    <row r="358" spans="19:20" x14ac:dyDescent="0.35">
      <c r="S358" s="10"/>
      <c r="T358" s="324"/>
    </row>
    <row r="359" spans="19:20" x14ac:dyDescent="0.35">
      <c r="S359" s="10"/>
      <c r="T359" s="324"/>
    </row>
    <row r="360" spans="19:20" x14ac:dyDescent="0.35">
      <c r="S360" s="10"/>
      <c r="T360" s="324"/>
    </row>
    <row r="361" spans="19:20" x14ac:dyDescent="0.35">
      <c r="S361" s="10"/>
      <c r="T361" s="324"/>
    </row>
    <row r="362" spans="19:20" x14ac:dyDescent="0.35">
      <c r="S362" s="10"/>
      <c r="T362" s="324"/>
    </row>
    <row r="363" spans="19:20" x14ac:dyDescent="0.35">
      <c r="S363" s="10"/>
      <c r="T363" s="324"/>
    </row>
    <row r="364" spans="19:20" x14ac:dyDescent="0.35">
      <c r="S364" s="10"/>
      <c r="T364" s="324"/>
    </row>
    <row r="365" spans="19:20" x14ac:dyDescent="0.35">
      <c r="S365" s="10"/>
      <c r="T365" s="324"/>
    </row>
    <row r="366" spans="19:20" x14ac:dyDescent="0.35">
      <c r="S366" s="10"/>
      <c r="T366" s="324"/>
    </row>
    <row r="367" spans="19:20" x14ac:dyDescent="0.35">
      <c r="S367" s="10"/>
      <c r="T367" s="324"/>
    </row>
    <row r="368" spans="19:20" x14ac:dyDescent="0.35">
      <c r="S368" s="10"/>
      <c r="T368" s="324"/>
    </row>
    <row r="369" spans="19:20" x14ac:dyDescent="0.35">
      <c r="S369" s="10"/>
      <c r="T369" s="324"/>
    </row>
    <row r="370" spans="19:20" x14ac:dyDescent="0.35">
      <c r="S370" s="10"/>
      <c r="T370" s="324"/>
    </row>
    <row r="371" spans="19:20" x14ac:dyDescent="0.35">
      <c r="S371" s="10"/>
      <c r="T371" s="324"/>
    </row>
    <row r="372" spans="19:20" x14ac:dyDescent="0.35">
      <c r="S372" s="10"/>
      <c r="T372" s="324"/>
    </row>
    <row r="373" spans="19:20" x14ac:dyDescent="0.35">
      <c r="S373" s="10"/>
      <c r="T373" s="324"/>
    </row>
    <row r="374" spans="19:20" x14ac:dyDescent="0.35">
      <c r="S374" s="10"/>
      <c r="T374" s="324"/>
    </row>
    <row r="375" spans="19:20" x14ac:dyDescent="0.35">
      <c r="S375" s="10"/>
      <c r="T375" s="324"/>
    </row>
    <row r="376" spans="19:20" x14ac:dyDescent="0.35">
      <c r="S376" s="10"/>
      <c r="T376" s="324"/>
    </row>
    <row r="377" spans="19:20" x14ac:dyDescent="0.35">
      <c r="S377" s="10"/>
      <c r="T377" s="324"/>
    </row>
    <row r="378" spans="19:20" x14ac:dyDescent="0.35">
      <c r="S378" s="10"/>
      <c r="T378" s="324"/>
    </row>
    <row r="379" spans="19:20" x14ac:dyDescent="0.35">
      <c r="S379" s="10"/>
      <c r="T379" s="324"/>
    </row>
    <row r="380" spans="19:20" x14ac:dyDescent="0.35">
      <c r="S380" s="10"/>
      <c r="T380" s="324"/>
    </row>
    <row r="382" spans="19:20" x14ac:dyDescent="0.35">
      <c r="S382" s="46"/>
      <c r="T382" s="327"/>
    </row>
    <row r="385" spans="19:20" x14ac:dyDescent="0.35">
      <c r="S385" s="10"/>
      <c r="T385" s="324"/>
    </row>
    <row r="386" spans="19:20" x14ac:dyDescent="0.35">
      <c r="S386" s="10"/>
      <c r="T386" s="324"/>
    </row>
  </sheetData>
  <sheetProtection selectLockedCells="1"/>
  <conditionalFormatting sqref="E184:Q184">
    <cfRule type="cellIs" dxfId="92" priority="1" operator="between">
      <formula>-1</formula>
      <formula>1</formula>
    </cfRule>
  </conditionalFormatting>
  <dataValidations disablePrompts="1" count="1">
    <dataValidation operator="notEqual" showInputMessage="1" showErrorMessage="1" sqref="E18:P18" xr:uid="{00000000-0002-0000-0A00-000000000000}"/>
  </dataValidations>
  <pageMargins left="0" right="0" top="0" bottom="0" header="0.05" footer="0"/>
  <pageSetup scale="47" fitToHeight="2" orientation="landscape" cellComments="asDisplayed" r:id="rId1"/>
  <headerFooter alignWithMargins="0">
    <oddFooter>&amp;L&amp;Z&amp;F\&amp;A&amp;R&amp;D;&amp;T</oddFooter>
  </headerFooter>
  <rowBreaks count="1" manualBreakCount="1">
    <brk id="72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V386"/>
  <sheetViews>
    <sheetView topLeftCell="A142" zoomScale="85" zoomScaleNormal="85" workbookViewId="0">
      <selection activeCell="E184" sqref="E184:R191"/>
    </sheetView>
  </sheetViews>
  <sheetFormatPr defaultColWidth="10.81640625" defaultRowHeight="16" outlineLevelCol="1" x14ac:dyDescent="0.35"/>
  <cols>
    <col min="1" max="1" width="15.54296875" style="6" bestFit="1" customWidth="1"/>
    <col min="2" max="2" width="9.1796875" style="6" customWidth="1"/>
    <col min="3" max="3" width="2.81640625" style="6" customWidth="1"/>
    <col min="4" max="4" width="37.81640625" style="6" customWidth="1"/>
    <col min="5" max="5" width="14" style="6" bestFit="1" customWidth="1"/>
    <col min="6" max="6" width="12.81640625" style="6" bestFit="1" customWidth="1"/>
    <col min="7" max="8" width="15.81640625" style="6" customWidth="1"/>
    <col min="9" max="9" width="13.81640625" style="6" customWidth="1"/>
    <col min="10" max="10" width="13.1796875" style="6" customWidth="1"/>
    <col min="11" max="16" width="12.81640625" style="6" bestFit="1" customWidth="1"/>
    <col min="17" max="18" width="15.1796875" style="6" bestFit="1" customWidth="1"/>
    <col min="19" max="19" width="17.26953125" style="6" customWidth="1" outlineLevel="1"/>
    <col min="20" max="20" width="14.26953125" style="273" customWidth="1" outlineLevel="1"/>
    <col min="21" max="21" width="9.1796875" style="23" bestFit="1" customWidth="1"/>
    <col min="22" max="22" width="8.81640625" style="6" bestFit="1" customWidth="1"/>
    <col min="23" max="16384" width="10.81640625" style="6"/>
  </cols>
  <sheetData>
    <row r="1" spans="1:22" s="20" customFormat="1" ht="29" x14ac:dyDescent="0.25">
      <c r="B1" s="214">
        <v>8200</v>
      </c>
      <c r="C1" s="388" t="s">
        <v>564</v>
      </c>
      <c r="J1" s="21" t="str">
        <f>+'7010'!J1</f>
        <v>Operating Budget</v>
      </c>
      <c r="Q1" s="22">
        <f>'All Shopping Centers'!Q1</f>
        <v>46023</v>
      </c>
      <c r="R1" s="22"/>
      <c r="S1" s="22"/>
      <c r="T1" s="299"/>
      <c r="U1" s="240"/>
    </row>
    <row r="2" spans="1:22" ht="18" x14ac:dyDescent="0.35">
      <c r="J2" s="73" t="str">
        <f>'All Shopping Centers'!J2&amp;" - "&amp;B1</f>
        <v>Shopping Centers - 8200</v>
      </c>
    </row>
    <row r="3" spans="1:22" ht="18" x14ac:dyDescent="0.35">
      <c r="S3" s="300" t="s">
        <v>496</v>
      </c>
      <c r="T3" s="301"/>
    </row>
    <row r="4" spans="1:22" s="11" customFormat="1" ht="18" x14ac:dyDescent="0.35">
      <c r="B4" s="215">
        <v>10000</v>
      </c>
      <c r="C4" s="215"/>
      <c r="D4" s="13"/>
      <c r="E4" s="24" t="s">
        <v>0</v>
      </c>
      <c r="F4" s="24" t="s">
        <v>1</v>
      </c>
      <c r="G4" s="24" t="s">
        <v>2</v>
      </c>
      <c r="H4" s="24" t="s">
        <v>3</v>
      </c>
      <c r="I4" s="24" t="s">
        <v>4</v>
      </c>
      <c r="J4" s="24" t="s">
        <v>5</v>
      </c>
      <c r="K4" s="24" t="s">
        <v>6</v>
      </c>
      <c r="L4" s="24" t="s">
        <v>7</v>
      </c>
      <c r="M4" s="24" t="s">
        <v>8</v>
      </c>
      <c r="N4" s="24" t="s">
        <v>9</v>
      </c>
      <c r="O4" s="24" t="s">
        <v>10</v>
      </c>
      <c r="P4" s="24" t="s">
        <v>11</v>
      </c>
      <c r="Q4" s="100" t="s">
        <v>12</v>
      </c>
      <c r="R4" s="100" t="s">
        <v>317</v>
      </c>
      <c r="S4" s="302" t="s">
        <v>12</v>
      </c>
      <c r="T4" s="303" t="s">
        <v>495</v>
      </c>
      <c r="U4" s="231" t="s">
        <v>349</v>
      </c>
      <c r="V4" s="227" t="s">
        <v>282</v>
      </c>
    </row>
    <row r="5" spans="1:22" x14ac:dyDescent="0.35">
      <c r="Q5" s="101"/>
      <c r="R5" s="101"/>
      <c r="S5" s="304"/>
      <c r="T5" s="305"/>
    </row>
    <row r="6" spans="1:22" s="25" customFormat="1" x14ac:dyDescent="0.35">
      <c r="B6" s="26"/>
      <c r="D6" s="211" t="s">
        <v>13</v>
      </c>
      <c r="E6" s="212">
        <f>'Renew &amp; Vac '!AJ185</f>
        <v>1</v>
      </c>
      <c r="F6" s="212">
        <f>'Renew &amp; Vac '!AK185</f>
        <v>1</v>
      </c>
      <c r="G6" s="212">
        <f>'Renew &amp; Vac '!AL185</f>
        <v>1</v>
      </c>
      <c r="H6" s="212">
        <f>'Renew &amp; Vac '!AM185</f>
        <v>1</v>
      </c>
      <c r="I6" s="212">
        <f>'Renew &amp; Vac '!AN185</f>
        <v>1</v>
      </c>
      <c r="J6" s="212">
        <f>'Renew &amp; Vac '!AO185</f>
        <v>1</v>
      </c>
      <c r="K6" s="212">
        <f>'Renew &amp; Vac '!AP185</f>
        <v>1</v>
      </c>
      <c r="L6" s="212">
        <f>'Renew &amp; Vac '!AQ185</f>
        <v>1</v>
      </c>
      <c r="M6" s="212">
        <f>'Renew &amp; Vac '!AR185</f>
        <v>1</v>
      </c>
      <c r="N6" s="212">
        <f>'Renew &amp; Vac '!AS185</f>
        <v>1</v>
      </c>
      <c r="O6" s="212">
        <f>'Renew &amp; Vac '!AT185</f>
        <v>1</v>
      </c>
      <c r="P6" s="212">
        <f>'Renew &amp; Vac '!AU185</f>
        <v>1</v>
      </c>
      <c r="Q6" s="102"/>
      <c r="R6" s="102"/>
      <c r="S6" s="306"/>
      <c r="T6" s="307"/>
      <c r="U6" s="232"/>
    </row>
    <row r="7" spans="1:22" s="25" customFormat="1" x14ac:dyDescent="0.35">
      <c r="B7" s="26"/>
      <c r="D7" s="211" t="s">
        <v>323</v>
      </c>
      <c r="E7" s="213">
        <f>$B$4*E6</f>
        <v>10000</v>
      </c>
      <c r="F7" s="213">
        <f t="shared" ref="F7:P7" si="0">$B$4*F6</f>
        <v>10000</v>
      </c>
      <c r="G7" s="213">
        <f t="shared" si="0"/>
        <v>10000</v>
      </c>
      <c r="H7" s="213">
        <f t="shared" si="0"/>
        <v>10000</v>
      </c>
      <c r="I7" s="213">
        <f t="shared" si="0"/>
        <v>10000</v>
      </c>
      <c r="J7" s="213">
        <f t="shared" si="0"/>
        <v>10000</v>
      </c>
      <c r="K7" s="213">
        <f t="shared" si="0"/>
        <v>10000</v>
      </c>
      <c r="L7" s="213">
        <f t="shared" si="0"/>
        <v>10000</v>
      </c>
      <c r="M7" s="213">
        <f t="shared" si="0"/>
        <v>10000</v>
      </c>
      <c r="N7" s="213">
        <f t="shared" si="0"/>
        <v>10000</v>
      </c>
      <c r="O7" s="213">
        <f t="shared" si="0"/>
        <v>10000</v>
      </c>
      <c r="P7" s="213">
        <f t="shared" si="0"/>
        <v>10000</v>
      </c>
      <c r="Q7" s="102"/>
      <c r="R7" s="102"/>
      <c r="S7" s="306"/>
      <c r="T7" s="307"/>
      <c r="U7" s="232"/>
    </row>
    <row r="8" spans="1:22" ht="18" x14ac:dyDescent="0.35">
      <c r="B8" s="7" t="s">
        <v>14</v>
      </c>
      <c r="Q8" s="101"/>
      <c r="R8" s="101"/>
      <c r="S8" s="304"/>
      <c r="T8" s="305"/>
    </row>
    <row r="9" spans="1:22" x14ac:dyDescent="0.35">
      <c r="A9" s="66"/>
      <c r="Q9" s="101"/>
      <c r="R9" s="101"/>
      <c r="S9" s="304"/>
      <c r="T9" s="305"/>
    </row>
    <row r="10" spans="1:22" x14ac:dyDescent="0.35">
      <c r="A10" s="66" t="s">
        <v>132</v>
      </c>
      <c r="C10" s="6" t="s">
        <v>159</v>
      </c>
      <c r="E10" s="6">
        <f>SUMIFS('In Place Revenue'!$G:$G,'In Place Revenue'!$A:$A,$B$1,'In Place Revenue'!$H:$H,1)</f>
        <v>36750</v>
      </c>
      <c r="F10" s="6">
        <f>SUMIFS('In Place Revenue'!$G:$G,'In Place Revenue'!$A:$A,$B$1,'In Place Revenue'!$H:$H,2)</f>
        <v>36750</v>
      </c>
      <c r="G10" s="6">
        <f>SUMIFS('In Place Revenue'!$G:$G,'In Place Revenue'!$A:$A,$B$1,'In Place Revenue'!$H:$H,3)</f>
        <v>36750</v>
      </c>
      <c r="H10" s="6">
        <f>SUMIFS('In Place Revenue'!$G:$G,'In Place Revenue'!$A:$A,$B$1,'In Place Revenue'!$H:$H,4)</f>
        <v>36750</v>
      </c>
      <c r="I10" s="6">
        <f>SUMIFS('In Place Revenue'!$G:$G,'In Place Revenue'!$A:$A,$B$1,'In Place Revenue'!$H:$H,5)</f>
        <v>36750</v>
      </c>
      <c r="J10" s="6">
        <f>SUMIFS('In Place Revenue'!$G:$G,'In Place Revenue'!$A:$A,$B$1,'In Place Revenue'!$H:$H,6)</f>
        <v>36750</v>
      </c>
      <c r="K10" s="6">
        <f>SUMIFS('In Place Revenue'!$G:$G,'In Place Revenue'!$A:$A,$B$1,'In Place Revenue'!$H:$H,7)</f>
        <v>36750</v>
      </c>
      <c r="L10" s="6">
        <f>SUMIFS('In Place Revenue'!$G:$G,'In Place Revenue'!$A:$A,$B$1,'In Place Revenue'!$H:$H,8)</f>
        <v>36750</v>
      </c>
      <c r="M10" s="6">
        <f>SUMIFS('In Place Revenue'!$G:$G,'In Place Revenue'!$A:$A,$B$1,'In Place Revenue'!$H:$H,9)</f>
        <v>36750</v>
      </c>
      <c r="N10" s="6">
        <f>SUMIFS('In Place Revenue'!$G:$G,'In Place Revenue'!$A:$A,$B$1,'In Place Revenue'!$H:$H,10)</f>
        <v>36750</v>
      </c>
      <c r="O10" s="6">
        <f>SUMIFS('In Place Revenue'!$G:$G,'In Place Revenue'!$A:$A,$B$1,'In Place Revenue'!$H:$H,11)</f>
        <v>36750</v>
      </c>
      <c r="P10" s="6">
        <f>SUMIFS('In Place Revenue'!$G:$G,'In Place Revenue'!$A:$A,$B$1,'In Place Revenue'!$H:$H,12)</f>
        <v>36750</v>
      </c>
      <c r="Q10" s="101">
        <f>SUM(E10:P10)</f>
        <v>441000</v>
      </c>
      <c r="R10" s="184">
        <f>Q10/$B$4</f>
        <v>44.1</v>
      </c>
      <c r="S10" s="304">
        <v>436966</v>
      </c>
      <c r="T10" s="308">
        <f>(Q10+Q11)/S10-1</f>
        <v>9.2318395481569837E-3</v>
      </c>
    </row>
    <row r="11" spans="1:22" x14ac:dyDescent="0.35">
      <c r="A11" s="66" t="s">
        <v>132</v>
      </c>
      <c r="C11" s="6" t="s">
        <v>160</v>
      </c>
      <c r="E11" s="6">
        <f>'Renew &amp; Vac '!AJ186</f>
        <v>0</v>
      </c>
      <c r="F11" s="6">
        <f>'Renew &amp; Vac '!AK186</f>
        <v>0</v>
      </c>
      <c r="G11" s="6">
        <f>'Renew &amp; Vac '!AL186</f>
        <v>0</v>
      </c>
      <c r="H11" s="6">
        <f>'Renew &amp; Vac '!AM186</f>
        <v>0</v>
      </c>
      <c r="I11" s="6">
        <f>'Renew &amp; Vac '!AN186</f>
        <v>0</v>
      </c>
      <c r="J11" s="6">
        <f>'Renew &amp; Vac '!AO186</f>
        <v>0</v>
      </c>
      <c r="K11" s="6">
        <f>'Renew &amp; Vac '!AP186</f>
        <v>0</v>
      </c>
      <c r="L11" s="6">
        <f>'Renew &amp; Vac '!AQ186</f>
        <v>0</v>
      </c>
      <c r="M11" s="6">
        <f>'Renew &amp; Vac '!AR186</f>
        <v>0</v>
      </c>
      <c r="N11" s="6">
        <f>'Renew &amp; Vac '!AS186</f>
        <v>0</v>
      </c>
      <c r="O11" s="6">
        <f>'Renew &amp; Vac '!AT186</f>
        <v>0</v>
      </c>
      <c r="P11" s="6">
        <f>'Renew &amp; Vac '!AU186</f>
        <v>0</v>
      </c>
      <c r="Q11" s="101">
        <f>SUM(E11:P11)</f>
        <v>0</v>
      </c>
      <c r="R11" s="184">
        <f t="shared" ref="R11:R73" si="1">Q11/$B$4</f>
        <v>0</v>
      </c>
      <c r="S11" s="304"/>
      <c r="T11" s="308"/>
    </row>
    <row r="12" spans="1:22" x14ac:dyDescent="0.35">
      <c r="A12" s="66" t="s">
        <v>97</v>
      </c>
      <c r="C12" s="6" t="s">
        <v>15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01">
        <f>SUM(E12:P12)</f>
        <v>0</v>
      </c>
      <c r="R12" s="184">
        <f t="shared" si="1"/>
        <v>0</v>
      </c>
      <c r="S12" s="304">
        <v>0</v>
      </c>
      <c r="T12" s="308" t="str">
        <f>IFERROR(Q12/S12-1,"")</f>
        <v/>
      </c>
    </row>
    <row r="13" spans="1:22" x14ac:dyDescent="0.35">
      <c r="A13" s="66" t="s">
        <v>133</v>
      </c>
      <c r="C13" s="6" t="s">
        <v>16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01">
        <f>SUM(E13:P13)</f>
        <v>0</v>
      </c>
      <c r="R13" s="184">
        <f t="shared" si="1"/>
        <v>0</v>
      </c>
      <c r="S13" s="304">
        <v>0</v>
      </c>
      <c r="T13" s="308" t="str">
        <f t="shared" ref="T13:T14" si="2">IFERROR(Q13/S13-1,"")</f>
        <v/>
      </c>
    </row>
    <row r="14" spans="1:22" x14ac:dyDescent="0.35">
      <c r="A14" s="66" t="s">
        <v>134</v>
      </c>
      <c r="C14" s="6" t="s">
        <v>17</v>
      </c>
      <c r="E14" s="12">
        <f>1.03*13</f>
        <v>13.39</v>
      </c>
      <c r="F14" s="12">
        <f t="shared" ref="F14:P14" si="3">1.03*13</f>
        <v>13.39</v>
      </c>
      <c r="G14" s="12">
        <f t="shared" si="3"/>
        <v>13.39</v>
      </c>
      <c r="H14" s="12">
        <f t="shared" si="3"/>
        <v>13.39</v>
      </c>
      <c r="I14" s="12">
        <f t="shared" si="3"/>
        <v>13.39</v>
      </c>
      <c r="J14" s="12">
        <f t="shared" si="3"/>
        <v>13.39</v>
      </c>
      <c r="K14" s="12">
        <f t="shared" si="3"/>
        <v>13.39</v>
      </c>
      <c r="L14" s="12">
        <f t="shared" si="3"/>
        <v>13.39</v>
      </c>
      <c r="M14" s="12">
        <f t="shared" si="3"/>
        <v>13.39</v>
      </c>
      <c r="N14" s="12">
        <f t="shared" si="3"/>
        <v>13.39</v>
      </c>
      <c r="O14" s="12">
        <f t="shared" si="3"/>
        <v>13.39</v>
      </c>
      <c r="P14" s="12">
        <f t="shared" si="3"/>
        <v>13.39</v>
      </c>
      <c r="Q14" s="101">
        <f>SUM(E14:P14)</f>
        <v>160.68</v>
      </c>
      <c r="R14" s="184">
        <f t="shared" si="1"/>
        <v>1.6067999999999999E-2</v>
      </c>
      <c r="S14" s="304">
        <v>157</v>
      </c>
      <c r="T14" s="320">
        <f t="shared" si="2"/>
        <v>2.3439490445859912E-2</v>
      </c>
      <c r="U14" s="23" t="s">
        <v>283</v>
      </c>
      <c r="V14" s="6" t="s">
        <v>348</v>
      </c>
    </row>
    <row r="15" spans="1:22" x14ac:dyDescent="0.35">
      <c r="A15" s="66"/>
      <c r="C15" s="6" t="s">
        <v>18</v>
      </c>
      <c r="D15" s="16"/>
      <c r="E15" s="28">
        <f t="shared" ref="E15:Q15" si="4">SUM(E10:E14)</f>
        <v>36763.39</v>
      </c>
      <c r="F15" s="28">
        <f t="shared" si="4"/>
        <v>36763.39</v>
      </c>
      <c r="G15" s="28">
        <f t="shared" si="4"/>
        <v>36763.39</v>
      </c>
      <c r="H15" s="28">
        <f t="shared" si="4"/>
        <v>36763.39</v>
      </c>
      <c r="I15" s="28">
        <f t="shared" si="4"/>
        <v>36763.39</v>
      </c>
      <c r="J15" s="28">
        <f t="shared" si="4"/>
        <v>36763.39</v>
      </c>
      <c r="K15" s="28">
        <f t="shared" si="4"/>
        <v>36763.39</v>
      </c>
      <c r="L15" s="28">
        <f t="shared" si="4"/>
        <v>36763.39</v>
      </c>
      <c r="M15" s="28">
        <f t="shared" si="4"/>
        <v>36763.39</v>
      </c>
      <c r="N15" s="28">
        <f t="shared" si="4"/>
        <v>36763.39</v>
      </c>
      <c r="O15" s="28">
        <f t="shared" si="4"/>
        <v>36763.39</v>
      </c>
      <c r="P15" s="28">
        <f t="shared" si="4"/>
        <v>36763.39</v>
      </c>
      <c r="Q15" s="110">
        <f t="shared" si="4"/>
        <v>441160.68</v>
      </c>
      <c r="R15" s="191">
        <f t="shared" si="1"/>
        <v>44.116067999999999</v>
      </c>
      <c r="S15" s="309">
        <f>SUM(S10:S14)</f>
        <v>437123</v>
      </c>
      <c r="T15" s="310">
        <f>Q15/S15-1</f>
        <v>9.2369424624190177E-3</v>
      </c>
    </row>
    <row r="16" spans="1:22" ht="18" x14ac:dyDescent="0.35">
      <c r="A16" s="66"/>
      <c r="Q16" s="103"/>
      <c r="R16" s="185"/>
      <c r="S16" s="311"/>
      <c r="T16" s="312"/>
    </row>
    <row r="17" spans="1:21" ht="18" x14ac:dyDescent="0.35">
      <c r="A17" s="66"/>
      <c r="B17" s="7" t="s">
        <v>19</v>
      </c>
      <c r="Q17" s="101"/>
      <c r="R17" s="184"/>
      <c r="S17" s="304"/>
      <c r="T17" s="308"/>
    </row>
    <row r="18" spans="1:21" x14ac:dyDescent="0.35">
      <c r="A18" s="66" t="s">
        <v>98</v>
      </c>
      <c r="C18" s="6" t="s">
        <v>20</v>
      </c>
      <c r="E18" s="12">
        <f>0.65*E29</f>
        <v>0</v>
      </c>
      <c r="F18" s="12">
        <f t="shared" ref="F18:P18" si="5">0.65*F29</f>
        <v>0</v>
      </c>
      <c r="G18" s="12">
        <f t="shared" si="5"/>
        <v>0</v>
      </c>
      <c r="H18" s="12">
        <f t="shared" si="5"/>
        <v>0</v>
      </c>
      <c r="I18" s="12">
        <f t="shared" si="5"/>
        <v>0</v>
      </c>
      <c r="J18" s="12">
        <f t="shared" si="5"/>
        <v>0</v>
      </c>
      <c r="K18" s="12">
        <f t="shared" si="5"/>
        <v>0</v>
      </c>
      <c r="L18" s="12">
        <f t="shared" si="5"/>
        <v>0</v>
      </c>
      <c r="M18" s="12">
        <f t="shared" si="5"/>
        <v>0</v>
      </c>
      <c r="N18" s="12">
        <f t="shared" si="5"/>
        <v>0</v>
      </c>
      <c r="O18" s="12">
        <f t="shared" si="5"/>
        <v>0</v>
      </c>
      <c r="P18" s="12">
        <f t="shared" si="5"/>
        <v>0</v>
      </c>
      <c r="Q18" s="101">
        <f>SUM(E18:P18)</f>
        <v>0</v>
      </c>
      <c r="R18" s="184">
        <f t="shared" ref="R18" si="6">Q18/$B$4</f>
        <v>0</v>
      </c>
      <c r="S18" s="304">
        <v>0</v>
      </c>
      <c r="T18" s="308" t="str">
        <f t="shared" ref="T18:T20" si="7">IFERROR(Q18/S18-1,"")</f>
        <v/>
      </c>
    </row>
    <row r="19" spans="1:21" x14ac:dyDescent="0.35">
      <c r="A19" s="66" t="s">
        <v>99</v>
      </c>
      <c r="C19" s="6" t="s">
        <v>21</v>
      </c>
      <c r="E19" s="6">
        <f>+'Tenant Recoveries'!N26</f>
        <v>0</v>
      </c>
      <c r="F19" s="6">
        <f>+E19</f>
        <v>0</v>
      </c>
      <c r="G19" s="6">
        <f t="shared" ref="G19:P20" si="8">+F19</f>
        <v>0</v>
      </c>
      <c r="H19" s="6">
        <f t="shared" si="8"/>
        <v>0</v>
      </c>
      <c r="I19" s="6">
        <f t="shared" si="8"/>
        <v>0</v>
      </c>
      <c r="J19" s="6">
        <f t="shared" si="8"/>
        <v>0</v>
      </c>
      <c r="K19" s="6">
        <f t="shared" si="8"/>
        <v>0</v>
      </c>
      <c r="L19" s="6">
        <f t="shared" si="8"/>
        <v>0</v>
      </c>
      <c r="M19" s="6">
        <f t="shared" si="8"/>
        <v>0</v>
      </c>
      <c r="N19" s="6">
        <f t="shared" si="8"/>
        <v>0</v>
      </c>
      <c r="O19" s="6">
        <f t="shared" si="8"/>
        <v>0</v>
      </c>
      <c r="P19" s="6">
        <f t="shared" si="8"/>
        <v>0</v>
      </c>
      <c r="Q19" s="101">
        <f>SUM(E19:P19)</f>
        <v>0</v>
      </c>
      <c r="R19" s="184">
        <f t="shared" si="1"/>
        <v>0</v>
      </c>
      <c r="S19" s="304">
        <v>0</v>
      </c>
      <c r="T19" s="308" t="str">
        <f t="shared" si="7"/>
        <v/>
      </c>
    </row>
    <row r="20" spans="1:21" x14ac:dyDescent="0.35">
      <c r="A20" s="66" t="s">
        <v>100</v>
      </c>
      <c r="C20" s="6" t="s">
        <v>22</v>
      </c>
      <c r="E20" s="6">
        <f>+'Tenant Recoveries'!N27</f>
        <v>0</v>
      </c>
      <c r="F20" s="6">
        <f>+E20</f>
        <v>0</v>
      </c>
      <c r="G20" s="6">
        <f t="shared" si="8"/>
        <v>0</v>
      </c>
      <c r="H20" s="6">
        <f t="shared" si="8"/>
        <v>0</v>
      </c>
      <c r="I20" s="6">
        <f t="shared" si="8"/>
        <v>0</v>
      </c>
      <c r="J20" s="6">
        <f t="shared" si="8"/>
        <v>0</v>
      </c>
      <c r="K20" s="6">
        <f t="shared" si="8"/>
        <v>0</v>
      </c>
      <c r="L20" s="6">
        <f t="shared" si="8"/>
        <v>0</v>
      </c>
      <c r="M20" s="6">
        <f t="shared" si="8"/>
        <v>0</v>
      </c>
      <c r="N20" s="6">
        <f t="shared" si="8"/>
        <v>0</v>
      </c>
      <c r="O20" s="6">
        <f t="shared" si="8"/>
        <v>0</v>
      </c>
      <c r="P20" s="6">
        <f t="shared" si="8"/>
        <v>0</v>
      </c>
      <c r="Q20" s="101">
        <f>SUM(E20:P20)</f>
        <v>0</v>
      </c>
      <c r="R20" s="184">
        <f t="shared" si="1"/>
        <v>0</v>
      </c>
      <c r="S20" s="304">
        <v>36222</v>
      </c>
      <c r="T20" s="308">
        <f t="shared" si="7"/>
        <v>-1</v>
      </c>
    </row>
    <row r="21" spans="1:21" x14ac:dyDescent="0.35">
      <c r="A21" s="66" t="s">
        <v>135</v>
      </c>
      <c r="C21" s="6" t="s">
        <v>23</v>
      </c>
      <c r="Q21" s="101">
        <f>SUM(E21:P21)</f>
        <v>0</v>
      </c>
      <c r="R21" s="184">
        <f t="shared" si="1"/>
        <v>0</v>
      </c>
      <c r="S21" s="304">
        <v>0</v>
      </c>
      <c r="T21" s="308" t="str">
        <f>IFERROR(Q21/S21-1,"")</f>
        <v/>
      </c>
    </row>
    <row r="22" spans="1:21" x14ac:dyDescent="0.35">
      <c r="A22" s="66"/>
      <c r="C22" s="6" t="s">
        <v>24</v>
      </c>
      <c r="D22" s="16"/>
      <c r="E22" s="28">
        <f t="shared" ref="E22:Q22" si="9">SUM(E19:E21)</f>
        <v>0</v>
      </c>
      <c r="F22" s="28">
        <f t="shared" si="9"/>
        <v>0</v>
      </c>
      <c r="G22" s="28">
        <f t="shared" si="9"/>
        <v>0</v>
      </c>
      <c r="H22" s="28">
        <f t="shared" si="9"/>
        <v>0</v>
      </c>
      <c r="I22" s="28">
        <f t="shared" si="9"/>
        <v>0</v>
      </c>
      <c r="J22" s="28">
        <f t="shared" si="9"/>
        <v>0</v>
      </c>
      <c r="K22" s="28">
        <f t="shared" si="9"/>
        <v>0</v>
      </c>
      <c r="L22" s="28">
        <f t="shared" si="9"/>
        <v>0</v>
      </c>
      <c r="M22" s="28">
        <f t="shared" si="9"/>
        <v>0</v>
      </c>
      <c r="N22" s="28">
        <f t="shared" si="9"/>
        <v>0</v>
      </c>
      <c r="O22" s="28">
        <f t="shared" si="9"/>
        <v>0</v>
      </c>
      <c r="P22" s="28">
        <f t="shared" si="9"/>
        <v>0</v>
      </c>
      <c r="Q22" s="110">
        <f t="shared" si="9"/>
        <v>0</v>
      </c>
      <c r="R22" s="191">
        <f t="shared" si="1"/>
        <v>0</v>
      </c>
      <c r="S22" s="309">
        <f t="shared" ref="S22" si="10">SUM(S18:S21)</f>
        <v>36222</v>
      </c>
      <c r="T22" s="310">
        <f>Q22/S22-1</f>
        <v>-1</v>
      </c>
    </row>
    <row r="23" spans="1:21" ht="16.5" thickBot="1" x14ac:dyDescent="0.4">
      <c r="A23" s="66"/>
      <c r="Q23" s="101"/>
      <c r="R23" s="184">
        <f t="shared" si="1"/>
        <v>0</v>
      </c>
      <c r="S23" s="304"/>
      <c r="T23" s="308"/>
    </row>
    <row r="24" spans="1:21" s="9" customFormat="1" ht="18" thickBot="1" x14ac:dyDescent="0.4">
      <c r="A24" s="218"/>
      <c r="B24" s="219" t="s">
        <v>25</v>
      </c>
      <c r="C24" s="220"/>
      <c r="D24" s="220"/>
      <c r="E24" s="220">
        <f t="shared" ref="E24:Q24" si="11">+E15+E22</f>
        <v>36763.39</v>
      </c>
      <c r="F24" s="220">
        <f t="shared" si="11"/>
        <v>36763.39</v>
      </c>
      <c r="G24" s="220">
        <f t="shared" si="11"/>
        <v>36763.39</v>
      </c>
      <c r="H24" s="220">
        <f t="shared" si="11"/>
        <v>36763.39</v>
      </c>
      <c r="I24" s="220">
        <f t="shared" si="11"/>
        <v>36763.39</v>
      </c>
      <c r="J24" s="220">
        <f t="shared" si="11"/>
        <v>36763.39</v>
      </c>
      <c r="K24" s="220">
        <f t="shared" si="11"/>
        <v>36763.39</v>
      </c>
      <c r="L24" s="220">
        <f t="shared" si="11"/>
        <v>36763.39</v>
      </c>
      <c r="M24" s="220">
        <f t="shared" si="11"/>
        <v>36763.39</v>
      </c>
      <c r="N24" s="220">
        <f t="shared" si="11"/>
        <v>36763.39</v>
      </c>
      <c r="O24" s="220">
        <f t="shared" si="11"/>
        <v>36763.39</v>
      </c>
      <c r="P24" s="220">
        <f t="shared" si="11"/>
        <v>36763.39</v>
      </c>
      <c r="Q24" s="221">
        <f t="shared" si="11"/>
        <v>441160.68</v>
      </c>
      <c r="R24" s="222">
        <f t="shared" si="1"/>
        <v>44.116067999999999</v>
      </c>
      <c r="S24" s="313">
        <f t="shared" ref="S24" si="12">+S15+S22</f>
        <v>473345</v>
      </c>
      <c r="T24" s="314">
        <f>Q24/S24-1</f>
        <v>-6.7993366360688312E-2</v>
      </c>
      <c r="U24" s="241"/>
    </row>
    <row r="25" spans="1:21" ht="18" x14ac:dyDescent="0.35">
      <c r="A25" s="66"/>
      <c r="Q25" s="103"/>
      <c r="R25" s="185"/>
      <c r="S25" s="311"/>
      <c r="T25" s="312"/>
    </row>
    <row r="26" spans="1:21" ht="18" x14ac:dyDescent="0.35">
      <c r="A26" s="66"/>
      <c r="B26" s="7" t="s">
        <v>26</v>
      </c>
      <c r="Q26" s="101"/>
      <c r="R26" s="184"/>
      <c r="S26" s="304"/>
      <c r="T26" s="308"/>
    </row>
    <row r="27" spans="1:21" x14ac:dyDescent="0.35">
      <c r="A27" s="66" t="s">
        <v>101</v>
      </c>
      <c r="C27" s="6" t="s">
        <v>27</v>
      </c>
      <c r="E27" s="6">
        <f>VLOOKUP($B$1,'Allocated Expenses'!$B$6:$P$15,4,FALSE)</f>
        <v>307.93127731335943</v>
      </c>
      <c r="F27" s="6">
        <f>VLOOKUP($B$1,'Allocated Expenses'!$B$6:$P$15,5,FALSE)</f>
        <v>307.93127731335943</v>
      </c>
      <c r="G27" s="6">
        <f>VLOOKUP($B$1,'Allocated Expenses'!$B$6:$P$15,6,FALSE)</f>
        <v>307.93127731335943</v>
      </c>
      <c r="H27" s="6">
        <f>VLOOKUP($B$1,'Allocated Expenses'!$B$6:$P$15,7,FALSE)</f>
        <v>307.93127731335943</v>
      </c>
      <c r="I27" s="6">
        <f>VLOOKUP($B$1,'Allocated Expenses'!$B$6:$P$15,8,FALSE)</f>
        <v>307.93127731335943</v>
      </c>
      <c r="J27" s="6">
        <f>VLOOKUP($B$1,'Allocated Expenses'!$B$6:$P$15,9,FALSE)</f>
        <v>307.93127731335943</v>
      </c>
      <c r="K27" s="6">
        <f>VLOOKUP($B$1,'Allocated Expenses'!$B$6:$P$15,10,FALSE)</f>
        <v>307.93127731335943</v>
      </c>
      <c r="L27" s="6">
        <f>VLOOKUP($B$1,'Allocated Expenses'!$B$6:$P$15,11,FALSE)</f>
        <v>307.93127731335943</v>
      </c>
      <c r="M27" s="6">
        <f>VLOOKUP($B$1,'Allocated Expenses'!$B$6:$P$15,12,FALSE)</f>
        <v>307.93127731335943</v>
      </c>
      <c r="N27" s="6">
        <f>VLOOKUP($B$1,'Allocated Expenses'!$B$6:$P$15,13,FALSE)</f>
        <v>307.93127731335943</v>
      </c>
      <c r="O27" s="6">
        <f>VLOOKUP($B$1,'Allocated Expenses'!$B$6:$P$15,14,FALSE)</f>
        <v>307.93127731335943</v>
      </c>
      <c r="P27" s="6">
        <f>VLOOKUP($B$1,'Allocated Expenses'!$B$6:$P$15,15,FALSE)</f>
        <v>307.93127731335943</v>
      </c>
      <c r="Q27" s="101">
        <f>SUM(E27:P27)</f>
        <v>3695.1753277603125</v>
      </c>
      <c r="R27" s="184">
        <f t="shared" si="1"/>
        <v>0.36951753277603122</v>
      </c>
      <c r="S27" s="304">
        <v>3840</v>
      </c>
      <c r="T27" s="308">
        <f t="shared" ref="T27" si="13">IFERROR(Q27/S27-1,"")</f>
        <v>-3.7714758395752002E-2</v>
      </c>
    </row>
    <row r="28" spans="1:21" x14ac:dyDescent="0.35">
      <c r="A28" s="66"/>
      <c r="Q28" s="101"/>
      <c r="R28" s="184"/>
      <c r="S28" s="304"/>
      <c r="T28" s="308"/>
    </row>
    <row r="29" spans="1:21" x14ac:dyDescent="0.35">
      <c r="A29" s="66" t="s">
        <v>102</v>
      </c>
      <c r="C29" s="6" t="s">
        <v>20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01">
        <f>SUM(E29:P29)</f>
        <v>0</v>
      </c>
      <c r="R29" s="184">
        <f t="shared" si="1"/>
        <v>0</v>
      </c>
      <c r="S29" s="304">
        <v>0</v>
      </c>
      <c r="T29" s="308" t="str">
        <f t="shared" ref="T29" si="14">IFERROR(Q29/S29-1,"")</f>
        <v/>
      </c>
    </row>
    <row r="30" spans="1:21" x14ac:dyDescent="0.35">
      <c r="A30" s="66"/>
      <c r="Q30" s="101"/>
      <c r="R30" s="184"/>
      <c r="S30" s="304"/>
      <c r="T30" s="308"/>
    </row>
    <row r="31" spans="1:21" x14ac:dyDescent="0.35">
      <c r="A31" s="66" t="s">
        <v>103</v>
      </c>
      <c r="C31" s="6" t="s">
        <v>28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01">
        <f>SUM(E31:P31)</f>
        <v>0</v>
      </c>
      <c r="R31" s="184">
        <f t="shared" si="1"/>
        <v>0</v>
      </c>
      <c r="S31" s="304">
        <v>0</v>
      </c>
      <c r="T31" s="308" t="str">
        <f t="shared" ref="T31" si="15">IFERROR(Q31/S31-1,"")</f>
        <v/>
      </c>
    </row>
    <row r="32" spans="1:21" x14ac:dyDescent="0.35">
      <c r="A32" s="66"/>
      <c r="Q32" s="101"/>
      <c r="R32" s="184"/>
      <c r="S32" s="304"/>
      <c r="T32" s="308"/>
    </row>
    <row r="33" spans="1:20" x14ac:dyDescent="0.35">
      <c r="A33" s="66"/>
      <c r="D33" s="50" t="s">
        <v>29</v>
      </c>
      <c r="E33" s="45">
        <f>'Building Maint'!C28</f>
        <v>0</v>
      </c>
      <c r="F33" s="45">
        <f>'Building Maint'!D28</f>
        <v>0</v>
      </c>
      <c r="G33" s="45">
        <f>'Building Maint'!E28</f>
        <v>0</v>
      </c>
      <c r="H33" s="45">
        <f>'Building Maint'!F28</f>
        <v>0</v>
      </c>
      <c r="I33" s="45">
        <f>'Building Maint'!G28</f>
        <v>0</v>
      </c>
      <c r="J33" s="45">
        <f>'Building Maint'!H28</f>
        <v>0</v>
      </c>
      <c r="K33" s="45">
        <f>'Building Maint'!I28</f>
        <v>0</v>
      </c>
      <c r="L33" s="45">
        <f>'Building Maint'!J28</f>
        <v>0</v>
      </c>
      <c r="M33" s="45">
        <f>'Building Maint'!K28</f>
        <v>0</v>
      </c>
      <c r="N33" s="45">
        <f>'Building Maint'!L28</f>
        <v>0</v>
      </c>
      <c r="O33" s="45">
        <f>'Building Maint'!M28</f>
        <v>0</v>
      </c>
      <c r="P33" s="45">
        <f>'Building Maint'!N28</f>
        <v>0</v>
      </c>
      <c r="Q33" s="195">
        <f>SUM(E33:P33)</f>
        <v>0</v>
      </c>
      <c r="R33" s="186">
        <f t="shared" si="1"/>
        <v>0</v>
      </c>
      <c r="S33" s="304"/>
      <c r="T33" s="308"/>
    </row>
    <row r="34" spans="1:20" x14ac:dyDescent="0.35">
      <c r="A34" s="66"/>
      <c r="D34" s="51" t="s">
        <v>30</v>
      </c>
      <c r="E34" s="6">
        <f>'Building Maint'!C14</f>
        <v>0</v>
      </c>
      <c r="F34" s="6">
        <f>'Building Maint'!D14</f>
        <v>0</v>
      </c>
      <c r="G34" s="6">
        <f>'Building Maint'!E14</f>
        <v>0</v>
      </c>
      <c r="H34" s="6">
        <f>'Building Maint'!F14</f>
        <v>0</v>
      </c>
      <c r="I34" s="6">
        <f>'Building Maint'!G14</f>
        <v>0</v>
      </c>
      <c r="J34" s="6">
        <f>'Building Maint'!H14</f>
        <v>0</v>
      </c>
      <c r="K34" s="6">
        <f>'Building Maint'!I14</f>
        <v>0</v>
      </c>
      <c r="L34" s="6">
        <f>'Building Maint'!J14</f>
        <v>0</v>
      </c>
      <c r="M34" s="6">
        <f>'Building Maint'!K14</f>
        <v>0</v>
      </c>
      <c r="N34" s="6">
        <f>'Building Maint'!L14</f>
        <v>0</v>
      </c>
      <c r="O34" s="6">
        <f>'Building Maint'!M14</f>
        <v>0</v>
      </c>
      <c r="P34" s="6">
        <f>'Building Maint'!N14</f>
        <v>0</v>
      </c>
      <c r="Q34" s="196">
        <f>SUM(E34:P34)</f>
        <v>0</v>
      </c>
      <c r="R34" s="187">
        <f t="shared" si="1"/>
        <v>0</v>
      </c>
      <c r="S34" s="304"/>
      <c r="T34" s="308"/>
    </row>
    <row r="35" spans="1:20" x14ac:dyDescent="0.35">
      <c r="A35" s="66"/>
      <c r="D35" s="52" t="s">
        <v>31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97">
        <f>SUM(E35:P35)</f>
        <v>0</v>
      </c>
      <c r="R35" s="188">
        <f t="shared" si="1"/>
        <v>0</v>
      </c>
      <c r="S35" s="304"/>
      <c r="T35" s="308"/>
    </row>
    <row r="36" spans="1:20" x14ac:dyDescent="0.35">
      <c r="A36" s="66" t="s">
        <v>104</v>
      </c>
      <c r="C36" s="6" t="s">
        <v>32</v>
      </c>
      <c r="E36" s="15">
        <f t="shared" ref="E36:Q36" si="16">SUM(E33:E35)</f>
        <v>0</v>
      </c>
      <c r="F36" s="15">
        <f t="shared" si="16"/>
        <v>0</v>
      </c>
      <c r="G36" s="15">
        <f>SUM(G33:G35)</f>
        <v>0</v>
      </c>
      <c r="H36" s="15">
        <f t="shared" si="16"/>
        <v>0</v>
      </c>
      <c r="I36" s="15">
        <f t="shared" si="16"/>
        <v>0</v>
      </c>
      <c r="J36" s="15">
        <f t="shared" si="16"/>
        <v>0</v>
      </c>
      <c r="K36" s="15">
        <f>SUM(K33:K35)</f>
        <v>0</v>
      </c>
      <c r="L36" s="15">
        <f t="shared" si="16"/>
        <v>0</v>
      </c>
      <c r="M36" s="15">
        <f t="shared" si="16"/>
        <v>0</v>
      </c>
      <c r="N36" s="15">
        <f t="shared" si="16"/>
        <v>0</v>
      </c>
      <c r="O36" s="15">
        <f t="shared" si="16"/>
        <v>0</v>
      </c>
      <c r="P36" s="15">
        <f t="shared" si="16"/>
        <v>0</v>
      </c>
      <c r="Q36" s="108">
        <f t="shared" si="16"/>
        <v>0</v>
      </c>
      <c r="R36" s="189">
        <f t="shared" si="1"/>
        <v>0</v>
      </c>
      <c r="S36" s="309">
        <v>0</v>
      </c>
      <c r="T36" s="310" t="str">
        <f>IFERROR(Q36/S36-1,"")</f>
        <v/>
      </c>
    </row>
    <row r="37" spans="1:20" x14ac:dyDescent="0.35">
      <c r="A37" s="66"/>
      <c r="Q37" s="101"/>
      <c r="R37" s="184"/>
      <c r="S37" s="304"/>
      <c r="T37" s="308"/>
    </row>
    <row r="38" spans="1:20" x14ac:dyDescent="0.35">
      <c r="A38" s="66" t="s">
        <v>136</v>
      </c>
      <c r="B38" s="6" t="s">
        <v>33</v>
      </c>
      <c r="C38" s="6" t="s">
        <v>34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01">
        <f>SUM(E38:P38)</f>
        <v>0</v>
      </c>
      <c r="R38" s="184">
        <f t="shared" si="1"/>
        <v>0</v>
      </c>
      <c r="S38" s="304">
        <v>0</v>
      </c>
      <c r="T38" s="308" t="str">
        <f t="shared" ref="T38" si="17">IFERROR(Q38/S38-1,"")</f>
        <v/>
      </c>
    </row>
    <row r="39" spans="1:20" x14ac:dyDescent="0.35">
      <c r="A39" s="66"/>
      <c r="Q39" s="101"/>
      <c r="R39" s="184"/>
      <c r="S39" s="304"/>
      <c r="T39" s="308"/>
    </row>
    <row r="40" spans="1:20" x14ac:dyDescent="0.35">
      <c r="A40" s="66"/>
      <c r="D40" s="50" t="s">
        <v>35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195">
        <f>SUM(E40:P40)</f>
        <v>0</v>
      </c>
      <c r="R40" s="186">
        <f t="shared" si="1"/>
        <v>0</v>
      </c>
      <c r="S40" s="304"/>
      <c r="T40" s="308"/>
    </row>
    <row r="41" spans="1:20" x14ac:dyDescent="0.35">
      <c r="A41" s="66"/>
      <c r="D41" s="51" t="s">
        <v>36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96">
        <f>SUM(E41:P41)</f>
        <v>0</v>
      </c>
      <c r="R41" s="187">
        <f t="shared" si="1"/>
        <v>0</v>
      </c>
      <c r="S41" s="304"/>
      <c r="T41" s="308"/>
    </row>
    <row r="42" spans="1:20" x14ac:dyDescent="0.35">
      <c r="A42" s="66"/>
      <c r="D42" s="52" t="s">
        <v>37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97">
        <f>SUM(E42:P42)</f>
        <v>0</v>
      </c>
      <c r="R42" s="188">
        <f t="shared" si="1"/>
        <v>0</v>
      </c>
      <c r="S42" s="304"/>
      <c r="T42" s="308"/>
    </row>
    <row r="43" spans="1:20" x14ac:dyDescent="0.35">
      <c r="A43" s="66" t="s">
        <v>105</v>
      </c>
      <c r="C43" s="6" t="s">
        <v>38</v>
      </c>
      <c r="E43" s="15">
        <f t="shared" ref="E43:Q43" si="18">SUM(E40:E42)</f>
        <v>0</v>
      </c>
      <c r="F43" s="15">
        <f t="shared" si="18"/>
        <v>0</v>
      </c>
      <c r="G43" s="15">
        <f t="shared" si="18"/>
        <v>0</v>
      </c>
      <c r="H43" s="15">
        <f t="shared" si="18"/>
        <v>0</v>
      </c>
      <c r="I43" s="15">
        <f t="shared" si="18"/>
        <v>0</v>
      </c>
      <c r="J43" s="15">
        <f t="shared" si="18"/>
        <v>0</v>
      </c>
      <c r="K43" s="15">
        <f t="shared" si="18"/>
        <v>0</v>
      </c>
      <c r="L43" s="15">
        <f t="shared" si="18"/>
        <v>0</v>
      </c>
      <c r="M43" s="15">
        <f t="shared" si="18"/>
        <v>0</v>
      </c>
      <c r="N43" s="15">
        <f t="shared" si="18"/>
        <v>0</v>
      </c>
      <c r="O43" s="15">
        <f t="shared" si="18"/>
        <v>0</v>
      </c>
      <c r="P43" s="15">
        <f t="shared" si="18"/>
        <v>0</v>
      </c>
      <c r="Q43" s="108">
        <f t="shared" si="18"/>
        <v>0</v>
      </c>
      <c r="R43" s="189">
        <f t="shared" si="1"/>
        <v>0</v>
      </c>
      <c r="S43" s="309">
        <v>0</v>
      </c>
      <c r="T43" s="310" t="str">
        <f t="shared" ref="T43" si="19">IFERROR(Q43/S43-1,"")</f>
        <v/>
      </c>
    </row>
    <row r="44" spans="1:20" x14ac:dyDescent="0.35">
      <c r="A44" s="66"/>
      <c r="Q44" s="101"/>
      <c r="R44" s="184"/>
      <c r="S44" s="304"/>
      <c r="T44" s="308"/>
    </row>
    <row r="45" spans="1:20" x14ac:dyDescent="0.35">
      <c r="A45" s="66" t="s">
        <v>106</v>
      </c>
      <c r="C45" s="6" t="s">
        <v>39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01">
        <f>SUM(E45:P45)</f>
        <v>0</v>
      </c>
      <c r="R45" s="184">
        <f t="shared" si="1"/>
        <v>0</v>
      </c>
      <c r="S45" s="304">
        <v>0</v>
      </c>
      <c r="T45" s="308" t="str">
        <f t="shared" ref="T45" si="20">IFERROR(Q45/S45-1,"")</f>
        <v/>
      </c>
    </row>
    <row r="46" spans="1:20" x14ac:dyDescent="0.35">
      <c r="A46" s="66"/>
      <c r="Q46" s="101"/>
      <c r="R46" s="184"/>
      <c r="S46" s="304"/>
      <c r="T46" s="308"/>
    </row>
    <row r="47" spans="1:20" x14ac:dyDescent="0.35">
      <c r="A47" s="66"/>
      <c r="D47" s="50" t="s">
        <v>40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195">
        <f>SUM(E47:P47)</f>
        <v>0</v>
      </c>
      <c r="R47" s="186">
        <f t="shared" si="1"/>
        <v>0</v>
      </c>
      <c r="S47" s="304"/>
      <c r="T47" s="308"/>
    </row>
    <row r="48" spans="1:20" x14ac:dyDescent="0.35">
      <c r="A48" s="66"/>
      <c r="D48" s="51" t="s">
        <v>41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96">
        <f>SUM(E48:P48)</f>
        <v>0</v>
      </c>
      <c r="R48" s="187">
        <f t="shared" si="1"/>
        <v>0</v>
      </c>
      <c r="S48" s="304"/>
      <c r="T48" s="308"/>
    </row>
    <row r="49" spans="1:20" x14ac:dyDescent="0.35">
      <c r="A49" s="66"/>
      <c r="D49" s="52" t="s">
        <v>42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97">
        <f>SUM(E49:P49)</f>
        <v>0</v>
      </c>
      <c r="R49" s="188">
        <f t="shared" si="1"/>
        <v>0</v>
      </c>
      <c r="S49" s="304"/>
      <c r="T49" s="308"/>
    </row>
    <row r="50" spans="1:20" x14ac:dyDescent="0.35">
      <c r="A50" s="66" t="s">
        <v>107</v>
      </c>
      <c r="C50" s="6" t="s">
        <v>43</v>
      </c>
      <c r="E50" s="15">
        <f t="shared" ref="E50:Q50" si="21">SUM(E47:E49)</f>
        <v>0</v>
      </c>
      <c r="F50" s="15">
        <f t="shared" si="21"/>
        <v>0</v>
      </c>
      <c r="G50" s="15">
        <f t="shared" si="21"/>
        <v>0</v>
      </c>
      <c r="H50" s="15">
        <f t="shared" si="21"/>
        <v>0</v>
      </c>
      <c r="I50" s="15">
        <f t="shared" si="21"/>
        <v>0</v>
      </c>
      <c r="J50" s="15">
        <f t="shared" si="21"/>
        <v>0</v>
      </c>
      <c r="K50" s="15">
        <f t="shared" si="21"/>
        <v>0</v>
      </c>
      <c r="L50" s="15">
        <f t="shared" si="21"/>
        <v>0</v>
      </c>
      <c r="M50" s="15">
        <f t="shared" si="21"/>
        <v>0</v>
      </c>
      <c r="N50" s="15">
        <f t="shared" si="21"/>
        <v>0</v>
      </c>
      <c r="O50" s="15">
        <f t="shared" si="21"/>
        <v>0</v>
      </c>
      <c r="P50" s="15">
        <f t="shared" si="21"/>
        <v>0</v>
      </c>
      <c r="Q50" s="108">
        <f t="shared" si="21"/>
        <v>0</v>
      </c>
      <c r="R50" s="189">
        <f t="shared" si="1"/>
        <v>0</v>
      </c>
      <c r="S50" s="309">
        <v>0</v>
      </c>
      <c r="T50" s="310" t="str">
        <f t="shared" ref="T50" si="22">IFERROR(Q50/S50-1,"")</f>
        <v/>
      </c>
    </row>
    <row r="51" spans="1:20" x14ac:dyDescent="0.35">
      <c r="A51" s="66"/>
      <c r="Q51" s="101"/>
      <c r="R51" s="184"/>
      <c r="S51" s="304"/>
      <c r="T51" s="308"/>
    </row>
    <row r="52" spans="1:20" x14ac:dyDescent="0.35">
      <c r="A52" s="66" t="s">
        <v>108</v>
      </c>
      <c r="C52" s="6" t="s">
        <v>44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01">
        <f>SUM(E52:P52)</f>
        <v>0</v>
      </c>
      <c r="R52" s="184">
        <f t="shared" si="1"/>
        <v>0</v>
      </c>
      <c r="S52" s="304">
        <v>0</v>
      </c>
      <c r="T52" s="308" t="str">
        <f t="shared" ref="T52" si="23">IFERROR(Q52/S52-1,"")</f>
        <v/>
      </c>
    </row>
    <row r="53" spans="1:20" x14ac:dyDescent="0.35">
      <c r="A53" s="66"/>
      <c r="Q53" s="101"/>
      <c r="R53" s="184"/>
      <c r="S53" s="304"/>
      <c r="T53" s="308"/>
    </row>
    <row r="54" spans="1:20" hidden="1" x14ac:dyDescent="0.35">
      <c r="A54" s="66" t="s">
        <v>109</v>
      </c>
      <c r="B54" s="6" t="s">
        <v>45</v>
      </c>
      <c r="C54" s="6" t="s">
        <v>46</v>
      </c>
      <c r="Q54" s="101">
        <f>SUM(E54:P54)</f>
        <v>0</v>
      </c>
      <c r="R54" s="184">
        <f t="shared" si="1"/>
        <v>0</v>
      </c>
      <c r="S54" s="304"/>
      <c r="T54" s="308" t="e">
        <f t="shared" ref="T54" si="24">R54/S54-1</f>
        <v>#DIV/0!</v>
      </c>
    </row>
    <row r="55" spans="1:20" hidden="1" x14ac:dyDescent="0.35">
      <c r="A55" s="66"/>
      <c r="Q55" s="101"/>
      <c r="R55" s="184"/>
      <c r="S55" s="304"/>
      <c r="T55" s="308"/>
    </row>
    <row r="56" spans="1:20" x14ac:dyDescent="0.35">
      <c r="A56" s="66" t="s">
        <v>110</v>
      </c>
      <c r="C56" s="6" t="s">
        <v>47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01">
        <f>SUM(E56:P56)</f>
        <v>0</v>
      </c>
      <c r="R56" s="184">
        <f t="shared" si="1"/>
        <v>0</v>
      </c>
      <c r="S56" s="304">
        <v>0</v>
      </c>
      <c r="T56" s="308" t="str">
        <f t="shared" ref="T56" si="25">IFERROR(Q56/S56-1,"")</f>
        <v/>
      </c>
    </row>
    <row r="57" spans="1:20" x14ac:dyDescent="0.35">
      <c r="A57" s="66"/>
      <c r="Q57" s="101"/>
      <c r="R57" s="184"/>
      <c r="S57" s="304"/>
      <c r="T57" s="308"/>
    </row>
    <row r="58" spans="1:20" x14ac:dyDescent="0.35">
      <c r="A58" s="66" t="s">
        <v>111</v>
      </c>
      <c r="C58" s="6" t="s">
        <v>22</v>
      </c>
      <c r="E58" s="6">
        <f>'INS RET DEBT'!E90+'INS RET DEBT'!E91</f>
        <v>1990.3960333333334</v>
      </c>
      <c r="F58" s="6">
        <f>'INS RET DEBT'!F90+'INS RET DEBT'!F91</f>
        <v>1990.3960333333334</v>
      </c>
      <c r="G58" s="6">
        <f>'INS RET DEBT'!G90+'INS RET DEBT'!G91</f>
        <v>1990.3960333333334</v>
      </c>
      <c r="H58" s="6">
        <f>'INS RET DEBT'!H90+'INS RET DEBT'!H91</f>
        <v>1990.3960333333334</v>
      </c>
      <c r="I58" s="6">
        <f>'INS RET DEBT'!I90+'INS RET DEBT'!I91</f>
        <v>1990.3960333333334</v>
      </c>
      <c r="J58" s="6">
        <f>'INS RET DEBT'!J90+'INS RET DEBT'!J91</f>
        <v>1990.3960333333334</v>
      </c>
      <c r="K58" s="6">
        <f>'INS RET DEBT'!K90+'INS RET DEBT'!K91</f>
        <v>1990.3960333333334</v>
      </c>
      <c r="L58" s="6">
        <f>'INS RET DEBT'!L90+'INS RET DEBT'!L91</f>
        <v>1990.3960333333334</v>
      </c>
      <c r="M58" s="6">
        <f>'INS RET DEBT'!M90+'INS RET DEBT'!M91</f>
        <v>1990.3960333333334</v>
      </c>
      <c r="N58" s="6">
        <f>'INS RET DEBT'!N90+'INS RET DEBT'!N91</f>
        <v>1990.3960333333334</v>
      </c>
      <c r="O58" s="6">
        <f>'INS RET DEBT'!O90+'INS RET DEBT'!O91</f>
        <v>1990.3960333333334</v>
      </c>
      <c r="P58" s="6">
        <f>'INS RET DEBT'!P90+'INS RET DEBT'!P91</f>
        <v>1990.3960333333334</v>
      </c>
      <c r="Q58" s="101">
        <f>SUM(E58:P58)</f>
        <v>23884.752400000008</v>
      </c>
      <c r="R58" s="184">
        <f t="shared" si="1"/>
        <v>2.3884752400000009</v>
      </c>
      <c r="S58" s="304">
        <v>30917</v>
      </c>
      <c r="T58" s="308">
        <f t="shared" ref="T58" si="26">IFERROR(Q58/S58-1,"")</f>
        <v>-0.22745569104376206</v>
      </c>
    </row>
    <row r="59" spans="1:20" x14ac:dyDescent="0.35">
      <c r="A59" s="66"/>
      <c r="Q59" s="101"/>
      <c r="R59" s="184"/>
      <c r="S59" s="304"/>
      <c r="T59" s="308"/>
    </row>
    <row r="60" spans="1:20" x14ac:dyDescent="0.35">
      <c r="A60" s="66"/>
      <c r="D60" s="50" t="s">
        <v>48</v>
      </c>
      <c r="E60" s="45">
        <f>+'INS RET DEBT'!E64</f>
        <v>483</v>
      </c>
      <c r="F60" s="45">
        <f>+'INS RET DEBT'!F64</f>
        <v>483</v>
      </c>
      <c r="G60" s="45">
        <f>+'INS RET DEBT'!G64</f>
        <v>483</v>
      </c>
      <c r="H60" s="45">
        <f>+'INS RET DEBT'!H64</f>
        <v>483</v>
      </c>
      <c r="I60" s="45">
        <f>+'INS RET DEBT'!I64</f>
        <v>483</v>
      </c>
      <c r="J60" s="45">
        <f>+'INS RET DEBT'!J64</f>
        <v>483</v>
      </c>
      <c r="K60" s="45">
        <f>+'INS RET DEBT'!K64</f>
        <v>483</v>
      </c>
      <c r="L60" s="45">
        <f>+'INS RET DEBT'!L64</f>
        <v>483</v>
      </c>
      <c r="M60" s="45">
        <f>+'INS RET DEBT'!M64</f>
        <v>483</v>
      </c>
      <c r="N60" s="45">
        <f>+'INS RET DEBT'!N64</f>
        <v>483</v>
      </c>
      <c r="O60" s="45">
        <f>+'INS RET DEBT'!O64</f>
        <v>492.65999999999997</v>
      </c>
      <c r="P60" s="45">
        <f>+'INS RET DEBT'!P64</f>
        <v>492.65999999999997</v>
      </c>
      <c r="Q60" s="195">
        <f>SUM(E60:P60)</f>
        <v>5815.32</v>
      </c>
      <c r="R60" s="186">
        <f t="shared" si="1"/>
        <v>0.58153199999999994</v>
      </c>
      <c r="S60" s="304"/>
      <c r="T60" s="308"/>
    </row>
    <row r="61" spans="1:20" x14ac:dyDescent="0.35">
      <c r="A61" s="66"/>
      <c r="D61" s="51" t="s">
        <v>89</v>
      </c>
      <c r="E61" s="6">
        <f>+'INS RET DEBT'!E65</f>
        <v>98</v>
      </c>
      <c r="F61" s="6">
        <f>+'INS RET DEBT'!F65</f>
        <v>98</v>
      </c>
      <c r="G61" s="6">
        <f>+'INS RET DEBT'!G65</f>
        <v>98</v>
      </c>
      <c r="H61" s="6">
        <f>+'INS RET DEBT'!H65</f>
        <v>98</v>
      </c>
      <c r="I61" s="6">
        <f>+'INS RET DEBT'!I65</f>
        <v>98</v>
      </c>
      <c r="J61" s="6">
        <f>+'INS RET DEBT'!J65</f>
        <v>98</v>
      </c>
      <c r="K61" s="6">
        <f>+'INS RET DEBT'!K65</f>
        <v>98</v>
      </c>
      <c r="L61" s="6">
        <f>+'INS RET DEBT'!L65</f>
        <v>98</v>
      </c>
      <c r="M61" s="6">
        <f>+'INS RET DEBT'!M65</f>
        <v>98</v>
      </c>
      <c r="N61" s="6">
        <f>+'INS RET DEBT'!N65</f>
        <v>98</v>
      </c>
      <c r="O61" s="6">
        <f>+'INS RET DEBT'!O65</f>
        <v>99.960000000000008</v>
      </c>
      <c r="P61" s="6">
        <f>+'INS RET DEBT'!P65</f>
        <v>99.960000000000008</v>
      </c>
      <c r="Q61" s="196">
        <f>SUM(E61:P61)</f>
        <v>1179.92</v>
      </c>
      <c r="R61" s="187">
        <f t="shared" si="1"/>
        <v>0.11799200000000001</v>
      </c>
      <c r="S61" s="304"/>
      <c r="T61" s="308"/>
    </row>
    <row r="62" spans="1:20" x14ac:dyDescent="0.35">
      <c r="A62" s="66"/>
      <c r="D62" s="52" t="s">
        <v>50</v>
      </c>
      <c r="E62" s="15">
        <f>+'INS RET DEBT'!E66</f>
        <v>0</v>
      </c>
      <c r="F62" s="15">
        <f>+'INS RET DEBT'!F66</f>
        <v>0</v>
      </c>
      <c r="G62" s="15">
        <f>+'INS RET DEBT'!G66</f>
        <v>0</v>
      </c>
      <c r="H62" s="15">
        <f>+'INS RET DEBT'!H66</f>
        <v>0</v>
      </c>
      <c r="I62" s="15">
        <f>+'INS RET DEBT'!I66</f>
        <v>0</v>
      </c>
      <c r="J62" s="15">
        <f>+'INS RET DEBT'!J66</f>
        <v>0</v>
      </c>
      <c r="K62" s="15">
        <f>+'INS RET DEBT'!K66</f>
        <v>0</v>
      </c>
      <c r="L62" s="15">
        <f>+'INS RET DEBT'!L66</f>
        <v>0</v>
      </c>
      <c r="M62" s="15">
        <f>+'INS RET DEBT'!M66</f>
        <v>0</v>
      </c>
      <c r="N62" s="15">
        <f>+'INS RET DEBT'!N66</f>
        <v>0</v>
      </c>
      <c r="O62" s="15">
        <f>+'INS RET DEBT'!O66</f>
        <v>0</v>
      </c>
      <c r="P62" s="15">
        <f>+'INS RET DEBT'!P66</f>
        <v>0</v>
      </c>
      <c r="Q62" s="197">
        <f>SUM(E62:P62)</f>
        <v>0</v>
      </c>
      <c r="R62" s="188">
        <f t="shared" si="1"/>
        <v>0</v>
      </c>
      <c r="S62" s="304"/>
      <c r="T62" s="308"/>
    </row>
    <row r="63" spans="1:20" x14ac:dyDescent="0.35">
      <c r="A63" s="66" t="s">
        <v>112</v>
      </c>
      <c r="C63" s="6" t="s">
        <v>23</v>
      </c>
      <c r="E63" s="15">
        <f t="shared" ref="E63:Q63" si="27">SUM(E60:E62)</f>
        <v>581</v>
      </c>
      <c r="F63" s="15">
        <f t="shared" si="27"/>
        <v>581</v>
      </c>
      <c r="G63" s="15">
        <f t="shared" si="27"/>
        <v>581</v>
      </c>
      <c r="H63" s="15">
        <f t="shared" si="27"/>
        <v>581</v>
      </c>
      <c r="I63" s="15">
        <f t="shared" si="27"/>
        <v>581</v>
      </c>
      <c r="J63" s="15">
        <f t="shared" si="27"/>
        <v>581</v>
      </c>
      <c r="K63" s="15">
        <f t="shared" si="27"/>
        <v>581</v>
      </c>
      <c r="L63" s="15">
        <f t="shared" si="27"/>
        <v>581</v>
      </c>
      <c r="M63" s="15">
        <f t="shared" si="27"/>
        <v>581</v>
      </c>
      <c r="N63" s="15">
        <f t="shared" si="27"/>
        <v>581</v>
      </c>
      <c r="O63" s="15">
        <f t="shared" si="27"/>
        <v>592.62</v>
      </c>
      <c r="P63" s="15">
        <f t="shared" si="27"/>
        <v>592.62</v>
      </c>
      <c r="Q63" s="108">
        <f t="shared" si="27"/>
        <v>6995.24</v>
      </c>
      <c r="R63" s="189">
        <f t="shared" si="1"/>
        <v>0.69952399999999992</v>
      </c>
      <c r="S63" s="309">
        <v>6942</v>
      </c>
      <c r="T63" s="310">
        <f t="shared" ref="T63" si="28">IFERROR(Q63/S63-1,"")</f>
        <v>7.6692595793719232E-3</v>
      </c>
    </row>
    <row r="64" spans="1:20" x14ac:dyDescent="0.35">
      <c r="A64" s="66"/>
      <c r="Q64" s="101"/>
      <c r="R64" s="184"/>
      <c r="S64" s="304"/>
      <c r="T64" s="308"/>
    </row>
    <row r="65" spans="1:20" x14ac:dyDescent="0.35">
      <c r="A65" s="66"/>
      <c r="D65" s="50" t="s">
        <v>51</v>
      </c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198">
        <f>SUM(E65:P65)</f>
        <v>0</v>
      </c>
      <c r="R65" s="186">
        <f t="shared" si="1"/>
        <v>0</v>
      </c>
      <c r="S65" s="304"/>
      <c r="T65" s="308"/>
    </row>
    <row r="66" spans="1:20" x14ac:dyDescent="0.35">
      <c r="A66" s="66"/>
      <c r="D66" s="52" t="s">
        <v>52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08">
        <f>SUM(E66:P66)</f>
        <v>0</v>
      </c>
      <c r="R66" s="188">
        <f t="shared" si="1"/>
        <v>0</v>
      </c>
      <c r="S66" s="304"/>
      <c r="T66" s="308"/>
    </row>
    <row r="67" spans="1:20" x14ac:dyDescent="0.35">
      <c r="A67" s="66" t="s">
        <v>113</v>
      </c>
      <c r="B67" s="6" t="s">
        <v>45</v>
      </c>
      <c r="C67" s="6" t="s">
        <v>51</v>
      </c>
      <c r="E67" s="15">
        <f t="shared" ref="E67:Q67" si="29">SUM(E65:E66)</f>
        <v>0</v>
      </c>
      <c r="F67" s="15">
        <f t="shared" si="29"/>
        <v>0</v>
      </c>
      <c r="G67" s="15">
        <f t="shared" si="29"/>
        <v>0</v>
      </c>
      <c r="H67" s="15">
        <f t="shared" si="29"/>
        <v>0</v>
      </c>
      <c r="I67" s="15">
        <f t="shared" si="29"/>
        <v>0</v>
      </c>
      <c r="J67" s="15">
        <f t="shared" si="29"/>
        <v>0</v>
      </c>
      <c r="K67" s="15">
        <f t="shared" si="29"/>
        <v>0</v>
      </c>
      <c r="L67" s="15">
        <f t="shared" si="29"/>
        <v>0</v>
      </c>
      <c r="M67" s="15">
        <f t="shared" si="29"/>
        <v>0</v>
      </c>
      <c r="N67" s="15">
        <f t="shared" si="29"/>
        <v>0</v>
      </c>
      <c r="O67" s="15">
        <f t="shared" si="29"/>
        <v>0</v>
      </c>
      <c r="P67" s="15">
        <f t="shared" si="29"/>
        <v>0</v>
      </c>
      <c r="Q67" s="108">
        <f t="shared" si="29"/>
        <v>0</v>
      </c>
      <c r="R67" s="189">
        <f t="shared" si="1"/>
        <v>0</v>
      </c>
      <c r="S67" s="309">
        <v>0</v>
      </c>
      <c r="T67" s="310" t="str">
        <f t="shared" ref="T67" si="30">IFERROR(Q67/S67-1,"")</f>
        <v/>
      </c>
    </row>
    <row r="68" spans="1:20" x14ac:dyDescent="0.35">
      <c r="A68" s="66"/>
      <c r="Q68" s="101"/>
      <c r="R68" s="184"/>
      <c r="S68" s="304"/>
      <c r="T68" s="308"/>
    </row>
    <row r="69" spans="1:20" x14ac:dyDescent="0.35">
      <c r="A69" s="66"/>
      <c r="B69" s="6" t="s">
        <v>33</v>
      </c>
      <c r="C69" s="6" t="s">
        <v>53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01">
        <f>SUM(E69:P69)</f>
        <v>0</v>
      </c>
      <c r="R69" s="184">
        <f t="shared" si="1"/>
        <v>0</v>
      </c>
      <c r="S69" s="304"/>
      <c r="T69" s="308" t="str">
        <f t="shared" ref="T69" si="31">IFERROR(Q69/S69-1,"")</f>
        <v/>
      </c>
    </row>
    <row r="70" spans="1:20" x14ac:dyDescent="0.35">
      <c r="A70" s="66"/>
      <c r="Q70" s="101"/>
      <c r="R70" s="184"/>
      <c r="S70" s="304"/>
      <c r="T70" s="308"/>
    </row>
    <row r="71" spans="1:20" ht="18" x14ac:dyDescent="0.35">
      <c r="A71" s="66"/>
      <c r="C71" s="53" t="s">
        <v>54</v>
      </c>
      <c r="D71" s="54"/>
      <c r="E71" s="54">
        <f>+E27+E29+E31+E36+E38+E43+E45+E50+E52+E54+E56+E58+E63+E67+E69</f>
        <v>2879.3273106466927</v>
      </c>
      <c r="F71" s="54">
        <f t="shared" ref="F71:P71" si="32">+F27+F29+F31+F36+F38+F43+F45+F50+F52+F54+F56+F58+F63+F67+F69</f>
        <v>2879.3273106466927</v>
      </c>
      <c r="G71" s="54">
        <f t="shared" si="32"/>
        <v>2879.3273106466927</v>
      </c>
      <c r="H71" s="54">
        <f t="shared" si="32"/>
        <v>2879.3273106466927</v>
      </c>
      <c r="I71" s="54">
        <f t="shared" si="32"/>
        <v>2879.3273106466927</v>
      </c>
      <c r="J71" s="54">
        <f t="shared" si="32"/>
        <v>2879.3273106466927</v>
      </c>
      <c r="K71" s="54">
        <f t="shared" si="32"/>
        <v>2879.3273106466927</v>
      </c>
      <c r="L71" s="54">
        <f t="shared" si="32"/>
        <v>2879.3273106466927</v>
      </c>
      <c r="M71" s="54">
        <f t="shared" si="32"/>
        <v>2879.3273106466927</v>
      </c>
      <c r="N71" s="54">
        <f t="shared" si="32"/>
        <v>2879.3273106466927</v>
      </c>
      <c r="O71" s="54">
        <f t="shared" si="32"/>
        <v>2890.9473106466926</v>
      </c>
      <c r="P71" s="54">
        <f t="shared" si="32"/>
        <v>2890.9473106466926</v>
      </c>
      <c r="Q71" s="109">
        <f>+Q27+Q29+Q31+Q36+Q38+Q43+Q45+Q50+Q52+Q54+Q56+Q58+Q63+Q67+Q69</f>
        <v>34575.167727760323</v>
      </c>
      <c r="R71" s="190">
        <f t="shared" si="1"/>
        <v>3.4575167727760321</v>
      </c>
      <c r="S71" s="315">
        <f>+S27+S29+S31+S36+S38+S43+S45+S50+S52+S54+S56+S58+S63+S67+S69</f>
        <v>41699</v>
      </c>
      <c r="T71" s="316">
        <f>Q71/S71-1</f>
        <v>-0.17083940315690249</v>
      </c>
    </row>
    <row r="72" spans="1:20" ht="18" x14ac:dyDescent="0.35">
      <c r="A72" s="66"/>
      <c r="Q72" s="103"/>
      <c r="R72" s="185"/>
      <c r="S72" s="311"/>
      <c r="T72" s="312"/>
    </row>
    <row r="73" spans="1:20" ht="18" x14ac:dyDescent="0.35">
      <c r="A73" s="66"/>
      <c r="B73" s="7" t="s">
        <v>55</v>
      </c>
      <c r="Q73" s="101"/>
      <c r="R73" s="184">
        <f t="shared" si="1"/>
        <v>0</v>
      </c>
      <c r="S73" s="304"/>
      <c r="T73" s="308"/>
    </row>
    <row r="74" spans="1:20" x14ac:dyDescent="0.35">
      <c r="A74" s="66"/>
      <c r="Q74" s="101"/>
      <c r="R74" s="184"/>
      <c r="S74" s="304"/>
      <c r="T74" s="308"/>
    </row>
    <row r="75" spans="1:20" x14ac:dyDescent="0.35">
      <c r="A75" s="66" t="s">
        <v>137</v>
      </c>
      <c r="C75" s="6" t="s">
        <v>56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01">
        <f>SUM(E75:P75)</f>
        <v>0</v>
      </c>
      <c r="R75" s="184">
        <f t="shared" ref="R75:R134" si="33">Q75/$B$4</f>
        <v>0</v>
      </c>
      <c r="S75" s="304">
        <v>0</v>
      </c>
      <c r="T75" s="308" t="str">
        <f t="shared" ref="T75" si="34">IFERROR(Q75/S75-1,"")</f>
        <v/>
      </c>
    </row>
    <row r="76" spans="1:20" x14ac:dyDescent="0.35">
      <c r="A76" s="66"/>
      <c r="Q76" s="101"/>
      <c r="R76" s="184"/>
      <c r="S76" s="304"/>
      <c r="T76" s="308"/>
    </row>
    <row r="77" spans="1:20" x14ac:dyDescent="0.35">
      <c r="A77" s="66" t="s">
        <v>114</v>
      </c>
      <c r="D77" s="6" t="s">
        <v>57</v>
      </c>
      <c r="E77" s="6">
        <f>VLOOKUP($B$1,'Allocated Expenses'!$B$20:$P$29,4,FALSE)</f>
        <v>743.66097792421124</v>
      </c>
      <c r="F77" s="6">
        <f>VLOOKUP($B$1,'Allocated Expenses'!$B$20:$P$29,5,FALSE)</f>
        <v>743.66097792421124</v>
      </c>
      <c r="G77" s="6">
        <f>VLOOKUP($B$1,'Allocated Expenses'!$B$20:$P$29,6,FALSE)</f>
        <v>743.66097792421124</v>
      </c>
      <c r="H77" s="6">
        <f>VLOOKUP($B$1,'Allocated Expenses'!$B$20:$P$29,7,FALSE)</f>
        <v>743.66097792421124</v>
      </c>
      <c r="I77" s="6">
        <f>VLOOKUP($B$1,'Allocated Expenses'!$B$20:$P$29,8,FALSE)</f>
        <v>743.66097792421124</v>
      </c>
      <c r="J77" s="6">
        <f>VLOOKUP($B$1,'Allocated Expenses'!$B$20:$P$29,9,FALSE)</f>
        <v>743.66097792421124</v>
      </c>
      <c r="K77" s="6">
        <f>VLOOKUP($B$1,'Allocated Expenses'!$B$20:$P$29,10,FALSE)</f>
        <v>743.66097792421124</v>
      </c>
      <c r="L77" s="6">
        <f>VLOOKUP($B$1,'Allocated Expenses'!$B$20:$P$29,11,FALSE)</f>
        <v>743.66097792421124</v>
      </c>
      <c r="M77" s="6">
        <f>VLOOKUP($B$1,'Allocated Expenses'!$B$20:$P$29,12,FALSE)</f>
        <v>743.66097792421124</v>
      </c>
      <c r="N77" s="6">
        <f>VLOOKUP($B$1,'Allocated Expenses'!$B$20:$P$29,13,FALSE)</f>
        <v>743.66097792421124</v>
      </c>
      <c r="O77" s="6">
        <f>VLOOKUP($B$1,'Allocated Expenses'!$B$20:$P$29,14,FALSE)</f>
        <v>743.66097792421124</v>
      </c>
      <c r="P77" s="6">
        <f>VLOOKUP($B$1,'Allocated Expenses'!$B$20:$P$29,15,FALSE)</f>
        <v>743.66097792421124</v>
      </c>
      <c r="Q77" s="101">
        <f>SUM(E77:P77)</f>
        <v>8923.9317350905367</v>
      </c>
      <c r="R77" s="184">
        <f t="shared" si="33"/>
        <v>0.89239317350905367</v>
      </c>
      <c r="S77" s="304"/>
      <c r="T77" s="308"/>
    </row>
    <row r="78" spans="1:20" x14ac:dyDescent="0.35">
      <c r="A78" s="66" t="s">
        <v>115</v>
      </c>
      <c r="D78" s="6" t="s">
        <v>58</v>
      </c>
      <c r="E78" s="15">
        <f>VLOOKUP($B$1,'Allocated Expenses'!$B$132:$P$141,4,FALSE)</f>
        <v>0</v>
      </c>
      <c r="F78" s="15">
        <f>VLOOKUP($B$1,'Allocated Expenses'!$B$132:$P$141,5,FALSE)</f>
        <v>0</v>
      </c>
      <c r="G78" s="15">
        <f>VLOOKUP($B$1,'Allocated Expenses'!$B$132:$P$141,6,FALSE)</f>
        <v>0</v>
      </c>
      <c r="H78" s="15">
        <f>VLOOKUP($B$1,'Allocated Expenses'!$B$132:$P$141,7,FALSE)</f>
        <v>0</v>
      </c>
      <c r="I78" s="15">
        <f>VLOOKUP($B$1,'Allocated Expenses'!$B$132:$P$141,8,FALSE)</f>
        <v>0</v>
      </c>
      <c r="J78" s="15">
        <f>VLOOKUP($B$1,'Allocated Expenses'!$B$132:$P$141,9,FALSE)</f>
        <v>0</v>
      </c>
      <c r="K78" s="15">
        <f>VLOOKUP($B$1,'Allocated Expenses'!$B$132:$P$141,10,FALSE)</f>
        <v>0</v>
      </c>
      <c r="L78" s="15">
        <f>VLOOKUP($B$1,'Allocated Expenses'!$B$132:$P$141,11,FALSE)</f>
        <v>0</v>
      </c>
      <c r="M78" s="15">
        <f>VLOOKUP($B$1,'Allocated Expenses'!$B$132:$P$141,12,FALSE)</f>
        <v>0</v>
      </c>
      <c r="N78" s="15">
        <f>VLOOKUP($B$1,'Allocated Expenses'!$B$132:$P$141,13,FALSE)</f>
        <v>0</v>
      </c>
      <c r="O78" s="15">
        <f>VLOOKUP($B$1,'Allocated Expenses'!$B$132:$P$141,14,FALSE)</f>
        <v>0</v>
      </c>
      <c r="P78" s="15">
        <f>VLOOKUP($B$1,'Allocated Expenses'!$B$132:$P$141,15,FALSE)</f>
        <v>0</v>
      </c>
      <c r="Q78" s="108">
        <f>SUM(E78:P78)</f>
        <v>0</v>
      </c>
      <c r="R78" s="189">
        <f t="shared" si="33"/>
        <v>0</v>
      </c>
      <c r="S78" s="304"/>
      <c r="T78" s="308"/>
    </row>
    <row r="79" spans="1:20" x14ac:dyDescent="0.35">
      <c r="A79" s="66"/>
      <c r="C79" s="6" t="s">
        <v>59</v>
      </c>
      <c r="E79" s="15">
        <f t="shared" ref="E79:Q79" si="35">SUM(E77:E78)</f>
        <v>743.66097792421124</v>
      </c>
      <c r="F79" s="15">
        <f t="shared" si="35"/>
        <v>743.66097792421124</v>
      </c>
      <c r="G79" s="15">
        <f t="shared" si="35"/>
        <v>743.66097792421124</v>
      </c>
      <c r="H79" s="15">
        <f t="shared" si="35"/>
        <v>743.66097792421124</v>
      </c>
      <c r="I79" s="15">
        <f t="shared" si="35"/>
        <v>743.66097792421124</v>
      </c>
      <c r="J79" s="15">
        <f t="shared" si="35"/>
        <v>743.66097792421124</v>
      </c>
      <c r="K79" s="15">
        <f t="shared" si="35"/>
        <v>743.66097792421124</v>
      </c>
      <c r="L79" s="15">
        <f t="shared" si="35"/>
        <v>743.66097792421124</v>
      </c>
      <c r="M79" s="15">
        <f t="shared" si="35"/>
        <v>743.66097792421124</v>
      </c>
      <c r="N79" s="15">
        <f t="shared" si="35"/>
        <v>743.66097792421124</v>
      </c>
      <c r="O79" s="15">
        <f t="shared" si="35"/>
        <v>743.66097792421124</v>
      </c>
      <c r="P79" s="15">
        <f t="shared" si="35"/>
        <v>743.66097792421124</v>
      </c>
      <c r="Q79" s="108">
        <f t="shared" si="35"/>
        <v>8923.9317350905367</v>
      </c>
      <c r="R79" s="189">
        <f t="shared" si="33"/>
        <v>0.89239317350905367</v>
      </c>
      <c r="S79" s="309">
        <v>10440</v>
      </c>
      <c r="T79" s="310">
        <f t="shared" ref="T79" si="36">IFERROR(Q79/S79-1,"")</f>
        <v>-0.14521726675377999</v>
      </c>
    </row>
    <row r="80" spans="1:20" x14ac:dyDescent="0.35">
      <c r="A80" s="66"/>
      <c r="Q80" s="101"/>
      <c r="R80" s="184"/>
      <c r="S80" s="304"/>
      <c r="T80" s="308"/>
    </row>
    <row r="81" spans="1:22" x14ac:dyDescent="0.35">
      <c r="A81" s="66" t="s">
        <v>138</v>
      </c>
      <c r="D81" s="6" t="s">
        <v>60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01">
        <f>SUM(E81:P81)</f>
        <v>0</v>
      </c>
      <c r="R81" s="184">
        <f t="shared" si="33"/>
        <v>0</v>
      </c>
      <c r="S81" s="304"/>
      <c r="T81" s="308"/>
    </row>
    <row r="82" spans="1:22" x14ac:dyDescent="0.35">
      <c r="A82" s="66" t="s">
        <v>139</v>
      </c>
      <c r="D82" s="6" t="s">
        <v>20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01">
        <f>SUM(E82:P82)</f>
        <v>0</v>
      </c>
      <c r="R82" s="184">
        <f t="shared" si="33"/>
        <v>0</v>
      </c>
      <c r="S82" s="304"/>
      <c r="T82" s="308"/>
    </row>
    <row r="83" spans="1:22" x14ac:dyDescent="0.35">
      <c r="A83" s="66" t="s">
        <v>140</v>
      </c>
      <c r="D83" s="6" t="s">
        <v>28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08">
        <f>SUM(E83:P83)</f>
        <v>0</v>
      </c>
      <c r="R83" s="189">
        <f t="shared" si="33"/>
        <v>0</v>
      </c>
      <c r="S83" s="304"/>
      <c r="T83" s="308"/>
    </row>
    <row r="84" spans="1:22" x14ac:dyDescent="0.35">
      <c r="A84" s="66"/>
      <c r="C84" s="6" t="s">
        <v>61</v>
      </c>
      <c r="E84" s="15">
        <f t="shared" ref="E84:Q84" si="37">SUM(E81:E83)</f>
        <v>0</v>
      </c>
      <c r="F84" s="15">
        <f t="shared" si="37"/>
        <v>0</v>
      </c>
      <c r="G84" s="15">
        <f t="shared" si="37"/>
        <v>0</v>
      </c>
      <c r="H84" s="15">
        <f t="shared" si="37"/>
        <v>0</v>
      </c>
      <c r="I84" s="15">
        <f t="shared" si="37"/>
        <v>0</v>
      </c>
      <c r="J84" s="15">
        <f t="shared" si="37"/>
        <v>0</v>
      </c>
      <c r="K84" s="15">
        <f t="shared" si="37"/>
        <v>0</v>
      </c>
      <c r="L84" s="15">
        <f t="shared" si="37"/>
        <v>0</v>
      </c>
      <c r="M84" s="15">
        <f t="shared" si="37"/>
        <v>0</v>
      </c>
      <c r="N84" s="15">
        <f t="shared" si="37"/>
        <v>0</v>
      </c>
      <c r="O84" s="15">
        <f t="shared" si="37"/>
        <v>0</v>
      </c>
      <c r="P84" s="15">
        <f t="shared" si="37"/>
        <v>0</v>
      </c>
      <c r="Q84" s="108">
        <f t="shared" si="37"/>
        <v>0</v>
      </c>
      <c r="R84" s="189">
        <f t="shared" si="33"/>
        <v>0</v>
      </c>
      <c r="S84" s="309">
        <v>0</v>
      </c>
      <c r="T84" s="310" t="str">
        <f>IFERROR(Q84/S84-1,"")</f>
        <v/>
      </c>
    </row>
    <row r="85" spans="1:22" x14ac:dyDescent="0.35">
      <c r="A85" s="66"/>
      <c r="Q85" s="101"/>
      <c r="R85" s="184"/>
      <c r="S85" s="304"/>
      <c r="T85" s="308"/>
    </row>
    <row r="86" spans="1:22" x14ac:dyDescent="0.35">
      <c r="A86" s="66"/>
      <c r="D86" s="50" t="s">
        <v>30</v>
      </c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198">
        <f>SUM(E86:P86)</f>
        <v>0</v>
      </c>
      <c r="R86" s="186">
        <f t="shared" si="33"/>
        <v>0</v>
      </c>
      <c r="S86" s="304"/>
      <c r="T86" s="308"/>
    </row>
    <row r="87" spans="1:22" x14ac:dyDescent="0.35">
      <c r="A87" s="66"/>
      <c r="D87" s="52" t="s">
        <v>31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08">
        <f>SUM(E87:P87)</f>
        <v>0</v>
      </c>
      <c r="R87" s="188">
        <f t="shared" si="33"/>
        <v>0</v>
      </c>
      <c r="S87" s="304"/>
      <c r="T87" s="308"/>
    </row>
    <row r="88" spans="1:22" x14ac:dyDescent="0.35">
      <c r="A88" s="66" t="s">
        <v>116</v>
      </c>
      <c r="C88" s="6" t="s">
        <v>32</v>
      </c>
      <c r="E88" s="15">
        <f t="shared" ref="E88:Q88" si="38">SUM(E86:E87)</f>
        <v>0</v>
      </c>
      <c r="F88" s="15">
        <f t="shared" si="38"/>
        <v>0</v>
      </c>
      <c r="G88" s="15">
        <f t="shared" si="38"/>
        <v>0</v>
      </c>
      <c r="H88" s="15">
        <f t="shared" si="38"/>
        <v>0</v>
      </c>
      <c r="I88" s="15">
        <f t="shared" si="38"/>
        <v>0</v>
      </c>
      <c r="J88" s="15">
        <f t="shared" si="38"/>
        <v>0</v>
      </c>
      <c r="K88" s="15">
        <f t="shared" si="38"/>
        <v>0</v>
      </c>
      <c r="L88" s="15">
        <f t="shared" si="38"/>
        <v>0</v>
      </c>
      <c r="M88" s="15">
        <f t="shared" si="38"/>
        <v>0</v>
      </c>
      <c r="N88" s="15">
        <f t="shared" si="38"/>
        <v>0</v>
      </c>
      <c r="O88" s="15">
        <f t="shared" si="38"/>
        <v>0</v>
      </c>
      <c r="P88" s="15">
        <f t="shared" si="38"/>
        <v>0</v>
      </c>
      <c r="Q88" s="108">
        <f t="shared" si="38"/>
        <v>0</v>
      </c>
      <c r="R88" s="189">
        <f t="shared" si="33"/>
        <v>0</v>
      </c>
      <c r="S88" s="309">
        <v>0</v>
      </c>
      <c r="T88" s="310" t="str">
        <f t="shared" ref="T88" si="39">IFERROR(Q88/S88-1,"")</f>
        <v/>
      </c>
    </row>
    <row r="89" spans="1:22" x14ac:dyDescent="0.35">
      <c r="A89" s="66"/>
      <c r="Q89" s="101"/>
      <c r="R89" s="184"/>
      <c r="S89" s="304"/>
      <c r="T89" s="308"/>
    </row>
    <row r="90" spans="1:22" x14ac:dyDescent="0.35">
      <c r="A90" s="66" t="s">
        <v>141</v>
      </c>
      <c r="B90" s="6" t="s">
        <v>33</v>
      </c>
      <c r="C90" s="6" t="s">
        <v>62</v>
      </c>
      <c r="E90" s="6">
        <f>ROUND(E$24*0.06,0)</f>
        <v>2206</v>
      </c>
      <c r="F90" s="6">
        <f t="shared" ref="F90:P90" si="40">ROUND(F$24*0.06,0)</f>
        <v>2206</v>
      </c>
      <c r="G90" s="6">
        <f t="shared" si="40"/>
        <v>2206</v>
      </c>
      <c r="H90" s="6">
        <f t="shared" si="40"/>
        <v>2206</v>
      </c>
      <c r="I90" s="6">
        <f t="shared" si="40"/>
        <v>2206</v>
      </c>
      <c r="J90" s="6">
        <f t="shared" si="40"/>
        <v>2206</v>
      </c>
      <c r="K90" s="6">
        <f t="shared" si="40"/>
        <v>2206</v>
      </c>
      <c r="L90" s="6">
        <f t="shared" si="40"/>
        <v>2206</v>
      </c>
      <c r="M90" s="6">
        <f t="shared" si="40"/>
        <v>2206</v>
      </c>
      <c r="N90" s="6">
        <f t="shared" si="40"/>
        <v>2206</v>
      </c>
      <c r="O90" s="6">
        <f t="shared" si="40"/>
        <v>2206</v>
      </c>
      <c r="P90" s="6">
        <f t="shared" si="40"/>
        <v>2206</v>
      </c>
      <c r="Q90" s="101">
        <f>SUM(E90:P90)</f>
        <v>26472</v>
      </c>
      <c r="R90" s="184">
        <f t="shared" ref="R90" si="41">Q90/$B$4</f>
        <v>2.6472000000000002</v>
      </c>
      <c r="S90" s="304">
        <v>28422</v>
      </c>
      <c r="T90" s="308">
        <f t="shared" ref="T90:T92" si="42">IFERROR(Q90/S90-1,"")</f>
        <v>-6.8608824150306114E-2</v>
      </c>
      <c r="U90" s="233"/>
    </row>
    <row r="91" spans="1:22" x14ac:dyDescent="0.35">
      <c r="A91" s="66"/>
      <c r="Q91" s="101"/>
      <c r="R91" s="184"/>
      <c r="S91" s="304"/>
      <c r="T91" s="308" t="str">
        <f t="shared" si="42"/>
        <v/>
      </c>
    </row>
    <row r="92" spans="1:22" x14ac:dyDescent="0.35">
      <c r="A92" s="66" t="s">
        <v>117</v>
      </c>
      <c r="C92" s="6" t="s">
        <v>63</v>
      </c>
      <c r="E92" s="6">
        <f>VLOOKUP($B$1,'Allocated Expenses'!$B$34:$P$43,4,FALSE)+VLOOKUP($B$1,'Allocated Expenses'!$B$48:$P$57,4,FALSE)</f>
        <v>233.29148061444198</v>
      </c>
      <c r="F92" s="6">
        <f>VLOOKUP($B$1,'Allocated Expenses'!$B$34:$P$43,5,FALSE)+VLOOKUP($B$1,'Allocated Expenses'!$B$48:$P$57,5,FALSE)</f>
        <v>233.29148061444198</v>
      </c>
      <c r="G92" s="6">
        <f>VLOOKUP($B$1,'Allocated Expenses'!$B$34:$P$43,6,FALSE)+VLOOKUP($B$1,'Allocated Expenses'!$B$48:$P$57,6,FALSE)</f>
        <v>233.29148061444198</v>
      </c>
      <c r="H92" s="6">
        <f>VLOOKUP($B$1,'Allocated Expenses'!$B$34:$P$43,7,FALSE)+VLOOKUP($B$1,'Allocated Expenses'!$B$48:$P$57,7,FALSE)</f>
        <v>233.29148061444198</v>
      </c>
      <c r="I92" s="6">
        <f>VLOOKUP($B$1,'Allocated Expenses'!$B$34:$P$43,8,FALSE)+VLOOKUP($B$1,'Allocated Expenses'!$B$48:$P$57,8,FALSE)</f>
        <v>233.29148061444198</v>
      </c>
      <c r="J92" s="6">
        <f>VLOOKUP($B$1,'Allocated Expenses'!$B$34:$P$43,9,FALSE)+VLOOKUP($B$1,'Allocated Expenses'!$B$48:$P$57,9,FALSE)</f>
        <v>233.29148061444198</v>
      </c>
      <c r="K92" s="6">
        <f>VLOOKUP($B$1,'Allocated Expenses'!$B$34:$P$43,10,FALSE)+VLOOKUP($B$1,'Allocated Expenses'!$B$48:$P$57,10,FALSE)</f>
        <v>233.29148061444198</v>
      </c>
      <c r="L92" s="6">
        <f>VLOOKUP($B$1,'Allocated Expenses'!$B$34:$P$43,11,FALSE)+VLOOKUP($B$1,'Allocated Expenses'!$B$48:$P$57,11,FALSE)</f>
        <v>233.29148061444198</v>
      </c>
      <c r="M92" s="6">
        <f>VLOOKUP($B$1,'Allocated Expenses'!$B$34:$P$43,12,FALSE)+VLOOKUP($B$1,'Allocated Expenses'!$B$48:$P$57,12,FALSE)</f>
        <v>233.29148061444198</v>
      </c>
      <c r="N92" s="6">
        <f>VLOOKUP($B$1,'Allocated Expenses'!$B$34:$P$43,13,FALSE)+VLOOKUP($B$1,'Allocated Expenses'!$B$48:$P$57,13,FALSE)</f>
        <v>233.29148061444198</v>
      </c>
      <c r="O92" s="6">
        <f>VLOOKUP($B$1,'Allocated Expenses'!$B$34:$P$43,14,FALSE)+VLOOKUP($B$1,'Allocated Expenses'!$B$48:$P$57,14,FALSE)</f>
        <v>233.29148061444198</v>
      </c>
      <c r="P92" s="6">
        <f>VLOOKUP($B$1,'Allocated Expenses'!$B$34:$P$43,15,FALSE)+VLOOKUP($B$1,'Allocated Expenses'!$B$48:$P$57,15,FALSE)</f>
        <v>233.29148061444198</v>
      </c>
      <c r="Q92" s="101">
        <f>SUM(E92:P92)</f>
        <v>2799.4977673733028</v>
      </c>
      <c r="R92" s="184">
        <f t="shared" si="33"/>
        <v>0.27994977673733029</v>
      </c>
      <c r="S92" s="304">
        <v>1560</v>
      </c>
      <c r="T92" s="308">
        <f t="shared" si="42"/>
        <v>0.79454985088032237</v>
      </c>
    </row>
    <row r="93" spans="1:22" x14ac:dyDescent="0.35">
      <c r="A93" s="66"/>
      <c r="Q93" s="101"/>
      <c r="R93" s="184"/>
      <c r="S93" s="304"/>
      <c r="T93" s="308"/>
    </row>
    <row r="94" spans="1:22" x14ac:dyDescent="0.35">
      <c r="A94" s="66" t="s">
        <v>118</v>
      </c>
      <c r="C94" s="6" t="s">
        <v>64</v>
      </c>
      <c r="E94" s="12">
        <v>0</v>
      </c>
      <c r="F94" s="12">
        <v>0</v>
      </c>
      <c r="G94" s="12">
        <v>0</v>
      </c>
      <c r="H94" s="12">
        <f>1.03*16500</f>
        <v>16995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01">
        <f>SUM(E94:P94)</f>
        <v>16995</v>
      </c>
      <c r="R94" s="184">
        <f t="shared" ref="R94" si="43">Q94/$B$4</f>
        <v>1.6995</v>
      </c>
      <c r="S94" s="304">
        <v>8267</v>
      </c>
      <c r="T94" s="308">
        <f t="shared" ref="T94" si="44">IFERROR(Q94/S94-1,"")</f>
        <v>1.0557638804886902</v>
      </c>
      <c r="U94" s="233" t="s">
        <v>283</v>
      </c>
      <c r="V94" s="6" t="s">
        <v>348</v>
      </c>
    </row>
    <row r="95" spans="1:22" x14ac:dyDescent="0.35">
      <c r="A95" s="66"/>
      <c r="Q95" s="101"/>
      <c r="R95" s="184"/>
      <c r="S95" s="304"/>
      <c r="T95" s="308"/>
    </row>
    <row r="96" spans="1:22" x14ac:dyDescent="0.35">
      <c r="A96" s="66" t="s">
        <v>119</v>
      </c>
      <c r="C96" s="6" t="s">
        <v>65</v>
      </c>
      <c r="E96" s="6">
        <f>VLOOKUP($B$1,'Allocated Expenses'!$B$62:$P$71,4,FALSE)</f>
        <v>103</v>
      </c>
      <c r="F96" s="6">
        <f>VLOOKUP($B$1,'Allocated Expenses'!$B$62:$P$71,5,FALSE)</f>
        <v>103</v>
      </c>
      <c r="G96" s="6">
        <f>VLOOKUP($B$1,'Allocated Expenses'!$B$62:$P$71,6,FALSE)</f>
        <v>103</v>
      </c>
      <c r="H96" s="6">
        <f>VLOOKUP($B$1,'Allocated Expenses'!$B$62:$P$71,7,FALSE)</f>
        <v>103</v>
      </c>
      <c r="I96" s="6">
        <f>VLOOKUP($B$1,'Allocated Expenses'!$B$62:$P$71,8,FALSE)</f>
        <v>103</v>
      </c>
      <c r="J96" s="6">
        <f>VLOOKUP($B$1,'Allocated Expenses'!$B$62:$P$71,9,FALSE)</f>
        <v>103</v>
      </c>
      <c r="K96" s="6">
        <f>VLOOKUP($B$1,'Allocated Expenses'!$B$62:$P$71,10,FALSE)</f>
        <v>103</v>
      </c>
      <c r="L96" s="6">
        <f>VLOOKUP($B$1,'Allocated Expenses'!$B$62:$P$71,11,FALSE)</f>
        <v>103</v>
      </c>
      <c r="M96" s="6">
        <f>VLOOKUP($B$1,'Allocated Expenses'!$B$62:$P$71,12,FALSE)</f>
        <v>103</v>
      </c>
      <c r="N96" s="6">
        <f>VLOOKUP($B$1,'Allocated Expenses'!$B$62:$P$71,13,FALSE)</f>
        <v>103</v>
      </c>
      <c r="O96" s="6">
        <f>VLOOKUP($B$1,'Allocated Expenses'!$B$62:$P$71,14,FALSE)</f>
        <v>103</v>
      </c>
      <c r="P96" s="6">
        <f>VLOOKUP($B$1,'Allocated Expenses'!$B$62:$P$71,15,FALSE)</f>
        <v>103</v>
      </c>
      <c r="Q96" s="101">
        <f>SUM(E96:P96)</f>
        <v>1236</v>
      </c>
      <c r="R96" s="184">
        <f t="shared" si="33"/>
        <v>0.1236</v>
      </c>
      <c r="S96" s="304">
        <v>4985</v>
      </c>
      <c r="T96" s="308">
        <f t="shared" ref="T96" si="45">IFERROR(Q96/S96-1,"")</f>
        <v>-0.75205616850551649</v>
      </c>
    </row>
    <row r="97" spans="1:21" x14ac:dyDescent="0.35">
      <c r="A97" s="66"/>
      <c r="Q97" s="101"/>
      <c r="R97" s="184"/>
      <c r="S97" s="304"/>
      <c r="T97" s="308"/>
    </row>
    <row r="98" spans="1:21" x14ac:dyDescent="0.35">
      <c r="A98" s="66" t="s">
        <v>126</v>
      </c>
      <c r="D98" s="6" t="s">
        <v>66</v>
      </c>
      <c r="E98" s="6">
        <f>VLOOKUP($B$1,'Allocated Expenses'!$B$76:$P$85,4,FALSE)</f>
        <v>0</v>
      </c>
      <c r="F98" s="6">
        <f>VLOOKUP($B$1,'Allocated Expenses'!$B$76:$P$85,5,FALSE)</f>
        <v>0</v>
      </c>
      <c r="G98" s="6">
        <f>VLOOKUP($B$1,'Allocated Expenses'!$B$76:$P$85,6,FALSE)</f>
        <v>0</v>
      </c>
      <c r="H98" s="6">
        <f>VLOOKUP($B$1,'Allocated Expenses'!$B$76:$P$85,7,FALSE)</f>
        <v>0</v>
      </c>
      <c r="I98" s="6">
        <f>VLOOKUP($B$1,'Allocated Expenses'!$B$76:$P$85,8,FALSE)</f>
        <v>0</v>
      </c>
      <c r="J98" s="6">
        <f>VLOOKUP($B$1,'Allocated Expenses'!$B$76:$P$85,9,FALSE)</f>
        <v>0</v>
      </c>
      <c r="K98" s="6">
        <f>VLOOKUP($B$1,'Allocated Expenses'!$B$76:$P$85,10,FALSE)</f>
        <v>0</v>
      </c>
      <c r="L98" s="6">
        <f>VLOOKUP($B$1,'Allocated Expenses'!$B$76:$P$85,11,FALSE)</f>
        <v>0</v>
      </c>
      <c r="M98" s="6">
        <f>VLOOKUP($B$1,'Allocated Expenses'!$B$76:$P$85,12,FALSE)</f>
        <v>0</v>
      </c>
      <c r="N98" s="6">
        <f>VLOOKUP($B$1,'Allocated Expenses'!$B$76:$P$85,13,FALSE)</f>
        <v>0</v>
      </c>
      <c r="O98" s="6">
        <f>VLOOKUP($B$1,'Allocated Expenses'!$B$76:$P$85,14,FALSE)</f>
        <v>0</v>
      </c>
      <c r="P98" s="6">
        <f>VLOOKUP($B$1,'Allocated Expenses'!$B$76:$P$85,15,FALSE)</f>
        <v>0</v>
      </c>
      <c r="Q98" s="101">
        <f>SUM(E98:P98)</f>
        <v>0</v>
      </c>
      <c r="R98" s="184">
        <f t="shared" si="33"/>
        <v>0</v>
      </c>
      <c r="S98" s="304"/>
      <c r="T98" s="308"/>
    </row>
    <row r="99" spans="1:21" x14ac:dyDescent="0.35">
      <c r="A99" s="66" t="s">
        <v>142</v>
      </c>
      <c r="D99" s="6" t="s">
        <v>67</v>
      </c>
      <c r="E99" s="6">
        <f>VLOOKUP($B$1,'Allocated Expenses'!$B$104:$P$113,4,FALSE)</f>
        <v>0</v>
      </c>
      <c r="F99" s="6">
        <f>VLOOKUP($B$1,'Allocated Expenses'!$B$104:$P$113,5,FALSE)</f>
        <v>0</v>
      </c>
      <c r="G99" s="6">
        <f>VLOOKUP($B$1,'Allocated Expenses'!$B$104:$P$113,6,FALSE)</f>
        <v>0</v>
      </c>
      <c r="H99" s="6">
        <f>VLOOKUP($B$1,'Allocated Expenses'!$B$104:$P$113,7,FALSE)</f>
        <v>0</v>
      </c>
      <c r="I99" s="6">
        <f>VLOOKUP($B$1,'Allocated Expenses'!$B$104:$P$113,8,FALSE)</f>
        <v>0</v>
      </c>
      <c r="J99" s="6">
        <f>VLOOKUP($B$1,'Allocated Expenses'!$B$104:$P$113,9,FALSE)</f>
        <v>0</v>
      </c>
      <c r="K99" s="6">
        <f>VLOOKUP($B$1,'Allocated Expenses'!$B$104:$P$113,10,FALSE)</f>
        <v>0</v>
      </c>
      <c r="L99" s="6">
        <f>VLOOKUP($B$1,'Allocated Expenses'!$B$104:$P$113,11,FALSE)</f>
        <v>0</v>
      </c>
      <c r="M99" s="6">
        <f>VLOOKUP($B$1,'Allocated Expenses'!$B$104:$P$113,12,FALSE)</f>
        <v>0</v>
      </c>
      <c r="N99" s="6">
        <f>VLOOKUP($B$1,'Allocated Expenses'!$B$104:$P$113,13,FALSE)</f>
        <v>0</v>
      </c>
      <c r="O99" s="6">
        <f>VLOOKUP($B$1,'Allocated Expenses'!$B$104:$P$113,14,FALSE)</f>
        <v>0</v>
      </c>
      <c r="P99" s="6">
        <f>VLOOKUP($B$1,'Allocated Expenses'!$B$104:$P$113,15,FALSE)</f>
        <v>0</v>
      </c>
      <c r="Q99" s="101">
        <f>SUM(E99:P99)</f>
        <v>0</v>
      </c>
      <c r="R99" s="184">
        <f t="shared" si="33"/>
        <v>0</v>
      </c>
      <c r="S99" s="304"/>
      <c r="T99" s="308"/>
    </row>
    <row r="100" spans="1:21" x14ac:dyDescent="0.35">
      <c r="A100" s="66" t="s">
        <v>143</v>
      </c>
      <c r="D100" s="6" t="s">
        <v>68</v>
      </c>
      <c r="E100" s="6">
        <f>VLOOKUP($B$1,'Allocated Expenses'!$B$90:$P$99,4,FALSE)</f>
        <v>0</v>
      </c>
      <c r="F100" s="6">
        <f>VLOOKUP($B$1,'Allocated Expenses'!$B$90:$P$99,5,FALSE)</f>
        <v>0</v>
      </c>
      <c r="G100" s="6">
        <f>VLOOKUP($B$1,'Allocated Expenses'!$B$90:$P$99,6,FALSE)</f>
        <v>0</v>
      </c>
      <c r="H100" s="6">
        <f>VLOOKUP($B$1,'Allocated Expenses'!$B$90:$P$99,7,FALSE)</f>
        <v>0</v>
      </c>
      <c r="I100" s="6">
        <f>VLOOKUP($B$1,'Allocated Expenses'!$B$90:$P$99,8,FALSE)</f>
        <v>0</v>
      </c>
      <c r="J100" s="6">
        <f>VLOOKUP($B$1,'Allocated Expenses'!$B$90:$P$99,9,FALSE)</f>
        <v>0</v>
      </c>
      <c r="K100" s="6">
        <f>VLOOKUP($B$1,'Allocated Expenses'!$B$90:$P$99,10,FALSE)</f>
        <v>0</v>
      </c>
      <c r="L100" s="6">
        <f>VLOOKUP($B$1,'Allocated Expenses'!$B$90:$P$99,11,FALSE)</f>
        <v>0</v>
      </c>
      <c r="M100" s="6">
        <f>VLOOKUP($B$1,'Allocated Expenses'!$B$90:$P$99,12,FALSE)</f>
        <v>0</v>
      </c>
      <c r="N100" s="6">
        <f>VLOOKUP($B$1,'Allocated Expenses'!$B$90:$P$99,13,FALSE)</f>
        <v>0</v>
      </c>
      <c r="O100" s="6">
        <f>VLOOKUP($B$1,'Allocated Expenses'!$B$90:$P$99,14,FALSE)</f>
        <v>0</v>
      </c>
      <c r="P100" s="6">
        <f>VLOOKUP($B$1,'Allocated Expenses'!$B$90:$P$99,15,FALSE)</f>
        <v>0</v>
      </c>
      <c r="Q100" s="101">
        <f>SUM(E100:P100)</f>
        <v>0</v>
      </c>
      <c r="R100" s="184">
        <f t="shared" si="33"/>
        <v>0</v>
      </c>
      <c r="S100" s="304"/>
      <c r="T100" s="308"/>
    </row>
    <row r="101" spans="1:21" x14ac:dyDescent="0.35">
      <c r="A101" s="66" t="s">
        <v>127</v>
      </c>
      <c r="D101" s="6" t="s">
        <v>69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01">
        <f>SUM(E101:P101)</f>
        <v>0</v>
      </c>
      <c r="R101" s="184">
        <f t="shared" si="33"/>
        <v>0</v>
      </c>
      <c r="S101" s="304"/>
      <c r="T101" s="308"/>
    </row>
    <row r="102" spans="1:21" x14ac:dyDescent="0.35">
      <c r="A102" s="66" t="s">
        <v>120</v>
      </c>
      <c r="D102" s="6" t="s">
        <v>70</v>
      </c>
      <c r="E102" s="15">
        <f>VLOOKUP($B$1,'Allocated Expenses'!$B$118:$P$127,4,FALSE)</f>
        <v>28.325000000000003</v>
      </c>
      <c r="F102" s="15">
        <f>VLOOKUP($B$1,'Allocated Expenses'!$B$118:$P$127,5,FALSE)</f>
        <v>28.325000000000003</v>
      </c>
      <c r="G102" s="15">
        <f>VLOOKUP($B$1,'Allocated Expenses'!$B$118:$P$127,6,FALSE)</f>
        <v>28.325000000000003</v>
      </c>
      <c r="H102" s="15">
        <f>VLOOKUP($B$1,'Allocated Expenses'!$B$118:$P$127,7,FALSE)</f>
        <v>28.325000000000003</v>
      </c>
      <c r="I102" s="15">
        <f>VLOOKUP($B$1,'Allocated Expenses'!$B$118:$P$127,8,FALSE)</f>
        <v>28.325000000000003</v>
      </c>
      <c r="J102" s="15">
        <f>VLOOKUP($B$1,'Allocated Expenses'!$B$118:$P$127,9,FALSE)</f>
        <v>28.325000000000003</v>
      </c>
      <c r="K102" s="15">
        <f>VLOOKUP($B$1,'Allocated Expenses'!$B$118:$P$127,10,FALSE)</f>
        <v>28.325000000000003</v>
      </c>
      <c r="L102" s="15">
        <f>VLOOKUP($B$1,'Allocated Expenses'!$B$118:$P$127,11,FALSE)</f>
        <v>28.325000000000003</v>
      </c>
      <c r="M102" s="15">
        <f>VLOOKUP($B$1,'Allocated Expenses'!$B$118:$P$127,12,FALSE)</f>
        <v>28.325000000000003</v>
      </c>
      <c r="N102" s="15">
        <f>VLOOKUP($B$1,'Allocated Expenses'!$B$118:$P$127,13,FALSE)</f>
        <v>28.325000000000003</v>
      </c>
      <c r="O102" s="15">
        <f>VLOOKUP($B$1,'Allocated Expenses'!$B$118:$P$127,14,FALSE)</f>
        <v>28.325000000000003</v>
      </c>
      <c r="P102" s="15">
        <f>VLOOKUP($B$1,'Allocated Expenses'!$B$118:$P$127,15,FALSE)</f>
        <v>28.325000000000003</v>
      </c>
      <c r="Q102" s="108">
        <f>SUM(E102:P102)</f>
        <v>339.89999999999992</v>
      </c>
      <c r="R102" s="189">
        <f t="shared" si="33"/>
        <v>3.3989999999999992E-2</v>
      </c>
      <c r="S102" s="304"/>
      <c r="T102" s="308"/>
    </row>
    <row r="103" spans="1:21" x14ac:dyDescent="0.35">
      <c r="A103" s="66"/>
      <c r="C103" s="6" t="s">
        <v>71</v>
      </c>
      <c r="E103" s="15">
        <f t="shared" ref="E103:Q103" si="46">SUM(E98:E102)</f>
        <v>28.325000000000003</v>
      </c>
      <c r="F103" s="15">
        <f t="shared" si="46"/>
        <v>28.325000000000003</v>
      </c>
      <c r="G103" s="15">
        <f t="shared" si="46"/>
        <v>28.325000000000003</v>
      </c>
      <c r="H103" s="15">
        <f t="shared" si="46"/>
        <v>28.325000000000003</v>
      </c>
      <c r="I103" s="15">
        <f t="shared" si="46"/>
        <v>28.325000000000003</v>
      </c>
      <c r="J103" s="15">
        <f t="shared" si="46"/>
        <v>28.325000000000003</v>
      </c>
      <c r="K103" s="15">
        <f t="shared" si="46"/>
        <v>28.325000000000003</v>
      </c>
      <c r="L103" s="15">
        <f t="shared" si="46"/>
        <v>28.325000000000003</v>
      </c>
      <c r="M103" s="15">
        <f t="shared" si="46"/>
        <v>28.325000000000003</v>
      </c>
      <c r="N103" s="15">
        <f t="shared" si="46"/>
        <v>28.325000000000003</v>
      </c>
      <c r="O103" s="15">
        <f t="shared" si="46"/>
        <v>28.325000000000003</v>
      </c>
      <c r="P103" s="15">
        <f t="shared" si="46"/>
        <v>28.325000000000003</v>
      </c>
      <c r="Q103" s="108">
        <f t="shared" si="46"/>
        <v>339.89999999999992</v>
      </c>
      <c r="R103" s="189">
        <f t="shared" si="33"/>
        <v>3.3989999999999992E-2</v>
      </c>
      <c r="S103" s="309">
        <v>4667</v>
      </c>
      <c r="T103" s="310">
        <f t="shared" ref="T103" si="47">IFERROR(Q103/S103-1,"")</f>
        <v>-0.92716948789372189</v>
      </c>
    </row>
    <row r="104" spans="1:21" x14ac:dyDescent="0.35">
      <c r="A104" s="66"/>
      <c r="Q104" s="101"/>
      <c r="R104" s="184"/>
      <c r="S104" s="304"/>
      <c r="T104" s="308"/>
    </row>
    <row r="105" spans="1:21" ht="18" x14ac:dyDescent="0.35">
      <c r="A105" s="66"/>
      <c r="C105" s="29" t="s">
        <v>72</v>
      </c>
      <c r="D105" s="54"/>
      <c r="E105" s="54">
        <f t="shared" ref="E105:Q105" si="48">+E75+E79+E84+E88+E90+E92+E94+E96+E103</f>
        <v>3314.2774585386533</v>
      </c>
      <c r="F105" s="54">
        <f t="shared" si="48"/>
        <v>3314.2774585386533</v>
      </c>
      <c r="G105" s="54">
        <f t="shared" si="48"/>
        <v>3314.2774585386533</v>
      </c>
      <c r="H105" s="54">
        <f t="shared" si="48"/>
        <v>20309.277458538654</v>
      </c>
      <c r="I105" s="54">
        <f t="shared" si="48"/>
        <v>3314.2774585386533</v>
      </c>
      <c r="J105" s="54">
        <f t="shared" si="48"/>
        <v>3314.2774585386533</v>
      </c>
      <c r="K105" s="54">
        <f t="shared" si="48"/>
        <v>3314.2774585386533</v>
      </c>
      <c r="L105" s="54">
        <f t="shared" si="48"/>
        <v>3314.2774585386533</v>
      </c>
      <c r="M105" s="54">
        <f t="shared" si="48"/>
        <v>3314.2774585386533</v>
      </c>
      <c r="N105" s="54">
        <f t="shared" si="48"/>
        <v>3314.2774585386533</v>
      </c>
      <c r="O105" s="54">
        <f t="shared" si="48"/>
        <v>3314.2774585386533</v>
      </c>
      <c r="P105" s="54">
        <f t="shared" si="48"/>
        <v>3314.2774585386533</v>
      </c>
      <c r="Q105" s="109">
        <f t="shared" si="48"/>
        <v>56766.329502463836</v>
      </c>
      <c r="R105" s="190">
        <f t="shared" si="33"/>
        <v>5.6766329502463835</v>
      </c>
      <c r="S105" s="315">
        <f t="shared" ref="S105" si="49">+S75+S79+S84+S88+S90+S92+S94+S96+S103</f>
        <v>58341</v>
      </c>
      <c r="T105" s="310">
        <f t="shared" ref="T105" si="50">IFERROR(Q105/S105-1,"")</f>
        <v>-2.6990804023519721E-2</v>
      </c>
    </row>
    <row r="106" spans="1:21" ht="18" x14ac:dyDescent="0.35">
      <c r="A106" s="66"/>
      <c r="Q106" s="103"/>
      <c r="R106" s="185"/>
      <c r="S106" s="311"/>
      <c r="T106" s="312"/>
    </row>
    <row r="107" spans="1:21" ht="16.5" thickBot="1" x14ac:dyDescent="0.4">
      <c r="A107" s="66"/>
      <c r="Q107" s="101"/>
      <c r="R107" s="184"/>
      <c r="S107" s="304"/>
      <c r="T107" s="308"/>
    </row>
    <row r="108" spans="1:21" s="8" customFormat="1" ht="18" thickBot="1" x14ac:dyDescent="0.4">
      <c r="A108" s="218"/>
      <c r="B108" s="219" t="s">
        <v>73</v>
      </c>
      <c r="C108" s="220"/>
      <c r="D108" s="220"/>
      <c r="E108" s="220">
        <f t="shared" ref="E108:Q108" si="51">+E71+E105</f>
        <v>6193.6047691853455</v>
      </c>
      <c r="F108" s="220">
        <f t="shared" si="51"/>
        <v>6193.6047691853455</v>
      </c>
      <c r="G108" s="220">
        <f t="shared" si="51"/>
        <v>6193.6047691853455</v>
      </c>
      <c r="H108" s="220">
        <f t="shared" si="51"/>
        <v>23188.604769185346</v>
      </c>
      <c r="I108" s="220">
        <f t="shared" si="51"/>
        <v>6193.6047691853455</v>
      </c>
      <c r="J108" s="220">
        <f t="shared" si="51"/>
        <v>6193.6047691853455</v>
      </c>
      <c r="K108" s="220">
        <f t="shared" si="51"/>
        <v>6193.6047691853455</v>
      </c>
      <c r="L108" s="220">
        <f t="shared" si="51"/>
        <v>6193.6047691853455</v>
      </c>
      <c r="M108" s="220">
        <f t="shared" si="51"/>
        <v>6193.6047691853455</v>
      </c>
      <c r="N108" s="220">
        <f t="shared" si="51"/>
        <v>6193.6047691853455</v>
      </c>
      <c r="O108" s="220">
        <f t="shared" si="51"/>
        <v>6205.2247691853463</v>
      </c>
      <c r="P108" s="220">
        <f t="shared" si="51"/>
        <v>6205.2247691853463</v>
      </c>
      <c r="Q108" s="221">
        <f t="shared" si="51"/>
        <v>91341.497230224166</v>
      </c>
      <c r="R108" s="222">
        <f t="shared" si="33"/>
        <v>9.134149723022416</v>
      </c>
      <c r="S108" s="313">
        <f t="shared" ref="S108" si="52">+S71+S105</f>
        <v>100040</v>
      </c>
      <c r="T108" s="314">
        <f>Q108/S108-1</f>
        <v>-8.6950247598718833E-2</v>
      </c>
      <c r="U108" s="238"/>
    </row>
    <row r="109" spans="1:21" ht="18" x14ac:dyDescent="0.35">
      <c r="A109" s="66"/>
      <c r="Q109" s="103"/>
      <c r="R109" s="185"/>
      <c r="S109" s="311"/>
      <c r="T109" s="312"/>
    </row>
    <row r="110" spans="1:21" ht="16.5" thickBot="1" x14ac:dyDescent="0.4">
      <c r="A110" s="66"/>
      <c r="Q110" s="101"/>
      <c r="R110" s="184"/>
      <c r="S110" s="304"/>
      <c r="T110" s="308"/>
    </row>
    <row r="111" spans="1:21" s="8" customFormat="1" ht="18" thickBot="1" x14ac:dyDescent="0.4">
      <c r="A111" s="218"/>
      <c r="B111" s="219" t="s">
        <v>74</v>
      </c>
      <c r="C111" s="220"/>
      <c r="D111" s="220"/>
      <c r="E111" s="220">
        <f t="shared" ref="E111:Q111" si="53">+E24-E108</f>
        <v>30569.785230814654</v>
      </c>
      <c r="F111" s="220">
        <f t="shared" si="53"/>
        <v>30569.785230814654</v>
      </c>
      <c r="G111" s="220">
        <f t="shared" si="53"/>
        <v>30569.785230814654</v>
      </c>
      <c r="H111" s="220">
        <f t="shared" si="53"/>
        <v>13574.785230814654</v>
      </c>
      <c r="I111" s="220">
        <f t="shared" si="53"/>
        <v>30569.785230814654</v>
      </c>
      <c r="J111" s="220">
        <f t="shared" si="53"/>
        <v>30569.785230814654</v>
      </c>
      <c r="K111" s="220">
        <f t="shared" si="53"/>
        <v>30569.785230814654</v>
      </c>
      <c r="L111" s="220">
        <f t="shared" si="53"/>
        <v>30569.785230814654</v>
      </c>
      <c r="M111" s="220">
        <f t="shared" si="53"/>
        <v>30569.785230814654</v>
      </c>
      <c r="N111" s="220">
        <f t="shared" si="53"/>
        <v>30569.785230814654</v>
      </c>
      <c r="O111" s="220">
        <f t="shared" si="53"/>
        <v>30558.165230814651</v>
      </c>
      <c r="P111" s="220">
        <f t="shared" si="53"/>
        <v>30558.165230814651</v>
      </c>
      <c r="Q111" s="221">
        <f t="shared" si="53"/>
        <v>349819.18276977586</v>
      </c>
      <c r="R111" s="222">
        <f t="shared" si="33"/>
        <v>34.981918276977588</v>
      </c>
      <c r="S111" s="313">
        <f t="shared" ref="S111" si="54">+S24-S108</f>
        <v>373305</v>
      </c>
      <c r="T111" s="314">
        <f>Q111/S111-1</f>
        <v>-6.2913213673066681E-2</v>
      </c>
      <c r="U111" s="238"/>
    </row>
    <row r="112" spans="1:21" ht="18" x14ac:dyDescent="0.35">
      <c r="A112" s="66"/>
      <c r="Q112" s="103"/>
      <c r="R112" s="185"/>
      <c r="S112" s="311"/>
      <c r="T112" s="312"/>
    </row>
    <row r="113" spans="1:21" x14ac:dyDescent="0.35">
      <c r="A113" s="66" t="s">
        <v>121</v>
      </c>
      <c r="D113" s="6" t="s">
        <v>75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01">
        <f>SUM(E113:P113)</f>
        <v>0</v>
      </c>
      <c r="R113" s="184">
        <f t="shared" si="33"/>
        <v>0</v>
      </c>
      <c r="S113" s="304"/>
      <c r="T113" s="308"/>
    </row>
    <row r="114" spans="1:21" x14ac:dyDescent="0.35">
      <c r="A114" s="66" t="s">
        <v>122</v>
      </c>
      <c r="D114" s="6" t="s">
        <v>76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01">
        <f>SUM(E114:P114)</f>
        <v>0</v>
      </c>
      <c r="R114" s="184">
        <f t="shared" si="33"/>
        <v>0</v>
      </c>
      <c r="S114" s="304"/>
      <c r="T114" s="308"/>
    </row>
    <row r="115" spans="1:21" x14ac:dyDescent="0.35">
      <c r="A115" s="66" t="s">
        <v>123</v>
      </c>
      <c r="D115" s="6" t="s">
        <v>77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01">
        <f>SUM(E115:P115)</f>
        <v>0</v>
      </c>
      <c r="R115" s="184">
        <f t="shared" si="33"/>
        <v>0</v>
      </c>
      <c r="S115" s="304"/>
      <c r="T115" s="308"/>
    </row>
    <row r="116" spans="1:21" x14ac:dyDescent="0.35">
      <c r="A116" s="66" t="s">
        <v>129</v>
      </c>
      <c r="D116" s="6" t="s">
        <v>78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08">
        <f>SUM(E116:P116)</f>
        <v>0</v>
      </c>
      <c r="R116" s="189">
        <f t="shared" si="33"/>
        <v>0</v>
      </c>
      <c r="S116" s="304"/>
      <c r="T116" s="308"/>
    </row>
    <row r="117" spans="1:21" x14ac:dyDescent="0.35">
      <c r="A117" s="66"/>
      <c r="C117" s="6" t="s">
        <v>78</v>
      </c>
      <c r="E117" s="15">
        <f t="shared" ref="E117:Q117" si="55">SUM(E113:E116)</f>
        <v>0</v>
      </c>
      <c r="F117" s="15">
        <f t="shared" si="55"/>
        <v>0</v>
      </c>
      <c r="G117" s="15">
        <f t="shared" si="55"/>
        <v>0</v>
      </c>
      <c r="H117" s="15">
        <f t="shared" si="55"/>
        <v>0</v>
      </c>
      <c r="I117" s="15">
        <f t="shared" si="55"/>
        <v>0</v>
      </c>
      <c r="J117" s="15">
        <f t="shared" si="55"/>
        <v>0</v>
      </c>
      <c r="K117" s="15">
        <f t="shared" si="55"/>
        <v>0</v>
      </c>
      <c r="L117" s="15">
        <f t="shared" si="55"/>
        <v>0</v>
      </c>
      <c r="M117" s="15">
        <f t="shared" si="55"/>
        <v>0</v>
      </c>
      <c r="N117" s="15">
        <f t="shared" si="55"/>
        <v>0</v>
      </c>
      <c r="O117" s="15">
        <f t="shared" si="55"/>
        <v>0</v>
      </c>
      <c r="P117" s="15">
        <f t="shared" si="55"/>
        <v>0</v>
      </c>
      <c r="Q117" s="108">
        <f t="shared" si="55"/>
        <v>0</v>
      </c>
      <c r="R117" s="189">
        <f t="shared" si="33"/>
        <v>0</v>
      </c>
      <c r="S117" s="309">
        <v>0</v>
      </c>
      <c r="T117" s="310" t="str">
        <f>IFERROR(Q117/S117-1,"")</f>
        <v/>
      </c>
    </row>
    <row r="118" spans="1:21" x14ac:dyDescent="0.35">
      <c r="A118" s="66"/>
      <c r="Q118" s="101"/>
      <c r="R118" s="184"/>
      <c r="S118" s="304"/>
      <c r="T118" s="308"/>
    </row>
    <row r="119" spans="1:21" x14ac:dyDescent="0.35">
      <c r="A119" s="66" t="s">
        <v>124</v>
      </c>
      <c r="C119" s="6" t="s">
        <v>79</v>
      </c>
      <c r="E119" s="6">
        <f>'Renew &amp; Vac '!AJ187</f>
        <v>0</v>
      </c>
      <c r="F119" s="6">
        <f>'Renew &amp; Vac '!AK187</f>
        <v>0</v>
      </c>
      <c r="G119" s="6">
        <f>'Renew &amp; Vac '!AL187</f>
        <v>0</v>
      </c>
      <c r="H119" s="6">
        <f>'Renew &amp; Vac '!AM187</f>
        <v>0</v>
      </c>
      <c r="I119" s="6">
        <f>'Renew &amp; Vac '!AN187</f>
        <v>0</v>
      </c>
      <c r="J119" s="6">
        <f>'Renew &amp; Vac '!AO187</f>
        <v>0</v>
      </c>
      <c r="K119" s="6">
        <f>'Renew &amp; Vac '!AP187</f>
        <v>0</v>
      </c>
      <c r="L119" s="6">
        <f>'Renew &amp; Vac '!AQ187</f>
        <v>0</v>
      </c>
      <c r="M119" s="6">
        <f>'Renew &amp; Vac '!AR187</f>
        <v>0</v>
      </c>
      <c r="N119" s="6">
        <f>'Renew &amp; Vac '!AS187</f>
        <v>0</v>
      </c>
      <c r="O119" s="6">
        <f>'Renew &amp; Vac '!AT187</f>
        <v>0</v>
      </c>
      <c r="P119" s="6">
        <f>'Renew &amp; Vac '!AU187</f>
        <v>0</v>
      </c>
      <c r="Q119" s="101">
        <f>SUM(E119:P119)</f>
        <v>0</v>
      </c>
      <c r="R119" s="184">
        <f t="shared" si="33"/>
        <v>0</v>
      </c>
      <c r="S119" s="304">
        <v>0</v>
      </c>
      <c r="T119" s="308" t="str">
        <f t="shared" ref="T119" si="56">IFERROR(Q119/S119-1,"")</f>
        <v/>
      </c>
    </row>
    <row r="120" spans="1:21" ht="18" x14ac:dyDescent="0.35">
      <c r="A120" s="6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11"/>
      <c r="R120" s="192"/>
      <c r="S120" s="317"/>
      <c r="T120" s="318"/>
    </row>
    <row r="121" spans="1:21" ht="18" x14ac:dyDescent="0.35">
      <c r="A121" s="66" t="s">
        <v>125</v>
      </c>
      <c r="D121" s="6" t="s">
        <v>80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03">
        <f>SUM(E121:P121)</f>
        <v>0</v>
      </c>
      <c r="R121" s="185">
        <f t="shared" si="33"/>
        <v>0</v>
      </c>
      <c r="S121" s="311"/>
      <c r="T121" s="312"/>
    </row>
    <row r="122" spans="1:21" x14ac:dyDescent="0.35">
      <c r="A122" s="66" t="s">
        <v>125</v>
      </c>
      <c r="B122" s="8"/>
      <c r="D122" s="6" t="s">
        <v>81</v>
      </c>
      <c r="E122" s="15">
        <f>'Renew &amp; Vac '!AJ188</f>
        <v>0</v>
      </c>
      <c r="F122" s="15">
        <f>'Renew &amp; Vac '!AK188</f>
        <v>0</v>
      </c>
      <c r="G122" s="15">
        <f>'Renew &amp; Vac '!AL188</f>
        <v>0</v>
      </c>
      <c r="H122" s="15">
        <f>'Renew &amp; Vac '!AM188</f>
        <v>0</v>
      </c>
      <c r="I122" s="15">
        <f>'Renew &amp; Vac '!AN188</f>
        <v>0</v>
      </c>
      <c r="J122" s="15">
        <f>'Renew &amp; Vac '!AO188</f>
        <v>0</v>
      </c>
      <c r="K122" s="15">
        <f>'Renew &amp; Vac '!AP188</f>
        <v>0</v>
      </c>
      <c r="L122" s="15">
        <f>'Renew &amp; Vac '!AQ188</f>
        <v>0</v>
      </c>
      <c r="M122" s="15">
        <f>'Renew &amp; Vac '!AR188</f>
        <v>0</v>
      </c>
      <c r="N122" s="15">
        <f>'Renew &amp; Vac '!AS188</f>
        <v>0</v>
      </c>
      <c r="O122" s="15">
        <f>'Renew &amp; Vac '!AT188</f>
        <v>0</v>
      </c>
      <c r="P122" s="15">
        <f>'Renew &amp; Vac '!AU188</f>
        <v>0</v>
      </c>
      <c r="Q122" s="108">
        <f>SUM(E122:P122)</f>
        <v>0</v>
      </c>
      <c r="R122" s="189">
        <f t="shared" si="33"/>
        <v>0</v>
      </c>
      <c r="S122" s="319"/>
      <c r="T122" s="320"/>
    </row>
    <row r="123" spans="1:21" x14ac:dyDescent="0.35">
      <c r="A123" s="66"/>
      <c r="C123" s="6" t="s">
        <v>81</v>
      </c>
      <c r="D123" s="30"/>
      <c r="E123" s="6">
        <f>SUM(E121:E121)</f>
        <v>0</v>
      </c>
      <c r="F123" s="6">
        <f t="shared" ref="F123:Q123" si="57">SUM(F121:F122)</f>
        <v>0</v>
      </c>
      <c r="G123" s="6">
        <f t="shared" si="57"/>
        <v>0</v>
      </c>
      <c r="H123" s="6">
        <f t="shared" si="57"/>
        <v>0</v>
      </c>
      <c r="I123" s="6">
        <f t="shared" si="57"/>
        <v>0</v>
      </c>
      <c r="J123" s="6">
        <f t="shared" si="57"/>
        <v>0</v>
      </c>
      <c r="K123" s="6">
        <f t="shared" si="57"/>
        <v>0</v>
      </c>
      <c r="L123" s="6">
        <f t="shared" si="57"/>
        <v>0</v>
      </c>
      <c r="M123" s="6">
        <f t="shared" si="57"/>
        <v>0</v>
      </c>
      <c r="N123" s="6">
        <f t="shared" si="57"/>
        <v>0</v>
      </c>
      <c r="O123" s="6">
        <f t="shared" si="57"/>
        <v>0</v>
      </c>
      <c r="P123" s="6">
        <f t="shared" si="57"/>
        <v>0</v>
      </c>
      <c r="Q123" s="101">
        <f t="shared" si="57"/>
        <v>0</v>
      </c>
      <c r="R123" s="184">
        <f t="shared" si="33"/>
        <v>0</v>
      </c>
      <c r="S123" s="309"/>
      <c r="T123" s="310" t="str">
        <f t="shared" ref="T123" si="58">IFERROR(Q123/S123-1,"")</f>
        <v/>
      </c>
    </row>
    <row r="124" spans="1:21" s="8" customFormat="1" ht="18.5" thickBot="1" x14ac:dyDescent="0.4">
      <c r="A124" s="67"/>
      <c r="Q124" s="113"/>
      <c r="R124" s="194"/>
      <c r="S124" s="321"/>
      <c r="T124" s="322"/>
      <c r="U124" s="238"/>
    </row>
    <row r="125" spans="1:21" s="8" customFormat="1" ht="18" thickBot="1" x14ac:dyDescent="0.4">
      <c r="A125" s="218"/>
      <c r="B125" s="223" t="s">
        <v>82</v>
      </c>
      <c r="C125" s="224"/>
      <c r="D125" s="224"/>
      <c r="E125" s="224">
        <f t="shared" ref="E125:Q125" si="59">+E111-E117-E119-E123</f>
        <v>30569.785230814654</v>
      </c>
      <c r="F125" s="224">
        <f t="shared" si="59"/>
        <v>30569.785230814654</v>
      </c>
      <c r="G125" s="224">
        <f t="shared" si="59"/>
        <v>30569.785230814654</v>
      </c>
      <c r="H125" s="224">
        <f t="shared" si="59"/>
        <v>13574.785230814654</v>
      </c>
      <c r="I125" s="224">
        <f t="shared" si="59"/>
        <v>30569.785230814654</v>
      </c>
      <c r="J125" s="224">
        <f t="shared" si="59"/>
        <v>30569.785230814654</v>
      </c>
      <c r="K125" s="224">
        <f t="shared" si="59"/>
        <v>30569.785230814654</v>
      </c>
      <c r="L125" s="224">
        <f t="shared" si="59"/>
        <v>30569.785230814654</v>
      </c>
      <c r="M125" s="224">
        <f t="shared" si="59"/>
        <v>30569.785230814654</v>
      </c>
      <c r="N125" s="224">
        <f t="shared" si="59"/>
        <v>30569.785230814654</v>
      </c>
      <c r="O125" s="224">
        <f t="shared" si="59"/>
        <v>30558.165230814651</v>
      </c>
      <c r="P125" s="224">
        <f t="shared" si="59"/>
        <v>30558.165230814651</v>
      </c>
      <c r="Q125" s="221">
        <f t="shared" si="59"/>
        <v>349819.18276977586</v>
      </c>
      <c r="R125" s="225">
        <f t="shared" si="33"/>
        <v>34.981918276977588</v>
      </c>
      <c r="S125" s="313">
        <f>+S111-S117-S119-S123</f>
        <v>373305</v>
      </c>
      <c r="T125" s="314">
        <f>Q125/S125-1</f>
        <v>-6.2913213673066681E-2</v>
      </c>
      <c r="U125" s="238"/>
    </row>
    <row r="126" spans="1:21" ht="18" x14ac:dyDescent="0.35">
      <c r="A126" s="66"/>
      <c r="Q126" s="101"/>
      <c r="R126" s="184"/>
      <c r="S126" s="311"/>
      <c r="T126" s="312"/>
    </row>
    <row r="127" spans="1:21" x14ac:dyDescent="0.35">
      <c r="A127" s="66"/>
      <c r="B127" s="6" t="s">
        <v>83</v>
      </c>
      <c r="Q127" s="101"/>
      <c r="R127" s="184"/>
      <c r="S127" s="304"/>
      <c r="T127" s="308"/>
    </row>
    <row r="128" spans="1:21" x14ac:dyDescent="0.35">
      <c r="A128" s="66" t="s">
        <v>128</v>
      </c>
      <c r="C128" s="6" t="s">
        <v>84</v>
      </c>
      <c r="E128" s="6">
        <f>VLOOKUP($B$1,'INS RET DEBT'!$C$98:$Q$107,3,FALSE)</f>
        <v>0</v>
      </c>
      <c r="F128" s="6">
        <f>VLOOKUP($B$1,'INS RET DEBT'!$C$98:$Q$107,4,FALSE)</f>
        <v>0</v>
      </c>
      <c r="G128" s="6">
        <f>VLOOKUP($B$1,'INS RET DEBT'!$C$98:$Q$107,5,FALSE)</f>
        <v>0</v>
      </c>
      <c r="H128" s="6">
        <f>VLOOKUP($B$1,'INS RET DEBT'!$C$98:$Q$107,6,FALSE)</f>
        <v>0</v>
      </c>
      <c r="I128" s="6">
        <f>VLOOKUP($B$1,'INS RET DEBT'!$C$98:$Q$107,7,FALSE)</f>
        <v>0</v>
      </c>
      <c r="J128" s="6">
        <f>VLOOKUP($B$1,'INS RET DEBT'!$C$98:$Q$107,8,FALSE)</f>
        <v>0</v>
      </c>
      <c r="K128" s="6">
        <f>VLOOKUP($B$1,'INS RET DEBT'!$C$98:$Q$107,9,FALSE)</f>
        <v>0</v>
      </c>
      <c r="L128" s="6">
        <f>VLOOKUP($B$1,'INS RET DEBT'!$C$98:$Q$107,10,FALSE)</f>
        <v>0</v>
      </c>
      <c r="M128" s="6">
        <f>VLOOKUP($B$1,'INS RET DEBT'!$C$98:$Q$107,11,FALSE)</f>
        <v>0</v>
      </c>
      <c r="N128" s="6">
        <f>VLOOKUP($B$1,'INS RET DEBT'!$C$98:$Q$107,12,FALSE)</f>
        <v>0</v>
      </c>
      <c r="O128" s="6">
        <f>VLOOKUP($B$1,'INS RET DEBT'!$C$98:$Q$107,13,FALSE)</f>
        <v>0</v>
      </c>
      <c r="P128" s="6">
        <f>VLOOKUP($B$1,'INS RET DEBT'!$C$98:$Q$107,14,FALSE)</f>
        <v>0</v>
      </c>
      <c r="Q128" s="101">
        <f>SUM(E128:P128)</f>
        <v>0</v>
      </c>
      <c r="R128" s="184">
        <f t="shared" si="33"/>
        <v>0</v>
      </c>
      <c r="S128" s="304">
        <v>0</v>
      </c>
      <c r="T128" s="308" t="str">
        <f t="shared" ref="T128:T129" si="60">IFERROR(Q128/S128-1,"")</f>
        <v/>
      </c>
    </row>
    <row r="129" spans="1:21" x14ac:dyDescent="0.35">
      <c r="A129" s="66" t="s">
        <v>145</v>
      </c>
      <c r="C129" s="6" t="s">
        <v>85</v>
      </c>
      <c r="E129" s="6">
        <f>VLOOKUP($B$1,'INS RET DEBT'!$C$113:$Q$122,3,FALSE)</f>
        <v>0</v>
      </c>
      <c r="F129" s="6">
        <f>VLOOKUP($B$1,'INS RET DEBT'!$C$113:$Q$122,4,FALSE)</f>
        <v>0</v>
      </c>
      <c r="G129" s="6">
        <f>VLOOKUP($B$1,'INS RET DEBT'!$C$113:$Q$122,5,FALSE)</f>
        <v>0</v>
      </c>
      <c r="H129" s="6">
        <f>VLOOKUP($B$1,'INS RET DEBT'!$C$113:$Q$122,6,FALSE)</f>
        <v>0</v>
      </c>
      <c r="I129" s="6">
        <f>VLOOKUP($B$1,'INS RET DEBT'!$C$113:$Q$122,7,FALSE)</f>
        <v>0</v>
      </c>
      <c r="J129" s="6">
        <f>VLOOKUP($B$1,'INS RET DEBT'!$C$113:$Q$122,8,FALSE)</f>
        <v>0</v>
      </c>
      <c r="K129" s="6">
        <f>VLOOKUP($B$1,'INS RET DEBT'!$C$113:$Q$122,9,FALSE)</f>
        <v>0</v>
      </c>
      <c r="L129" s="6">
        <f>VLOOKUP($B$1,'INS RET DEBT'!$C$113:$Q$122,10,FALSE)</f>
        <v>0</v>
      </c>
      <c r="M129" s="6">
        <f>VLOOKUP($B$1,'INS RET DEBT'!$C$113:$Q$122,11,FALSE)</f>
        <v>0</v>
      </c>
      <c r="N129" s="6">
        <f>VLOOKUP($B$1,'INS RET DEBT'!$C$113:$Q$122,12,FALSE)</f>
        <v>0</v>
      </c>
      <c r="O129" s="6">
        <f>VLOOKUP($B$1,'INS RET DEBT'!$C$113:$Q$122,13,FALSE)</f>
        <v>0</v>
      </c>
      <c r="P129" s="6">
        <f>VLOOKUP($B$1,'INS RET DEBT'!$C$113:$Q$122,14,FALSE)</f>
        <v>0</v>
      </c>
      <c r="Q129" s="101">
        <f>SUM(E129:P129)</f>
        <v>0</v>
      </c>
      <c r="R129" s="184">
        <f t="shared" si="33"/>
        <v>0</v>
      </c>
      <c r="S129" s="304">
        <v>0</v>
      </c>
      <c r="T129" s="308" t="str">
        <f t="shared" si="60"/>
        <v/>
      </c>
    </row>
    <row r="130" spans="1:21" x14ac:dyDescent="0.35">
      <c r="A130" s="66" t="s">
        <v>146</v>
      </c>
      <c r="C130" s="6" t="s">
        <v>86</v>
      </c>
      <c r="Q130" s="101">
        <f>SUM(E130:P130)</f>
        <v>0</v>
      </c>
      <c r="R130" s="184">
        <f t="shared" si="33"/>
        <v>0</v>
      </c>
      <c r="S130" s="304"/>
      <c r="T130" s="308"/>
    </row>
    <row r="131" spans="1:21" x14ac:dyDescent="0.35">
      <c r="A131" s="66"/>
      <c r="C131" s="6" t="s">
        <v>87</v>
      </c>
      <c r="E131" s="28">
        <f t="shared" ref="E131:Q131" si="61">SUM(E128:E130)</f>
        <v>0</v>
      </c>
      <c r="F131" s="28">
        <f t="shared" si="61"/>
        <v>0</v>
      </c>
      <c r="G131" s="28">
        <f t="shared" si="61"/>
        <v>0</v>
      </c>
      <c r="H131" s="28">
        <f t="shared" si="61"/>
        <v>0</v>
      </c>
      <c r="I131" s="28">
        <f t="shared" si="61"/>
        <v>0</v>
      </c>
      <c r="J131" s="28">
        <f t="shared" si="61"/>
        <v>0</v>
      </c>
      <c r="K131" s="28">
        <f t="shared" si="61"/>
        <v>0</v>
      </c>
      <c r="L131" s="28">
        <f t="shared" si="61"/>
        <v>0</v>
      </c>
      <c r="M131" s="28">
        <f t="shared" si="61"/>
        <v>0</v>
      </c>
      <c r="N131" s="28">
        <f t="shared" si="61"/>
        <v>0</v>
      </c>
      <c r="O131" s="28">
        <f t="shared" si="61"/>
        <v>0</v>
      </c>
      <c r="P131" s="28">
        <f t="shared" si="61"/>
        <v>0</v>
      </c>
      <c r="Q131" s="110">
        <f t="shared" si="61"/>
        <v>0</v>
      </c>
      <c r="R131" s="191">
        <f t="shared" si="33"/>
        <v>0</v>
      </c>
      <c r="S131" s="309">
        <f>SUM(S128:S129)</f>
        <v>0</v>
      </c>
      <c r="T131" s="310" t="str">
        <f>IFERROR(Q131/S131-1,"")</f>
        <v/>
      </c>
    </row>
    <row r="132" spans="1:21" ht="18" x14ac:dyDescent="0.35">
      <c r="A132" s="66"/>
      <c r="Q132" s="101"/>
      <c r="R132" s="184"/>
      <c r="S132" s="311"/>
      <c r="T132" s="312"/>
    </row>
    <row r="133" spans="1:21" ht="18.5" thickBot="1" x14ac:dyDescent="0.4">
      <c r="A133" s="67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12"/>
      <c r="R133" s="193"/>
      <c r="S133" s="311"/>
      <c r="T133" s="312"/>
    </row>
    <row r="134" spans="1:21" s="8" customFormat="1" ht="18" thickBot="1" x14ac:dyDescent="0.4">
      <c r="A134" s="218"/>
      <c r="B134" s="223" t="s">
        <v>88</v>
      </c>
      <c r="C134" s="224"/>
      <c r="D134" s="224"/>
      <c r="E134" s="224">
        <f t="shared" ref="E134:Q134" si="62">+E125-E131</f>
        <v>30569.785230814654</v>
      </c>
      <c r="F134" s="224">
        <f t="shared" si="62"/>
        <v>30569.785230814654</v>
      </c>
      <c r="G134" s="224">
        <f t="shared" si="62"/>
        <v>30569.785230814654</v>
      </c>
      <c r="H134" s="224">
        <f t="shared" si="62"/>
        <v>13574.785230814654</v>
      </c>
      <c r="I134" s="224">
        <f t="shared" si="62"/>
        <v>30569.785230814654</v>
      </c>
      <c r="J134" s="224">
        <f t="shared" si="62"/>
        <v>30569.785230814654</v>
      </c>
      <c r="K134" s="224">
        <f t="shared" si="62"/>
        <v>30569.785230814654</v>
      </c>
      <c r="L134" s="224">
        <f t="shared" si="62"/>
        <v>30569.785230814654</v>
      </c>
      <c r="M134" s="224">
        <f t="shared" si="62"/>
        <v>30569.785230814654</v>
      </c>
      <c r="N134" s="224">
        <f t="shared" si="62"/>
        <v>30569.785230814654</v>
      </c>
      <c r="O134" s="224">
        <f t="shared" si="62"/>
        <v>30558.165230814651</v>
      </c>
      <c r="P134" s="224">
        <f t="shared" si="62"/>
        <v>30558.165230814651</v>
      </c>
      <c r="Q134" s="221">
        <f t="shared" si="62"/>
        <v>349819.18276977586</v>
      </c>
      <c r="R134" s="225">
        <f t="shared" si="33"/>
        <v>34.981918276977588</v>
      </c>
      <c r="S134" s="313">
        <f>+S125-S131</f>
        <v>373305</v>
      </c>
      <c r="T134" s="314">
        <f>Q134/S134-1</f>
        <v>-6.2913213673066681E-2</v>
      </c>
      <c r="U134" s="238"/>
    </row>
    <row r="135" spans="1:21" ht="18" x14ac:dyDescent="0.35">
      <c r="A135" s="68"/>
      <c r="B135" s="8"/>
      <c r="C135" s="32"/>
      <c r="S135" s="328"/>
      <c r="T135" s="329"/>
    </row>
    <row r="136" spans="1:21" s="8" customFormat="1" ht="17.5" x14ac:dyDescent="0.3">
      <c r="A136" s="68"/>
      <c r="C136" s="32"/>
      <c r="D136" s="33"/>
      <c r="S136" s="328"/>
      <c r="T136" s="329"/>
      <c r="U136" s="238"/>
    </row>
    <row r="137" spans="1:21" ht="18" x14ac:dyDescent="0.35">
      <c r="A137" s="66"/>
      <c r="S137" s="328"/>
      <c r="T137" s="329"/>
    </row>
    <row r="138" spans="1:21" x14ac:dyDescent="0.35">
      <c r="A138" s="47"/>
    </row>
    <row r="139" spans="1:21" x14ac:dyDescent="0.35">
      <c r="A139" s="47"/>
      <c r="S139" s="330"/>
    </row>
    <row r="140" spans="1:21" x14ac:dyDescent="0.35">
      <c r="A140" s="47"/>
    </row>
    <row r="141" spans="1:21" ht="17.5" x14ac:dyDescent="0.35">
      <c r="A141" s="47"/>
      <c r="S141" s="9"/>
      <c r="T141" s="331"/>
    </row>
    <row r="142" spans="1:21" ht="18" x14ac:dyDescent="0.35">
      <c r="A142" s="47"/>
      <c r="S142" s="328"/>
      <c r="T142" s="329"/>
    </row>
    <row r="143" spans="1:21" x14ac:dyDescent="0.35">
      <c r="A143" s="47"/>
    </row>
    <row r="144" spans="1:21" x14ac:dyDescent="0.35">
      <c r="A144" s="47"/>
    </row>
    <row r="145" spans="1:20" ht="18" x14ac:dyDescent="0.35">
      <c r="A145" s="47"/>
      <c r="D145" s="7" t="str">
        <f>"Budget Import - "&amp;B1</f>
        <v>Budget Import - 8200</v>
      </c>
      <c r="E145" s="389">
        <v>5</v>
      </c>
      <c r="F145" s="390">
        <f>E145+1</f>
        <v>6</v>
      </c>
      <c r="G145" s="390">
        <f t="shared" ref="G145:P145" si="63">F145+1</f>
        <v>7</v>
      </c>
      <c r="H145" s="390">
        <f t="shared" si="63"/>
        <v>8</v>
      </c>
      <c r="I145" s="390">
        <f t="shared" si="63"/>
        <v>9</v>
      </c>
      <c r="J145" s="390">
        <f t="shared" si="63"/>
        <v>10</v>
      </c>
      <c r="K145" s="390">
        <f t="shared" si="63"/>
        <v>11</v>
      </c>
      <c r="L145" s="390">
        <f t="shared" si="63"/>
        <v>12</v>
      </c>
      <c r="M145" s="390">
        <f t="shared" si="63"/>
        <v>13</v>
      </c>
      <c r="N145" s="390">
        <f t="shared" si="63"/>
        <v>14</v>
      </c>
      <c r="O145" s="390">
        <f t="shared" si="63"/>
        <v>15</v>
      </c>
      <c r="P145" s="390">
        <f t="shared" si="63"/>
        <v>16</v>
      </c>
      <c r="Q145" s="390" t="s">
        <v>566</v>
      </c>
    </row>
    <row r="146" spans="1:20" ht="16.5" thickBot="1" x14ac:dyDescent="0.4">
      <c r="A146" s="47"/>
      <c r="D146" s="6" t="s">
        <v>96</v>
      </c>
      <c r="E146" s="6">
        <v>1</v>
      </c>
      <c r="F146" s="6">
        <v>2</v>
      </c>
      <c r="G146" s="6">
        <v>3</v>
      </c>
      <c r="H146" s="6">
        <v>4</v>
      </c>
      <c r="I146" s="6">
        <v>5</v>
      </c>
      <c r="J146" s="6">
        <v>6</v>
      </c>
      <c r="K146" s="6">
        <v>7</v>
      </c>
      <c r="L146" s="6">
        <v>8</v>
      </c>
      <c r="M146" s="6">
        <v>9</v>
      </c>
      <c r="N146" s="6">
        <v>10</v>
      </c>
      <c r="O146" s="6">
        <v>11</v>
      </c>
      <c r="P146" s="6">
        <v>12</v>
      </c>
      <c r="Q146" s="13" t="s">
        <v>12</v>
      </c>
    </row>
    <row r="147" spans="1:20" x14ac:dyDescent="0.35">
      <c r="A147" s="294" t="str">
        <f>VLOOKUP($D147,$A$10:$D$130,3,FALSE)</f>
        <v>Rental Income - In Place</v>
      </c>
      <c r="D147" s="57" t="s">
        <v>132</v>
      </c>
      <c r="E147" s="58">
        <f>-(VLOOKUP($D147,$A$10:$P$134,E$145,FALSE)+E11)</f>
        <v>-36750</v>
      </c>
      <c r="F147" s="58">
        <f t="shared" ref="F147:P147" si="64">-(VLOOKUP($D147,$A$10:$P$134,F$145,FALSE)+F11)</f>
        <v>-36750</v>
      </c>
      <c r="G147" s="58">
        <f t="shared" si="64"/>
        <v>-36750</v>
      </c>
      <c r="H147" s="58">
        <f t="shared" si="64"/>
        <v>-36750</v>
      </c>
      <c r="I147" s="58">
        <f t="shared" si="64"/>
        <v>-36750</v>
      </c>
      <c r="J147" s="58">
        <f t="shared" si="64"/>
        <v>-36750</v>
      </c>
      <c r="K147" s="58">
        <f t="shared" si="64"/>
        <v>-36750</v>
      </c>
      <c r="L147" s="58">
        <f t="shared" si="64"/>
        <v>-36750</v>
      </c>
      <c r="M147" s="58">
        <f t="shared" si="64"/>
        <v>-36750</v>
      </c>
      <c r="N147" s="58">
        <f t="shared" si="64"/>
        <v>-36750</v>
      </c>
      <c r="O147" s="58">
        <f t="shared" si="64"/>
        <v>-36750</v>
      </c>
      <c r="P147" s="59">
        <f t="shared" si="64"/>
        <v>-36750</v>
      </c>
      <c r="Q147" s="13">
        <f>SUM(E147:P147)</f>
        <v>-441000</v>
      </c>
      <c r="R147" s="13"/>
    </row>
    <row r="148" spans="1:20" x14ac:dyDescent="0.35">
      <c r="A148" s="294" t="str">
        <f t="shared" ref="A148:A182" si="65">VLOOKUP($D148,$A$10:$D$130,3,FALSE)</f>
        <v>Interest Income</v>
      </c>
      <c r="D148" s="60" t="s">
        <v>134</v>
      </c>
      <c r="E148" s="61">
        <f t="shared" ref="E148:P151" si="66">-VLOOKUP($D148,$A$10:$P$134,E$145,FALSE)</f>
        <v>-13.39</v>
      </c>
      <c r="F148" s="61">
        <f t="shared" si="66"/>
        <v>-13.39</v>
      </c>
      <c r="G148" s="61">
        <f t="shared" si="66"/>
        <v>-13.39</v>
      </c>
      <c r="H148" s="61">
        <f t="shared" si="66"/>
        <v>-13.39</v>
      </c>
      <c r="I148" s="61">
        <f t="shared" si="66"/>
        <v>-13.39</v>
      </c>
      <c r="J148" s="61">
        <f t="shared" si="66"/>
        <v>-13.39</v>
      </c>
      <c r="K148" s="61">
        <f t="shared" si="66"/>
        <v>-13.39</v>
      </c>
      <c r="L148" s="61">
        <f t="shared" si="66"/>
        <v>-13.39</v>
      </c>
      <c r="M148" s="61">
        <f t="shared" si="66"/>
        <v>-13.39</v>
      </c>
      <c r="N148" s="61">
        <f t="shared" si="66"/>
        <v>-13.39</v>
      </c>
      <c r="O148" s="61">
        <f t="shared" si="66"/>
        <v>-13.39</v>
      </c>
      <c r="P148" s="62">
        <f t="shared" si="66"/>
        <v>-13.39</v>
      </c>
      <c r="Q148" s="13">
        <f t="shared" ref="Q148" si="67">SUM(E148:P148)</f>
        <v>-160.68</v>
      </c>
      <c r="R148" s="13"/>
    </row>
    <row r="149" spans="1:20" x14ac:dyDescent="0.35">
      <c r="A149" s="294" t="str">
        <f t="shared" si="65"/>
        <v>Electric</v>
      </c>
      <c r="D149" s="60" t="s">
        <v>98</v>
      </c>
      <c r="E149" s="61">
        <f t="shared" si="66"/>
        <v>0</v>
      </c>
      <c r="F149" s="61">
        <f t="shared" si="66"/>
        <v>0</v>
      </c>
      <c r="G149" s="61">
        <f t="shared" si="66"/>
        <v>0</v>
      </c>
      <c r="H149" s="61">
        <f t="shared" si="66"/>
        <v>0</v>
      </c>
      <c r="I149" s="61">
        <f t="shared" si="66"/>
        <v>0</v>
      </c>
      <c r="J149" s="61">
        <f t="shared" si="66"/>
        <v>0</v>
      </c>
      <c r="K149" s="61">
        <f t="shared" si="66"/>
        <v>0</v>
      </c>
      <c r="L149" s="61">
        <f t="shared" si="66"/>
        <v>0</v>
      </c>
      <c r="M149" s="61">
        <f t="shared" si="66"/>
        <v>0</v>
      </c>
      <c r="N149" s="61">
        <f t="shared" si="66"/>
        <v>0</v>
      </c>
      <c r="O149" s="61">
        <f t="shared" si="66"/>
        <v>0</v>
      </c>
      <c r="P149" s="62">
        <f t="shared" si="66"/>
        <v>0</v>
      </c>
      <c r="Q149" s="13">
        <f t="shared" ref="Q149:Q182" si="68">SUM(E149:P149)</f>
        <v>0</v>
      </c>
      <c r="R149" s="13"/>
    </row>
    <row r="150" spans="1:20" ht="18" x14ac:dyDescent="0.35">
      <c r="A150" s="294" t="str">
        <f t="shared" si="65"/>
        <v>Common Area Maintenance</v>
      </c>
      <c r="D150" s="60" t="s">
        <v>99</v>
      </c>
      <c r="E150" s="61">
        <f t="shared" si="66"/>
        <v>0</v>
      </c>
      <c r="F150" s="61">
        <f t="shared" si="66"/>
        <v>0</v>
      </c>
      <c r="G150" s="61">
        <f t="shared" si="66"/>
        <v>0</v>
      </c>
      <c r="H150" s="61">
        <f t="shared" si="66"/>
        <v>0</v>
      </c>
      <c r="I150" s="61">
        <f t="shared" si="66"/>
        <v>0</v>
      </c>
      <c r="J150" s="61">
        <f t="shared" si="66"/>
        <v>0</v>
      </c>
      <c r="K150" s="61">
        <f t="shared" si="66"/>
        <v>0</v>
      </c>
      <c r="L150" s="61">
        <f t="shared" si="66"/>
        <v>0</v>
      </c>
      <c r="M150" s="61">
        <f t="shared" si="66"/>
        <v>0</v>
      </c>
      <c r="N150" s="61">
        <f t="shared" si="66"/>
        <v>0</v>
      </c>
      <c r="O150" s="61">
        <f t="shared" si="66"/>
        <v>0</v>
      </c>
      <c r="P150" s="62">
        <f t="shared" si="66"/>
        <v>0</v>
      </c>
      <c r="Q150" s="13">
        <f t="shared" si="68"/>
        <v>0</v>
      </c>
      <c r="R150" s="13"/>
      <c r="S150" s="328"/>
      <c r="T150" s="329"/>
    </row>
    <row r="151" spans="1:20" x14ac:dyDescent="0.35">
      <c r="A151" s="294" t="str">
        <f t="shared" si="65"/>
        <v>Real Estate Taxes</v>
      </c>
      <c r="D151" s="60" t="s">
        <v>100</v>
      </c>
      <c r="E151" s="61">
        <f t="shared" si="66"/>
        <v>0</v>
      </c>
      <c r="F151" s="61">
        <f t="shared" si="66"/>
        <v>0</v>
      </c>
      <c r="G151" s="61">
        <f t="shared" si="66"/>
        <v>0</v>
      </c>
      <c r="H151" s="61">
        <f t="shared" si="66"/>
        <v>0</v>
      </c>
      <c r="I151" s="61">
        <f t="shared" si="66"/>
        <v>0</v>
      </c>
      <c r="J151" s="61">
        <f t="shared" si="66"/>
        <v>0</v>
      </c>
      <c r="K151" s="61">
        <f t="shared" si="66"/>
        <v>0</v>
      </c>
      <c r="L151" s="61">
        <f t="shared" si="66"/>
        <v>0</v>
      </c>
      <c r="M151" s="61">
        <f t="shared" si="66"/>
        <v>0</v>
      </c>
      <c r="N151" s="61">
        <f t="shared" si="66"/>
        <v>0</v>
      </c>
      <c r="O151" s="61">
        <f t="shared" si="66"/>
        <v>0</v>
      </c>
      <c r="P151" s="62">
        <f t="shared" si="66"/>
        <v>0</v>
      </c>
      <c r="Q151" s="13">
        <f t="shared" si="68"/>
        <v>0</v>
      </c>
      <c r="R151" s="13"/>
    </row>
    <row r="152" spans="1:20" x14ac:dyDescent="0.35">
      <c r="A152" s="294" t="str">
        <f t="shared" si="65"/>
        <v>Insurance</v>
      </c>
      <c r="D152" s="60" t="s">
        <v>135</v>
      </c>
      <c r="E152" s="61">
        <f>-VLOOKUP($D152,$A$10:$P$134,E$145,FALSE)</f>
        <v>0</v>
      </c>
      <c r="F152" s="61">
        <f t="shared" ref="F152:P152" si="69">-VLOOKUP($D152,$A$10:$P$134,F$145,FALSE)</f>
        <v>0</v>
      </c>
      <c r="G152" s="61">
        <f t="shared" si="69"/>
        <v>0</v>
      </c>
      <c r="H152" s="61">
        <f t="shared" si="69"/>
        <v>0</v>
      </c>
      <c r="I152" s="61">
        <f t="shared" si="69"/>
        <v>0</v>
      </c>
      <c r="J152" s="61">
        <f t="shared" si="69"/>
        <v>0</v>
      </c>
      <c r="K152" s="61">
        <f t="shared" si="69"/>
        <v>0</v>
      </c>
      <c r="L152" s="61">
        <f t="shared" si="69"/>
        <v>0</v>
      </c>
      <c r="M152" s="61">
        <f t="shared" si="69"/>
        <v>0</v>
      </c>
      <c r="N152" s="61">
        <f t="shared" si="69"/>
        <v>0</v>
      </c>
      <c r="O152" s="61">
        <f t="shared" si="69"/>
        <v>0</v>
      </c>
      <c r="P152" s="62">
        <f t="shared" si="69"/>
        <v>0</v>
      </c>
      <c r="Q152" s="13">
        <f>SUM(E152:P152)</f>
        <v>0</v>
      </c>
      <c r="R152" s="13"/>
    </row>
    <row r="153" spans="1:20" x14ac:dyDescent="0.35">
      <c r="A153" s="294" t="str">
        <f t="shared" si="65"/>
        <v>Maintenance Salaries</v>
      </c>
      <c r="D153" s="60" t="s">
        <v>101</v>
      </c>
      <c r="E153" s="61">
        <f>VLOOKUP($D153,$A$10:$P$134,E$145,FALSE)</f>
        <v>307.93127731335943</v>
      </c>
      <c r="F153" s="61">
        <f t="shared" ref="F153:P168" si="70">VLOOKUP($D153,$A$10:$P$134,F$145,FALSE)</f>
        <v>307.93127731335943</v>
      </c>
      <c r="G153" s="61">
        <f t="shared" si="70"/>
        <v>307.93127731335943</v>
      </c>
      <c r="H153" s="61">
        <f t="shared" si="70"/>
        <v>307.93127731335943</v>
      </c>
      <c r="I153" s="61">
        <f t="shared" si="70"/>
        <v>307.93127731335943</v>
      </c>
      <c r="J153" s="61">
        <f t="shared" si="70"/>
        <v>307.93127731335943</v>
      </c>
      <c r="K153" s="61">
        <f t="shared" si="70"/>
        <v>307.93127731335943</v>
      </c>
      <c r="L153" s="61">
        <f t="shared" si="70"/>
        <v>307.93127731335943</v>
      </c>
      <c r="M153" s="61">
        <f t="shared" si="70"/>
        <v>307.93127731335943</v>
      </c>
      <c r="N153" s="61">
        <f t="shared" si="70"/>
        <v>307.93127731335943</v>
      </c>
      <c r="O153" s="61">
        <f t="shared" si="70"/>
        <v>307.93127731335943</v>
      </c>
      <c r="P153" s="62">
        <f t="shared" si="70"/>
        <v>307.93127731335943</v>
      </c>
      <c r="Q153" s="13">
        <f t="shared" si="68"/>
        <v>3695.1753277603125</v>
      </c>
      <c r="R153" s="13"/>
      <c r="S153" s="8"/>
      <c r="T153" s="323"/>
    </row>
    <row r="154" spans="1:20" x14ac:dyDescent="0.35">
      <c r="A154" s="294" t="str">
        <f t="shared" si="65"/>
        <v>Electric</v>
      </c>
      <c r="D154" s="60" t="s">
        <v>102</v>
      </c>
      <c r="E154" s="61">
        <f t="shared" ref="E154:P182" si="71">VLOOKUP($D154,$A$10:$P$134,E$145,FALSE)</f>
        <v>0</v>
      </c>
      <c r="F154" s="61">
        <f t="shared" si="70"/>
        <v>0</v>
      </c>
      <c r="G154" s="61">
        <f t="shared" si="70"/>
        <v>0</v>
      </c>
      <c r="H154" s="61">
        <f t="shared" si="70"/>
        <v>0</v>
      </c>
      <c r="I154" s="61">
        <f t="shared" si="70"/>
        <v>0</v>
      </c>
      <c r="J154" s="61">
        <f t="shared" si="70"/>
        <v>0</v>
      </c>
      <c r="K154" s="61">
        <f t="shared" si="70"/>
        <v>0</v>
      </c>
      <c r="L154" s="61">
        <f t="shared" si="70"/>
        <v>0</v>
      </c>
      <c r="M154" s="61">
        <f t="shared" si="70"/>
        <v>0</v>
      </c>
      <c r="N154" s="61">
        <f t="shared" si="70"/>
        <v>0</v>
      </c>
      <c r="O154" s="61">
        <f t="shared" si="70"/>
        <v>0</v>
      </c>
      <c r="P154" s="62">
        <f t="shared" si="70"/>
        <v>0</v>
      </c>
      <c r="Q154" s="13">
        <f t="shared" si="68"/>
        <v>0</v>
      </c>
      <c r="R154" s="13"/>
    </row>
    <row r="155" spans="1:20" x14ac:dyDescent="0.35">
      <c r="A155" s="294" t="str">
        <f t="shared" si="65"/>
        <v>Water &amp; Sewer</v>
      </c>
      <c r="D155" s="60" t="s">
        <v>103</v>
      </c>
      <c r="E155" s="61">
        <f t="shared" si="71"/>
        <v>0</v>
      </c>
      <c r="F155" s="61">
        <f t="shared" si="70"/>
        <v>0</v>
      </c>
      <c r="G155" s="61">
        <f t="shared" si="70"/>
        <v>0</v>
      </c>
      <c r="H155" s="61">
        <f t="shared" si="70"/>
        <v>0</v>
      </c>
      <c r="I155" s="61">
        <f t="shared" si="70"/>
        <v>0</v>
      </c>
      <c r="J155" s="61">
        <f t="shared" si="70"/>
        <v>0</v>
      </c>
      <c r="K155" s="61">
        <f t="shared" si="70"/>
        <v>0</v>
      </c>
      <c r="L155" s="61">
        <f t="shared" si="70"/>
        <v>0</v>
      </c>
      <c r="M155" s="61">
        <f t="shared" si="70"/>
        <v>0</v>
      </c>
      <c r="N155" s="61">
        <f t="shared" si="70"/>
        <v>0</v>
      </c>
      <c r="O155" s="61">
        <f t="shared" si="70"/>
        <v>0</v>
      </c>
      <c r="P155" s="62">
        <f t="shared" si="70"/>
        <v>0</v>
      </c>
      <c r="Q155" s="13">
        <f t="shared" si="68"/>
        <v>0</v>
      </c>
      <c r="R155" s="13"/>
    </row>
    <row r="156" spans="1:20" x14ac:dyDescent="0.35">
      <c r="A156" s="294" t="str">
        <f t="shared" si="65"/>
        <v>Building Maintenance</v>
      </c>
      <c r="D156" s="60" t="s">
        <v>104</v>
      </c>
      <c r="E156" s="61">
        <f t="shared" si="71"/>
        <v>0</v>
      </c>
      <c r="F156" s="61">
        <f t="shared" si="70"/>
        <v>0</v>
      </c>
      <c r="G156" s="61">
        <f t="shared" si="70"/>
        <v>0</v>
      </c>
      <c r="H156" s="61">
        <f t="shared" si="70"/>
        <v>0</v>
      </c>
      <c r="I156" s="61">
        <f t="shared" si="70"/>
        <v>0</v>
      </c>
      <c r="J156" s="61">
        <f t="shared" si="70"/>
        <v>0</v>
      </c>
      <c r="K156" s="61">
        <f t="shared" si="70"/>
        <v>0</v>
      </c>
      <c r="L156" s="61">
        <f t="shared" si="70"/>
        <v>0</v>
      </c>
      <c r="M156" s="61">
        <f t="shared" si="70"/>
        <v>0</v>
      </c>
      <c r="N156" s="61">
        <f t="shared" si="70"/>
        <v>0</v>
      </c>
      <c r="O156" s="61">
        <f t="shared" si="70"/>
        <v>0</v>
      </c>
      <c r="P156" s="62">
        <f t="shared" si="70"/>
        <v>0</v>
      </c>
      <c r="Q156" s="13">
        <f t="shared" si="68"/>
        <v>0</v>
      </c>
      <c r="R156" s="13"/>
    </row>
    <row r="157" spans="1:20" x14ac:dyDescent="0.35">
      <c r="A157" s="294" t="str">
        <f t="shared" si="65"/>
        <v>Parking Lot Cleaning</v>
      </c>
      <c r="D157" s="60" t="s">
        <v>136</v>
      </c>
      <c r="E157" s="61">
        <f t="shared" si="71"/>
        <v>0</v>
      </c>
      <c r="F157" s="61">
        <f t="shared" si="70"/>
        <v>0</v>
      </c>
      <c r="G157" s="61">
        <f t="shared" si="70"/>
        <v>0</v>
      </c>
      <c r="H157" s="61">
        <f t="shared" si="70"/>
        <v>0</v>
      </c>
      <c r="I157" s="61">
        <f t="shared" si="70"/>
        <v>0</v>
      </c>
      <c r="J157" s="61">
        <f t="shared" si="70"/>
        <v>0</v>
      </c>
      <c r="K157" s="61">
        <f t="shared" si="70"/>
        <v>0</v>
      </c>
      <c r="L157" s="61">
        <f t="shared" si="70"/>
        <v>0</v>
      </c>
      <c r="M157" s="61">
        <f t="shared" si="70"/>
        <v>0</v>
      </c>
      <c r="N157" s="61">
        <f t="shared" si="70"/>
        <v>0</v>
      </c>
      <c r="O157" s="61">
        <f t="shared" si="70"/>
        <v>0</v>
      </c>
      <c r="P157" s="62">
        <f t="shared" si="70"/>
        <v>0</v>
      </c>
      <c r="Q157" s="13"/>
      <c r="R157" s="13"/>
    </row>
    <row r="158" spans="1:20" x14ac:dyDescent="0.35">
      <c r="A158" s="295" t="str">
        <f t="shared" si="65"/>
        <v>Parking Lot Maintenance</v>
      </c>
      <c r="D158" s="60" t="s">
        <v>105</v>
      </c>
      <c r="E158" s="61">
        <f t="shared" si="71"/>
        <v>0</v>
      </c>
      <c r="F158" s="61">
        <f t="shared" si="70"/>
        <v>0</v>
      </c>
      <c r="G158" s="61">
        <f t="shared" si="70"/>
        <v>0</v>
      </c>
      <c r="H158" s="61">
        <f t="shared" si="70"/>
        <v>0</v>
      </c>
      <c r="I158" s="61">
        <f t="shared" si="70"/>
        <v>0</v>
      </c>
      <c r="J158" s="61">
        <f t="shared" si="70"/>
        <v>0</v>
      </c>
      <c r="K158" s="61">
        <f t="shared" si="70"/>
        <v>0</v>
      </c>
      <c r="L158" s="61">
        <f t="shared" si="70"/>
        <v>0</v>
      </c>
      <c r="M158" s="61">
        <f t="shared" si="70"/>
        <v>0</v>
      </c>
      <c r="N158" s="61">
        <f t="shared" si="70"/>
        <v>0</v>
      </c>
      <c r="O158" s="61">
        <f t="shared" si="70"/>
        <v>0</v>
      </c>
      <c r="P158" s="62">
        <f t="shared" si="70"/>
        <v>0</v>
      </c>
      <c r="Q158" s="13">
        <f t="shared" si="68"/>
        <v>0</v>
      </c>
      <c r="R158" s="13"/>
    </row>
    <row r="159" spans="1:20" x14ac:dyDescent="0.35">
      <c r="A159" s="294" t="str">
        <f t="shared" si="65"/>
        <v>Snow Removal</v>
      </c>
      <c r="D159" s="60" t="s">
        <v>106</v>
      </c>
      <c r="E159" s="61">
        <f t="shared" si="71"/>
        <v>0</v>
      </c>
      <c r="F159" s="61">
        <f t="shared" si="70"/>
        <v>0</v>
      </c>
      <c r="G159" s="61">
        <f t="shared" si="70"/>
        <v>0</v>
      </c>
      <c r="H159" s="61">
        <f t="shared" si="70"/>
        <v>0</v>
      </c>
      <c r="I159" s="61">
        <f t="shared" si="70"/>
        <v>0</v>
      </c>
      <c r="J159" s="61">
        <f t="shared" si="70"/>
        <v>0</v>
      </c>
      <c r="K159" s="61">
        <f t="shared" si="70"/>
        <v>0</v>
      </c>
      <c r="L159" s="61">
        <f t="shared" si="70"/>
        <v>0</v>
      </c>
      <c r="M159" s="61">
        <f t="shared" si="70"/>
        <v>0</v>
      </c>
      <c r="N159" s="61">
        <f t="shared" si="70"/>
        <v>0</v>
      </c>
      <c r="O159" s="61">
        <f t="shared" si="70"/>
        <v>0</v>
      </c>
      <c r="P159" s="62">
        <f t="shared" si="70"/>
        <v>0</v>
      </c>
      <c r="Q159" s="13">
        <f t="shared" si="68"/>
        <v>0</v>
      </c>
      <c r="R159" s="13"/>
    </row>
    <row r="160" spans="1:20" x14ac:dyDescent="0.35">
      <c r="A160" s="294" t="str">
        <f t="shared" si="65"/>
        <v>Landscaping</v>
      </c>
      <c r="D160" s="60" t="s">
        <v>107</v>
      </c>
      <c r="E160" s="61">
        <f t="shared" si="71"/>
        <v>0</v>
      </c>
      <c r="F160" s="61">
        <f t="shared" si="70"/>
        <v>0</v>
      </c>
      <c r="G160" s="61">
        <f t="shared" si="70"/>
        <v>0</v>
      </c>
      <c r="H160" s="61">
        <f t="shared" si="70"/>
        <v>0</v>
      </c>
      <c r="I160" s="61">
        <f t="shared" si="70"/>
        <v>0</v>
      </c>
      <c r="J160" s="61">
        <f t="shared" si="70"/>
        <v>0</v>
      </c>
      <c r="K160" s="61">
        <f t="shared" si="70"/>
        <v>0</v>
      </c>
      <c r="L160" s="61">
        <f t="shared" si="70"/>
        <v>0</v>
      </c>
      <c r="M160" s="61">
        <f t="shared" si="70"/>
        <v>0</v>
      </c>
      <c r="N160" s="61">
        <f t="shared" si="70"/>
        <v>0</v>
      </c>
      <c r="O160" s="61">
        <f t="shared" si="70"/>
        <v>0</v>
      </c>
      <c r="P160" s="62">
        <f t="shared" si="70"/>
        <v>0</v>
      </c>
      <c r="Q160" s="13">
        <f t="shared" si="68"/>
        <v>0</v>
      </c>
      <c r="R160" s="13"/>
    </row>
    <row r="161" spans="1:18" x14ac:dyDescent="0.35">
      <c r="A161" s="294" t="str">
        <f t="shared" si="65"/>
        <v>Security</v>
      </c>
      <c r="D161" s="60" t="s">
        <v>108</v>
      </c>
      <c r="E161" s="61">
        <f t="shared" si="71"/>
        <v>0</v>
      </c>
      <c r="F161" s="61">
        <f t="shared" si="70"/>
        <v>0</v>
      </c>
      <c r="G161" s="61">
        <f t="shared" si="70"/>
        <v>0</v>
      </c>
      <c r="H161" s="61">
        <f t="shared" si="70"/>
        <v>0</v>
      </c>
      <c r="I161" s="61">
        <f t="shared" si="70"/>
        <v>0</v>
      </c>
      <c r="J161" s="61">
        <f t="shared" si="70"/>
        <v>0</v>
      </c>
      <c r="K161" s="61">
        <f t="shared" si="70"/>
        <v>0</v>
      </c>
      <c r="L161" s="61">
        <f t="shared" si="70"/>
        <v>0</v>
      </c>
      <c r="M161" s="61">
        <f t="shared" si="70"/>
        <v>0</v>
      </c>
      <c r="N161" s="61">
        <f t="shared" si="70"/>
        <v>0</v>
      </c>
      <c r="O161" s="61">
        <f t="shared" si="70"/>
        <v>0</v>
      </c>
      <c r="P161" s="62">
        <f t="shared" si="70"/>
        <v>0</v>
      </c>
      <c r="Q161" s="13">
        <f t="shared" si="68"/>
        <v>0</v>
      </c>
      <c r="R161" s="13"/>
    </row>
    <row r="162" spans="1:18" x14ac:dyDescent="0.35">
      <c r="A162" s="294" t="str">
        <f t="shared" si="65"/>
        <v>Management fee</v>
      </c>
      <c r="D162" s="60" t="s">
        <v>141</v>
      </c>
      <c r="E162" s="61">
        <f t="shared" si="71"/>
        <v>2206</v>
      </c>
      <c r="F162" s="61">
        <f t="shared" si="70"/>
        <v>2206</v>
      </c>
      <c r="G162" s="61">
        <f t="shared" si="70"/>
        <v>2206</v>
      </c>
      <c r="H162" s="61">
        <f t="shared" si="70"/>
        <v>2206</v>
      </c>
      <c r="I162" s="61">
        <f t="shared" si="70"/>
        <v>2206</v>
      </c>
      <c r="J162" s="61">
        <f t="shared" si="70"/>
        <v>2206</v>
      </c>
      <c r="K162" s="61">
        <f t="shared" si="70"/>
        <v>2206</v>
      </c>
      <c r="L162" s="61">
        <f t="shared" si="70"/>
        <v>2206</v>
      </c>
      <c r="M162" s="61">
        <f t="shared" si="70"/>
        <v>2206</v>
      </c>
      <c r="N162" s="61">
        <f t="shared" si="70"/>
        <v>2206</v>
      </c>
      <c r="O162" s="61">
        <f t="shared" si="70"/>
        <v>2206</v>
      </c>
      <c r="P162" s="62">
        <f t="shared" si="70"/>
        <v>2206</v>
      </c>
      <c r="Q162" s="13">
        <f t="shared" si="68"/>
        <v>26472</v>
      </c>
      <c r="R162" s="13"/>
    </row>
    <row r="163" spans="1:18" x14ac:dyDescent="0.35">
      <c r="A163" s="294" t="str">
        <f t="shared" si="65"/>
        <v>Trash Removal</v>
      </c>
      <c r="D163" s="60" t="s">
        <v>110</v>
      </c>
      <c r="E163" s="61">
        <f t="shared" si="71"/>
        <v>0</v>
      </c>
      <c r="F163" s="61">
        <f t="shared" si="70"/>
        <v>0</v>
      </c>
      <c r="G163" s="61">
        <f t="shared" si="70"/>
        <v>0</v>
      </c>
      <c r="H163" s="61">
        <f t="shared" si="70"/>
        <v>0</v>
      </c>
      <c r="I163" s="61">
        <f t="shared" si="70"/>
        <v>0</v>
      </c>
      <c r="J163" s="61">
        <f t="shared" si="70"/>
        <v>0</v>
      </c>
      <c r="K163" s="61">
        <f t="shared" si="70"/>
        <v>0</v>
      </c>
      <c r="L163" s="61">
        <f t="shared" si="70"/>
        <v>0</v>
      </c>
      <c r="M163" s="61">
        <f t="shared" si="70"/>
        <v>0</v>
      </c>
      <c r="N163" s="61">
        <f t="shared" si="70"/>
        <v>0</v>
      </c>
      <c r="O163" s="61">
        <f t="shared" si="70"/>
        <v>0</v>
      </c>
      <c r="P163" s="62">
        <f t="shared" si="70"/>
        <v>0</v>
      </c>
      <c r="Q163" s="13">
        <f t="shared" si="68"/>
        <v>0</v>
      </c>
      <c r="R163" s="13"/>
    </row>
    <row r="164" spans="1:18" x14ac:dyDescent="0.35">
      <c r="A164" s="294" t="str">
        <f t="shared" si="65"/>
        <v>Real Estate Taxes</v>
      </c>
      <c r="D164" s="60" t="s">
        <v>111</v>
      </c>
      <c r="E164" s="61">
        <f t="shared" si="71"/>
        <v>1990.3960333333334</v>
      </c>
      <c r="F164" s="61">
        <f t="shared" si="70"/>
        <v>1990.3960333333334</v>
      </c>
      <c r="G164" s="61">
        <f t="shared" si="70"/>
        <v>1990.3960333333334</v>
      </c>
      <c r="H164" s="61">
        <f t="shared" si="70"/>
        <v>1990.3960333333334</v>
      </c>
      <c r="I164" s="61">
        <f t="shared" si="70"/>
        <v>1990.3960333333334</v>
      </c>
      <c r="J164" s="61">
        <f t="shared" si="70"/>
        <v>1990.3960333333334</v>
      </c>
      <c r="K164" s="61">
        <f t="shared" si="70"/>
        <v>1990.3960333333334</v>
      </c>
      <c r="L164" s="61">
        <f t="shared" si="70"/>
        <v>1990.3960333333334</v>
      </c>
      <c r="M164" s="61">
        <f t="shared" si="70"/>
        <v>1990.3960333333334</v>
      </c>
      <c r="N164" s="61">
        <f t="shared" si="70"/>
        <v>1990.3960333333334</v>
      </c>
      <c r="O164" s="61">
        <f t="shared" si="70"/>
        <v>1990.3960333333334</v>
      </c>
      <c r="P164" s="62">
        <f t="shared" si="70"/>
        <v>1990.3960333333334</v>
      </c>
      <c r="Q164" s="13">
        <f t="shared" si="68"/>
        <v>23884.752400000008</v>
      </c>
      <c r="R164" s="13"/>
    </row>
    <row r="165" spans="1:18" x14ac:dyDescent="0.35">
      <c r="A165" s="294" t="str">
        <f t="shared" si="65"/>
        <v>Insurance</v>
      </c>
      <c r="D165" s="60" t="s">
        <v>112</v>
      </c>
      <c r="E165" s="61">
        <f t="shared" si="71"/>
        <v>581</v>
      </c>
      <c r="F165" s="61">
        <f t="shared" si="70"/>
        <v>581</v>
      </c>
      <c r="G165" s="61">
        <f t="shared" si="70"/>
        <v>581</v>
      </c>
      <c r="H165" s="61">
        <f t="shared" si="70"/>
        <v>581</v>
      </c>
      <c r="I165" s="61">
        <f t="shared" si="70"/>
        <v>581</v>
      </c>
      <c r="J165" s="61">
        <f t="shared" si="70"/>
        <v>581</v>
      </c>
      <c r="K165" s="61">
        <f t="shared" si="70"/>
        <v>581</v>
      </c>
      <c r="L165" s="61">
        <f t="shared" si="70"/>
        <v>581</v>
      </c>
      <c r="M165" s="61">
        <f t="shared" si="70"/>
        <v>581</v>
      </c>
      <c r="N165" s="61">
        <f t="shared" si="70"/>
        <v>581</v>
      </c>
      <c r="O165" s="61">
        <f t="shared" si="70"/>
        <v>592.62</v>
      </c>
      <c r="P165" s="62">
        <f t="shared" si="70"/>
        <v>592.62</v>
      </c>
      <c r="Q165" s="13">
        <f t="shared" si="68"/>
        <v>6995.24</v>
      </c>
      <c r="R165" s="13"/>
    </row>
    <row r="166" spans="1:18" x14ac:dyDescent="0.35">
      <c r="A166" s="294" t="str">
        <f t="shared" si="65"/>
        <v>Cleaning &amp; Supplies</v>
      </c>
      <c r="D166" s="60" t="s">
        <v>113</v>
      </c>
      <c r="E166" s="61">
        <f t="shared" si="71"/>
        <v>0</v>
      </c>
      <c r="F166" s="61">
        <f t="shared" si="70"/>
        <v>0</v>
      </c>
      <c r="G166" s="61">
        <f t="shared" si="70"/>
        <v>0</v>
      </c>
      <c r="H166" s="61">
        <f t="shared" si="70"/>
        <v>0</v>
      </c>
      <c r="I166" s="61">
        <f t="shared" si="70"/>
        <v>0</v>
      </c>
      <c r="J166" s="61">
        <f t="shared" si="70"/>
        <v>0</v>
      </c>
      <c r="K166" s="61">
        <f t="shared" si="70"/>
        <v>0</v>
      </c>
      <c r="L166" s="61">
        <f t="shared" si="70"/>
        <v>0</v>
      </c>
      <c r="M166" s="61">
        <f t="shared" si="70"/>
        <v>0</v>
      </c>
      <c r="N166" s="61">
        <f t="shared" si="70"/>
        <v>0</v>
      </c>
      <c r="O166" s="61">
        <f t="shared" si="70"/>
        <v>0</v>
      </c>
      <c r="P166" s="62">
        <f t="shared" si="70"/>
        <v>0</v>
      </c>
      <c r="Q166" s="13">
        <f t="shared" si="68"/>
        <v>0</v>
      </c>
      <c r="R166" s="13"/>
    </row>
    <row r="167" spans="1:18" x14ac:dyDescent="0.35">
      <c r="A167" s="294" t="str">
        <f>VLOOKUP($D167,$A$10:$D$130,4,FALSE)</f>
        <v>Salaries &amp; Wages</v>
      </c>
      <c r="D167" s="60" t="s">
        <v>114</v>
      </c>
      <c r="E167" s="61">
        <f t="shared" si="71"/>
        <v>743.66097792421124</v>
      </c>
      <c r="F167" s="61">
        <f t="shared" si="70"/>
        <v>743.66097792421124</v>
      </c>
      <c r="G167" s="61">
        <f t="shared" si="70"/>
        <v>743.66097792421124</v>
      </c>
      <c r="H167" s="61">
        <f t="shared" si="70"/>
        <v>743.66097792421124</v>
      </c>
      <c r="I167" s="61">
        <f t="shared" si="70"/>
        <v>743.66097792421124</v>
      </c>
      <c r="J167" s="61">
        <f t="shared" si="70"/>
        <v>743.66097792421124</v>
      </c>
      <c r="K167" s="61">
        <f t="shared" si="70"/>
        <v>743.66097792421124</v>
      </c>
      <c r="L167" s="61">
        <f t="shared" si="70"/>
        <v>743.66097792421124</v>
      </c>
      <c r="M167" s="61">
        <f t="shared" si="70"/>
        <v>743.66097792421124</v>
      </c>
      <c r="N167" s="61">
        <f t="shared" si="70"/>
        <v>743.66097792421124</v>
      </c>
      <c r="O167" s="61">
        <f t="shared" si="70"/>
        <v>743.66097792421124</v>
      </c>
      <c r="P167" s="62">
        <f t="shared" si="70"/>
        <v>743.66097792421124</v>
      </c>
      <c r="Q167" s="13">
        <f t="shared" si="68"/>
        <v>8923.9317350905367</v>
      </c>
      <c r="R167" s="13"/>
    </row>
    <row r="168" spans="1:18" x14ac:dyDescent="0.35">
      <c r="A168" s="294" t="str">
        <f>VLOOKUP($D168,$A$10:$D$130,4,FALSE)</f>
        <v>Commissions-Internal Broker</v>
      </c>
      <c r="D168" s="60" t="s">
        <v>115</v>
      </c>
      <c r="E168" s="61">
        <f t="shared" si="71"/>
        <v>0</v>
      </c>
      <c r="F168" s="61">
        <f t="shared" si="70"/>
        <v>0</v>
      </c>
      <c r="G168" s="61">
        <f t="shared" si="70"/>
        <v>0</v>
      </c>
      <c r="H168" s="61">
        <f t="shared" si="70"/>
        <v>0</v>
      </c>
      <c r="I168" s="61">
        <f t="shared" si="70"/>
        <v>0</v>
      </c>
      <c r="J168" s="61">
        <f t="shared" si="70"/>
        <v>0</v>
      </c>
      <c r="K168" s="61">
        <f t="shared" si="70"/>
        <v>0</v>
      </c>
      <c r="L168" s="61">
        <f t="shared" si="70"/>
        <v>0</v>
      </c>
      <c r="M168" s="61">
        <f t="shared" si="70"/>
        <v>0</v>
      </c>
      <c r="N168" s="61">
        <f t="shared" si="70"/>
        <v>0</v>
      </c>
      <c r="O168" s="61">
        <f t="shared" si="70"/>
        <v>0</v>
      </c>
      <c r="P168" s="62">
        <f t="shared" si="70"/>
        <v>0</v>
      </c>
      <c r="Q168" s="13">
        <f t="shared" si="68"/>
        <v>0</v>
      </c>
      <c r="R168" s="13"/>
    </row>
    <row r="169" spans="1:18" x14ac:dyDescent="0.35">
      <c r="A169" s="294" t="str">
        <f t="shared" si="65"/>
        <v>Building Maintenance</v>
      </c>
      <c r="D169" s="60" t="s">
        <v>116</v>
      </c>
      <c r="E169" s="61">
        <f t="shared" si="71"/>
        <v>0</v>
      </c>
      <c r="F169" s="61">
        <f t="shared" si="71"/>
        <v>0</v>
      </c>
      <c r="G169" s="61">
        <f t="shared" si="71"/>
        <v>0</v>
      </c>
      <c r="H169" s="61">
        <f t="shared" si="71"/>
        <v>0</v>
      </c>
      <c r="I169" s="61">
        <f t="shared" si="71"/>
        <v>0</v>
      </c>
      <c r="J169" s="61">
        <f t="shared" si="71"/>
        <v>0</v>
      </c>
      <c r="K169" s="61">
        <f t="shared" si="71"/>
        <v>0</v>
      </c>
      <c r="L169" s="61">
        <f t="shared" si="71"/>
        <v>0</v>
      </c>
      <c r="M169" s="61">
        <f t="shared" si="71"/>
        <v>0</v>
      </c>
      <c r="N169" s="61">
        <f t="shared" si="71"/>
        <v>0</v>
      </c>
      <c r="O169" s="61">
        <f t="shared" si="71"/>
        <v>0</v>
      </c>
      <c r="P169" s="62">
        <f t="shared" si="71"/>
        <v>0</v>
      </c>
      <c r="Q169" s="13">
        <f t="shared" si="68"/>
        <v>0</v>
      </c>
      <c r="R169" s="13"/>
    </row>
    <row r="170" spans="1:18" x14ac:dyDescent="0.35">
      <c r="A170" s="294" t="str">
        <f t="shared" si="65"/>
        <v>Marketing</v>
      </c>
      <c r="D170" s="60" t="s">
        <v>117</v>
      </c>
      <c r="E170" s="61">
        <f t="shared" si="71"/>
        <v>233.29148061444198</v>
      </c>
      <c r="F170" s="61">
        <f t="shared" si="71"/>
        <v>233.29148061444198</v>
      </c>
      <c r="G170" s="61">
        <f t="shared" si="71"/>
        <v>233.29148061444198</v>
      </c>
      <c r="H170" s="61">
        <f t="shared" si="71"/>
        <v>233.29148061444198</v>
      </c>
      <c r="I170" s="61">
        <f t="shared" si="71"/>
        <v>233.29148061444198</v>
      </c>
      <c r="J170" s="61">
        <f t="shared" si="71"/>
        <v>233.29148061444198</v>
      </c>
      <c r="K170" s="61">
        <f t="shared" si="71"/>
        <v>233.29148061444198</v>
      </c>
      <c r="L170" s="61">
        <f t="shared" si="71"/>
        <v>233.29148061444198</v>
      </c>
      <c r="M170" s="61">
        <f t="shared" si="71"/>
        <v>233.29148061444198</v>
      </c>
      <c r="N170" s="61">
        <f t="shared" si="71"/>
        <v>233.29148061444198</v>
      </c>
      <c r="O170" s="61">
        <f t="shared" si="71"/>
        <v>233.29148061444198</v>
      </c>
      <c r="P170" s="62">
        <f t="shared" si="71"/>
        <v>233.29148061444198</v>
      </c>
      <c r="Q170" s="13">
        <f t="shared" si="68"/>
        <v>2799.4977673733028</v>
      </c>
      <c r="R170" s="13"/>
    </row>
    <row r="171" spans="1:18" x14ac:dyDescent="0.35">
      <c r="A171" s="294" t="str">
        <f t="shared" si="65"/>
        <v>Business Taxes</v>
      </c>
      <c r="D171" s="60" t="s">
        <v>118</v>
      </c>
      <c r="E171" s="61">
        <f t="shared" si="71"/>
        <v>0</v>
      </c>
      <c r="F171" s="61">
        <f t="shared" si="71"/>
        <v>0</v>
      </c>
      <c r="G171" s="61">
        <f t="shared" si="71"/>
        <v>0</v>
      </c>
      <c r="H171" s="61">
        <f t="shared" si="71"/>
        <v>16995</v>
      </c>
      <c r="I171" s="61">
        <f t="shared" si="71"/>
        <v>0</v>
      </c>
      <c r="J171" s="61">
        <f t="shared" si="71"/>
        <v>0</v>
      </c>
      <c r="K171" s="61">
        <f t="shared" si="71"/>
        <v>0</v>
      </c>
      <c r="L171" s="61">
        <f t="shared" si="71"/>
        <v>0</v>
      </c>
      <c r="M171" s="61">
        <f t="shared" si="71"/>
        <v>0</v>
      </c>
      <c r="N171" s="61">
        <f t="shared" si="71"/>
        <v>0</v>
      </c>
      <c r="O171" s="61">
        <f t="shared" si="71"/>
        <v>0</v>
      </c>
      <c r="P171" s="62">
        <f t="shared" si="71"/>
        <v>0</v>
      </c>
      <c r="Q171" s="13">
        <f t="shared" si="68"/>
        <v>16995</v>
      </c>
      <c r="R171" s="13"/>
    </row>
    <row r="172" spans="1:18" x14ac:dyDescent="0.35">
      <c r="A172" s="294" t="str">
        <f t="shared" si="65"/>
        <v>Legal &amp; Accounting</v>
      </c>
      <c r="D172" s="60" t="s">
        <v>119</v>
      </c>
      <c r="E172" s="61">
        <f t="shared" si="71"/>
        <v>103</v>
      </c>
      <c r="F172" s="61">
        <f t="shared" si="71"/>
        <v>103</v>
      </c>
      <c r="G172" s="61">
        <f t="shared" si="71"/>
        <v>103</v>
      </c>
      <c r="H172" s="61">
        <f t="shared" si="71"/>
        <v>103</v>
      </c>
      <c r="I172" s="61">
        <f t="shared" si="71"/>
        <v>103</v>
      </c>
      <c r="J172" s="61">
        <f t="shared" si="71"/>
        <v>103</v>
      </c>
      <c r="K172" s="61">
        <f t="shared" si="71"/>
        <v>103</v>
      </c>
      <c r="L172" s="61">
        <f t="shared" si="71"/>
        <v>103</v>
      </c>
      <c r="M172" s="61">
        <f t="shared" si="71"/>
        <v>103</v>
      </c>
      <c r="N172" s="61">
        <f t="shared" si="71"/>
        <v>103</v>
      </c>
      <c r="O172" s="61">
        <f t="shared" si="71"/>
        <v>103</v>
      </c>
      <c r="P172" s="62">
        <f t="shared" si="71"/>
        <v>103</v>
      </c>
      <c r="Q172" s="13">
        <f t="shared" si="68"/>
        <v>1236</v>
      </c>
      <c r="R172" s="13"/>
    </row>
    <row r="173" spans="1:18" x14ac:dyDescent="0.35">
      <c r="A173" s="294" t="str">
        <f t="shared" ref="A173:A178" si="72">VLOOKUP($D173,$A$10:$D$130,4,FALSE)</f>
        <v>Bank Fees</v>
      </c>
      <c r="D173" s="60" t="s">
        <v>126</v>
      </c>
      <c r="E173" s="61">
        <f t="shared" si="71"/>
        <v>0</v>
      </c>
      <c r="F173" s="61">
        <f t="shared" si="71"/>
        <v>0</v>
      </c>
      <c r="G173" s="61">
        <f t="shared" si="71"/>
        <v>0</v>
      </c>
      <c r="H173" s="61">
        <f t="shared" si="71"/>
        <v>0</v>
      </c>
      <c r="I173" s="61">
        <f t="shared" si="71"/>
        <v>0</v>
      </c>
      <c r="J173" s="61">
        <f t="shared" si="71"/>
        <v>0</v>
      </c>
      <c r="K173" s="61">
        <f t="shared" si="71"/>
        <v>0</v>
      </c>
      <c r="L173" s="61">
        <f t="shared" si="71"/>
        <v>0</v>
      </c>
      <c r="M173" s="61">
        <f t="shared" si="71"/>
        <v>0</v>
      </c>
      <c r="N173" s="61">
        <f t="shared" si="71"/>
        <v>0</v>
      </c>
      <c r="O173" s="61">
        <f t="shared" si="71"/>
        <v>0</v>
      </c>
      <c r="P173" s="62">
        <f t="shared" si="71"/>
        <v>0</v>
      </c>
      <c r="Q173" s="13">
        <f t="shared" si="68"/>
        <v>0</v>
      </c>
      <c r="R173" s="13"/>
    </row>
    <row r="174" spans="1:18" x14ac:dyDescent="0.35">
      <c r="A174" s="294" t="str">
        <f t="shared" si="72"/>
        <v>Other G&amp;A Expense</v>
      </c>
      <c r="D174" s="60" t="s">
        <v>127</v>
      </c>
      <c r="E174" s="61">
        <f t="shared" si="71"/>
        <v>0</v>
      </c>
      <c r="F174" s="61">
        <f t="shared" si="71"/>
        <v>0</v>
      </c>
      <c r="G174" s="61">
        <f t="shared" si="71"/>
        <v>0</v>
      </c>
      <c r="H174" s="61">
        <f t="shared" si="71"/>
        <v>0</v>
      </c>
      <c r="I174" s="61">
        <f t="shared" si="71"/>
        <v>0</v>
      </c>
      <c r="J174" s="61">
        <f t="shared" si="71"/>
        <v>0</v>
      </c>
      <c r="K174" s="61">
        <f t="shared" si="71"/>
        <v>0</v>
      </c>
      <c r="L174" s="61">
        <f t="shared" si="71"/>
        <v>0</v>
      </c>
      <c r="M174" s="61">
        <f t="shared" si="71"/>
        <v>0</v>
      </c>
      <c r="N174" s="61">
        <f t="shared" si="71"/>
        <v>0</v>
      </c>
      <c r="O174" s="61">
        <f t="shared" si="71"/>
        <v>0</v>
      </c>
      <c r="P174" s="62">
        <f t="shared" si="71"/>
        <v>0</v>
      </c>
      <c r="Q174" s="13">
        <f t="shared" si="68"/>
        <v>0</v>
      </c>
      <c r="R174" s="13"/>
    </row>
    <row r="175" spans="1:18" x14ac:dyDescent="0.35">
      <c r="A175" s="294" t="str">
        <f t="shared" si="72"/>
        <v>Other G&amp;A-allocated from LIK</v>
      </c>
      <c r="D175" s="60" t="s">
        <v>120</v>
      </c>
      <c r="E175" s="61">
        <f t="shared" si="71"/>
        <v>28.325000000000003</v>
      </c>
      <c r="F175" s="61">
        <f t="shared" si="71"/>
        <v>28.325000000000003</v>
      </c>
      <c r="G175" s="61">
        <f t="shared" si="71"/>
        <v>28.325000000000003</v>
      </c>
      <c r="H175" s="61">
        <f t="shared" si="71"/>
        <v>28.325000000000003</v>
      </c>
      <c r="I175" s="61">
        <f t="shared" si="71"/>
        <v>28.325000000000003</v>
      </c>
      <c r="J175" s="61">
        <f t="shared" si="71"/>
        <v>28.325000000000003</v>
      </c>
      <c r="K175" s="61">
        <f t="shared" si="71"/>
        <v>28.325000000000003</v>
      </c>
      <c r="L175" s="61">
        <f t="shared" si="71"/>
        <v>28.325000000000003</v>
      </c>
      <c r="M175" s="61">
        <f t="shared" si="71"/>
        <v>28.325000000000003</v>
      </c>
      <c r="N175" s="61">
        <f t="shared" si="71"/>
        <v>28.325000000000003</v>
      </c>
      <c r="O175" s="61">
        <f t="shared" si="71"/>
        <v>28.325000000000003</v>
      </c>
      <c r="P175" s="62">
        <f t="shared" si="71"/>
        <v>28.325000000000003</v>
      </c>
      <c r="Q175" s="13">
        <f t="shared" si="68"/>
        <v>339.89999999999992</v>
      </c>
      <c r="R175" s="13"/>
    </row>
    <row r="176" spans="1:18" x14ac:dyDescent="0.35">
      <c r="A176" s="294" t="str">
        <f t="shared" si="72"/>
        <v>Land Improvements</v>
      </c>
      <c r="D176" s="60" t="s">
        <v>121</v>
      </c>
      <c r="E176" s="61">
        <f t="shared" si="71"/>
        <v>0</v>
      </c>
      <c r="F176" s="61">
        <f t="shared" si="71"/>
        <v>0</v>
      </c>
      <c r="G176" s="61">
        <f t="shared" si="71"/>
        <v>0</v>
      </c>
      <c r="H176" s="61">
        <f t="shared" si="71"/>
        <v>0</v>
      </c>
      <c r="I176" s="61">
        <f t="shared" si="71"/>
        <v>0</v>
      </c>
      <c r="J176" s="61">
        <f t="shared" si="71"/>
        <v>0</v>
      </c>
      <c r="K176" s="61">
        <f t="shared" si="71"/>
        <v>0</v>
      </c>
      <c r="L176" s="61">
        <f t="shared" si="71"/>
        <v>0</v>
      </c>
      <c r="M176" s="61">
        <f t="shared" si="71"/>
        <v>0</v>
      </c>
      <c r="N176" s="61">
        <f t="shared" si="71"/>
        <v>0</v>
      </c>
      <c r="O176" s="61">
        <f t="shared" si="71"/>
        <v>0</v>
      </c>
      <c r="P176" s="62">
        <f t="shared" si="71"/>
        <v>0</v>
      </c>
      <c r="Q176" s="13">
        <f t="shared" si="68"/>
        <v>0</v>
      </c>
      <c r="R176" s="13"/>
    </row>
    <row r="177" spans="1:18" x14ac:dyDescent="0.35">
      <c r="A177" s="294" t="str">
        <f t="shared" si="72"/>
        <v>Buildings</v>
      </c>
      <c r="D177" s="60" t="s">
        <v>122</v>
      </c>
      <c r="E177" s="61">
        <f t="shared" si="71"/>
        <v>0</v>
      </c>
      <c r="F177" s="61">
        <f t="shared" si="71"/>
        <v>0</v>
      </c>
      <c r="G177" s="61">
        <f t="shared" si="71"/>
        <v>0</v>
      </c>
      <c r="H177" s="61">
        <f t="shared" si="71"/>
        <v>0</v>
      </c>
      <c r="I177" s="61">
        <f t="shared" si="71"/>
        <v>0</v>
      </c>
      <c r="J177" s="61">
        <f t="shared" si="71"/>
        <v>0</v>
      </c>
      <c r="K177" s="61">
        <f t="shared" si="71"/>
        <v>0</v>
      </c>
      <c r="L177" s="61">
        <f t="shared" si="71"/>
        <v>0</v>
      </c>
      <c r="M177" s="61">
        <f t="shared" si="71"/>
        <v>0</v>
      </c>
      <c r="N177" s="61">
        <f t="shared" si="71"/>
        <v>0</v>
      </c>
      <c r="O177" s="61">
        <f t="shared" si="71"/>
        <v>0</v>
      </c>
      <c r="P177" s="62">
        <f t="shared" si="71"/>
        <v>0</v>
      </c>
      <c r="Q177" s="13">
        <f t="shared" si="68"/>
        <v>0</v>
      </c>
      <c r="R177" s="13"/>
    </row>
    <row r="178" spans="1:18" x14ac:dyDescent="0.35">
      <c r="A178" s="294" t="str">
        <f t="shared" si="72"/>
        <v>Equipment</v>
      </c>
      <c r="D178" s="60" t="s">
        <v>123</v>
      </c>
      <c r="E178" s="61">
        <f t="shared" si="71"/>
        <v>0</v>
      </c>
      <c r="F178" s="61">
        <f t="shared" si="71"/>
        <v>0</v>
      </c>
      <c r="G178" s="61">
        <f t="shared" si="71"/>
        <v>0</v>
      </c>
      <c r="H178" s="61">
        <f t="shared" si="71"/>
        <v>0</v>
      </c>
      <c r="I178" s="61">
        <f t="shared" si="71"/>
        <v>0</v>
      </c>
      <c r="J178" s="61">
        <f t="shared" si="71"/>
        <v>0</v>
      </c>
      <c r="K178" s="61">
        <f t="shared" si="71"/>
        <v>0</v>
      </c>
      <c r="L178" s="61">
        <f t="shared" si="71"/>
        <v>0</v>
      </c>
      <c r="M178" s="61">
        <f t="shared" si="71"/>
        <v>0</v>
      </c>
      <c r="N178" s="61">
        <f t="shared" si="71"/>
        <v>0</v>
      </c>
      <c r="O178" s="61">
        <f t="shared" si="71"/>
        <v>0</v>
      </c>
      <c r="P178" s="62">
        <f t="shared" si="71"/>
        <v>0</v>
      </c>
      <c r="Q178" s="13">
        <f t="shared" si="68"/>
        <v>0</v>
      </c>
      <c r="R178" s="13"/>
    </row>
    <row r="179" spans="1:18" x14ac:dyDescent="0.35">
      <c r="A179" s="294" t="str">
        <f t="shared" si="65"/>
        <v>Tenant Improvements</v>
      </c>
      <c r="D179" s="60" t="s">
        <v>124</v>
      </c>
      <c r="E179" s="61">
        <f t="shared" si="71"/>
        <v>0</v>
      </c>
      <c r="F179" s="61">
        <f t="shared" si="71"/>
        <v>0</v>
      </c>
      <c r="G179" s="61">
        <f t="shared" si="71"/>
        <v>0</v>
      </c>
      <c r="H179" s="61">
        <f t="shared" si="71"/>
        <v>0</v>
      </c>
      <c r="I179" s="61">
        <f t="shared" si="71"/>
        <v>0</v>
      </c>
      <c r="J179" s="61">
        <f t="shared" si="71"/>
        <v>0</v>
      </c>
      <c r="K179" s="61">
        <f t="shared" si="71"/>
        <v>0</v>
      </c>
      <c r="L179" s="61">
        <f t="shared" si="71"/>
        <v>0</v>
      </c>
      <c r="M179" s="61">
        <f t="shared" si="71"/>
        <v>0</v>
      </c>
      <c r="N179" s="61">
        <f t="shared" si="71"/>
        <v>0</v>
      </c>
      <c r="O179" s="61">
        <f t="shared" si="71"/>
        <v>0</v>
      </c>
      <c r="P179" s="62">
        <f t="shared" si="71"/>
        <v>0</v>
      </c>
      <c r="Q179" s="13">
        <f t="shared" si="68"/>
        <v>0</v>
      </c>
      <c r="R179" s="13"/>
    </row>
    <row r="180" spans="1:18" x14ac:dyDescent="0.35">
      <c r="A180" s="294" t="str">
        <f>VLOOKUP($D180,$A$10:$D$130,4,FALSE)</f>
        <v>Deferred Marketing</v>
      </c>
      <c r="D180" s="60" t="s">
        <v>125</v>
      </c>
      <c r="E180" s="61">
        <f t="shared" si="71"/>
        <v>0</v>
      </c>
      <c r="F180" s="61">
        <f t="shared" si="71"/>
        <v>0</v>
      </c>
      <c r="G180" s="61">
        <f t="shared" si="71"/>
        <v>0</v>
      </c>
      <c r="H180" s="61">
        <f t="shared" si="71"/>
        <v>0</v>
      </c>
      <c r="I180" s="61">
        <f t="shared" si="71"/>
        <v>0</v>
      </c>
      <c r="J180" s="61">
        <f t="shared" si="71"/>
        <v>0</v>
      </c>
      <c r="K180" s="61">
        <f t="shared" si="71"/>
        <v>0</v>
      </c>
      <c r="L180" s="61">
        <f t="shared" si="71"/>
        <v>0</v>
      </c>
      <c r="M180" s="61">
        <f t="shared" si="71"/>
        <v>0</v>
      </c>
      <c r="N180" s="61">
        <f t="shared" si="71"/>
        <v>0</v>
      </c>
      <c r="O180" s="61">
        <f t="shared" si="71"/>
        <v>0</v>
      </c>
      <c r="P180" s="62">
        <f t="shared" si="71"/>
        <v>0</v>
      </c>
      <c r="Q180" s="13">
        <f t="shared" si="68"/>
        <v>0</v>
      </c>
      <c r="R180" s="13"/>
    </row>
    <row r="181" spans="1:18" x14ac:dyDescent="0.35">
      <c r="A181" s="294" t="str">
        <f t="shared" si="65"/>
        <v>Interest</v>
      </c>
      <c r="D181" s="60" t="s">
        <v>128</v>
      </c>
      <c r="E181" s="61">
        <f t="shared" si="71"/>
        <v>0</v>
      </c>
      <c r="F181" s="61">
        <f t="shared" si="71"/>
        <v>0</v>
      </c>
      <c r="G181" s="61">
        <f t="shared" si="71"/>
        <v>0</v>
      </c>
      <c r="H181" s="61">
        <f t="shared" si="71"/>
        <v>0</v>
      </c>
      <c r="I181" s="61">
        <f t="shared" si="71"/>
        <v>0</v>
      </c>
      <c r="J181" s="61">
        <f t="shared" si="71"/>
        <v>0</v>
      </c>
      <c r="K181" s="61">
        <f t="shared" si="71"/>
        <v>0</v>
      </c>
      <c r="L181" s="61">
        <f t="shared" si="71"/>
        <v>0</v>
      </c>
      <c r="M181" s="61">
        <f t="shared" si="71"/>
        <v>0</v>
      </c>
      <c r="N181" s="61">
        <f t="shared" si="71"/>
        <v>0</v>
      </c>
      <c r="O181" s="61">
        <f t="shared" si="71"/>
        <v>0</v>
      </c>
      <c r="P181" s="62">
        <f t="shared" si="71"/>
        <v>0</v>
      </c>
      <c r="Q181" s="13">
        <f t="shared" si="68"/>
        <v>0</v>
      </c>
      <c r="R181" s="13"/>
    </row>
    <row r="182" spans="1:18" ht="16.5" thickBot="1" x14ac:dyDescent="0.4">
      <c r="A182" s="294" t="str">
        <f t="shared" si="65"/>
        <v>Mortgage Amortization</v>
      </c>
      <c r="D182" s="63" t="s">
        <v>145</v>
      </c>
      <c r="E182" s="64">
        <f t="shared" si="71"/>
        <v>0</v>
      </c>
      <c r="F182" s="64">
        <f t="shared" si="71"/>
        <v>0</v>
      </c>
      <c r="G182" s="64">
        <f t="shared" si="71"/>
        <v>0</v>
      </c>
      <c r="H182" s="64">
        <f t="shared" si="71"/>
        <v>0</v>
      </c>
      <c r="I182" s="64">
        <f t="shared" si="71"/>
        <v>0</v>
      </c>
      <c r="J182" s="64">
        <f t="shared" si="71"/>
        <v>0</v>
      </c>
      <c r="K182" s="64">
        <f t="shared" si="71"/>
        <v>0</v>
      </c>
      <c r="L182" s="64">
        <f t="shared" si="71"/>
        <v>0</v>
      </c>
      <c r="M182" s="64">
        <f t="shared" si="71"/>
        <v>0</v>
      </c>
      <c r="N182" s="64">
        <f t="shared" si="71"/>
        <v>0</v>
      </c>
      <c r="O182" s="64">
        <f t="shared" si="71"/>
        <v>0</v>
      </c>
      <c r="P182" s="65">
        <f t="shared" si="71"/>
        <v>0</v>
      </c>
      <c r="Q182" s="13">
        <f t="shared" si="68"/>
        <v>0</v>
      </c>
      <c r="R182" s="13"/>
    </row>
    <row r="183" spans="1:18" x14ac:dyDescent="0.35">
      <c r="D183" s="6" t="s">
        <v>12</v>
      </c>
      <c r="E183" s="6">
        <f t="shared" ref="E183:Q183" si="73">SUM(E147:E182)</f>
        <v>-30569.785230814654</v>
      </c>
      <c r="F183" s="6">
        <f t="shared" si="73"/>
        <v>-30569.785230814654</v>
      </c>
      <c r="G183" s="6">
        <f t="shared" si="73"/>
        <v>-30569.785230814654</v>
      </c>
      <c r="H183" s="6">
        <f t="shared" si="73"/>
        <v>-13574.785230814654</v>
      </c>
      <c r="I183" s="6">
        <f t="shared" si="73"/>
        <v>-30569.785230814654</v>
      </c>
      <c r="J183" s="6">
        <f t="shared" si="73"/>
        <v>-30569.785230814654</v>
      </c>
      <c r="K183" s="6">
        <f t="shared" si="73"/>
        <v>-30569.785230814654</v>
      </c>
      <c r="L183" s="6">
        <f t="shared" si="73"/>
        <v>-30569.785230814654</v>
      </c>
      <c r="M183" s="6">
        <f t="shared" si="73"/>
        <v>-30569.785230814654</v>
      </c>
      <c r="N183" s="6">
        <f t="shared" si="73"/>
        <v>-30569.785230814654</v>
      </c>
      <c r="O183" s="6">
        <f t="shared" si="73"/>
        <v>-30558.165230814655</v>
      </c>
      <c r="P183" s="6">
        <f t="shared" si="73"/>
        <v>-30558.165230814655</v>
      </c>
      <c r="Q183" s="6">
        <f t="shared" si="73"/>
        <v>-349819.18276977586</v>
      </c>
    </row>
    <row r="184" spans="1:18" x14ac:dyDescent="0.35">
      <c r="E184" s="31">
        <f>E134+E183</f>
        <v>0</v>
      </c>
      <c r="F184" s="31">
        <f t="shared" ref="F184:Q184" si="74">F134+F183</f>
        <v>0</v>
      </c>
      <c r="G184" s="31">
        <f t="shared" si="74"/>
        <v>0</v>
      </c>
      <c r="H184" s="31">
        <f t="shared" si="74"/>
        <v>0</v>
      </c>
      <c r="I184" s="31">
        <f t="shared" si="74"/>
        <v>0</v>
      </c>
      <c r="J184" s="31">
        <f t="shared" si="74"/>
        <v>0</v>
      </c>
      <c r="K184" s="31">
        <f t="shared" si="74"/>
        <v>0</v>
      </c>
      <c r="L184" s="31">
        <f t="shared" si="74"/>
        <v>0</v>
      </c>
      <c r="M184" s="31">
        <f t="shared" si="74"/>
        <v>0</v>
      </c>
      <c r="N184" s="31">
        <f t="shared" si="74"/>
        <v>0</v>
      </c>
      <c r="O184" s="31">
        <f t="shared" si="74"/>
        <v>0</v>
      </c>
      <c r="P184" s="31">
        <f t="shared" si="74"/>
        <v>0</v>
      </c>
      <c r="Q184" s="31">
        <f t="shared" si="74"/>
        <v>0</v>
      </c>
    </row>
    <row r="186" spans="1:18" ht="17.5" x14ac:dyDescent="0.5">
      <c r="D186" s="35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x14ac:dyDescent="0.35"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7.5" x14ac:dyDescent="0.5">
      <c r="D188" s="36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x14ac:dyDescent="0.35">
      <c r="D189" s="10"/>
      <c r="Q189" s="10"/>
      <c r="R189" s="10"/>
    </row>
    <row r="280" spans="19:20" x14ac:dyDescent="0.35">
      <c r="S280" s="10"/>
      <c r="T280" s="324"/>
    </row>
    <row r="281" spans="19:20" x14ac:dyDescent="0.35">
      <c r="S281" s="10"/>
      <c r="T281" s="324"/>
    </row>
    <row r="282" spans="19:20" x14ac:dyDescent="0.35">
      <c r="S282" s="10"/>
      <c r="T282" s="324"/>
    </row>
    <row r="283" spans="19:20" x14ac:dyDescent="0.35">
      <c r="S283" s="10"/>
      <c r="T283" s="324"/>
    </row>
    <row r="284" spans="19:20" x14ac:dyDescent="0.35">
      <c r="S284" s="10"/>
      <c r="T284" s="324"/>
    </row>
    <row r="285" spans="19:20" x14ac:dyDescent="0.35">
      <c r="S285" s="10"/>
      <c r="T285" s="324"/>
    </row>
    <row r="286" spans="19:20" x14ac:dyDescent="0.35">
      <c r="S286" s="10"/>
      <c r="T286" s="324"/>
    </row>
    <row r="287" spans="19:20" x14ac:dyDescent="0.35">
      <c r="S287" s="10"/>
      <c r="T287" s="324"/>
    </row>
    <row r="288" spans="19:20" x14ac:dyDescent="0.35">
      <c r="S288" s="10"/>
      <c r="T288" s="324"/>
    </row>
    <row r="289" spans="19:20" x14ac:dyDescent="0.35">
      <c r="S289" s="10"/>
      <c r="T289" s="324"/>
    </row>
    <row r="290" spans="19:20" x14ac:dyDescent="0.35">
      <c r="S290" s="10"/>
      <c r="T290" s="324"/>
    </row>
    <row r="291" spans="19:20" x14ac:dyDescent="0.35">
      <c r="S291" s="10"/>
      <c r="T291" s="324"/>
    </row>
    <row r="292" spans="19:20" x14ac:dyDescent="0.35">
      <c r="S292" s="10"/>
      <c r="T292" s="324"/>
    </row>
    <row r="293" spans="19:20" x14ac:dyDescent="0.35">
      <c r="S293" s="10"/>
      <c r="T293" s="324"/>
    </row>
    <row r="294" spans="19:20" x14ac:dyDescent="0.35">
      <c r="S294" s="10"/>
      <c r="T294" s="324"/>
    </row>
    <row r="295" spans="19:20" x14ac:dyDescent="0.35">
      <c r="S295" s="10"/>
      <c r="T295" s="324"/>
    </row>
    <row r="296" spans="19:20" x14ac:dyDescent="0.35">
      <c r="S296" s="10"/>
      <c r="T296" s="324"/>
    </row>
    <row r="297" spans="19:20" x14ac:dyDescent="0.35">
      <c r="S297" s="10"/>
      <c r="T297" s="324"/>
    </row>
    <row r="298" spans="19:20" x14ac:dyDescent="0.35">
      <c r="S298" s="10"/>
      <c r="T298" s="324"/>
    </row>
    <row r="299" spans="19:20" x14ac:dyDescent="0.35">
      <c r="S299" s="10"/>
      <c r="T299" s="324"/>
    </row>
    <row r="300" spans="19:20" x14ac:dyDescent="0.35">
      <c r="S300" s="10"/>
      <c r="T300" s="324"/>
    </row>
    <row r="301" spans="19:20" x14ac:dyDescent="0.35">
      <c r="S301" s="10"/>
      <c r="T301" s="324"/>
    </row>
    <row r="302" spans="19:20" x14ac:dyDescent="0.35">
      <c r="S302" s="10"/>
      <c r="T302" s="324"/>
    </row>
    <row r="303" spans="19:20" x14ac:dyDescent="0.35">
      <c r="S303" s="10"/>
      <c r="T303" s="324"/>
    </row>
    <row r="304" spans="19:20" x14ac:dyDescent="0.35">
      <c r="S304" s="10"/>
      <c r="T304" s="324"/>
    </row>
    <row r="305" spans="19:20" x14ac:dyDescent="0.35">
      <c r="S305" s="10"/>
      <c r="T305" s="324"/>
    </row>
    <row r="306" spans="19:20" x14ac:dyDescent="0.35">
      <c r="S306" s="10"/>
      <c r="T306" s="324"/>
    </row>
    <row r="307" spans="19:20" x14ac:dyDescent="0.35">
      <c r="S307" s="10"/>
      <c r="T307" s="324"/>
    </row>
    <row r="308" spans="19:20" x14ac:dyDescent="0.35">
      <c r="S308" s="10"/>
      <c r="T308" s="324"/>
    </row>
    <row r="309" spans="19:20" x14ac:dyDescent="0.35">
      <c r="S309" s="10"/>
      <c r="T309" s="324"/>
    </row>
    <row r="310" spans="19:20" x14ac:dyDescent="0.35">
      <c r="S310" s="10"/>
      <c r="T310" s="324"/>
    </row>
    <row r="311" spans="19:20" x14ac:dyDescent="0.35">
      <c r="S311" s="10"/>
      <c r="T311" s="324"/>
    </row>
    <row r="312" spans="19:20" x14ac:dyDescent="0.35">
      <c r="S312" s="10"/>
      <c r="T312" s="324"/>
    </row>
    <row r="313" spans="19:20" x14ac:dyDescent="0.35">
      <c r="S313" s="10"/>
      <c r="T313" s="324"/>
    </row>
    <row r="314" spans="19:20" x14ac:dyDescent="0.35">
      <c r="S314" s="10"/>
      <c r="T314" s="324"/>
    </row>
    <row r="315" spans="19:20" x14ac:dyDescent="0.35">
      <c r="S315" s="10"/>
      <c r="T315" s="324"/>
    </row>
    <row r="316" spans="19:20" x14ac:dyDescent="0.35">
      <c r="S316" s="10"/>
      <c r="T316" s="324"/>
    </row>
    <row r="317" spans="19:20" x14ac:dyDescent="0.35">
      <c r="S317" s="10"/>
      <c r="T317" s="324"/>
    </row>
    <row r="318" spans="19:20" x14ac:dyDescent="0.35">
      <c r="S318" s="10"/>
      <c r="T318" s="324"/>
    </row>
    <row r="319" spans="19:20" x14ac:dyDescent="0.35">
      <c r="S319" s="10"/>
      <c r="T319" s="324"/>
    </row>
    <row r="320" spans="19:20" x14ac:dyDescent="0.35">
      <c r="S320" s="10"/>
      <c r="T320" s="324"/>
    </row>
    <row r="321" spans="19:20" x14ac:dyDescent="0.35">
      <c r="S321" s="10"/>
      <c r="T321" s="324"/>
    </row>
    <row r="322" spans="19:20" x14ac:dyDescent="0.35">
      <c r="S322" s="10"/>
      <c r="T322" s="324"/>
    </row>
    <row r="323" spans="19:20" x14ac:dyDescent="0.35">
      <c r="S323" s="10"/>
      <c r="T323" s="324"/>
    </row>
    <row r="324" spans="19:20" x14ac:dyDescent="0.35">
      <c r="S324" s="10"/>
      <c r="T324" s="324"/>
    </row>
    <row r="325" spans="19:20" x14ac:dyDescent="0.35">
      <c r="S325" s="10"/>
      <c r="T325" s="324"/>
    </row>
    <row r="326" spans="19:20" x14ac:dyDescent="0.35">
      <c r="S326" s="10"/>
      <c r="T326" s="324"/>
    </row>
    <row r="327" spans="19:20" x14ac:dyDescent="0.35">
      <c r="S327" s="10"/>
      <c r="T327" s="324"/>
    </row>
    <row r="328" spans="19:20" x14ac:dyDescent="0.35">
      <c r="S328" s="10"/>
      <c r="T328" s="324"/>
    </row>
    <row r="329" spans="19:20" x14ac:dyDescent="0.35">
      <c r="S329" s="10"/>
      <c r="T329" s="324"/>
    </row>
    <row r="330" spans="19:20" x14ac:dyDescent="0.35">
      <c r="S330" s="10"/>
      <c r="T330" s="324"/>
    </row>
    <row r="331" spans="19:20" x14ac:dyDescent="0.35">
      <c r="S331" s="10"/>
      <c r="T331" s="324"/>
    </row>
    <row r="342" spans="19:20" x14ac:dyDescent="0.35">
      <c r="S342" s="10"/>
      <c r="T342" s="324"/>
    </row>
    <row r="343" spans="19:20" x14ac:dyDescent="0.35">
      <c r="S343" s="10"/>
      <c r="T343" s="324"/>
    </row>
    <row r="344" spans="19:20" x14ac:dyDescent="0.35">
      <c r="S344" s="10"/>
      <c r="T344" s="324"/>
    </row>
    <row r="345" spans="19:20" x14ac:dyDescent="0.35">
      <c r="S345" s="44"/>
      <c r="T345" s="325"/>
    </row>
    <row r="346" spans="19:20" x14ac:dyDescent="0.35">
      <c r="S346" s="42"/>
      <c r="T346" s="326"/>
    </row>
    <row r="347" spans="19:20" x14ac:dyDescent="0.35">
      <c r="S347" s="10"/>
      <c r="T347" s="324"/>
    </row>
    <row r="348" spans="19:20" x14ac:dyDescent="0.35">
      <c r="S348" s="10"/>
      <c r="T348" s="324"/>
    </row>
    <row r="349" spans="19:20" x14ac:dyDescent="0.35">
      <c r="S349" s="10"/>
      <c r="T349" s="324"/>
    </row>
    <row r="350" spans="19:20" x14ac:dyDescent="0.35">
      <c r="S350" s="10"/>
      <c r="T350" s="324"/>
    </row>
    <row r="351" spans="19:20" x14ac:dyDescent="0.35">
      <c r="S351" s="10"/>
      <c r="T351" s="324"/>
    </row>
    <row r="352" spans="19:20" x14ac:dyDescent="0.35">
      <c r="S352" s="10"/>
      <c r="T352" s="324"/>
    </row>
    <row r="353" spans="19:20" x14ac:dyDescent="0.35">
      <c r="S353" s="10"/>
      <c r="T353" s="324"/>
    </row>
    <row r="354" spans="19:20" x14ac:dyDescent="0.35">
      <c r="S354" s="10"/>
      <c r="T354" s="324"/>
    </row>
    <row r="355" spans="19:20" x14ac:dyDescent="0.35">
      <c r="S355" s="10"/>
      <c r="T355" s="324"/>
    </row>
    <row r="356" spans="19:20" x14ac:dyDescent="0.35">
      <c r="S356" s="10"/>
      <c r="T356" s="324"/>
    </row>
    <row r="357" spans="19:20" x14ac:dyDescent="0.35">
      <c r="S357" s="10"/>
      <c r="T357" s="324"/>
    </row>
    <row r="358" spans="19:20" x14ac:dyDescent="0.35">
      <c r="S358" s="10"/>
      <c r="T358" s="324"/>
    </row>
    <row r="359" spans="19:20" x14ac:dyDescent="0.35">
      <c r="S359" s="10"/>
      <c r="T359" s="324"/>
    </row>
    <row r="360" spans="19:20" x14ac:dyDescent="0.35">
      <c r="S360" s="10"/>
      <c r="T360" s="324"/>
    </row>
    <row r="361" spans="19:20" x14ac:dyDescent="0.35">
      <c r="S361" s="10"/>
      <c r="T361" s="324"/>
    </row>
    <row r="362" spans="19:20" x14ac:dyDescent="0.35">
      <c r="S362" s="10"/>
      <c r="T362" s="324"/>
    </row>
    <row r="363" spans="19:20" x14ac:dyDescent="0.35">
      <c r="S363" s="10"/>
      <c r="T363" s="324"/>
    </row>
    <row r="364" spans="19:20" x14ac:dyDescent="0.35">
      <c r="S364" s="10"/>
      <c r="T364" s="324"/>
    </row>
    <row r="365" spans="19:20" x14ac:dyDescent="0.35">
      <c r="S365" s="10"/>
      <c r="T365" s="324"/>
    </row>
    <row r="366" spans="19:20" x14ac:dyDescent="0.35">
      <c r="S366" s="10"/>
      <c r="T366" s="324"/>
    </row>
    <row r="367" spans="19:20" x14ac:dyDescent="0.35">
      <c r="S367" s="10"/>
      <c r="T367" s="324"/>
    </row>
    <row r="368" spans="19:20" x14ac:dyDescent="0.35">
      <c r="S368" s="10"/>
      <c r="T368" s="324"/>
    </row>
    <row r="369" spans="19:20" x14ac:dyDescent="0.35">
      <c r="S369" s="10"/>
      <c r="T369" s="324"/>
    </row>
    <row r="370" spans="19:20" x14ac:dyDescent="0.35">
      <c r="S370" s="10"/>
      <c r="T370" s="324"/>
    </row>
    <row r="371" spans="19:20" x14ac:dyDescent="0.35">
      <c r="S371" s="10"/>
      <c r="T371" s="324"/>
    </row>
    <row r="372" spans="19:20" x14ac:dyDescent="0.35">
      <c r="S372" s="10"/>
      <c r="T372" s="324"/>
    </row>
    <row r="373" spans="19:20" x14ac:dyDescent="0.35">
      <c r="S373" s="10"/>
      <c r="T373" s="324"/>
    </row>
    <row r="374" spans="19:20" x14ac:dyDescent="0.35">
      <c r="S374" s="10"/>
      <c r="T374" s="324"/>
    </row>
    <row r="375" spans="19:20" x14ac:dyDescent="0.35">
      <c r="S375" s="10"/>
      <c r="T375" s="324"/>
    </row>
    <row r="376" spans="19:20" x14ac:dyDescent="0.35">
      <c r="S376" s="10"/>
      <c r="T376" s="324"/>
    </row>
    <row r="377" spans="19:20" x14ac:dyDescent="0.35">
      <c r="S377" s="10"/>
      <c r="T377" s="324"/>
    </row>
    <row r="378" spans="19:20" x14ac:dyDescent="0.35">
      <c r="S378" s="10"/>
      <c r="T378" s="324"/>
    </row>
    <row r="379" spans="19:20" x14ac:dyDescent="0.35">
      <c r="S379" s="10"/>
      <c r="T379" s="324"/>
    </row>
    <row r="380" spans="19:20" x14ac:dyDescent="0.35">
      <c r="S380" s="10"/>
      <c r="T380" s="324"/>
    </row>
    <row r="382" spans="19:20" x14ac:dyDescent="0.35">
      <c r="S382" s="46"/>
      <c r="T382" s="327"/>
    </row>
    <row r="385" spans="19:20" x14ac:dyDescent="0.35">
      <c r="S385" s="10"/>
      <c r="T385" s="324"/>
    </row>
    <row r="386" spans="19:20" x14ac:dyDescent="0.35">
      <c r="S386" s="10"/>
      <c r="T386" s="324"/>
    </row>
  </sheetData>
  <sheetProtection selectLockedCells="1"/>
  <conditionalFormatting sqref="E184:Q184">
    <cfRule type="cellIs" dxfId="91" priority="1" operator="between">
      <formula>-1</formula>
      <formula>1</formula>
    </cfRule>
  </conditionalFormatting>
  <dataValidations disablePrompts="1" count="1">
    <dataValidation operator="notEqual" showInputMessage="1" showErrorMessage="1" sqref="E18:P18" xr:uid="{00000000-0002-0000-0B00-000000000000}"/>
  </dataValidations>
  <pageMargins left="0" right="0" top="0" bottom="0" header="0.05" footer="0"/>
  <pageSetup scale="47" fitToHeight="2" orientation="landscape" cellComments="asDisplayed" r:id="rId1"/>
  <headerFooter alignWithMargins="0">
    <oddFooter>&amp;L&amp;Z&amp;F\&amp;A&amp;R&amp;D;&amp;T</oddFooter>
  </headerFooter>
  <rowBreaks count="1" manualBreakCount="1">
    <brk id="72" max="1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Y368"/>
  <sheetViews>
    <sheetView topLeftCell="A273" zoomScale="85" zoomScaleNormal="85" workbookViewId="0">
      <selection activeCell="B301" sqref="B301"/>
    </sheetView>
  </sheetViews>
  <sheetFormatPr defaultColWidth="10.81640625" defaultRowHeight="16" outlineLevelRow="1" outlineLevelCol="1" x14ac:dyDescent="0.35"/>
  <cols>
    <col min="1" max="1" width="15.54296875" style="6" bestFit="1" customWidth="1"/>
    <col min="2" max="2" width="10.453125" style="6" customWidth="1"/>
    <col min="3" max="3" width="2.81640625" style="6" customWidth="1"/>
    <col min="4" max="4" width="38.453125" style="6" bestFit="1" customWidth="1"/>
    <col min="5" max="5" width="14" style="6" bestFit="1" customWidth="1"/>
    <col min="6" max="6" width="12.81640625" style="6" bestFit="1" customWidth="1"/>
    <col min="7" max="8" width="15.81640625" style="6" customWidth="1"/>
    <col min="9" max="9" width="13.81640625" style="6" customWidth="1"/>
    <col min="10" max="10" width="13.1796875" style="6" customWidth="1"/>
    <col min="11" max="11" width="12.81640625" style="6" bestFit="1" customWidth="1"/>
    <col min="12" max="12" width="13.7265625" style="6" bestFit="1" customWidth="1"/>
    <col min="13" max="16" width="12.81640625" style="6" bestFit="1" customWidth="1"/>
    <col min="17" max="18" width="15.1796875" style="6" bestFit="1" customWidth="1"/>
    <col min="19" max="19" width="17.26953125" style="6" customWidth="1" outlineLevel="1"/>
    <col min="20" max="20" width="14.26953125" style="273" customWidth="1" outlineLevel="1"/>
    <col min="21" max="21" width="9.1796875" style="23" customWidth="1"/>
    <col min="22" max="22" width="58.81640625" style="6" bestFit="1" customWidth="1"/>
    <col min="23" max="16384" width="10.81640625" style="6"/>
  </cols>
  <sheetData>
    <row r="1" spans="1:22" s="20" customFormat="1" ht="29" x14ac:dyDescent="0.25">
      <c r="B1" s="214">
        <v>9510</v>
      </c>
      <c r="C1" s="388" t="s">
        <v>565</v>
      </c>
      <c r="J1" s="21" t="str">
        <f>+'7010'!J1</f>
        <v>Operating Budget</v>
      </c>
      <c r="Q1" s="22">
        <f>'All Shopping Centers'!Q1</f>
        <v>46023</v>
      </c>
      <c r="R1" s="22"/>
      <c r="S1" s="22"/>
      <c r="T1" s="299"/>
      <c r="U1" s="240"/>
    </row>
    <row r="2" spans="1:22" ht="18" x14ac:dyDescent="0.35">
      <c r="J2" s="73" t="str">
        <f>'All Shopping Centers'!J2&amp;" - "&amp;B1</f>
        <v>Shopping Centers - 9510</v>
      </c>
    </row>
    <row r="3" spans="1:22" ht="18" x14ac:dyDescent="0.35">
      <c r="S3" s="300" t="s">
        <v>496</v>
      </c>
      <c r="T3" s="301"/>
    </row>
    <row r="4" spans="1:22" s="11" customFormat="1" ht="18" x14ac:dyDescent="0.35">
      <c r="B4" s="215">
        <v>19983</v>
      </c>
      <c r="C4" s="215"/>
      <c r="D4" s="13"/>
      <c r="E4" s="24" t="s">
        <v>0</v>
      </c>
      <c r="F4" s="24" t="s">
        <v>1</v>
      </c>
      <c r="G4" s="24" t="s">
        <v>2</v>
      </c>
      <c r="H4" s="24" t="s">
        <v>3</v>
      </c>
      <c r="I4" s="24" t="s">
        <v>4</v>
      </c>
      <c r="J4" s="24" t="s">
        <v>5</v>
      </c>
      <c r="K4" s="24" t="s">
        <v>6</v>
      </c>
      <c r="L4" s="24" t="s">
        <v>7</v>
      </c>
      <c r="M4" s="24" t="s">
        <v>8</v>
      </c>
      <c r="N4" s="24" t="s">
        <v>9</v>
      </c>
      <c r="O4" s="24" t="s">
        <v>10</v>
      </c>
      <c r="P4" s="24" t="s">
        <v>11</v>
      </c>
      <c r="Q4" s="100" t="s">
        <v>12</v>
      </c>
      <c r="R4" s="100" t="s">
        <v>317</v>
      </c>
      <c r="S4" s="302" t="s">
        <v>12</v>
      </c>
      <c r="T4" s="303" t="s">
        <v>495</v>
      </c>
      <c r="U4" s="231" t="s">
        <v>349</v>
      </c>
      <c r="V4" s="227" t="s">
        <v>282</v>
      </c>
    </row>
    <row r="5" spans="1:22" x14ac:dyDescent="0.35">
      <c r="Q5" s="101"/>
      <c r="R5" s="101"/>
      <c r="S5" s="304"/>
      <c r="T5" s="305"/>
    </row>
    <row r="6" spans="1:22" s="25" customFormat="1" x14ac:dyDescent="0.35">
      <c r="B6" s="26"/>
      <c r="D6" s="211" t="s">
        <v>13</v>
      </c>
      <c r="E6" s="212">
        <f>'Renew &amp; Vac '!AJ207</f>
        <v>0.67259999999999998</v>
      </c>
      <c r="F6" s="212">
        <f>'Renew &amp; Vac '!AK207</f>
        <v>0.67259999999999998</v>
      </c>
      <c r="G6" s="212">
        <f>'Renew &amp; Vac '!AL207</f>
        <v>0.5978</v>
      </c>
      <c r="H6" s="212">
        <f>'Renew &amp; Vac '!AM207</f>
        <v>0.5978</v>
      </c>
      <c r="I6" s="212">
        <f>'Renew &amp; Vac '!AN207</f>
        <v>0.5978</v>
      </c>
      <c r="J6" s="212">
        <f>'Renew &amp; Vac '!AO207</f>
        <v>0.64100000000000001</v>
      </c>
      <c r="K6" s="212">
        <f>'Renew &amp; Vac '!AP207</f>
        <v>0.64100000000000001</v>
      </c>
      <c r="L6" s="212">
        <f>'Renew &amp; Vac '!AQ207</f>
        <v>0.80069999999999997</v>
      </c>
      <c r="M6" s="212">
        <f>'Renew &amp; Vac '!AR207</f>
        <v>0.80069999999999997</v>
      </c>
      <c r="N6" s="212">
        <f>'Renew &amp; Vac '!AS207</f>
        <v>0.80069999999999997</v>
      </c>
      <c r="O6" s="212">
        <f>'Renew &amp; Vac '!AT207</f>
        <v>0.80069999999999997</v>
      </c>
      <c r="P6" s="212">
        <f>'Renew &amp; Vac '!AU207</f>
        <v>0.80069999999999997</v>
      </c>
      <c r="Q6" s="102"/>
      <c r="R6" s="102"/>
      <c r="S6" s="306"/>
      <c r="T6" s="307"/>
      <c r="U6" s="232"/>
    </row>
    <row r="7" spans="1:22" s="25" customFormat="1" x14ac:dyDescent="0.35">
      <c r="B7" s="26"/>
      <c r="D7" s="211" t="s">
        <v>323</v>
      </c>
      <c r="E7" s="213">
        <f>$B$4*E6</f>
        <v>13440.5658</v>
      </c>
      <c r="F7" s="213">
        <f t="shared" ref="F7:P7" si="0">$B$4*F6</f>
        <v>13440.5658</v>
      </c>
      <c r="G7" s="213">
        <f t="shared" si="0"/>
        <v>11945.8374</v>
      </c>
      <c r="H7" s="213">
        <f t="shared" si="0"/>
        <v>11945.8374</v>
      </c>
      <c r="I7" s="213">
        <f t="shared" si="0"/>
        <v>11945.8374</v>
      </c>
      <c r="J7" s="213">
        <f t="shared" si="0"/>
        <v>12809.103000000001</v>
      </c>
      <c r="K7" s="213">
        <f t="shared" si="0"/>
        <v>12809.103000000001</v>
      </c>
      <c r="L7" s="213">
        <f t="shared" si="0"/>
        <v>16000.3881</v>
      </c>
      <c r="M7" s="213">
        <f t="shared" si="0"/>
        <v>16000.3881</v>
      </c>
      <c r="N7" s="213">
        <f t="shared" si="0"/>
        <v>16000.3881</v>
      </c>
      <c r="O7" s="213">
        <f t="shared" si="0"/>
        <v>16000.3881</v>
      </c>
      <c r="P7" s="213">
        <f t="shared" si="0"/>
        <v>16000.3881</v>
      </c>
      <c r="Q7" s="102"/>
      <c r="R7" s="102"/>
      <c r="S7" s="306"/>
      <c r="T7" s="307"/>
      <c r="U7" s="232"/>
    </row>
    <row r="8" spans="1:22" ht="18" x14ac:dyDescent="0.35">
      <c r="B8" s="7" t="s">
        <v>14</v>
      </c>
      <c r="Q8" s="101"/>
      <c r="R8" s="101"/>
      <c r="S8" s="304"/>
      <c r="T8" s="305"/>
    </row>
    <row r="9" spans="1:22" x14ac:dyDescent="0.35">
      <c r="A9" s="66"/>
      <c r="Q9" s="101"/>
      <c r="R9" s="101"/>
      <c r="S9" s="304"/>
      <c r="T9" s="305"/>
    </row>
    <row r="10" spans="1:22" x14ac:dyDescent="0.35">
      <c r="A10" s="66" t="s">
        <v>132</v>
      </c>
      <c r="C10" s="6" t="s">
        <v>159</v>
      </c>
      <c r="E10" s="6">
        <f>SUMIFS('In Place Revenue'!$G:$G,'In Place Revenue'!$A:$A,$B$1,'In Place Revenue'!$H:$H,1)</f>
        <v>25257.53</v>
      </c>
      <c r="F10" s="6">
        <f>SUMIFS('In Place Revenue'!$G:$G,'In Place Revenue'!$A:$A,$B$1,'In Place Revenue'!$H:$H,2)</f>
        <v>25257.53</v>
      </c>
      <c r="G10" s="6">
        <f>SUMIFS('In Place Revenue'!$G:$G,'In Place Revenue'!$A:$A,$B$1,'In Place Revenue'!$H:$H,3)</f>
        <v>25257.53</v>
      </c>
      <c r="H10" s="6">
        <f>SUMIFS('In Place Revenue'!$G:$G,'In Place Revenue'!$A:$A,$B$1,'In Place Revenue'!$H:$H,4)</f>
        <v>25257.53</v>
      </c>
      <c r="I10" s="6">
        <f>SUMIFS('In Place Revenue'!$G:$G,'In Place Revenue'!$A:$A,$B$1,'In Place Revenue'!$H:$H,5)</f>
        <v>25364.36</v>
      </c>
      <c r="J10" s="6">
        <f>SUMIFS('In Place Revenue'!$G:$G,'In Place Revenue'!$A:$A,$B$1,'In Place Revenue'!$H:$H,6)</f>
        <v>25425.11</v>
      </c>
      <c r="K10" s="6">
        <f>SUMIFS('In Place Revenue'!$G:$G,'In Place Revenue'!$A:$A,$B$1,'In Place Revenue'!$H:$H,7)</f>
        <v>25425.11</v>
      </c>
      <c r="L10" s="6">
        <f>SUMIFS('In Place Revenue'!$G:$G,'In Place Revenue'!$A:$A,$B$1,'In Place Revenue'!$H:$H,8)</f>
        <v>20439.060000000001</v>
      </c>
      <c r="M10" s="6">
        <f>SUMIFS('In Place Revenue'!$G:$G,'In Place Revenue'!$A:$A,$B$1,'In Place Revenue'!$H:$H,9)</f>
        <v>20510.850000000002</v>
      </c>
      <c r="N10" s="6">
        <f>SUMIFS('In Place Revenue'!$G:$G,'In Place Revenue'!$A:$A,$B$1,'In Place Revenue'!$H:$H,10)</f>
        <v>20574.530000000002</v>
      </c>
      <c r="O10" s="6">
        <f>SUMIFS('In Place Revenue'!$G:$G,'In Place Revenue'!$A:$A,$B$1,'In Place Revenue'!$H:$H,11)</f>
        <v>20574.530000000002</v>
      </c>
      <c r="P10" s="6">
        <f>SUMIFS('In Place Revenue'!$G:$G,'In Place Revenue'!$A:$A,$B$1,'In Place Revenue'!$H:$H,12)</f>
        <v>20574.530000000002</v>
      </c>
      <c r="Q10" s="101">
        <f>SUM(E10:P10)</f>
        <v>279918.2</v>
      </c>
      <c r="R10" s="184">
        <f>Q10/$B$4</f>
        <v>14.007816644147526</v>
      </c>
      <c r="S10" s="304">
        <v>378951</v>
      </c>
      <c r="T10" s="308">
        <f>(Q10+Q11)/S10-1</f>
        <v>-2.8663908174583752E-2</v>
      </c>
    </row>
    <row r="11" spans="1:22" x14ac:dyDescent="0.35">
      <c r="A11" s="66" t="s">
        <v>132</v>
      </c>
      <c r="C11" s="6" t="s">
        <v>160</v>
      </c>
      <c r="E11" s="6">
        <f>'Renew &amp; Vac '!AJ208</f>
        <v>3150</v>
      </c>
      <c r="F11" s="6">
        <f>'Renew &amp; Vac '!AK208</f>
        <v>3150</v>
      </c>
      <c r="G11" s="6">
        <f>'Renew &amp; Vac '!AL208</f>
        <v>0</v>
      </c>
      <c r="H11" s="6">
        <f>'Renew &amp; Vac '!AM208</f>
        <v>0</v>
      </c>
      <c r="I11" s="6">
        <f>'Renew &amp; Vac '!AN208</f>
        <v>3200</v>
      </c>
      <c r="J11" s="6">
        <f>'Renew &amp; Vac '!AO208</f>
        <v>5000</v>
      </c>
      <c r="K11" s="6">
        <f>'Renew &amp; Vac '!AP208</f>
        <v>5000</v>
      </c>
      <c r="L11" s="6">
        <f>'Renew &amp; Vac '!AQ208</f>
        <v>13734.116666666667</v>
      </c>
      <c r="M11" s="6">
        <f>'Renew &amp; Vac '!AR208</f>
        <v>13734.116666666667</v>
      </c>
      <c r="N11" s="6">
        <f>'Renew &amp; Vac '!AS208</f>
        <v>13734.116666666667</v>
      </c>
      <c r="O11" s="6">
        <f>'Renew &amp; Vac '!AT208</f>
        <v>13734.116666666667</v>
      </c>
      <c r="P11" s="6">
        <f>'Renew &amp; Vac '!AU208</f>
        <v>13734.116666666667</v>
      </c>
      <c r="Q11" s="101">
        <f>SUM(E11:P11)</f>
        <v>88170.583333333343</v>
      </c>
      <c r="R11" s="184">
        <f t="shared" ref="R11:R73" si="1">Q11/$B$4</f>
        <v>4.4122796043303483</v>
      </c>
      <c r="S11" s="304"/>
      <c r="T11" s="308"/>
    </row>
    <row r="12" spans="1:22" x14ac:dyDescent="0.35">
      <c r="A12" s="66" t="s">
        <v>97</v>
      </c>
      <c r="C12" s="6" t="s">
        <v>15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f>1.03*32969</f>
        <v>33958.07</v>
      </c>
      <c r="Q12" s="101">
        <f>SUM(E12:P12)</f>
        <v>33958.07</v>
      </c>
      <c r="R12" s="184">
        <f t="shared" si="1"/>
        <v>1.6993479457538907</v>
      </c>
      <c r="S12" s="304">
        <v>45000</v>
      </c>
      <c r="T12" s="308">
        <f>IFERROR(Q12/S12-1,"")</f>
        <v>-0.24537622222222222</v>
      </c>
      <c r="U12" s="23" t="s">
        <v>283</v>
      </c>
      <c r="V12" s="6" t="s">
        <v>348</v>
      </c>
    </row>
    <row r="13" spans="1:22" x14ac:dyDescent="0.35">
      <c r="A13" s="66" t="s">
        <v>133</v>
      </c>
      <c r="C13" s="6" t="s">
        <v>16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01">
        <f>SUM(E13:P13)</f>
        <v>0</v>
      </c>
      <c r="R13" s="184">
        <f t="shared" si="1"/>
        <v>0</v>
      </c>
      <c r="S13" s="304">
        <v>0</v>
      </c>
      <c r="T13" s="308" t="str">
        <f t="shared" ref="T13:T14" si="2">IFERROR(Q13/S13-1,"")</f>
        <v/>
      </c>
    </row>
    <row r="14" spans="1:22" x14ac:dyDescent="0.35">
      <c r="A14" s="66" t="s">
        <v>134</v>
      </c>
      <c r="C14" s="6" t="s">
        <v>17</v>
      </c>
      <c r="E14" s="12">
        <f>1.03*13</f>
        <v>13.39</v>
      </c>
      <c r="F14" s="12">
        <f t="shared" ref="F14:P14" si="3">1.03*13</f>
        <v>13.39</v>
      </c>
      <c r="G14" s="12">
        <f t="shared" si="3"/>
        <v>13.39</v>
      </c>
      <c r="H14" s="12">
        <f t="shared" si="3"/>
        <v>13.39</v>
      </c>
      <c r="I14" s="12">
        <f t="shared" si="3"/>
        <v>13.39</v>
      </c>
      <c r="J14" s="12">
        <f t="shared" si="3"/>
        <v>13.39</v>
      </c>
      <c r="K14" s="12">
        <f t="shared" si="3"/>
        <v>13.39</v>
      </c>
      <c r="L14" s="12">
        <f t="shared" si="3"/>
        <v>13.39</v>
      </c>
      <c r="M14" s="12">
        <f t="shared" si="3"/>
        <v>13.39</v>
      </c>
      <c r="N14" s="12">
        <f t="shared" si="3"/>
        <v>13.39</v>
      </c>
      <c r="O14" s="12">
        <f t="shared" si="3"/>
        <v>13.39</v>
      </c>
      <c r="P14" s="12">
        <f t="shared" si="3"/>
        <v>13.39</v>
      </c>
      <c r="Q14" s="101">
        <f>SUM(E14:P14)</f>
        <v>160.68</v>
      </c>
      <c r="R14" s="184">
        <f t="shared" si="1"/>
        <v>8.040834709503078E-3</v>
      </c>
      <c r="S14" s="304">
        <v>52</v>
      </c>
      <c r="T14" s="320">
        <f t="shared" si="2"/>
        <v>2.0900000000000003</v>
      </c>
      <c r="U14" s="23" t="s">
        <v>283</v>
      </c>
      <c r="V14" s="6" t="s">
        <v>348</v>
      </c>
    </row>
    <row r="15" spans="1:22" x14ac:dyDescent="0.35">
      <c r="A15" s="66"/>
      <c r="C15" s="6" t="s">
        <v>18</v>
      </c>
      <c r="D15" s="16"/>
      <c r="E15" s="28">
        <f t="shared" ref="E15:Q15" si="4">SUM(E10:E14)</f>
        <v>28420.92</v>
      </c>
      <c r="F15" s="28">
        <f t="shared" si="4"/>
        <v>28420.92</v>
      </c>
      <c r="G15" s="28">
        <f t="shared" si="4"/>
        <v>25270.92</v>
      </c>
      <c r="H15" s="28">
        <f t="shared" si="4"/>
        <v>25270.92</v>
      </c>
      <c r="I15" s="28">
        <f t="shared" si="4"/>
        <v>28577.75</v>
      </c>
      <c r="J15" s="28">
        <f t="shared" si="4"/>
        <v>30438.5</v>
      </c>
      <c r="K15" s="28">
        <f t="shared" si="4"/>
        <v>30438.5</v>
      </c>
      <c r="L15" s="28">
        <f t="shared" si="4"/>
        <v>34186.566666666666</v>
      </c>
      <c r="M15" s="28">
        <f t="shared" si="4"/>
        <v>34258.356666666667</v>
      </c>
      <c r="N15" s="28">
        <f t="shared" si="4"/>
        <v>34322.036666666667</v>
      </c>
      <c r="O15" s="28">
        <f t="shared" si="4"/>
        <v>34322.036666666667</v>
      </c>
      <c r="P15" s="28">
        <f t="shared" si="4"/>
        <v>68280.106666666674</v>
      </c>
      <c r="Q15" s="110">
        <f t="shared" si="4"/>
        <v>402207.53333333333</v>
      </c>
      <c r="R15" s="191">
        <f t="shared" si="1"/>
        <v>20.127485028941265</v>
      </c>
      <c r="S15" s="309">
        <f>SUM(S10:S14)</f>
        <v>424003</v>
      </c>
      <c r="T15" s="310">
        <f>Q15/S15-1</f>
        <v>-5.1404038807901564E-2</v>
      </c>
    </row>
    <row r="16" spans="1:22" ht="18" x14ac:dyDescent="0.35">
      <c r="A16" s="66"/>
      <c r="Q16" s="103"/>
      <c r="R16" s="185"/>
      <c r="S16" s="311"/>
      <c r="T16" s="312"/>
    </row>
    <row r="17" spans="1:22" ht="18" x14ac:dyDescent="0.35">
      <c r="A17" s="66"/>
      <c r="B17" s="7" t="s">
        <v>19</v>
      </c>
      <c r="Q17" s="101"/>
      <c r="R17" s="184"/>
      <c r="S17" s="304"/>
      <c r="T17" s="308"/>
    </row>
    <row r="18" spans="1:22" x14ac:dyDescent="0.35">
      <c r="A18" s="66" t="s">
        <v>98</v>
      </c>
      <c r="C18" s="6" t="s">
        <v>20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01">
        <f>SUM(E18:P18)</f>
        <v>0</v>
      </c>
      <c r="R18" s="184">
        <f t="shared" ref="R18" si="5">Q18/$B$4</f>
        <v>0</v>
      </c>
      <c r="S18" s="304">
        <v>0</v>
      </c>
      <c r="T18" s="308" t="str">
        <f t="shared" ref="T18:T20" si="6">IFERROR(Q18/S18-1,"")</f>
        <v/>
      </c>
    </row>
    <row r="19" spans="1:22" x14ac:dyDescent="0.35">
      <c r="A19" s="66" t="s">
        <v>99</v>
      </c>
      <c r="C19" s="6" t="s">
        <v>21</v>
      </c>
      <c r="E19" s="6">
        <f>+'Tenant Recoveries'!O26</f>
        <v>6100</v>
      </c>
      <c r="F19" s="6">
        <f>+E19</f>
        <v>6100</v>
      </c>
      <c r="G19" s="6">
        <f t="shared" ref="G19:M20" si="7">+F19</f>
        <v>6100</v>
      </c>
      <c r="H19" s="6">
        <f>+G19+'Tenant Recoveries'!$P$26</f>
        <v>11739.25</v>
      </c>
      <c r="I19" s="6">
        <f>E19</f>
        <v>6100</v>
      </c>
      <c r="J19" s="6">
        <f t="shared" si="7"/>
        <v>6100</v>
      </c>
      <c r="K19" s="6">
        <f>+J19+'Tenant Recoveries'!$P$26</f>
        <v>11739.25</v>
      </c>
      <c r="L19" s="6">
        <f>E19</f>
        <v>6100</v>
      </c>
      <c r="M19" s="6">
        <f t="shared" si="7"/>
        <v>6100</v>
      </c>
      <c r="N19" s="6">
        <f>+M19+'Tenant Recoveries'!$P$26</f>
        <v>11739.25</v>
      </c>
      <c r="O19" s="6">
        <f>E19</f>
        <v>6100</v>
      </c>
      <c r="P19" s="6">
        <f>+O19+'Tenant Recoveries'!$P$26</f>
        <v>11739.25</v>
      </c>
      <c r="Q19" s="101">
        <f>SUM(E19:P19)</f>
        <v>95757</v>
      </c>
      <c r="R19" s="184">
        <f t="shared" si="1"/>
        <v>4.7919231346644651</v>
      </c>
      <c r="S19" s="304">
        <v>129185</v>
      </c>
      <c r="T19" s="308">
        <f t="shared" si="6"/>
        <v>-0.25876069203080854</v>
      </c>
      <c r="U19" s="23" t="s">
        <v>283</v>
      </c>
      <c r="V19" s="6" t="s">
        <v>461</v>
      </c>
    </row>
    <row r="20" spans="1:22" x14ac:dyDescent="0.35">
      <c r="A20" s="66" t="s">
        <v>100</v>
      </c>
      <c r="C20" s="6" t="s">
        <v>22</v>
      </c>
      <c r="E20" s="6">
        <f>+'Tenant Recoveries'!O27</f>
        <v>1200</v>
      </c>
      <c r="F20" s="6">
        <f>+E20</f>
        <v>1200</v>
      </c>
      <c r="G20" s="6">
        <f t="shared" si="7"/>
        <v>1200</v>
      </c>
      <c r="H20" s="6">
        <f>+G20+'Tenant Recoveries'!$P$27</f>
        <v>2769</v>
      </c>
      <c r="I20" s="6">
        <f>E20</f>
        <v>1200</v>
      </c>
      <c r="J20" s="6">
        <f t="shared" si="7"/>
        <v>1200</v>
      </c>
      <c r="K20" s="6">
        <f>+J20+'Tenant Recoveries'!$P$27</f>
        <v>2769</v>
      </c>
      <c r="L20" s="6">
        <f>E20</f>
        <v>1200</v>
      </c>
      <c r="M20" s="6">
        <f t="shared" si="7"/>
        <v>1200</v>
      </c>
      <c r="N20" s="6">
        <f>+M20+'Tenant Recoveries'!$P$27</f>
        <v>2769</v>
      </c>
      <c r="O20" s="6">
        <f>E20</f>
        <v>1200</v>
      </c>
      <c r="P20" s="6">
        <f>+O20+'Tenant Recoveries'!$P$27</f>
        <v>2769</v>
      </c>
      <c r="Q20" s="101">
        <f>SUM(E20:P20)</f>
        <v>20676</v>
      </c>
      <c r="R20" s="184">
        <f t="shared" si="1"/>
        <v>1.0346794775559225</v>
      </c>
      <c r="S20" s="304">
        <v>25903</v>
      </c>
      <c r="T20" s="308">
        <f t="shared" si="6"/>
        <v>-0.20179129830521558</v>
      </c>
      <c r="U20" s="23" t="s">
        <v>283</v>
      </c>
      <c r="V20" s="6" t="s">
        <v>461</v>
      </c>
    </row>
    <row r="21" spans="1:22" x14ac:dyDescent="0.35">
      <c r="A21" s="66" t="s">
        <v>135</v>
      </c>
      <c r="C21" s="6" t="s">
        <v>23</v>
      </c>
      <c r="Q21" s="101">
        <f>SUM(E21:P21)</f>
        <v>0</v>
      </c>
      <c r="R21" s="184">
        <f t="shared" si="1"/>
        <v>0</v>
      </c>
      <c r="S21" s="304">
        <v>0</v>
      </c>
      <c r="T21" s="308" t="str">
        <f>IFERROR(Q21/S21-1,"")</f>
        <v/>
      </c>
    </row>
    <row r="22" spans="1:22" x14ac:dyDescent="0.35">
      <c r="A22" s="66"/>
      <c r="C22" s="6" t="s">
        <v>24</v>
      </c>
      <c r="D22" s="16"/>
      <c r="E22" s="28">
        <f t="shared" ref="E22:Q22" si="8">SUM(E19:E21)</f>
        <v>7300</v>
      </c>
      <c r="F22" s="28">
        <f t="shared" si="8"/>
        <v>7300</v>
      </c>
      <c r="G22" s="28">
        <f t="shared" si="8"/>
        <v>7300</v>
      </c>
      <c r="H22" s="28">
        <f t="shared" si="8"/>
        <v>14508.25</v>
      </c>
      <c r="I22" s="28">
        <f t="shared" si="8"/>
        <v>7300</v>
      </c>
      <c r="J22" s="28">
        <f t="shared" si="8"/>
        <v>7300</v>
      </c>
      <c r="K22" s="28">
        <f t="shared" si="8"/>
        <v>14508.25</v>
      </c>
      <c r="L22" s="28">
        <f t="shared" si="8"/>
        <v>7300</v>
      </c>
      <c r="M22" s="28">
        <f t="shared" si="8"/>
        <v>7300</v>
      </c>
      <c r="N22" s="28">
        <f t="shared" si="8"/>
        <v>14508.25</v>
      </c>
      <c r="O22" s="28">
        <f t="shared" si="8"/>
        <v>7300</v>
      </c>
      <c r="P22" s="28">
        <f t="shared" si="8"/>
        <v>14508.25</v>
      </c>
      <c r="Q22" s="110">
        <f t="shared" si="8"/>
        <v>116433</v>
      </c>
      <c r="R22" s="191">
        <f t="shared" si="1"/>
        <v>5.8266026122203876</v>
      </c>
      <c r="S22" s="309">
        <f t="shared" ref="S22" si="9">SUM(S18:S21)</f>
        <v>155088</v>
      </c>
      <c r="T22" s="310">
        <f>Q22/S22-1</f>
        <v>-0.24924558960074283</v>
      </c>
    </row>
    <row r="23" spans="1:22" ht="16.5" thickBot="1" x14ac:dyDescent="0.4">
      <c r="A23" s="66"/>
      <c r="Q23" s="101"/>
      <c r="R23" s="184">
        <f t="shared" si="1"/>
        <v>0</v>
      </c>
      <c r="S23" s="304"/>
      <c r="T23" s="308"/>
    </row>
    <row r="24" spans="1:22" s="9" customFormat="1" ht="18" thickBot="1" x14ac:dyDescent="0.4">
      <c r="A24" s="218"/>
      <c r="B24" s="219" t="s">
        <v>25</v>
      </c>
      <c r="C24" s="220"/>
      <c r="D24" s="220"/>
      <c r="E24" s="220">
        <f t="shared" ref="E24:Q24" si="10">+E15+E22</f>
        <v>35720.92</v>
      </c>
      <c r="F24" s="220">
        <f t="shared" si="10"/>
        <v>35720.92</v>
      </c>
      <c r="G24" s="220">
        <f t="shared" si="10"/>
        <v>32570.92</v>
      </c>
      <c r="H24" s="220">
        <f t="shared" si="10"/>
        <v>39779.17</v>
      </c>
      <c r="I24" s="220">
        <f t="shared" si="10"/>
        <v>35877.75</v>
      </c>
      <c r="J24" s="220">
        <f t="shared" si="10"/>
        <v>37738.5</v>
      </c>
      <c r="K24" s="220">
        <f t="shared" si="10"/>
        <v>44946.75</v>
      </c>
      <c r="L24" s="220">
        <f t="shared" si="10"/>
        <v>41486.566666666666</v>
      </c>
      <c r="M24" s="220">
        <f t="shared" si="10"/>
        <v>41558.356666666667</v>
      </c>
      <c r="N24" s="220">
        <f t="shared" si="10"/>
        <v>48830.286666666667</v>
      </c>
      <c r="O24" s="220">
        <f t="shared" si="10"/>
        <v>41622.036666666667</v>
      </c>
      <c r="P24" s="220">
        <f t="shared" si="10"/>
        <v>82788.356666666674</v>
      </c>
      <c r="Q24" s="221">
        <f t="shared" si="10"/>
        <v>518640.53333333333</v>
      </c>
      <c r="R24" s="222">
        <f t="shared" si="1"/>
        <v>25.954087641161653</v>
      </c>
      <c r="S24" s="313">
        <f t="shared" ref="S24" si="11">+S15+S22</f>
        <v>579091</v>
      </c>
      <c r="T24" s="314">
        <f>Q24/S24-1</f>
        <v>-0.1043885445753201</v>
      </c>
      <c r="U24" s="241"/>
    </row>
    <row r="25" spans="1:22" ht="18" x14ac:dyDescent="0.35">
      <c r="A25" s="66"/>
      <c r="Q25" s="103"/>
      <c r="R25" s="185"/>
      <c r="S25" s="311"/>
      <c r="T25" s="312"/>
    </row>
    <row r="26" spans="1:22" ht="18" x14ac:dyDescent="0.35">
      <c r="A26" s="66"/>
      <c r="B26" s="7" t="s">
        <v>26</v>
      </c>
      <c r="Q26" s="101"/>
      <c r="R26" s="184"/>
      <c r="S26" s="304"/>
      <c r="T26" s="308"/>
    </row>
    <row r="27" spans="1:22" x14ac:dyDescent="0.35">
      <c r="A27" s="66" t="s">
        <v>101</v>
      </c>
      <c r="C27" s="6" t="s">
        <v>27</v>
      </c>
      <c r="E27" s="6">
        <f>VLOOKUP($B$1,'Allocated Expenses'!$B$6:$P$15,4,FALSE)</f>
        <v>615.33907145528622</v>
      </c>
      <c r="F27" s="6">
        <f>VLOOKUP($B$1,'Allocated Expenses'!$B$6:$P$15,5,FALSE)</f>
        <v>615.33907145528622</v>
      </c>
      <c r="G27" s="6">
        <f>VLOOKUP($B$1,'Allocated Expenses'!$B$6:$P$15,6,FALSE)</f>
        <v>615.33907145528622</v>
      </c>
      <c r="H27" s="6">
        <f>VLOOKUP($B$1,'Allocated Expenses'!$B$6:$P$15,7,FALSE)</f>
        <v>615.33907145528622</v>
      </c>
      <c r="I27" s="6">
        <f>VLOOKUP($B$1,'Allocated Expenses'!$B$6:$P$15,8,FALSE)</f>
        <v>615.33907145528622</v>
      </c>
      <c r="J27" s="6">
        <f>VLOOKUP($B$1,'Allocated Expenses'!$B$6:$P$15,9,FALSE)</f>
        <v>615.33907145528622</v>
      </c>
      <c r="K27" s="6">
        <f>VLOOKUP($B$1,'Allocated Expenses'!$B$6:$P$15,10,FALSE)</f>
        <v>615.33907145528622</v>
      </c>
      <c r="L27" s="6">
        <f>VLOOKUP($B$1,'Allocated Expenses'!$B$6:$P$15,11,FALSE)</f>
        <v>615.33907145528622</v>
      </c>
      <c r="M27" s="6">
        <f>VLOOKUP($B$1,'Allocated Expenses'!$B$6:$P$15,12,FALSE)</f>
        <v>615.33907145528622</v>
      </c>
      <c r="N27" s="6">
        <f>VLOOKUP($B$1,'Allocated Expenses'!$B$6:$P$15,13,FALSE)</f>
        <v>615.33907145528622</v>
      </c>
      <c r="O27" s="6">
        <f>VLOOKUP($B$1,'Allocated Expenses'!$B$6:$P$15,14,FALSE)</f>
        <v>615.33907145528622</v>
      </c>
      <c r="P27" s="6">
        <f>VLOOKUP($B$1,'Allocated Expenses'!$B$6:$P$15,15,FALSE)</f>
        <v>615.33907145528622</v>
      </c>
      <c r="Q27" s="101">
        <f>SUM(E27:P27)</f>
        <v>7384.0688574634341</v>
      </c>
      <c r="R27" s="184">
        <f t="shared" si="1"/>
        <v>0.36951753277603133</v>
      </c>
      <c r="S27" s="304">
        <v>7040</v>
      </c>
      <c r="T27" s="308">
        <f t="shared" ref="T27" si="12">IFERROR(Q27/S27-1,"")</f>
        <v>4.8873417253328721E-2</v>
      </c>
    </row>
    <row r="28" spans="1:22" x14ac:dyDescent="0.35">
      <c r="A28" s="66"/>
      <c r="Q28" s="101"/>
      <c r="R28" s="184"/>
      <c r="S28" s="304"/>
      <c r="T28" s="308"/>
    </row>
    <row r="29" spans="1:22" x14ac:dyDescent="0.35">
      <c r="A29" s="66" t="s">
        <v>102</v>
      </c>
      <c r="C29" s="6" t="s">
        <v>20</v>
      </c>
      <c r="E29" s="12">
        <f>1.03*180</f>
        <v>185.4</v>
      </c>
      <c r="F29" s="12">
        <f>1.03*180</f>
        <v>185.4</v>
      </c>
      <c r="G29" s="12">
        <f>1.03*222</f>
        <v>228.66</v>
      </c>
      <c r="H29" s="12">
        <f>1.03*130</f>
        <v>133.9</v>
      </c>
      <c r="I29" s="12">
        <f>1.03*124</f>
        <v>127.72</v>
      </c>
      <c r="J29" s="12">
        <f>1.03*149</f>
        <v>153.47</v>
      </c>
      <c r="K29" s="12">
        <f>1.03*120</f>
        <v>123.60000000000001</v>
      </c>
      <c r="L29" s="12">
        <f>1.03*201</f>
        <v>207.03</v>
      </c>
      <c r="M29" s="12">
        <f>1.03*202</f>
        <v>208.06</v>
      </c>
      <c r="N29" s="12">
        <f>1.03*237</f>
        <v>244.11</v>
      </c>
      <c r="O29" s="12">
        <f>1.03*253</f>
        <v>260.59000000000003</v>
      </c>
      <c r="P29" s="12">
        <f>1.03*332</f>
        <v>341.96000000000004</v>
      </c>
      <c r="Q29" s="101">
        <f>SUM(E29:P29)</f>
        <v>2399.9</v>
      </c>
      <c r="R29" s="184">
        <f t="shared" ref="R29" si="13">Q29/$B$4</f>
        <v>0.12009708252014213</v>
      </c>
      <c r="S29" s="304">
        <v>2585</v>
      </c>
      <c r="T29" s="308">
        <f t="shared" ref="T29" si="14">IFERROR(Q29/S29-1,"")</f>
        <v>-7.1605415860734989E-2</v>
      </c>
      <c r="U29" s="23" t="s">
        <v>283</v>
      </c>
      <c r="V29" s="6" t="s">
        <v>348</v>
      </c>
    </row>
    <row r="30" spans="1:22" x14ac:dyDescent="0.35">
      <c r="A30" s="66"/>
      <c r="Q30" s="101"/>
      <c r="R30" s="184"/>
      <c r="S30" s="304"/>
      <c r="T30" s="308"/>
    </row>
    <row r="31" spans="1:22" x14ac:dyDescent="0.35">
      <c r="A31" s="66" t="s">
        <v>103</v>
      </c>
      <c r="C31" s="6" t="s">
        <v>28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01">
        <f>SUM(E31:P31)</f>
        <v>0</v>
      </c>
      <c r="R31" s="184">
        <f t="shared" si="1"/>
        <v>0</v>
      </c>
      <c r="S31" s="304">
        <v>0</v>
      </c>
      <c r="T31" s="308" t="str">
        <f t="shared" ref="T31" si="15">IFERROR(Q31/S31-1,"")</f>
        <v/>
      </c>
    </row>
    <row r="32" spans="1:22" x14ac:dyDescent="0.35">
      <c r="A32" s="66"/>
      <c r="Q32" s="101"/>
      <c r="R32" s="184"/>
      <c r="S32" s="304"/>
      <c r="T32" s="308"/>
    </row>
    <row r="33" spans="1:22" x14ac:dyDescent="0.35">
      <c r="A33" s="66"/>
      <c r="D33" s="50" t="s">
        <v>29</v>
      </c>
      <c r="E33" s="45">
        <f>'Building Maint'!C29</f>
        <v>0</v>
      </c>
      <c r="F33" s="45">
        <f>'Building Maint'!D29</f>
        <v>0</v>
      </c>
      <c r="G33" s="45">
        <f>'Building Maint'!E29</f>
        <v>0</v>
      </c>
      <c r="H33" s="45">
        <f>'Building Maint'!F29</f>
        <v>0</v>
      </c>
      <c r="I33" s="45">
        <f>'Building Maint'!G29</f>
        <v>650</v>
      </c>
      <c r="J33" s="45">
        <f>'Building Maint'!H29</f>
        <v>0</v>
      </c>
      <c r="K33" s="45">
        <f>'Building Maint'!I29</f>
        <v>0</v>
      </c>
      <c r="L33" s="45">
        <f>'Building Maint'!J29</f>
        <v>0</v>
      </c>
      <c r="M33" s="45">
        <f>'Building Maint'!K29</f>
        <v>2000</v>
      </c>
      <c r="N33" s="45">
        <f>'Building Maint'!L29</f>
        <v>0</v>
      </c>
      <c r="O33" s="45">
        <f>'Building Maint'!M29</f>
        <v>650</v>
      </c>
      <c r="P33" s="45">
        <f>'Building Maint'!N29</f>
        <v>0</v>
      </c>
      <c r="Q33" s="195">
        <f>SUM(E33:P33)</f>
        <v>3300</v>
      </c>
      <c r="R33" s="186">
        <f t="shared" si="1"/>
        <v>0.16514036931391682</v>
      </c>
      <c r="S33" s="304"/>
      <c r="T33" s="308"/>
      <c r="U33" s="23" t="s">
        <v>283</v>
      </c>
      <c r="V33" s="6" t="s">
        <v>348</v>
      </c>
    </row>
    <row r="34" spans="1:22" x14ac:dyDescent="0.35">
      <c r="A34" s="66"/>
      <c r="D34" s="51" t="s">
        <v>30</v>
      </c>
      <c r="E34" s="6">
        <f>'Building Maint'!C15</f>
        <v>500</v>
      </c>
      <c r="F34" s="6">
        <f>'Building Maint'!D15</f>
        <v>500</v>
      </c>
      <c r="G34" s="6">
        <f>'Building Maint'!E15</f>
        <v>500</v>
      </c>
      <c r="H34" s="6">
        <f>'Building Maint'!F15</f>
        <v>500</v>
      </c>
      <c r="I34" s="6">
        <f>'Building Maint'!G15</f>
        <v>1125</v>
      </c>
      <c r="J34" s="6">
        <f>'Building Maint'!H15</f>
        <v>500</v>
      </c>
      <c r="K34" s="6">
        <f>'Building Maint'!I15</f>
        <v>500</v>
      </c>
      <c r="L34" s="6">
        <f>'Building Maint'!J15</f>
        <v>500</v>
      </c>
      <c r="M34" s="6">
        <f>'Building Maint'!K15</f>
        <v>800</v>
      </c>
      <c r="N34" s="6">
        <f>'Building Maint'!L15</f>
        <v>500</v>
      </c>
      <c r="O34" s="6">
        <f>'Building Maint'!M15</f>
        <v>1125</v>
      </c>
      <c r="P34" s="6">
        <f>'Building Maint'!N15</f>
        <v>500</v>
      </c>
      <c r="Q34" s="196">
        <f>SUM(E34:P34)</f>
        <v>7550</v>
      </c>
      <c r="R34" s="187">
        <f t="shared" si="1"/>
        <v>0.37782114797577943</v>
      </c>
      <c r="S34" s="304"/>
      <c r="T34" s="308"/>
      <c r="U34" s="23" t="s">
        <v>283</v>
      </c>
      <c r="V34" s="6" t="s">
        <v>348</v>
      </c>
    </row>
    <row r="35" spans="1:22" x14ac:dyDescent="0.35">
      <c r="A35" s="66"/>
      <c r="D35" s="52" t="s">
        <v>31</v>
      </c>
      <c r="E35" s="14"/>
      <c r="F35" s="14"/>
      <c r="G35" s="14"/>
      <c r="H35" s="14">
        <f>1.03*12000</f>
        <v>12360</v>
      </c>
      <c r="I35" s="14"/>
      <c r="J35" s="14"/>
      <c r="K35" s="14"/>
      <c r="L35" s="14"/>
      <c r="M35" s="14">
        <f>1.03*12000</f>
        <v>12360</v>
      </c>
      <c r="N35" s="14"/>
      <c r="O35" s="14"/>
      <c r="P35" s="14"/>
      <c r="Q35" s="197">
        <f>SUM(E35:P35)</f>
        <v>24720</v>
      </c>
      <c r="R35" s="188">
        <f t="shared" si="1"/>
        <v>1.2370514937697044</v>
      </c>
      <c r="S35" s="304"/>
      <c r="T35" s="308"/>
      <c r="U35" s="23" t="s">
        <v>283</v>
      </c>
      <c r="V35" s="6" t="s">
        <v>348</v>
      </c>
    </row>
    <row r="36" spans="1:22" x14ac:dyDescent="0.35">
      <c r="A36" s="66" t="s">
        <v>104</v>
      </c>
      <c r="C36" s="6" t="s">
        <v>32</v>
      </c>
      <c r="E36" s="15">
        <f t="shared" ref="E36:Q36" si="16">SUM(E33:E35)</f>
        <v>500</v>
      </c>
      <c r="F36" s="15">
        <f t="shared" si="16"/>
        <v>500</v>
      </c>
      <c r="G36" s="15">
        <f>SUM(G33:G35)</f>
        <v>500</v>
      </c>
      <c r="H36" s="15">
        <f t="shared" si="16"/>
        <v>12860</v>
      </c>
      <c r="I36" s="15">
        <f t="shared" si="16"/>
        <v>1775</v>
      </c>
      <c r="J36" s="15">
        <f t="shared" si="16"/>
        <v>500</v>
      </c>
      <c r="K36" s="15">
        <f>SUM(K33:K35)</f>
        <v>500</v>
      </c>
      <c r="L36" s="15">
        <f t="shared" si="16"/>
        <v>500</v>
      </c>
      <c r="M36" s="15">
        <f t="shared" si="16"/>
        <v>15160</v>
      </c>
      <c r="N36" s="15">
        <f t="shared" si="16"/>
        <v>500</v>
      </c>
      <c r="O36" s="15">
        <f t="shared" si="16"/>
        <v>1775</v>
      </c>
      <c r="P36" s="15">
        <f t="shared" si="16"/>
        <v>500</v>
      </c>
      <c r="Q36" s="108">
        <f t="shared" si="16"/>
        <v>35570</v>
      </c>
      <c r="R36" s="189">
        <f t="shared" si="1"/>
        <v>1.7800130110594006</v>
      </c>
      <c r="S36" s="309">
        <v>35987</v>
      </c>
      <c r="T36" s="310">
        <f>IFERROR(Q36/S36-1,"")</f>
        <v>-1.1587517714730322E-2</v>
      </c>
    </row>
    <row r="37" spans="1:22" x14ac:dyDescent="0.35">
      <c r="A37" s="66"/>
      <c r="Q37" s="101"/>
      <c r="R37" s="184"/>
      <c r="S37" s="304"/>
      <c r="T37" s="308"/>
    </row>
    <row r="38" spans="1:22" x14ac:dyDescent="0.35">
      <c r="A38" s="66" t="s">
        <v>136</v>
      </c>
      <c r="B38" s="6" t="s">
        <v>33</v>
      </c>
      <c r="C38" s="6" t="s">
        <v>34</v>
      </c>
      <c r="E38" s="12">
        <f>1.03*1350</f>
        <v>1390.5</v>
      </c>
      <c r="F38" s="12">
        <f t="shared" ref="F38:O38" si="17">1.03*1350</f>
        <v>1390.5</v>
      </c>
      <c r="G38" s="12">
        <f t="shared" si="17"/>
        <v>1390.5</v>
      </c>
      <c r="H38" s="12">
        <f t="shared" si="17"/>
        <v>1390.5</v>
      </c>
      <c r="I38" s="12">
        <f t="shared" si="17"/>
        <v>1390.5</v>
      </c>
      <c r="J38" s="12">
        <f t="shared" si="17"/>
        <v>1390.5</v>
      </c>
      <c r="K38" s="12">
        <f t="shared" si="17"/>
        <v>1390.5</v>
      </c>
      <c r="L38" s="12">
        <f t="shared" si="17"/>
        <v>1390.5</v>
      </c>
      <c r="M38" s="12">
        <f t="shared" si="17"/>
        <v>1390.5</v>
      </c>
      <c r="N38" s="12">
        <f t="shared" si="17"/>
        <v>1390.5</v>
      </c>
      <c r="O38" s="12">
        <f t="shared" si="17"/>
        <v>1390.5</v>
      </c>
      <c r="P38" s="12">
        <f>1.03*1250</f>
        <v>1287.5</v>
      </c>
      <c r="Q38" s="101">
        <f>SUM(E38:P38)</f>
        <v>16583</v>
      </c>
      <c r="R38" s="184">
        <f t="shared" si="1"/>
        <v>0.82985537707050994</v>
      </c>
      <c r="S38" s="304">
        <v>17384</v>
      </c>
      <c r="T38" s="308">
        <f t="shared" ref="T38" si="18">IFERROR(Q38/S38-1,"")</f>
        <v>-4.607685227795677E-2</v>
      </c>
      <c r="U38" s="23" t="s">
        <v>283</v>
      </c>
      <c r="V38" s="6" t="s">
        <v>348</v>
      </c>
    </row>
    <row r="39" spans="1:22" x14ac:dyDescent="0.35">
      <c r="A39" s="66"/>
      <c r="Q39" s="101"/>
      <c r="R39" s="184"/>
      <c r="S39" s="304"/>
      <c r="T39" s="308"/>
    </row>
    <row r="40" spans="1:22" x14ac:dyDescent="0.35">
      <c r="A40" s="66"/>
      <c r="D40" s="50" t="s">
        <v>35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195">
        <f>SUM(E40:P40)</f>
        <v>0</v>
      </c>
      <c r="R40" s="186">
        <f t="shared" si="1"/>
        <v>0</v>
      </c>
      <c r="S40" s="304"/>
      <c r="T40" s="308"/>
      <c r="U40" s="23" t="s">
        <v>283</v>
      </c>
      <c r="V40" s="6" t="s">
        <v>348</v>
      </c>
    </row>
    <row r="41" spans="1:22" x14ac:dyDescent="0.35">
      <c r="A41" s="66"/>
      <c r="D41" s="51" t="s">
        <v>36</v>
      </c>
      <c r="E41" s="12">
        <f>1.03*575</f>
        <v>592.25</v>
      </c>
      <c r="F41" s="12">
        <f>1.03*575</f>
        <v>592.25</v>
      </c>
      <c r="G41" s="12">
        <f>1.03*1260</f>
        <v>1297.8</v>
      </c>
      <c r="H41" s="12">
        <f>1.03*1075</f>
        <v>1107.25</v>
      </c>
      <c r="I41" s="12">
        <f>1.03*575</f>
        <v>592.25</v>
      </c>
      <c r="J41" s="12">
        <f>1.03*1260</f>
        <v>1297.8</v>
      </c>
      <c r="K41" s="12">
        <f>1.03*575</f>
        <v>592.25</v>
      </c>
      <c r="L41" s="12">
        <f>1.03*575</f>
        <v>592.25</v>
      </c>
      <c r="M41" s="12">
        <f>1.03*1260</f>
        <v>1297.8</v>
      </c>
      <c r="N41" s="12">
        <f>1.03*1075</f>
        <v>1107.25</v>
      </c>
      <c r="O41" s="12">
        <f>1.03*575</f>
        <v>592.25</v>
      </c>
      <c r="P41" s="12">
        <f>1.03*1375</f>
        <v>1416.25</v>
      </c>
      <c r="Q41" s="196">
        <f>SUM(E41:P41)</f>
        <v>11077.650000000001</v>
      </c>
      <c r="R41" s="187">
        <f t="shared" si="1"/>
        <v>0.55435370064554879</v>
      </c>
      <c r="S41" s="304"/>
      <c r="T41" s="308"/>
      <c r="U41" s="23" t="s">
        <v>283</v>
      </c>
      <c r="V41" s="6" t="s">
        <v>348</v>
      </c>
    </row>
    <row r="42" spans="1:22" x14ac:dyDescent="0.35">
      <c r="A42" s="66"/>
      <c r="D42" s="52" t="s">
        <v>37</v>
      </c>
      <c r="E42" s="14"/>
      <c r="F42" s="14"/>
      <c r="G42" s="14"/>
      <c r="H42" s="14">
        <f>1.03*5000</f>
        <v>5150</v>
      </c>
      <c r="I42" s="14"/>
      <c r="J42" s="14"/>
      <c r="K42" s="14"/>
      <c r="L42" s="14"/>
      <c r="M42" s="14">
        <f>1.03*5000</f>
        <v>5150</v>
      </c>
      <c r="N42" s="14"/>
      <c r="O42" s="14"/>
      <c r="P42" s="14"/>
      <c r="Q42" s="197">
        <f>SUM(E42:P42)</f>
        <v>10300</v>
      </c>
      <c r="R42" s="188">
        <f t="shared" si="1"/>
        <v>0.51543812240404341</v>
      </c>
      <c r="S42" s="304"/>
      <c r="T42" s="308"/>
      <c r="U42" s="23" t="s">
        <v>283</v>
      </c>
      <c r="V42" s="6" t="s">
        <v>348</v>
      </c>
    </row>
    <row r="43" spans="1:22" x14ac:dyDescent="0.35">
      <c r="A43" s="66" t="s">
        <v>105</v>
      </c>
      <c r="C43" s="6" t="s">
        <v>38</v>
      </c>
      <c r="E43" s="15">
        <f t="shared" ref="E43:Q43" si="19">SUM(E40:E42)</f>
        <v>592.25</v>
      </c>
      <c r="F43" s="15">
        <f t="shared" si="19"/>
        <v>592.25</v>
      </c>
      <c r="G43" s="15">
        <f t="shared" si="19"/>
        <v>1297.8</v>
      </c>
      <c r="H43" s="15">
        <f t="shared" si="19"/>
        <v>6257.25</v>
      </c>
      <c r="I43" s="15">
        <f t="shared" si="19"/>
        <v>592.25</v>
      </c>
      <c r="J43" s="15">
        <f t="shared" si="19"/>
        <v>1297.8</v>
      </c>
      <c r="K43" s="15">
        <f t="shared" si="19"/>
        <v>592.25</v>
      </c>
      <c r="L43" s="15">
        <f t="shared" si="19"/>
        <v>592.25</v>
      </c>
      <c r="M43" s="15">
        <f t="shared" si="19"/>
        <v>6447.8</v>
      </c>
      <c r="N43" s="15">
        <f t="shared" si="19"/>
        <v>1107.25</v>
      </c>
      <c r="O43" s="15">
        <f t="shared" si="19"/>
        <v>592.25</v>
      </c>
      <c r="P43" s="15">
        <f t="shared" si="19"/>
        <v>1416.25</v>
      </c>
      <c r="Q43" s="108">
        <f t="shared" si="19"/>
        <v>21377.65</v>
      </c>
      <c r="R43" s="189">
        <f t="shared" si="1"/>
        <v>1.0697918230495922</v>
      </c>
      <c r="S43" s="309">
        <v>17580</v>
      </c>
      <c r="T43" s="310">
        <f t="shared" ref="T43" si="20">IFERROR(Q43/S43-1,"")</f>
        <v>0.21602104664391364</v>
      </c>
    </row>
    <row r="44" spans="1:22" x14ac:dyDescent="0.35">
      <c r="A44" s="66"/>
      <c r="Q44" s="101"/>
      <c r="R44" s="184"/>
      <c r="S44" s="304"/>
      <c r="T44" s="308"/>
    </row>
    <row r="45" spans="1:22" x14ac:dyDescent="0.35">
      <c r="A45" s="66" t="s">
        <v>106</v>
      </c>
      <c r="C45" s="6" t="s">
        <v>39</v>
      </c>
      <c r="E45" s="12">
        <f>1.03*3500</f>
        <v>3605</v>
      </c>
      <c r="F45" s="12">
        <f>1.03*3500</f>
        <v>3605</v>
      </c>
      <c r="G45" s="12">
        <f>1.03*3500</f>
        <v>3605</v>
      </c>
      <c r="H45" s="12"/>
      <c r="I45" s="12"/>
      <c r="J45" s="12"/>
      <c r="K45" s="12"/>
      <c r="L45" s="12"/>
      <c r="M45" s="12"/>
      <c r="N45" s="12">
        <f>1.03*3500</f>
        <v>3605</v>
      </c>
      <c r="O45" s="12">
        <f>1.03*3500</f>
        <v>3605</v>
      </c>
      <c r="P45" s="12">
        <f>1.03*3500</f>
        <v>3605</v>
      </c>
      <c r="Q45" s="101">
        <f>SUM(E45:P45)</f>
        <v>21630</v>
      </c>
      <c r="R45" s="184">
        <f t="shared" si="1"/>
        <v>1.0824200570484912</v>
      </c>
      <c r="S45" s="304">
        <v>17115</v>
      </c>
      <c r="T45" s="308">
        <f t="shared" ref="T45" si="21">IFERROR(Q45/S45-1,"")</f>
        <v>0.26380368098159512</v>
      </c>
      <c r="U45" s="23" t="s">
        <v>283</v>
      </c>
      <c r="V45" s="6" t="s">
        <v>348</v>
      </c>
    </row>
    <row r="46" spans="1:22" x14ac:dyDescent="0.35">
      <c r="A46" s="66"/>
      <c r="Q46" s="101"/>
      <c r="R46" s="184"/>
      <c r="S46" s="304"/>
      <c r="T46" s="308"/>
    </row>
    <row r="47" spans="1:22" x14ac:dyDescent="0.35">
      <c r="A47" s="66"/>
      <c r="D47" s="50" t="s">
        <v>40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195">
        <f>SUM(E47:P47)</f>
        <v>0</v>
      </c>
      <c r="R47" s="186">
        <f t="shared" si="1"/>
        <v>0</v>
      </c>
      <c r="S47" s="304"/>
      <c r="T47" s="308"/>
      <c r="U47" s="23" t="s">
        <v>283</v>
      </c>
      <c r="V47" s="6" t="s">
        <v>348</v>
      </c>
    </row>
    <row r="48" spans="1:22" x14ac:dyDescent="0.35">
      <c r="A48" s="66"/>
      <c r="D48" s="51" t="s">
        <v>41</v>
      </c>
      <c r="E48" s="12"/>
      <c r="F48" s="12"/>
      <c r="G48" s="12"/>
      <c r="H48" s="12">
        <f>1.03*500</f>
        <v>515</v>
      </c>
      <c r="I48" s="12">
        <f t="shared" ref="I48:N48" si="22">1.03*500</f>
        <v>515</v>
      </c>
      <c r="J48" s="12">
        <f t="shared" si="22"/>
        <v>515</v>
      </c>
      <c r="K48" s="12">
        <f t="shared" si="22"/>
        <v>515</v>
      </c>
      <c r="L48" s="12">
        <f t="shared" si="22"/>
        <v>515</v>
      </c>
      <c r="M48" s="12">
        <f t="shared" si="22"/>
        <v>515</v>
      </c>
      <c r="N48" s="12">
        <f t="shared" si="22"/>
        <v>515</v>
      </c>
      <c r="O48" s="12"/>
      <c r="P48" s="12"/>
      <c r="Q48" s="196">
        <f>SUM(E48:P48)</f>
        <v>3605</v>
      </c>
      <c r="R48" s="187">
        <f t="shared" si="1"/>
        <v>0.18040334284141521</v>
      </c>
      <c r="S48" s="304"/>
      <c r="T48" s="308"/>
      <c r="U48" s="23" t="s">
        <v>283</v>
      </c>
      <c r="V48" s="6" t="s">
        <v>348</v>
      </c>
    </row>
    <row r="49" spans="1:22" x14ac:dyDescent="0.35">
      <c r="A49" s="66"/>
      <c r="D49" s="52" t="s">
        <v>42</v>
      </c>
      <c r="E49" s="14"/>
      <c r="F49" s="14"/>
      <c r="G49" s="14"/>
      <c r="H49" s="14"/>
      <c r="I49" s="14">
        <f>1.03*8500</f>
        <v>8755</v>
      </c>
      <c r="J49" s="14"/>
      <c r="K49" s="14"/>
      <c r="L49" s="14"/>
      <c r="M49" s="14">
        <f>1.03*2500</f>
        <v>2575</v>
      </c>
      <c r="N49" s="14"/>
      <c r="O49" s="14"/>
      <c r="P49" s="14"/>
      <c r="Q49" s="197">
        <f>SUM(E49:P49)</f>
        <v>11330</v>
      </c>
      <c r="R49" s="188">
        <f t="shared" si="1"/>
        <v>0.56698193464444779</v>
      </c>
      <c r="S49" s="304"/>
      <c r="T49" s="308"/>
      <c r="U49" s="23" t="s">
        <v>283</v>
      </c>
      <c r="V49" s="6" t="s">
        <v>348</v>
      </c>
    </row>
    <row r="50" spans="1:22" x14ac:dyDescent="0.35">
      <c r="A50" s="66" t="s">
        <v>107</v>
      </c>
      <c r="C50" s="6" t="s">
        <v>43</v>
      </c>
      <c r="E50" s="15">
        <f t="shared" ref="E50:Q50" si="23">SUM(E47:E49)</f>
        <v>0</v>
      </c>
      <c r="F50" s="15">
        <f t="shared" si="23"/>
        <v>0</v>
      </c>
      <c r="G50" s="15">
        <f t="shared" si="23"/>
        <v>0</v>
      </c>
      <c r="H50" s="15">
        <f t="shared" si="23"/>
        <v>515</v>
      </c>
      <c r="I50" s="15">
        <f t="shared" si="23"/>
        <v>9270</v>
      </c>
      <c r="J50" s="15">
        <f t="shared" si="23"/>
        <v>515</v>
      </c>
      <c r="K50" s="15">
        <f t="shared" si="23"/>
        <v>515</v>
      </c>
      <c r="L50" s="15">
        <f t="shared" si="23"/>
        <v>515</v>
      </c>
      <c r="M50" s="15">
        <f t="shared" si="23"/>
        <v>3090</v>
      </c>
      <c r="N50" s="15">
        <f t="shared" si="23"/>
        <v>515</v>
      </c>
      <c r="O50" s="15">
        <f t="shared" si="23"/>
        <v>0</v>
      </c>
      <c r="P50" s="15">
        <f t="shared" si="23"/>
        <v>0</v>
      </c>
      <c r="Q50" s="108">
        <f t="shared" si="23"/>
        <v>14935</v>
      </c>
      <c r="R50" s="189">
        <f t="shared" si="1"/>
        <v>0.74738527748586303</v>
      </c>
      <c r="S50" s="309">
        <v>6249</v>
      </c>
      <c r="T50" s="310">
        <f t="shared" ref="T50" si="24">IFERROR(Q50/S50-1,"")</f>
        <v>1.3899823971835494</v>
      </c>
    </row>
    <row r="51" spans="1:22" x14ac:dyDescent="0.35">
      <c r="A51" s="66"/>
      <c r="Q51" s="101"/>
      <c r="R51" s="184"/>
      <c r="S51" s="304"/>
      <c r="T51" s="308"/>
    </row>
    <row r="52" spans="1:22" x14ac:dyDescent="0.35">
      <c r="A52" s="66" t="s">
        <v>108</v>
      </c>
      <c r="C52" s="6" t="s">
        <v>44</v>
      </c>
      <c r="E52" s="12">
        <f>1.03*190</f>
        <v>195.70000000000002</v>
      </c>
      <c r="F52" s="12">
        <f>1.03*190</f>
        <v>195.70000000000002</v>
      </c>
      <c r="G52" s="12">
        <f>1.03*1190</f>
        <v>1225.7</v>
      </c>
      <c r="H52" s="12">
        <f t="shared" ref="H52:L52" si="25">1.03*190</f>
        <v>195.70000000000002</v>
      </c>
      <c r="I52" s="12">
        <f t="shared" si="25"/>
        <v>195.70000000000002</v>
      </c>
      <c r="J52" s="12">
        <f t="shared" si="25"/>
        <v>195.70000000000002</v>
      </c>
      <c r="K52" s="12">
        <f t="shared" si="25"/>
        <v>195.70000000000002</v>
      </c>
      <c r="L52" s="12">
        <f t="shared" si="25"/>
        <v>195.70000000000002</v>
      </c>
      <c r="M52" s="12">
        <f>1.03*1190</f>
        <v>1225.7</v>
      </c>
      <c r="N52" s="12">
        <f t="shared" ref="N52:P52" si="26">1.03*190</f>
        <v>195.70000000000002</v>
      </c>
      <c r="O52" s="12">
        <f t="shared" si="26"/>
        <v>195.70000000000002</v>
      </c>
      <c r="P52" s="12">
        <f t="shared" si="26"/>
        <v>195.70000000000002</v>
      </c>
      <c r="Q52" s="101">
        <f>SUM(E52:P52)</f>
        <v>4408.3999999999996</v>
      </c>
      <c r="R52" s="184">
        <f t="shared" si="1"/>
        <v>0.22060751638893059</v>
      </c>
      <c r="S52" s="304">
        <v>2495</v>
      </c>
      <c r="T52" s="308">
        <f t="shared" ref="T52" si="27">IFERROR(Q52/S52-1,"")</f>
        <v>0.76689378757515025</v>
      </c>
      <c r="U52" s="23" t="s">
        <v>283</v>
      </c>
      <c r="V52" s="6" t="s">
        <v>348</v>
      </c>
    </row>
    <row r="53" spans="1:22" x14ac:dyDescent="0.35">
      <c r="A53" s="66"/>
      <c r="Q53" s="101"/>
      <c r="R53" s="184"/>
      <c r="S53" s="304"/>
      <c r="T53" s="308"/>
    </row>
    <row r="54" spans="1:22" hidden="1" x14ac:dyDescent="0.35">
      <c r="A54" s="66" t="s">
        <v>109</v>
      </c>
      <c r="B54" s="6" t="s">
        <v>45</v>
      </c>
      <c r="C54" s="6" t="s">
        <v>46</v>
      </c>
      <c r="Q54" s="101">
        <f>SUM(E54:P54)</f>
        <v>0</v>
      </c>
      <c r="R54" s="184">
        <f t="shared" si="1"/>
        <v>0</v>
      </c>
      <c r="S54" s="304"/>
      <c r="T54" s="308" t="e">
        <f t="shared" ref="T54" si="28">R54/S54-1</f>
        <v>#DIV/0!</v>
      </c>
    </row>
    <row r="55" spans="1:22" hidden="1" x14ac:dyDescent="0.35">
      <c r="A55" s="66"/>
      <c r="Q55" s="101"/>
      <c r="R55" s="184"/>
      <c r="S55" s="304"/>
      <c r="T55" s="308"/>
    </row>
    <row r="56" spans="1:22" x14ac:dyDescent="0.35">
      <c r="A56" s="66" t="s">
        <v>110</v>
      </c>
      <c r="C56" s="6" t="s">
        <v>47</v>
      </c>
      <c r="E56" s="12">
        <f>1.03*2200</f>
        <v>2266</v>
      </c>
      <c r="F56" s="12">
        <f t="shared" ref="F56:P56" si="29">1.03*2200</f>
        <v>2266</v>
      </c>
      <c r="G56" s="12">
        <f t="shared" si="29"/>
        <v>2266</v>
      </c>
      <c r="H56" s="12">
        <f t="shared" si="29"/>
        <v>2266</v>
      </c>
      <c r="I56" s="12">
        <f t="shared" si="29"/>
        <v>2266</v>
      </c>
      <c r="J56" s="12">
        <f t="shared" si="29"/>
        <v>2266</v>
      </c>
      <c r="K56" s="12">
        <f t="shared" si="29"/>
        <v>2266</v>
      </c>
      <c r="L56" s="12">
        <f t="shared" si="29"/>
        <v>2266</v>
      </c>
      <c r="M56" s="12">
        <f t="shared" si="29"/>
        <v>2266</v>
      </c>
      <c r="N56" s="12">
        <f t="shared" si="29"/>
        <v>2266</v>
      </c>
      <c r="O56" s="12">
        <f t="shared" si="29"/>
        <v>2266</v>
      </c>
      <c r="P56" s="12">
        <f t="shared" si="29"/>
        <v>2266</v>
      </c>
      <c r="Q56" s="101">
        <f>SUM(E56:P56)</f>
        <v>27192</v>
      </c>
      <c r="R56" s="184">
        <f t="shared" si="1"/>
        <v>1.3607566431466747</v>
      </c>
      <c r="S56" s="304">
        <v>26952</v>
      </c>
      <c r="T56" s="308">
        <f t="shared" ref="T56" si="30">IFERROR(Q56/S56-1,"")</f>
        <v>8.904719501335645E-3</v>
      </c>
      <c r="U56" s="23" t="s">
        <v>283</v>
      </c>
      <c r="V56" s="6" t="s">
        <v>348</v>
      </c>
    </row>
    <row r="57" spans="1:22" x14ac:dyDescent="0.35">
      <c r="A57" s="66"/>
      <c r="Q57" s="101"/>
      <c r="R57" s="184"/>
      <c r="S57" s="304"/>
      <c r="T57" s="308"/>
    </row>
    <row r="58" spans="1:22" x14ac:dyDescent="0.35">
      <c r="A58" s="66" t="s">
        <v>111</v>
      </c>
      <c r="C58" s="6" t="s">
        <v>22</v>
      </c>
      <c r="E58" s="6">
        <f>'INS RET DEBT'!E92</f>
        <v>2725.2083333333335</v>
      </c>
      <c r="F58" s="6">
        <f>'INS RET DEBT'!F92</f>
        <v>2725.2083333333335</v>
      </c>
      <c r="G58" s="6">
        <f>'INS RET DEBT'!G92</f>
        <v>2725.2083333333335</v>
      </c>
      <c r="H58" s="6">
        <f>'INS RET DEBT'!H92</f>
        <v>2725.2083333333335</v>
      </c>
      <c r="I58" s="6">
        <f>'INS RET DEBT'!I92</f>
        <v>2725.2083333333335</v>
      </c>
      <c r="J58" s="6">
        <f>'INS RET DEBT'!J92</f>
        <v>2725.2083333333335</v>
      </c>
      <c r="K58" s="6">
        <f>'INS RET DEBT'!K92</f>
        <v>2725.2083333333335</v>
      </c>
      <c r="L58" s="6">
        <f>'INS RET DEBT'!L92</f>
        <v>2725.2083333333335</v>
      </c>
      <c r="M58" s="6">
        <f>'INS RET DEBT'!M92</f>
        <v>2725.2083333333335</v>
      </c>
      <c r="N58" s="6">
        <f>'INS RET DEBT'!N92</f>
        <v>2725.2083333333335</v>
      </c>
      <c r="O58" s="6">
        <f>'INS RET DEBT'!O92</f>
        <v>2725.2083333333335</v>
      </c>
      <c r="P58" s="6">
        <f>'INS RET DEBT'!P92</f>
        <v>2725.2083333333335</v>
      </c>
      <c r="Q58" s="101">
        <f>SUM(E58:P58)</f>
        <v>32702.499999999996</v>
      </c>
      <c r="R58" s="184">
        <f t="shared" si="1"/>
        <v>1.6365160386328377</v>
      </c>
      <c r="S58" s="304">
        <v>38173</v>
      </c>
      <c r="T58" s="308">
        <f t="shared" ref="T58" si="31">IFERROR(Q58/S58-1,"")</f>
        <v>-0.14330809734629202</v>
      </c>
    </row>
    <row r="59" spans="1:22" x14ac:dyDescent="0.35">
      <c r="A59" s="66"/>
      <c r="Q59" s="101"/>
      <c r="R59" s="184"/>
      <c r="S59" s="304"/>
      <c r="T59" s="308"/>
    </row>
    <row r="60" spans="1:22" x14ac:dyDescent="0.35">
      <c r="A60" s="66"/>
      <c r="D60" s="50" t="s">
        <v>48</v>
      </c>
      <c r="E60" s="45">
        <f>+'INS RET DEBT'!E71</f>
        <v>604</v>
      </c>
      <c r="F60" s="45">
        <f>+'INS RET DEBT'!F71</f>
        <v>604</v>
      </c>
      <c r="G60" s="45">
        <f>+'INS RET DEBT'!G71</f>
        <v>604</v>
      </c>
      <c r="H60" s="45">
        <f>+'INS RET DEBT'!H71</f>
        <v>604</v>
      </c>
      <c r="I60" s="45">
        <f>+'INS RET DEBT'!I71</f>
        <v>604</v>
      </c>
      <c r="J60" s="45">
        <f>+'INS RET DEBT'!J71</f>
        <v>604</v>
      </c>
      <c r="K60" s="45">
        <f>+'INS RET DEBT'!K71</f>
        <v>604</v>
      </c>
      <c r="L60" s="45">
        <f>+'INS RET DEBT'!L71</f>
        <v>604</v>
      </c>
      <c r="M60" s="45">
        <f>+'INS RET DEBT'!M71</f>
        <v>604</v>
      </c>
      <c r="N60" s="45">
        <f>+'INS RET DEBT'!N71</f>
        <v>604</v>
      </c>
      <c r="O60" s="45">
        <f>+'INS RET DEBT'!O71</f>
        <v>616.08000000000004</v>
      </c>
      <c r="P60" s="45">
        <f>+'INS RET DEBT'!P71</f>
        <v>616.08000000000004</v>
      </c>
      <c r="Q60" s="195">
        <f>SUM(E60:P60)</f>
        <v>7272.16</v>
      </c>
      <c r="R60" s="186">
        <f t="shared" si="1"/>
        <v>0.36391732973027074</v>
      </c>
      <c r="S60" s="304"/>
      <c r="T60" s="308"/>
    </row>
    <row r="61" spans="1:22" x14ac:dyDescent="0.35">
      <c r="A61" s="66"/>
      <c r="D61" s="51" t="s">
        <v>89</v>
      </c>
      <c r="E61" s="6">
        <f>+'INS RET DEBT'!E72</f>
        <v>2519</v>
      </c>
      <c r="F61" s="6">
        <f>+'INS RET DEBT'!F72</f>
        <v>2519</v>
      </c>
      <c r="G61" s="6">
        <f>+'INS RET DEBT'!G72</f>
        <v>2519</v>
      </c>
      <c r="H61" s="6">
        <f>+'INS RET DEBT'!H72</f>
        <v>2519</v>
      </c>
      <c r="I61" s="6">
        <f>+'INS RET DEBT'!I72</f>
        <v>2519</v>
      </c>
      <c r="J61" s="6">
        <f>+'INS RET DEBT'!J72</f>
        <v>2519</v>
      </c>
      <c r="K61" s="6">
        <f>+'INS RET DEBT'!K72</f>
        <v>2519</v>
      </c>
      <c r="L61" s="6">
        <f>+'INS RET DEBT'!L72</f>
        <v>2519</v>
      </c>
      <c r="M61" s="6">
        <f>+'INS RET DEBT'!M72</f>
        <v>2519</v>
      </c>
      <c r="N61" s="6">
        <f>+'INS RET DEBT'!N72</f>
        <v>2519</v>
      </c>
      <c r="O61" s="6">
        <f>+'INS RET DEBT'!O72</f>
        <v>2569.38</v>
      </c>
      <c r="P61" s="6">
        <f>+'INS RET DEBT'!P72</f>
        <v>2569.38</v>
      </c>
      <c r="Q61" s="196">
        <f>SUM(E61:P61)</f>
        <v>30328.760000000002</v>
      </c>
      <c r="R61" s="187">
        <f t="shared" si="1"/>
        <v>1.51772806885853</v>
      </c>
      <c r="S61" s="304"/>
      <c r="T61" s="308"/>
    </row>
    <row r="62" spans="1:22" x14ac:dyDescent="0.35">
      <c r="A62" s="66"/>
      <c r="D62" s="52" t="s">
        <v>50</v>
      </c>
      <c r="E62" s="15">
        <f>+'INS RET DEBT'!E73</f>
        <v>0</v>
      </c>
      <c r="F62" s="15">
        <f>+'INS RET DEBT'!F73</f>
        <v>0</v>
      </c>
      <c r="G62" s="15">
        <f>+'INS RET DEBT'!G73</f>
        <v>0</v>
      </c>
      <c r="H62" s="15">
        <f>+'INS RET DEBT'!H73</f>
        <v>0</v>
      </c>
      <c r="I62" s="15">
        <f>+'INS RET DEBT'!I73</f>
        <v>0</v>
      </c>
      <c r="J62" s="15">
        <f>+'INS RET DEBT'!J73</f>
        <v>0</v>
      </c>
      <c r="K62" s="15">
        <f>+'INS RET DEBT'!K73</f>
        <v>0</v>
      </c>
      <c r="L62" s="15">
        <f>+'INS RET DEBT'!L73</f>
        <v>0</v>
      </c>
      <c r="M62" s="15">
        <f>+'INS RET DEBT'!M73</f>
        <v>0</v>
      </c>
      <c r="N62" s="15">
        <f>+'INS RET DEBT'!N73</f>
        <v>0</v>
      </c>
      <c r="O62" s="15">
        <f>+'INS RET DEBT'!O73</f>
        <v>0</v>
      </c>
      <c r="P62" s="15">
        <f>+'INS RET DEBT'!P73</f>
        <v>0</v>
      </c>
      <c r="Q62" s="197">
        <f>SUM(E62:P62)</f>
        <v>0</v>
      </c>
      <c r="R62" s="188">
        <f t="shared" si="1"/>
        <v>0</v>
      </c>
      <c r="S62" s="304"/>
      <c r="T62" s="308"/>
    </row>
    <row r="63" spans="1:22" x14ac:dyDescent="0.35">
      <c r="A63" s="66" t="s">
        <v>112</v>
      </c>
      <c r="C63" s="6" t="s">
        <v>23</v>
      </c>
      <c r="E63" s="15">
        <f t="shared" ref="E63:Q63" si="32">SUM(E60:E62)</f>
        <v>3123</v>
      </c>
      <c r="F63" s="15">
        <f t="shared" si="32"/>
        <v>3123</v>
      </c>
      <c r="G63" s="15">
        <f t="shared" si="32"/>
        <v>3123</v>
      </c>
      <c r="H63" s="15">
        <f t="shared" si="32"/>
        <v>3123</v>
      </c>
      <c r="I63" s="15">
        <f t="shared" si="32"/>
        <v>3123</v>
      </c>
      <c r="J63" s="15">
        <f t="shared" si="32"/>
        <v>3123</v>
      </c>
      <c r="K63" s="15">
        <f t="shared" si="32"/>
        <v>3123</v>
      </c>
      <c r="L63" s="15">
        <f t="shared" si="32"/>
        <v>3123</v>
      </c>
      <c r="M63" s="15">
        <f t="shared" si="32"/>
        <v>3123</v>
      </c>
      <c r="N63" s="15">
        <f t="shared" si="32"/>
        <v>3123</v>
      </c>
      <c r="O63" s="15">
        <f t="shared" si="32"/>
        <v>3185.46</v>
      </c>
      <c r="P63" s="15">
        <f t="shared" si="32"/>
        <v>3185.46</v>
      </c>
      <c r="Q63" s="108">
        <f t="shared" si="32"/>
        <v>37600.92</v>
      </c>
      <c r="R63" s="189">
        <f t="shared" si="1"/>
        <v>1.8816453985888004</v>
      </c>
      <c r="S63" s="309">
        <v>39543</v>
      </c>
      <c r="T63" s="310">
        <f t="shared" ref="T63" si="33">IFERROR(Q63/S63-1,"")</f>
        <v>-4.9113117365905512E-2</v>
      </c>
    </row>
    <row r="64" spans="1:22" x14ac:dyDescent="0.35">
      <c r="A64" s="66"/>
      <c r="Q64" s="101"/>
      <c r="R64" s="184"/>
      <c r="S64" s="304"/>
      <c r="T64" s="308"/>
    </row>
    <row r="65" spans="1:20" x14ac:dyDescent="0.35">
      <c r="A65" s="66"/>
      <c r="D65" s="50" t="s">
        <v>51</v>
      </c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198">
        <f>SUM(E65:P65)</f>
        <v>0</v>
      </c>
      <c r="R65" s="186">
        <f t="shared" si="1"/>
        <v>0</v>
      </c>
      <c r="S65" s="304"/>
      <c r="T65" s="308"/>
    </row>
    <row r="66" spans="1:20" x14ac:dyDescent="0.35">
      <c r="A66" s="66"/>
      <c r="D66" s="52" t="s">
        <v>52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08">
        <f>SUM(E66:P66)</f>
        <v>0</v>
      </c>
      <c r="R66" s="188">
        <f t="shared" si="1"/>
        <v>0</v>
      </c>
      <c r="S66" s="304"/>
      <c r="T66" s="308"/>
    </row>
    <row r="67" spans="1:20" x14ac:dyDescent="0.35">
      <c r="A67" s="66" t="s">
        <v>113</v>
      </c>
      <c r="B67" s="6" t="s">
        <v>45</v>
      </c>
      <c r="C67" s="6" t="s">
        <v>51</v>
      </c>
      <c r="E67" s="15">
        <f t="shared" ref="E67:Q67" si="34">SUM(E65:E66)</f>
        <v>0</v>
      </c>
      <c r="F67" s="15">
        <f t="shared" si="34"/>
        <v>0</v>
      </c>
      <c r="G67" s="15">
        <f t="shared" si="34"/>
        <v>0</v>
      </c>
      <c r="H67" s="15">
        <f t="shared" si="34"/>
        <v>0</v>
      </c>
      <c r="I67" s="15">
        <f t="shared" si="34"/>
        <v>0</v>
      </c>
      <c r="J67" s="15">
        <f t="shared" si="34"/>
        <v>0</v>
      </c>
      <c r="K67" s="15">
        <f t="shared" si="34"/>
        <v>0</v>
      </c>
      <c r="L67" s="15">
        <f t="shared" si="34"/>
        <v>0</v>
      </c>
      <c r="M67" s="15">
        <f t="shared" si="34"/>
        <v>0</v>
      </c>
      <c r="N67" s="15">
        <f t="shared" si="34"/>
        <v>0</v>
      </c>
      <c r="O67" s="15">
        <f t="shared" si="34"/>
        <v>0</v>
      </c>
      <c r="P67" s="15">
        <f t="shared" si="34"/>
        <v>0</v>
      </c>
      <c r="Q67" s="108">
        <f t="shared" si="34"/>
        <v>0</v>
      </c>
      <c r="R67" s="189">
        <f t="shared" si="1"/>
        <v>0</v>
      </c>
      <c r="S67" s="309">
        <v>0</v>
      </c>
      <c r="T67" s="310" t="str">
        <f t="shared" ref="T67" si="35">IFERROR(Q67/S67-1,"")</f>
        <v/>
      </c>
    </row>
    <row r="68" spans="1:20" x14ac:dyDescent="0.35">
      <c r="A68" s="66"/>
      <c r="Q68" s="101"/>
      <c r="R68" s="184"/>
      <c r="S68" s="304"/>
      <c r="T68" s="308"/>
    </row>
    <row r="69" spans="1:20" x14ac:dyDescent="0.35">
      <c r="A69" s="66"/>
      <c r="B69" s="6" t="s">
        <v>33</v>
      </c>
      <c r="C69" s="6" t="s">
        <v>53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01">
        <f>SUM(E69:P69)</f>
        <v>0</v>
      </c>
      <c r="R69" s="184">
        <f t="shared" si="1"/>
        <v>0</v>
      </c>
      <c r="S69" s="304"/>
      <c r="T69" s="308" t="str">
        <f t="shared" ref="T69" si="36">IFERROR(Q69/S69-1,"")</f>
        <v/>
      </c>
    </row>
    <row r="70" spans="1:20" x14ac:dyDescent="0.35">
      <c r="A70" s="66"/>
      <c r="Q70" s="101"/>
      <c r="R70" s="184"/>
      <c r="S70" s="304"/>
      <c r="T70" s="308"/>
    </row>
    <row r="71" spans="1:20" ht="18" x14ac:dyDescent="0.35">
      <c r="A71" s="66"/>
      <c r="C71" s="53" t="s">
        <v>54</v>
      </c>
      <c r="D71" s="54"/>
      <c r="E71" s="54">
        <f>+E27+E29+E31+E36+E38+E43+E45+E50+E52+E54+E56+E58+E63+E67+E69</f>
        <v>15198.39740478862</v>
      </c>
      <c r="F71" s="54">
        <f t="shared" ref="F71:P71" si="37">+F27+F29+F31+F36+F38+F43+F45+F50+F52+F54+F56+F58+F63+F67+F69</f>
        <v>15198.39740478862</v>
      </c>
      <c r="G71" s="54">
        <f t="shared" si="37"/>
        <v>16977.20740478862</v>
      </c>
      <c r="H71" s="54">
        <f t="shared" si="37"/>
        <v>30081.897404788619</v>
      </c>
      <c r="I71" s="54">
        <f t="shared" si="37"/>
        <v>22080.717404788618</v>
      </c>
      <c r="J71" s="54">
        <f t="shared" si="37"/>
        <v>12782.017404788619</v>
      </c>
      <c r="K71" s="54">
        <f t="shared" si="37"/>
        <v>12046.597404788619</v>
      </c>
      <c r="L71" s="54">
        <f t="shared" si="37"/>
        <v>12130.02740478862</v>
      </c>
      <c r="M71" s="54">
        <f t="shared" si="37"/>
        <v>36251.607404788621</v>
      </c>
      <c r="N71" s="54">
        <f t="shared" si="37"/>
        <v>16287.10740478862</v>
      </c>
      <c r="O71" s="54">
        <f t="shared" si="37"/>
        <v>16611.04740478862</v>
      </c>
      <c r="P71" s="54">
        <f t="shared" si="37"/>
        <v>16138.417404788619</v>
      </c>
      <c r="Q71" s="109">
        <f>+Q27+Q29+Q31+Q36+Q38+Q43+Q45+Q50+Q52+Q54+Q56+Q58+Q63+Q67+Q69</f>
        <v>221783.43885746342</v>
      </c>
      <c r="R71" s="190">
        <f t="shared" si="1"/>
        <v>11.098605757767274</v>
      </c>
      <c r="S71" s="315">
        <f>+S27+S29+S31+S36+S38+S43+S45+S50+S52+S54+S56+S58+S63+S67+S69</f>
        <v>211103</v>
      </c>
      <c r="T71" s="316">
        <f>Q71/S71-1</f>
        <v>5.0593496338107169E-2</v>
      </c>
    </row>
    <row r="72" spans="1:20" ht="18" x14ac:dyDescent="0.35">
      <c r="A72" s="66"/>
      <c r="Q72" s="103"/>
      <c r="R72" s="185"/>
      <c r="S72" s="311"/>
      <c r="T72" s="312"/>
    </row>
    <row r="73" spans="1:20" ht="18" x14ac:dyDescent="0.35">
      <c r="A73" s="66"/>
      <c r="B73" s="7" t="s">
        <v>55</v>
      </c>
      <c r="Q73" s="101"/>
      <c r="R73" s="184">
        <f t="shared" si="1"/>
        <v>0</v>
      </c>
      <c r="S73" s="304"/>
      <c r="T73" s="308"/>
    </row>
    <row r="74" spans="1:20" x14ac:dyDescent="0.35">
      <c r="A74" s="66"/>
      <c r="Q74" s="101"/>
      <c r="R74" s="184"/>
      <c r="S74" s="304"/>
      <c r="T74" s="308"/>
    </row>
    <row r="75" spans="1:20" x14ac:dyDescent="0.35">
      <c r="A75" s="66" t="s">
        <v>137</v>
      </c>
      <c r="C75" s="6" t="s">
        <v>56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01">
        <f>SUM(E75:P75)</f>
        <v>0</v>
      </c>
      <c r="R75" s="184">
        <f t="shared" ref="R75:R134" si="38">Q75/$B$4</f>
        <v>0</v>
      </c>
      <c r="S75" s="304">
        <v>0</v>
      </c>
      <c r="T75" s="308" t="str">
        <f t="shared" ref="T75" si="39">IFERROR(Q75/S75-1,"")</f>
        <v/>
      </c>
    </row>
    <row r="76" spans="1:20" x14ac:dyDescent="0.35">
      <c r="A76" s="66"/>
      <c r="Q76" s="101"/>
      <c r="R76" s="184"/>
      <c r="S76" s="304"/>
      <c r="T76" s="308"/>
    </row>
    <row r="77" spans="1:20" x14ac:dyDescent="0.35">
      <c r="A77" s="66" t="s">
        <v>114</v>
      </c>
      <c r="D77" s="6" t="s">
        <v>57</v>
      </c>
      <c r="E77" s="6">
        <f>VLOOKUP($B$1,'Allocated Expenses'!$B$20:$P$29,4,FALSE)</f>
        <v>0</v>
      </c>
      <c r="F77" s="6">
        <f>VLOOKUP($B$1,'Allocated Expenses'!$B$20:$P$29,5,FALSE)</f>
        <v>0</v>
      </c>
      <c r="G77" s="6">
        <f>VLOOKUP($B$1,'Allocated Expenses'!$B$20:$P$29,6,FALSE)</f>
        <v>0</v>
      </c>
      <c r="H77" s="6">
        <f>VLOOKUP($B$1,'Allocated Expenses'!$B$20:$P$29,7,FALSE)</f>
        <v>0</v>
      </c>
      <c r="I77" s="6">
        <f>VLOOKUP($B$1,'Allocated Expenses'!$B$20:$P$29,8,FALSE)</f>
        <v>0</v>
      </c>
      <c r="J77" s="6">
        <f>VLOOKUP($B$1,'Allocated Expenses'!$B$20:$P$29,9,FALSE)</f>
        <v>0</v>
      </c>
      <c r="K77" s="6">
        <f>VLOOKUP($B$1,'Allocated Expenses'!$B$20:$P$29,10,FALSE)</f>
        <v>0</v>
      </c>
      <c r="L77" s="6">
        <f>VLOOKUP($B$1,'Allocated Expenses'!$B$20:$P$29,11,FALSE)</f>
        <v>0</v>
      </c>
      <c r="M77" s="6">
        <f>VLOOKUP($B$1,'Allocated Expenses'!$B$20:$P$29,12,FALSE)</f>
        <v>0</v>
      </c>
      <c r="N77" s="6">
        <f>VLOOKUP($B$1,'Allocated Expenses'!$B$20:$P$29,13,FALSE)</f>
        <v>0</v>
      </c>
      <c r="O77" s="6">
        <f>VLOOKUP($B$1,'Allocated Expenses'!$B$20:$P$29,14,FALSE)</f>
        <v>0</v>
      </c>
      <c r="P77" s="6">
        <f>VLOOKUP($B$1,'Allocated Expenses'!$B$20:$P$29,15,FALSE)</f>
        <v>0</v>
      </c>
      <c r="Q77" s="101">
        <f>SUM(E77:P77)</f>
        <v>0</v>
      </c>
      <c r="R77" s="184">
        <f t="shared" si="38"/>
        <v>0</v>
      </c>
      <c r="S77" s="304"/>
      <c r="T77" s="308"/>
    </row>
    <row r="78" spans="1:20" x14ac:dyDescent="0.35">
      <c r="A78" s="66" t="s">
        <v>115</v>
      </c>
      <c r="D78" s="6" t="s">
        <v>58</v>
      </c>
      <c r="E78" s="15">
        <f>VLOOKUP($B$1,'Allocated Expenses'!$B$132:$P$141,4,FALSE)</f>
        <v>0</v>
      </c>
      <c r="F78" s="15">
        <f>VLOOKUP($B$1,'Allocated Expenses'!$B$132:$P$141,5,FALSE)</f>
        <v>0</v>
      </c>
      <c r="G78" s="15">
        <f>VLOOKUP($B$1,'Allocated Expenses'!$B$132:$P$141,6,FALSE)</f>
        <v>0</v>
      </c>
      <c r="H78" s="15">
        <f>VLOOKUP($B$1,'Allocated Expenses'!$B$132:$P$141,7,FALSE)</f>
        <v>0</v>
      </c>
      <c r="I78" s="15">
        <f>VLOOKUP($B$1,'Allocated Expenses'!$B$132:$P$141,8,FALSE)</f>
        <v>0</v>
      </c>
      <c r="J78" s="15">
        <f>VLOOKUP($B$1,'Allocated Expenses'!$B$132:$P$141,9,FALSE)</f>
        <v>0</v>
      </c>
      <c r="K78" s="15">
        <f>VLOOKUP($B$1,'Allocated Expenses'!$B$132:$P$141,10,FALSE)</f>
        <v>0</v>
      </c>
      <c r="L78" s="15">
        <f>VLOOKUP($B$1,'Allocated Expenses'!$B$132:$P$141,11,FALSE)</f>
        <v>0</v>
      </c>
      <c r="M78" s="15">
        <f>VLOOKUP($B$1,'Allocated Expenses'!$B$132:$P$141,12,FALSE)</f>
        <v>0</v>
      </c>
      <c r="N78" s="15">
        <f>VLOOKUP($B$1,'Allocated Expenses'!$B$132:$P$141,13,FALSE)</f>
        <v>0</v>
      </c>
      <c r="O78" s="15">
        <f>VLOOKUP($B$1,'Allocated Expenses'!$B$132:$P$141,14,FALSE)</f>
        <v>0</v>
      </c>
      <c r="P78" s="15">
        <f>VLOOKUP($B$1,'Allocated Expenses'!$B$132:$P$141,15,FALSE)</f>
        <v>0</v>
      </c>
      <c r="Q78" s="108">
        <f>SUM(E78:P78)</f>
        <v>0</v>
      </c>
      <c r="R78" s="189">
        <f t="shared" si="38"/>
        <v>0</v>
      </c>
      <c r="S78" s="304"/>
      <c r="T78" s="308"/>
    </row>
    <row r="79" spans="1:20" x14ac:dyDescent="0.35">
      <c r="A79" s="66"/>
      <c r="C79" s="6" t="s">
        <v>59</v>
      </c>
      <c r="E79" s="15">
        <f t="shared" ref="E79:Q79" si="40">SUM(E77:E78)</f>
        <v>0</v>
      </c>
      <c r="F79" s="15">
        <f t="shared" si="40"/>
        <v>0</v>
      </c>
      <c r="G79" s="15">
        <f t="shared" si="40"/>
        <v>0</v>
      </c>
      <c r="H79" s="15">
        <f t="shared" si="40"/>
        <v>0</v>
      </c>
      <c r="I79" s="15">
        <f t="shared" si="40"/>
        <v>0</v>
      </c>
      <c r="J79" s="15">
        <f t="shared" si="40"/>
        <v>0</v>
      </c>
      <c r="K79" s="15">
        <f t="shared" si="40"/>
        <v>0</v>
      </c>
      <c r="L79" s="15">
        <f t="shared" si="40"/>
        <v>0</v>
      </c>
      <c r="M79" s="15">
        <f t="shared" si="40"/>
        <v>0</v>
      </c>
      <c r="N79" s="15">
        <f t="shared" si="40"/>
        <v>0</v>
      </c>
      <c r="O79" s="15">
        <f t="shared" si="40"/>
        <v>0</v>
      </c>
      <c r="P79" s="15">
        <f t="shared" si="40"/>
        <v>0</v>
      </c>
      <c r="Q79" s="108">
        <f t="shared" si="40"/>
        <v>0</v>
      </c>
      <c r="R79" s="189">
        <f t="shared" si="38"/>
        <v>0</v>
      </c>
      <c r="S79" s="309">
        <v>0</v>
      </c>
      <c r="T79" s="310" t="str">
        <f t="shared" ref="T79" si="41">IFERROR(Q79/S79-1,"")</f>
        <v/>
      </c>
    </row>
    <row r="80" spans="1:20" x14ac:dyDescent="0.35">
      <c r="A80" s="66"/>
      <c r="Q80" s="101"/>
      <c r="R80" s="184"/>
      <c r="S80" s="304"/>
      <c r="T80" s="308"/>
    </row>
    <row r="81" spans="1:22" x14ac:dyDescent="0.35">
      <c r="A81" s="66" t="s">
        <v>138</v>
      </c>
      <c r="D81" s="6" t="s">
        <v>60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01">
        <f>SUM(E81:P81)</f>
        <v>0</v>
      </c>
      <c r="R81" s="184">
        <f t="shared" si="38"/>
        <v>0</v>
      </c>
      <c r="S81" s="304"/>
      <c r="T81" s="308"/>
    </row>
    <row r="82" spans="1:22" x14ac:dyDescent="0.35">
      <c r="A82" s="66" t="s">
        <v>139</v>
      </c>
      <c r="D82" s="6" t="s">
        <v>20</v>
      </c>
      <c r="E82" s="12">
        <f>1.03*255</f>
        <v>262.65000000000003</v>
      </c>
      <c r="F82" s="12">
        <f>1.03*189</f>
        <v>194.67000000000002</v>
      </c>
      <c r="G82" s="12">
        <f>1.03*200</f>
        <v>206</v>
      </c>
      <c r="H82" s="12">
        <f>1.03*268</f>
        <v>276.04000000000002</v>
      </c>
      <c r="I82" s="12">
        <f>1.03*232</f>
        <v>238.96</v>
      </c>
      <c r="J82" s="12">
        <f>1.03*144</f>
        <v>148.32</v>
      </c>
      <c r="K82" s="12">
        <f>1.03*213</f>
        <v>219.39000000000001</v>
      </c>
      <c r="L82" s="12">
        <f>1.03*349</f>
        <v>359.47</v>
      </c>
      <c r="M82" s="12">
        <f>1.03*332</f>
        <v>341.96000000000004</v>
      </c>
      <c r="N82" s="12">
        <f>1.03*302</f>
        <v>311.06</v>
      </c>
      <c r="O82" s="12">
        <f>1.03*301</f>
        <v>310.03000000000003</v>
      </c>
      <c r="P82" s="12">
        <f>1.03*399</f>
        <v>410.97</v>
      </c>
      <c r="Q82" s="101">
        <f>SUM(E82:P82)</f>
        <v>3279.5200000000004</v>
      </c>
      <c r="R82" s="184">
        <f t="shared" si="38"/>
        <v>0.16411549817344745</v>
      </c>
      <c r="S82" s="304"/>
      <c r="T82" s="308"/>
      <c r="U82" s="23" t="s">
        <v>283</v>
      </c>
      <c r="V82" s="6" t="s">
        <v>348</v>
      </c>
    </row>
    <row r="83" spans="1:22" x14ac:dyDescent="0.35">
      <c r="A83" s="66" t="s">
        <v>140</v>
      </c>
      <c r="D83" s="6" t="s">
        <v>28</v>
      </c>
      <c r="E83" s="14">
        <f>1.03*110</f>
        <v>113.3</v>
      </c>
      <c r="F83" s="14">
        <f>1.03*43</f>
        <v>44.29</v>
      </c>
      <c r="G83" s="14">
        <f>1.03*45</f>
        <v>46.35</v>
      </c>
      <c r="H83" s="14">
        <f>1.03*48</f>
        <v>49.44</v>
      </c>
      <c r="I83" s="14">
        <f>1.03*465</f>
        <v>478.95</v>
      </c>
      <c r="J83" s="14">
        <f>1.03*51</f>
        <v>52.53</v>
      </c>
      <c r="K83" s="14">
        <f>1.03*23</f>
        <v>23.69</v>
      </c>
      <c r="L83" s="14">
        <f>1.03*126</f>
        <v>129.78</v>
      </c>
      <c r="M83" s="14">
        <f>1.03*468</f>
        <v>482.04</v>
      </c>
      <c r="N83" s="14">
        <f>1.03*366</f>
        <v>376.98</v>
      </c>
      <c r="O83" s="14">
        <f>1.03*121</f>
        <v>124.63000000000001</v>
      </c>
      <c r="P83" s="14">
        <f>1.03*268</f>
        <v>276.04000000000002</v>
      </c>
      <c r="Q83" s="108">
        <f>SUM(E83:P83)</f>
        <v>2198.02</v>
      </c>
      <c r="R83" s="189">
        <f t="shared" si="38"/>
        <v>0.10999449532102287</v>
      </c>
      <c r="S83" s="304"/>
      <c r="T83" s="308"/>
      <c r="U83" s="23" t="s">
        <v>283</v>
      </c>
      <c r="V83" s="6" t="s">
        <v>348</v>
      </c>
    </row>
    <row r="84" spans="1:22" x14ac:dyDescent="0.35">
      <c r="A84" s="66"/>
      <c r="C84" s="6" t="s">
        <v>61</v>
      </c>
      <c r="E84" s="15">
        <f t="shared" ref="E84:Q84" si="42">SUM(E81:E83)</f>
        <v>375.95000000000005</v>
      </c>
      <c r="F84" s="15">
        <f t="shared" si="42"/>
        <v>238.96</v>
      </c>
      <c r="G84" s="15">
        <f t="shared" si="42"/>
        <v>252.35</v>
      </c>
      <c r="H84" s="15">
        <f t="shared" si="42"/>
        <v>325.48</v>
      </c>
      <c r="I84" s="15">
        <f t="shared" si="42"/>
        <v>717.91</v>
      </c>
      <c r="J84" s="15">
        <f t="shared" si="42"/>
        <v>200.85</v>
      </c>
      <c r="K84" s="15">
        <f t="shared" si="42"/>
        <v>243.08</v>
      </c>
      <c r="L84" s="15">
        <f t="shared" si="42"/>
        <v>489.25</v>
      </c>
      <c r="M84" s="15">
        <f t="shared" si="42"/>
        <v>824</v>
      </c>
      <c r="N84" s="15">
        <f t="shared" si="42"/>
        <v>688.04</v>
      </c>
      <c r="O84" s="15">
        <f t="shared" si="42"/>
        <v>434.66</v>
      </c>
      <c r="P84" s="15">
        <f t="shared" si="42"/>
        <v>687.01</v>
      </c>
      <c r="Q84" s="108">
        <f t="shared" si="42"/>
        <v>5477.5400000000009</v>
      </c>
      <c r="R84" s="189">
        <f t="shared" si="38"/>
        <v>0.27410999349447035</v>
      </c>
      <c r="S84" s="309">
        <v>5914</v>
      </c>
      <c r="T84" s="310">
        <f>IFERROR(Q84/S84-1,"")</f>
        <v>-7.3801149814000544E-2</v>
      </c>
    </row>
    <row r="85" spans="1:22" x14ac:dyDescent="0.35">
      <c r="A85" s="66"/>
      <c r="Q85" s="101"/>
      <c r="R85" s="184"/>
      <c r="S85" s="304"/>
      <c r="T85" s="308"/>
    </row>
    <row r="86" spans="1:22" x14ac:dyDescent="0.35">
      <c r="A86" s="66"/>
      <c r="D86" s="50" t="s">
        <v>30</v>
      </c>
      <c r="E86" s="70">
        <f>1.03*500</f>
        <v>515</v>
      </c>
      <c r="F86" s="70">
        <f t="shared" ref="F86:P86" si="43">1.03*500</f>
        <v>515</v>
      </c>
      <c r="G86" s="70">
        <f t="shared" si="43"/>
        <v>515</v>
      </c>
      <c r="H86" s="70">
        <f t="shared" si="43"/>
        <v>515</v>
      </c>
      <c r="I86" s="70">
        <f t="shared" si="43"/>
        <v>515</v>
      </c>
      <c r="J86" s="70">
        <f t="shared" si="43"/>
        <v>515</v>
      </c>
      <c r="K86" s="70">
        <f t="shared" si="43"/>
        <v>515</v>
      </c>
      <c r="L86" s="70">
        <f t="shared" si="43"/>
        <v>515</v>
      </c>
      <c r="M86" s="70">
        <f t="shared" si="43"/>
        <v>515</v>
      </c>
      <c r="N86" s="70">
        <f t="shared" si="43"/>
        <v>515</v>
      </c>
      <c r="O86" s="70">
        <f t="shared" si="43"/>
        <v>515</v>
      </c>
      <c r="P86" s="70">
        <f t="shared" si="43"/>
        <v>515</v>
      </c>
      <c r="Q86" s="198">
        <f>SUM(E86:P86)</f>
        <v>6180</v>
      </c>
      <c r="R86" s="186">
        <f t="shared" si="38"/>
        <v>0.30926287344242609</v>
      </c>
      <c r="S86" s="304"/>
      <c r="T86" s="308"/>
      <c r="U86" s="23" t="s">
        <v>283</v>
      </c>
      <c r="V86" s="6" t="s">
        <v>348</v>
      </c>
    </row>
    <row r="87" spans="1:22" x14ac:dyDescent="0.35">
      <c r="A87" s="66"/>
      <c r="D87" s="52" t="s">
        <v>31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08">
        <f>SUM(E87:P87)</f>
        <v>0</v>
      </c>
      <c r="R87" s="188">
        <f t="shared" si="38"/>
        <v>0</v>
      </c>
      <c r="S87" s="304"/>
      <c r="T87" s="308"/>
    </row>
    <row r="88" spans="1:22" x14ac:dyDescent="0.35">
      <c r="A88" s="66" t="s">
        <v>116</v>
      </c>
      <c r="C88" s="6" t="s">
        <v>32</v>
      </c>
      <c r="E88" s="15">
        <f t="shared" ref="E88:Q88" si="44">SUM(E86:E87)</f>
        <v>515</v>
      </c>
      <c r="F88" s="15">
        <f t="shared" si="44"/>
        <v>515</v>
      </c>
      <c r="G88" s="15">
        <f t="shared" si="44"/>
        <v>515</v>
      </c>
      <c r="H88" s="15">
        <f t="shared" si="44"/>
        <v>515</v>
      </c>
      <c r="I88" s="15">
        <f t="shared" si="44"/>
        <v>515</v>
      </c>
      <c r="J88" s="15">
        <f t="shared" si="44"/>
        <v>515</v>
      </c>
      <c r="K88" s="15">
        <f t="shared" si="44"/>
        <v>515</v>
      </c>
      <c r="L88" s="15">
        <f t="shared" si="44"/>
        <v>515</v>
      </c>
      <c r="M88" s="15">
        <f t="shared" si="44"/>
        <v>515</v>
      </c>
      <c r="N88" s="15">
        <f t="shared" si="44"/>
        <v>515</v>
      </c>
      <c r="O88" s="15">
        <f t="shared" si="44"/>
        <v>515</v>
      </c>
      <c r="P88" s="15">
        <f t="shared" si="44"/>
        <v>515</v>
      </c>
      <c r="Q88" s="108">
        <f t="shared" si="44"/>
        <v>6180</v>
      </c>
      <c r="R88" s="189">
        <f t="shared" si="38"/>
        <v>0.30926287344242609</v>
      </c>
      <c r="S88" s="309">
        <v>6770</v>
      </c>
      <c r="T88" s="310">
        <f t="shared" ref="T88" si="45">IFERROR(Q88/S88-1,"")</f>
        <v>-8.7149187592319044E-2</v>
      </c>
    </row>
    <row r="89" spans="1:22" x14ac:dyDescent="0.35">
      <c r="A89" s="66"/>
      <c r="Q89" s="101"/>
      <c r="R89" s="184"/>
      <c r="S89" s="304"/>
      <c r="T89" s="308"/>
    </row>
    <row r="90" spans="1:22" x14ac:dyDescent="0.35">
      <c r="A90" s="66" t="s">
        <v>141</v>
      </c>
      <c r="B90" s="6" t="s">
        <v>33</v>
      </c>
      <c r="C90" s="6" t="s">
        <v>62</v>
      </c>
      <c r="E90" s="6">
        <f>ROUND(E$24*0.06,0)</f>
        <v>2143</v>
      </c>
      <c r="F90" s="6">
        <f t="shared" ref="F90:P90" si="46">ROUND(F$24*0.06,0)</f>
        <v>2143</v>
      </c>
      <c r="G90" s="6">
        <f t="shared" si="46"/>
        <v>1954</v>
      </c>
      <c r="H90" s="6">
        <f t="shared" si="46"/>
        <v>2387</v>
      </c>
      <c r="I90" s="6">
        <f t="shared" si="46"/>
        <v>2153</v>
      </c>
      <c r="J90" s="6">
        <f t="shared" si="46"/>
        <v>2264</v>
      </c>
      <c r="K90" s="6">
        <f t="shared" si="46"/>
        <v>2697</v>
      </c>
      <c r="L90" s="6">
        <f t="shared" si="46"/>
        <v>2489</v>
      </c>
      <c r="M90" s="6">
        <f t="shared" si="46"/>
        <v>2494</v>
      </c>
      <c r="N90" s="6">
        <f t="shared" si="46"/>
        <v>2930</v>
      </c>
      <c r="O90" s="6">
        <f t="shared" si="46"/>
        <v>2497</v>
      </c>
      <c r="P90" s="6">
        <f t="shared" si="46"/>
        <v>4967</v>
      </c>
      <c r="Q90" s="101">
        <f>SUM(E90:P90)</f>
        <v>31118</v>
      </c>
      <c r="R90" s="184">
        <f t="shared" ref="R90" si="47">Q90/$B$4</f>
        <v>1.55722364009408</v>
      </c>
      <c r="S90" s="304">
        <v>33983</v>
      </c>
      <c r="T90" s="308">
        <f t="shared" ref="T90:T92" si="48">IFERROR(Q90/S90-1,"")</f>
        <v>-8.4306859312008986E-2</v>
      </c>
      <c r="U90" s="233"/>
    </row>
    <row r="91" spans="1:22" x14ac:dyDescent="0.35">
      <c r="A91" s="66"/>
      <c r="Q91" s="101"/>
      <c r="R91" s="184"/>
      <c r="S91" s="304"/>
      <c r="T91" s="308" t="str">
        <f t="shared" si="48"/>
        <v/>
      </c>
    </row>
    <row r="92" spans="1:22" x14ac:dyDescent="0.35">
      <c r="A92" s="66" t="s">
        <v>117</v>
      </c>
      <c r="C92" s="6" t="s">
        <v>63</v>
      </c>
      <c r="E92" s="6">
        <f>VLOOKUP($B$1,'Allocated Expenses'!$B$34:$P$43,4,FALSE)+VLOOKUP($B$1,'Allocated Expenses'!$B$48:$P$57,4,FALSE)</f>
        <v>0</v>
      </c>
      <c r="F92" s="6">
        <f>VLOOKUP($B$1,'Allocated Expenses'!$B$34:$P$43,5,FALSE)+VLOOKUP($B$1,'Allocated Expenses'!$B$48:$P$57,5,FALSE)</f>
        <v>0</v>
      </c>
      <c r="G92" s="6">
        <f>VLOOKUP($B$1,'Allocated Expenses'!$B$34:$P$43,6,FALSE)+VLOOKUP($B$1,'Allocated Expenses'!$B$48:$P$57,6,FALSE)</f>
        <v>0</v>
      </c>
      <c r="H92" s="6">
        <f>VLOOKUP($B$1,'Allocated Expenses'!$B$34:$P$43,7,FALSE)+VLOOKUP($B$1,'Allocated Expenses'!$B$48:$P$57,7,FALSE)</f>
        <v>0</v>
      </c>
      <c r="I92" s="6">
        <f>VLOOKUP($B$1,'Allocated Expenses'!$B$34:$P$43,8,FALSE)+VLOOKUP($B$1,'Allocated Expenses'!$B$48:$P$57,8,FALSE)</f>
        <v>0</v>
      </c>
      <c r="J92" s="6">
        <f>VLOOKUP($B$1,'Allocated Expenses'!$B$34:$P$43,9,FALSE)+VLOOKUP($B$1,'Allocated Expenses'!$B$48:$P$57,9,FALSE)</f>
        <v>0</v>
      </c>
      <c r="K92" s="6">
        <f>VLOOKUP($B$1,'Allocated Expenses'!$B$34:$P$43,10,FALSE)+VLOOKUP($B$1,'Allocated Expenses'!$B$48:$P$57,10,FALSE)</f>
        <v>0</v>
      </c>
      <c r="L92" s="6">
        <f>VLOOKUP($B$1,'Allocated Expenses'!$B$34:$P$43,11,FALSE)+VLOOKUP($B$1,'Allocated Expenses'!$B$48:$P$57,11,FALSE)</f>
        <v>0</v>
      </c>
      <c r="M92" s="6">
        <f>VLOOKUP($B$1,'Allocated Expenses'!$B$34:$P$43,12,FALSE)+VLOOKUP($B$1,'Allocated Expenses'!$B$48:$P$57,12,FALSE)</f>
        <v>0</v>
      </c>
      <c r="N92" s="6">
        <f>VLOOKUP($B$1,'Allocated Expenses'!$B$34:$P$43,13,FALSE)+VLOOKUP($B$1,'Allocated Expenses'!$B$48:$P$57,13,FALSE)</f>
        <v>0</v>
      </c>
      <c r="O92" s="6">
        <f>VLOOKUP($B$1,'Allocated Expenses'!$B$34:$P$43,14,FALSE)+VLOOKUP($B$1,'Allocated Expenses'!$B$48:$P$57,14,FALSE)</f>
        <v>0</v>
      </c>
      <c r="P92" s="6">
        <f>VLOOKUP($B$1,'Allocated Expenses'!$B$34:$P$43,15,FALSE)+VLOOKUP($B$1,'Allocated Expenses'!$B$48:$P$57,15,FALSE)</f>
        <v>0</v>
      </c>
      <c r="Q92" s="101">
        <f>SUM(E92:P92)</f>
        <v>0</v>
      </c>
      <c r="R92" s="184">
        <f t="shared" si="38"/>
        <v>0</v>
      </c>
      <c r="S92" s="304">
        <v>902</v>
      </c>
      <c r="T92" s="308">
        <f t="shared" si="48"/>
        <v>-1</v>
      </c>
    </row>
    <row r="93" spans="1:22" x14ac:dyDescent="0.35">
      <c r="A93" s="66"/>
      <c r="Q93" s="101"/>
      <c r="R93" s="184"/>
      <c r="S93" s="304"/>
      <c r="T93" s="308"/>
    </row>
    <row r="94" spans="1:22" x14ac:dyDescent="0.35">
      <c r="A94" s="66" t="s">
        <v>118</v>
      </c>
      <c r="C94" s="6" t="s">
        <v>64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01">
        <f>SUM(E94:P94)</f>
        <v>0</v>
      </c>
      <c r="R94" s="184">
        <f t="shared" ref="R94" si="49">Q94/$B$4</f>
        <v>0</v>
      </c>
      <c r="S94" s="304">
        <v>922</v>
      </c>
      <c r="T94" s="308">
        <f t="shared" ref="T94" si="50">IFERROR(Q94/S94-1,"")</f>
        <v>-1</v>
      </c>
      <c r="U94" s="233" t="s">
        <v>283</v>
      </c>
      <c r="V94" s="6" t="s">
        <v>348</v>
      </c>
    </row>
    <row r="95" spans="1:22" x14ac:dyDescent="0.35">
      <c r="A95" s="66"/>
      <c r="Q95" s="101"/>
      <c r="R95" s="184"/>
      <c r="S95" s="304"/>
      <c r="T95" s="308"/>
    </row>
    <row r="96" spans="1:22" x14ac:dyDescent="0.35">
      <c r="A96" s="66" t="s">
        <v>119</v>
      </c>
      <c r="C96" s="6" t="s">
        <v>65</v>
      </c>
      <c r="E96" s="6">
        <f>VLOOKUP($B$1,'Allocated Expenses'!$B$62:$P$71,4,FALSE)</f>
        <v>103</v>
      </c>
      <c r="F96" s="6">
        <f>VLOOKUP($B$1,'Allocated Expenses'!$B$62:$P$71,5,FALSE)</f>
        <v>103</v>
      </c>
      <c r="G96" s="6">
        <f>VLOOKUP($B$1,'Allocated Expenses'!$B$62:$P$71,6,FALSE)</f>
        <v>103</v>
      </c>
      <c r="H96" s="6">
        <f>VLOOKUP($B$1,'Allocated Expenses'!$B$62:$P$71,7,FALSE)</f>
        <v>103</v>
      </c>
      <c r="I96" s="6">
        <f>VLOOKUP($B$1,'Allocated Expenses'!$B$62:$P$71,8,FALSE)</f>
        <v>103</v>
      </c>
      <c r="J96" s="6">
        <f>VLOOKUP($B$1,'Allocated Expenses'!$B$62:$P$71,9,FALSE)</f>
        <v>103</v>
      </c>
      <c r="K96" s="6">
        <f>VLOOKUP($B$1,'Allocated Expenses'!$B$62:$P$71,10,FALSE)</f>
        <v>103</v>
      </c>
      <c r="L96" s="6">
        <f>VLOOKUP($B$1,'Allocated Expenses'!$B$62:$P$71,11,FALSE)</f>
        <v>103</v>
      </c>
      <c r="M96" s="6">
        <f>VLOOKUP($B$1,'Allocated Expenses'!$B$62:$P$71,12,FALSE)</f>
        <v>103</v>
      </c>
      <c r="N96" s="6">
        <f>VLOOKUP($B$1,'Allocated Expenses'!$B$62:$P$71,13,FALSE)</f>
        <v>103</v>
      </c>
      <c r="O96" s="6">
        <f>VLOOKUP($B$1,'Allocated Expenses'!$B$62:$P$71,14,FALSE)</f>
        <v>103</v>
      </c>
      <c r="P96" s="6">
        <f>VLOOKUP($B$1,'Allocated Expenses'!$B$62:$P$71,15,FALSE)</f>
        <v>103</v>
      </c>
      <c r="Q96" s="101">
        <f>SUM(E96:P96)</f>
        <v>1236</v>
      </c>
      <c r="R96" s="184">
        <f t="shared" si="38"/>
        <v>6.1852574688485214E-2</v>
      </c>
      <c r="S96" s="304">
        <v>4180</v>
      </c>
      <c r="T96" s="308">
        <f t="shared" ref="T96" si="51">IFERROR(Q96/S96-1,"")</f>
        <v>-0.70430622009569377</v>
      </c>
    </row>
    <row r="97" spans="1:21" x14ac:dyDescent="0.35">
      <c r="A97" s="66"/>
      <c r="Q97" s="101"/>
      <c r="R97" s="184"/>
      <c r="S97" s="304"/>
      <c r="T97" s="308"/>
    </row>
    <row r="98" spans="1:21" x14ac:dyDescent="0.35">
      <c r="A98" s="66" t="s">
        <v>126</v>
      </c>
      <c r="D98" s="6" t="s">
        <v>66</v>
      </c>
      <c r="E98" s="6">
        <f>VLOOKUP($B$1,'Allocated Expenses'!$B$76:$P$85,4,FALSE)</f>
        <v>0</v>
      </c>
      <c r="F98" s="6">
        <f>VLOOKUP($B$1,'Allocated Expenses'!$B$76:$P$85,5,FALSE)</f>
        <v>0</v>
      </c>
      <c r="G98" s="6">
        <f>VLOOKUP($B$1,'Allocated Expenses'!$B$76:$P$85,6,FALSE)</f>
        <v>0</v>
      </c>
      <c r="H98" s="6">
        <f>VLOOKUP($B$1,'Allocated Expenses'!$B$76:$P$85,7,FALSE)</f>
        <v>0</v>
      </c>
      <c r="I98" s="6">
        <f>VLOOKUP($B$1,'Allocated Expenses'!$B$76:$P$85,8,FALSE)</f>
        <v>0</v>
      </c>
      <c r="J98" s="6">
        <f>VLOOKUP($B$1,'Allocated Expenses'!$B$76:$P$85,9,FALSE)</f>
        <v>0</v>
      </c>
      <c r="K98" s="6">
        <f>VLOOKUP($B$1,'Allocated Expenses'!$B$76:$P$85,10,FALSE)</f>
        <v>0</v>
      </c>
      <c r="L98" s="6">
        <f>VLOOKUP($B$1,'Allocated Expenses'!$B$76:$P$85,11,FALSE)</f>
        <v>0</v>
      </c>
      <c r="M98" s="6">
        <f>VLOOKUP($B$1,'Allocated Expenses'!$B$76:$P$85,12,FALSE)</f>
        <v>0</v>
      </c>
      <c r="N98" s="6">
        <f>VLOOKUP($B$1,'Allocated Expenses'!$B$76:$P$85,13,FALSE)</f>
        <v>0</v>
      </c>
      <c r="O98" s="6">
        <f>VLOOKUP($B$1,'Allocated Expenses'!$B$76:$P$85,14,FALSE)</f>
        <v>0</v>
      </c>
      <c r="P98" s="6">
        <f>VLOOKUP($B$1,'Allocated Expenses'!$B$76:$P$85,15,FALSE)</f>
        <v>0</v>
      </c>
      <c r="Q98" s="101">
        <f>SUM(E98:P98)</f>
        <v>0</v>
      </c>
      <c r="R98" s="184">
        <f t="shared" si="38"/>
        <v>0</v>
      </c>
      <c r="S98" s="304"/>
      <c r="T98" s="308"/>
    </row>
    <row r="99" spans="1:21" x14ac:dyDescent="0.35">
      <c r="A99" s="66" t="s">
        <v>142</v>
      </c>
      <c r="D99" s="6" t="s">
        <v>67</v>
      </c>
      <c r="E99" s="6">
        <f>VLOOKUP($B$1,'Allocated Expenses'!$B$104:$P$113,4,FALSE)</f>
        <v>0</v>
      </c>
      <c r="F99" s="6">
        <f>VLOOKUP($B$1,'Allocated Expenses'!$B$104:$P$113,5,FALSE)</f>
        <v>0</v>
      </c>
      <c r="G99" s="6">
        <f>VLOOKUP($B$1,'Allocated Expenses'!$B$104:$P$113,6,FALSE)</f>
        <v>0</v>
      </c>
      <c r="H99" s="6">
        <f>VLOOKUP($B$1,'Allocated Expenses'!$B$104:$P$113,7,FALSE)</f>
        <v>0</v>
      </c>
      <c r="I99" s="6">
        <f>VLOOKUP($B$1,'Allocated Expenses'!$B$104:$P$113,8,FALSE)</f>
        <v>0</v>
      </c>
      <c r="J99" s="6">
        <f>VLOOKUP($B$1,'Allocated Expenses'!$B$104:$P$113,9,FALSE)</f>
        <v>0</v>
      </c>
      <c r="K99" s="6">
        <f>VLOOKUP($B$1,'Allocated Expenses'!$B$104:$P$113,10,FALSE)</f>
        <v>0</v>
      </c>
      <c r="L99" s="6">
        <f>VLOOKUP($B$1,'Allocated Expenses'!$B$104:$P$113,11,FALSE)</f>
        <v>0</v>
      </c>
      <c r="M99" s="6">
        <f>VLOOKUP($B$1,'Allocated Expenses'!$B$104:$P$113,12,FALSE)</f>
        <v>0</v>
      </c>
      <c r="N99" s="6">
        <f>VLOOKUP($B$1,'Allocated Expenses'!$B$104:$P$113,13,FALSE)</f>
        <v>0</v>
      </c>
      <c r="O99" s="6">
        <f>VLOOKUP($B$1,'Allocated Expenses'!$B$104:$P$113,14,FALSE)</f>
        <v>0</v>
      </c>
      <c r="P99" s="6">
        <f>VLOOKUP($B$1,'Allocated Expenses'!$B$104:$P$113,15,FALSE)</f>
        <v>0</v>
      </c>
      <c r="Q99" s="101">
        <f>SUM(E99:P99)</f>
        <v>0</v>
      </c>
      <c r="R99" s="184">
        <f t="shared" si="38"/>
        <v>0</v>
      </c>
      <c r="S99" s="304"/>
      <c r="T99" s="308"/>
    </row>
    <row r="100" spans="1:21" x14ac:dyDescent="0.35">
      <c r="A100" s="66" t="s">
        <v>143</v>
      </c>
      <c r="D100" s="6" t="s">
        <v>68</v>
      </c>
      <c r="E100" s="6">
        <f>VLOOKUP($B$1,'Allocated Expenses'!$B$90:$P$99,4,FALSE)</f>
        <v>0</v>
      </c>
      <c r="F100" s="6">
        <f>VLOOKUP($B$1,'Allocated Expenses'!$B$90:$P$99,5,FALSE)</f>
        <v>0</v>
      </c>
      <c r="G100" s="6">
        <f>VLOOKUP($B$1,'Allocated Expenses'!$B$90:$P$99,6,FALSE)</f>
        <v>0</v>
      </c>
      <c r="H100" s="6">
        <f>VLOOKUP($B$1,'Allocated Expenses'!$B$90:$P$99,7,FALSE)</f>
        <v>0</v>
      </c>
      <c r="I100" s="6">
        <f>VLOOKUP($B$1,'Allocated Expenses'!$B$90:$P$99,8,FALSE)</f>
        <v>0</v>
      </c>
      <c r="J100" s="6">
        <f>VLOOKUP($B$1,'Allocated Expenses'!$B$90:$P$99,9,FALSE)</f>
        <v>0</v>
      </c>
      <c r="K100" s="6">
        <f>VLOOKUP($B$1,'Allocated Expenses'!$B$90:$P$99,10,FALSE)</f>
        <v>0</v>
      </c>
      <c r="L100" s="6">
        <f>VLOOKUP($B$1,'Allocated Expenses'!$B$90:$P$99,11,FALSE)</f>
        <v>0</v>
      </c>
      <c r="M100" s="6">
        <f>VLOOKUP($B$1,'Allocated Expenses'!$B$90:$P$99,12,FALSE)</f>
        <v>0</v>
      </c>
      <c r="N100" s="6">
        <f>VLOOKUP($B$1,'Allocated Expenses'!$B$90:$P$99,13,FALSE)</f>
        <v>0</v>
      </c>
      <c r="O100" s="6">
        <f>VLOOKUP($B$1,'Allocated Expenses'!$B$90:$P$99,14,FALSE)</f>
        <v>0</v>
      </c>
      <c r="P100" s="6">
        <f>VLOOKUP($B$1,'Allocated Expenses'!$B$90:$P$99,15,FALSE)</f>
        <v>0</v>
      </c>
      <c r="Q100" s="101">
        <f>SUM(E100:P100)</f>
        <v>0</v>
      </c>
      <c r="R100" s="184">
        <f t="shared" si="38"/>
        <v>0</v>
      </c>
      <c r="S100" s="304"/>
      <c r="T100" s="308"/>
    </row>
    <row r="101" spans="1:21" x14ac:dyDescent="0.35">
      <c r="A101" s="66" t="s">
        <v>127</v>
      </c>
      <c r="D101" s="6" t="s">
        <v>69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01">
        <f>SUM(E101:P101)</f>
        <v>0</v>
      </c>
      <c r="R101" s="184">
        <f t="shared" si="38"/>
        <v>0</v>
      </c>
      <c r="S101" s="304"/>
      <c r="T101" s="308"/>
    </row>
    <row r="102" spans="1:21" x14ac:dyDescent="0.35">
      <c r="A102" s="66" t="s">
        <v>120</v>
      </c>
      <c r="D102" s="6" t="s">
        <v>70</v>
      </c>
      <c r="E102" s="15">
        <f>VLOOKUP($B$1,'Allocated Expenses'!$B$118:$P$127,4,FALSE)</f>
        <v>0</v>
      </c>
      <c r="F102" s="15">
        <f>VLOOKUP($B$1,'Allocated Expenses'!$B$118:$P$127,5,FALSE)</f>
        <v>0</v>
      </c>
      <c r="G102" s="15">
        <f>VLOOKUP($B$1,'Allocated Expenses'!$B$118:$P$127,6,FALSE)</f>
        <v>0</v>
      </c>
      <c r="H102" s="15">
        <f>VLOOKUP($B$1,'Allocated Expenses'!$B$118:$P$127,7,FALSE)</f>
        <v>0</v>
      </c>
      <c r="I102" s="15">
        <f>VLOOKUP($B$1,'Allocated Expenses'!$B$118:$P$127,8,FALSE)</f>
        <v>0</v>
      </c>
      <c r="J102" s="15">
        <f>VLOOKUP($B$1,'Allocated Expenses'!$B$118:$P$127,9,FALSE)</f>
        <v>0</v>
      </c>
      <c r="K102" s="15">
        <f>VLOOKUP($B$1,'Allocated Expenses'!$B$118:$P$127,10,FALSE)</f>
        <v>0</v>
      </c>
      <c r="L102" s="15">
        <f>VLOOKUP($B$1,'Allocated Expenses'!$B$118:$P$127,11,FALSE)</f>
        <v>0</v>
      </c>
      <c r="M102" s="15">
        <f>VLOOKUP($B$1,'Allocated Expenses'!$B$118:$P$127,12,FALSE)</f>
        <v>0</v>
      </c>
      <c r="N102" s="15">
        <f>VLOOKUP($B$1,'Allocated Expenses'!$B$118:$P$127,13,FALSE)</f>
        <v>0</v>
      </c>
      <c r="O102" s="15">
        <f>VLOOKUP($B$1,'Allocated Expenses'!$B$118:$P$127,14,FALSE)</f>
        <v>0</v>
      </c>
      <c r="P102" s="15">
        <f>VLOOKUP($B$1,'Allocated Expenses'!$B$118:$P$127,15,FALSE)</f>
        <v>0</v>
      </c>
      <c r="Q102" s="108">
        <f>SUM(E102:P102)</f>
        <v>0</v>
      </c>
      <c r="R102" s="189">
        <f t="shared" si="38"/>
        <v>0</v>
      </c>
      <c r="S102" s="304"/>
      <c r="T102" s="308"/>
    </row>
    <row r="103" spans="1:21" x14ac:dyDescent="0.35">
      <c r="A103" s="66"/>
      <c r="C103" s="6" t="s">
        <v>71</v>
      </c>
      <c r="E103" s="15">
        <f t="shared" ref="E103:Q103" si="52">SUM(E98:E102)</f>
        <v>0</v>
      </c>
      <c r="F103" s="15">
        <f t="shared" si="52"/>
        <v>0</v>
      </c>
      <c r="G103" s="15">
        <f t="shared" si="52"/>
        <v>0</v>
      </c>
      <c r="H103" s="15">
        <f t="shared" si="52"/>
        <v>0</v>
      </c>
      <c r="I103" s="15">
        <f t="shared" si="52"/>
        <v>0</v>
      </c>
      <c r="J103" s="15">
        <f t="shared" si="52"/>
        <v>0</v>
      </c>
      <c r="K103" s="15">
        <f t="shared" si="52"/>
        <v>0</v>
      </c>
      <c r="L103" s="15">
        <f t="shared" si="52"/>
        <v>0</v>
      </c>
      <c r="M103" s="15">
        <f t="shared" si="52"/>
        <v>0</v>
      </c>
      <c r="N103" s="15">
        <f t="shared" si="52"/>
        <v>0</v>
      </c>
      <c r="O103" s="15">
        <f t="shared" si="52"/>
        <v>0</v>
      </c>
      <c r="P103" s="15">
        <f t="shared" si="52"/>
        <v>0</v>
      </c>
      <c r="Q103" s="108">
        <f t="shared" si="52"/>
        <v>0</v>
      </c>
      <c r="R103" s="189">
        <f t="shared" si="38"/>
        <v>0</v>
      </c>
      <c r="S103" s="309">
        <v>2791</v>
      </c>
      <c r="T103" s="310">
        <f t="shared" ref="T103" si="53">IFERROR(Q103/S103-1,"")</f>
        <v>-1</v>
      </c>
    </row>
    <row r="104" spans="1:21" x14ac:dyDescent="0.35">
      <c r="A104" s="66"/>
      <c r="Q104" s="101"/>
      <c r="R104" s="184"/>
      <c r="S104" s="304"/>
      <c r="T104" s="308"/>
    </row>
    <row r="105" spans="1:21" ht="18" x14ac:dyDescent="0.35">
      <c r="A105" s="66"/>
      <c r="C105" s="29" t="s">
        <v>72</v>
      </c>
      <c r="D105" s="54"/>
      <c r="E105" s="54">
        <f t="shared" ref="E105:Q105" si="54">+E75+E79+E84+E88+E90+E92+E94+E96+E103</f>
        <v>3136.95</v>
      </c>
      <c r="F105" s="54">
        <f t="shared" si="54"/>
        <v>2999.96</v>
      </c>
      <c r="G105" s="54">
        <f t="shared" si="54"/>
        <v>2824.35</v>
      </c>
      <c r="H105" s="54">
        <f t="shared" si="54"/>
        <v>3330.48</v>
      </c>
      <c r="I105" s="54">
        <f t="shared" si="54"/>
        <v>3488.91</v>
      </c>
      <c r="J105" s="54">
        <f t="shared" si="54"/>
        <v>3082.85</v>
      </c>
      <c r="K105" s="54">
        <f t="shared" si="54"/>
        <v>3558.08</v>
      </c>
      <c r="L105" s="54">
        <f t="shared" si="54"/>
        <v>3596.25</v>
      </c>
      <c r="M105" s="54">
        <f t="shared" si="54"/>
        <v>3936</v>
      </c>
      <c r="N105" s="54">
        <f t="shared" si="54"/>
        <v>4236.04</v>
      </c>
      <c r="O105" s="54">
        <f t="shared" si="54"/>
        <v>3549.66</v>
      </c>
      <c r="P105" s="54">
        <f t="shared" si="54"/>
        <v>6272.01</v>
      </c>
      <c r="Q105" s="109">
        <f t="shared" si="54"/>
        <v>44011.54</v>
      </c>
      <c r="R105" s="190">
        <f t="shared" si="38"/>
        <v>2.2024490817194615</v>
      </c>
      <c r="S105" s="315">
        <f t="shared" ref="S105" si="55">+S75+S79+S84+S88+S90+S92+S94+S96+S103</f>
        <v>55462</v>
      </c>
      <c r="T105" s="310">
        <f t="shared" ref="T105" si="56">IFERROR(Q105/S105-1,"")</f>
        <v>-0.20645595182286969</v>
      </c>
    </row>
    <row r="106" spans="1:21" ht="18" x14ac:dyDescent="0.35">
      <c r="A106" s="66"/>
      <c r="Q106" s="103"/>
      <c r="R106" s="185"/>
      <c r="S106" s="311"/>
      <c r="T106" s="312"/>
    </row>
    <row r="107" spans="1:21" ht="16.5" thickBot="1" x14ac:dyDescent="0.4">
      <c r="A107" s="66"/>
      <c r="Q107" s="101"/>
      <c r="R107" s="184"/>
      <c r="S107" s="304"/>
      <c r="T107" s="308"/>
    </row>
    <row r="108" spans="1:21" s="8" customFormat="1" ht="18" thickBot="1" x14ac:dyDescent="0.4">
      <c r="A108" s="218"/>
      <c r="B108" s="219" t="s">
        <v>73</v>
      </c>
      <c r="C108" s="220"/>
      <c r="D108" s="220"/>
      <c r="E108" s="220">
        <f t="shared" ref="E108:Q108" si="57">+E71+E105</f>
        <v>18335.347404788619</v>
      </c>
      <c r="F108" s="220">
        <f t="shared" si="57"/>
        <v>18198.357404788621</v>
      </c>
      <c r="G108" s="220">
        <f t="shared" si="57"/>
        <v>19801.557404788618</v>
      </c>
      <c r="H108" s="220">
        <f t="shared" si="57"/>
        <v>33412.377404788618</v>
      </c>
      <c r="I108" s="220">
        <f t="shared" si="57"/>
        <v>25569.627404788618</v>
      </c>
      <c r="J108" s="220">
        <f t="shared" si="57"/>
        <v>15864.86740478862</v>
      </c>
      <c r="K108" s="220">
        <f t="shared" si="57"/>
        <v>15604.677404788619</v>
      </c>
      <c r="L108" s="220">
        <f t="shared" si="57"/>
        <v>15726.27740478862</v>
      </c>
      <c r="M108" s="220">
        <f t="shared" si="57"/>
        <v>40187.607404788621</v>
      </c>
      <c r="N108" s="220">
        <f t="shared" si="57"/>
        <v>20523.147404788619</v>
      </c>
      <c r="O108" s="220">
        <f t="shared" si="57"/>
        <v>20160.70740478862</v>
      </c>
      <c r="P108" s="220">
        <f t="shared" si="57"/>
        <v>22410.427404788621</v>
      </c>
      <c r="Q108" s="221">
        <f t="shared" si="57"/>
        <v>265794.9788574634</v>
      </c>
      <c r="R108" s="222">
        <f t="shared" si="38"/>
        <v>13.301054839486733</v>
      </c>
      <c r="S108" s="313">
        <f t="shared" ref="S108" si="58">+S71+S105</f>
        <v>266565</v>
      </c>
      <c r="T108" s="314">
        <f>Q108/S108-1</f>
        <v>-2.8886805939887239E-3</v>
      </c>
      <c r="U108" s="238"/>
    </row>
    <row r="109" spans="1:21" ht="18" x14ac:dyDescent="0.35">
      <c r="A109" s="66"/>
      <c r="Q109" s="103"/>
      <c r="R109" s="185"/>
      <c r="S109" s="311"/>
      <c r="T109" s="312"/>
    </row>
    <row r="110" spans="1:21" ht="16.5" thickBot="1" x14ac:dyDescent="0.4">
      <c r="A110" s="66"/>
      <c r="Q110" s="101"/>
      <c r="R110" s="184"/>
      <c r="S110" s="304"/>
      <c r="T110" s="308"/>
    </row>
    <row r="111" spans="1:21" s="8" customFormat="1" ht="18" thickBot="1" x14ac:dyDescent="0.4">
      <c r="A111" s="218"/>
      <c r="B111" s="219" t="s">
        <v>74</v>
      </c>
      <c r="C111" s="220"/>
      <c r="D111" s="220"/>
      <c r="E111" s="220">
        <f t="shared" ref="E111:Q111" si="59">+E24-E108</f>
        <v>17385.572595211379</v>
      </c>
      <c r="F111" s="220">
        <f t="shared" si="59"/>
        <v>17522.562595211377</v>
      </c>
      <c r="G111" s="220">
        <f t="shared" si="59"/>
        <v>12769.36259521138</v>
      </c>
      <c r="H111" s="220">
        <f t="shared" si="59"/>
        <v>6366.7925952113801</v>
      </c>
      <c r="I111" s="220">
        <f t="shared" si="59"/>
        <v>10308.122595211382</v>
      </c>
      <c r="J111" s="220">
        <f t="shared" si="59"/>
        <v>21873.63259521138</v>
      </c>
      <c r="K111" s="220">
        <f t="shared" si="59"/>
        <v>29342.072595211379</v>
      </c>
      <c r="L111" s="220">
        <f t="shared" si="59"/>
        <v>25760.289261878046</v>
      </c>
      <c r="M111" s="220">
        <f t="shared" si="59"/>
        <v>1370.7492618780452</v>
      </c>
      <c r="N111" s="220">
        <f t="shared" si="59"/>
        <v>28307.139261878048</v>
      </c>
      <c r="O111" s="220">
        <f t="shared" si="59"/>
        <v>21461.329261878047</v>
      </c>
      <c r="P111" s="220">
        <f t="shared" si="59"/>
        <v>60377.929261878053</v>
      </c>
      <c r="Q111" s="221">
        <f t="shared" si="59"/>
        <v>252845.55447586993</v>
      </c>
      <c r="R111" s="222">
        <f t="shared" si="38"/>
        <v>12.65303280167492</v>
      </c>
      <c r="S111" s="313">
        <f t="shared" ref="S111" si="60">+S24-S108</f>
        <v>312526</v>
      </c>
      <c r="T111" s="314">
        <f>Q111/S111-1</f>
        <v>-0.19096153767728152</v>
      </c>
      <c r="U111" s="238"/>
    </row>
    <row r="112" spans="1:21" ht="18" x14ac:dyDescent="0.35">
      <c r="A112" s="66"/>
      <c r="Q112" s="103"/>
      <c r="R112" s="185"/>
      <c r="S112" s="311"/>
      <c r="T112" s="312"/>
    </row>
    <row r="113" spans="1:22" x14ac:dyDescent="0.35">
      <c r="A113" s="66" t="s">
        <v>121</v>
      </c>
      <c r="D113" s="6" t="s">
        <v>75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01">
        <f>SUM(E113:P113)</f>
        <v>0</v>
      </c>
      <c r="R113" s="184">
        <f t="shared" si="38"/>
        <v>0</v>
      </c>
      <c r="S113" s="304"/>
      <c r="T113" s="308"/>
    </row>
    <row r="114" spans="1:22" x14ac:dyDescent="0.35">
      <c r="A114" s="66" t="s">
        <v>122</v>
      </c>
      <c r="D114" s="6" t="s">
        <v>76</v>
      </c>
      <c r="E114" s="400">
        <f>B245</f>
        <v>167200</v>
      </c>
      <c r="F114" s="400">
        <f>B259</f>
        <v>25000</v>
      </c>
      <c r="G114" s="400">
        <f>B262</f>
        <v>38500</v>
      </c>
      <c r="H114" s="400">
        <f>B282+B292</f>
        <v>297464</v>
      </c>
      <c r="I114" s="12"/>
      <c r="J114" s="12"/>
      <c r="K114" s="12"/>
      <c r="L114" s="12"/>
      <c r="M114" s="12"/>
      <c r="N114" s="12"/>
      <c r="O114" s="12"/>
      <c r="P114" s="12"/>
      <c r="Q114" s="101">
        <f>SUM(E114:P114)</f>
        <v>528164</v>
      </c>
      <c r="R114" s="184">
        <f t="shared" si="38"/>
        <v>26.430666066156231</v>
      </c>
      <c r="S114" s="304"/>
      <c r="T114" s="308"/>
      <c r="U114" s="23" t="s">
        <v>283</v>
      </c>
      <c r="V114" s="6" t="s">
        <v>613</v>
      </c>
    </row>
    <row r="115" spans="1:22" x14ac:dyDescent="0.35">
      <c r="A115" s="66" t="s">
        <v>123</v>
      </c>
      <c r="D115" s="6" t="s">
        <v>77</v>
      </c>
      <c r="E115" s="12"/>
      <c r="F115" s="12"/>
      <c r="G115" s="400">
        <f>B275</f>
        <v>128000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01">
        <f>SUM(E115:P115)</f>
        <v>128000</v>
      </c>
      <c r="R115" s="184">
        <f t="shared" si="38"/>
        <v>6.4054446279337434</v>
      </c>
      <c r="S115" s="304"/>
      <c r="T115" s="308"/>
      <c r="U115" s="23" t="s">
        <v>283</v>
      </c>
      <c r="V115" s="6" t="s">
        <v>613</v>
      </c>
    </row>
    <row r="116" spans="1:22" x14ac:dyDescent="0.35">
      <c r="A116" s="66" t="s">
        <v>129</v>
      </c>
      <c r="D116" s="6" t="s">
        <v>78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08">
        <f>SUM(E116:P116)</f>
        <v>0</v>
      </c>
      <c r="R116" s="189">
        <f t="shared" si="38"/>
        <v>0</v>
      </c>
      <c r="S116" s="304"/>
      <c r="T116" s="308"/>
    </row>
    <row r="117" spans="1:22" x14ac:dyDescent="0.35">
      <c r="A117" s="66"/>
      <c r="C117" s="6" t="s">
        <v>78</v>
      </c>
      <c r="E117" s="15">
        <f t="shared" ref="E117:Q117" si="61">SUM(E113:E116)</f>
        <v>167200</v>
      </c>
      <c r="F117" s="15">
        <f t="shared" si="61"/>
        <v>25000</v>
      </c>
      <c r="G117" s="15">
        <f t="shared" si="61"/>
        <v>166500</v>
      </c>
      <c r="H117" s="15">
        <f t="shared" si="61"/>
        <v>297464</v>
      </c>
      <c r="I117" s="15">
        <f t="shared" si="61"/>
        <v>0</v>
      </c>
      <c r="J117" s="15">
        <f t="shared" si="61"/>
        <v>0</v>
      </c>
      <c r="K117" s="15">
        <f t="shared" si="61"/>
        <v>0</v>
      </c>
      <c r="L117" s="15">
        <f t="shared" si="61"/>
        <v>0</v>
      </c>
      <c r="M117" s="15">
        <f t="shared" si="61"/>
        <v>0</v>
      </c>
      <c r="N117" s="15">
        <f t="shared" si="61"/>
        <v>0</v>
      </c>
      <c r="O117" s="15">
        <f t="shared" si="61"/>
        <v>0</v>
      </c>
      <c r="P117" s="15">
        <f t="shared" si="61"/>
        <v>0</v>
      </c>
      <c r="Q117" s="108">
        <f t="shared" si="61"/>
        <v>656164</v>
      </c>
      <c r="R117" s="189">
        <f t="shared" si="38"/>
        <v>32.836110694089975</v>
      </c>
      <c r="S117" s="309">
        <v>10728</v>
      </c>
      <c r="T117" s="310">
        <f>IFERROR(Q117/S117-1,"")</f>
        <v>60.163683818046238</v>
      </c>
    </row>
    <row r="118" spans="1:22" x14ac:dyDescent="0.35">
      <c r="A118" s="66"/>
      <c r="Q118" s="101"/>
      <c r="R118" s="184"/>
      <c r="S118" s="304"/>
      <c r="T118" s="308"/>
    </row>
    <row r="119" spans="1:22" x14ac:dyDescent="0.35">
      <c r="A119" s="66" t="s">
        <v>124</v>
      </c>
      <c r="C119" s="6" t="s">
        <v>79</v>
      </c>
      <c r="E119" s="6">
        <f>'Renew &amp; Vac '!AJ209</f>
        <v>0</v>
      </c>
      <c r="F119" s="6">
        <f>'Renew &amp; Vac '!AK209</f>
        <v>0</v>
      </c>
      <c r="G119" s="6">
        <f>'Renew &amp; Vac '!AL209</f>
        <v>0</v>
      </c>
      <c r="H119" s="6">
        <f>'Renew &amp; Vac '!AM209</f>
        <v>0</v>
      </c>
      <c r="I119" s="6">
        <f>'Renew &amp; Vac '!AN209</f>
        <v>0</v>
      </c>
      <c r="J119" s="6">
        <f>'Renew &amp; Vac '!AO209</f>
        <v>0</v>
      </c>
      <c r="K119" s="6">
        <f>'Renew &amp; Vac '!AP209</f>
        <v>0</v>
      </c>
      <c r="L119" s="6">
        <f>'Renew &amp; Vac '!AQ209</f>
        <v>0</v>
      </c>
      <c r="M119" s="6">
        <f>'Renew &amp; Vac '!AR209</f>
        <v>0</v>
      </c>
      <c r="N119" s="6">
        <f>'Renew &amp; Vac '!AS209</f>
        <v>0</v>
      </c>
      <c r="O119" s="6">
        <f>'Renew &amp; Vac '!AT209</f>
        <v>0</v>
      </c>
      <c r="P119" s="6">
        <f>'Renew &amp; Vac '!AU209</f>
        <v>0</v>
      </c>
      <c r="Q119" s="101">
        <f>SUM(E119:P119)</f>
        <v>0</v>
      </c>
      <c r="R119" s="184">
        <f t="shared" si="38"/>
        <v>0</v>
      </c>
      <c r="S119" s="304">
        <v>33130</v>
      </c>
      <c r="T119" s="308">
        <f t="shared" ref="T119" si="62">IFERROR(Q119/S119-1,"")</f>
        <v>-1</v>
      </c>
    </row>
    <row r="120" spans="1:22" ht="18" x14ac:dyDescent="0.35">
      <c r="A120" s="6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11"/>
      <c r="R120" s="192"/>
      <c r="S120" s="317"/>
      <c r="T120" s="318"/>
    </row>
    <row r="121" spans="1:22" ht="18" x14ac:dyDescent="0.35">
      <c r="A121" s="66" t="s">
        <v>125</v>
      </c>
      <c r="D121" s="6" t="s">
        <v>80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03">
        <f>SUM(E121:P121)</f>
        <v>0</v>
      </c>
      <c r="R121" s="185">
        <f t="shared" si="38"/>
        <v>0</v>
      </c>
      <c r="S121" s="311"/>
      <c r="T121" s="312"/>
    </row>
    <row r="122" spans="1:22" x14ac:dyDescent="0.35">
      <c r="A122" s="66" t="s">
        <v>125</v>
      </c>
      <c r="B122" s="8"/>
      <c r="D122" s="6" t="s">
        <v>81</v>
      </c>
      <c r="E122" s="15">
        <f>'Renew &amp; Vac '!AJ210</f>
        <v>0</v>
      </c>
      <c r="F122" s="15">
        <f>'Renew &amp; Vac '!AK210</f>
        <v>0</v>
      </c>
      <c r="G122" s="15">
        <f>'Renew &amp; Vac '!AL210</f>
        <v>0</v>
      </c>
      <c r="H122" s="15">
        <f>'Renew &amp; Vac '!AM210</f>
        <v>0</v>
      </c>
      <c r="I122" s="15">
        <f>'Renew &amp; Vac '!AN210</f>
        <v>0</v>
      </c>
      <c r="J122" s="15">
        <f>'Renew &amp; Vac '!AO210</f>
        <v>0</v>
      </c>
      <c r="K122" s="15">
        <f>'Renew &amp; Vac '!AP210</f>
        <v>0</v>
      </c>
      <c r="L122" s="15">
        <f>'Renew &amp; Vac '!AQ210</f>
        <v>0</v>
      </c>
      <c r="M122" s="15">
        <f>'Renew &amp; Vac '!AR210</f>
        <v>0</v>
      </c>
      <c r="N122" s="15">
        <f>'Renew &amp; Vac '!AS210</f>
        <v>0</v>
      </c>
      <c r="O122" s="15">
        <f>'Renew &amp; Vac '!AT210</f>
        <v>0</v>
      </c>
      <c r="P122" s="15">
        <f>'Renew &amp; Vac '!AU210</f>
        <v>0</v>
      </c>
      <c r="Q122" s="108">
        <f>SUM(E122:P122)</f>
        <v>0</v>
      </c>
      <c r="R122" s="189">
        <f t="shared" si="38"/>
        <v>0</v>
      </c>
      <c r="S122" s="319"/>
      <c r="T122" s="320"/>
    </row>
    <row r="123" spans="1:22" x14ac:dyDescent="0.35">
      <c r="A123" s="66"/>
      <c r="C123" s="6" t="s">
        <v>81</v>
      </c>
      <c r="D123" s="30"/>
      <c r="E123" s="6">
        <f>SUM(E121:E121)</f>
        <v>0</v>
      </c>
      <c r="F123" s="6">
        <f t="shared" ref="F123:Q123" si="63">SUM(F121:F122)</f>
        <v>0</v>
      </c>
      <c r="G123" s="6">
        <f t="shared" si="63"/>
        <v>0</v>
      </c>
      <c r="H123" s="6">
        <f t="shared" si="63"/>
        <v>0</v>
      </c>
      <c r="I123" s="6">
        <f t="shared" si="63"/>
        <v>0</v>
      </c>
      <c r="J123" s="6">
        <f t="shared" si="63"/>
        <v>0</v>
      </c>
      <c r="K123" s="6">
        <f t="shared" si="63"/>
        <v>0</v>
      </c>
      <c r="L123" s="6">
        <f t="shared" si="63"/>
        <v>0</v>
      </c>
      <c r="M123" s="6">
        <f t="shared" si="63"/>
        <v>0</v>
      </c>
      <c r="N123" s="6">
        <f t="shared" si="63"/>
        <v>0</v>
      </c>
      <c r="O123" s="6">
        <f t="shared" si="63"/>
        <v>0</v>
      </c>
      <c r="P123" s="6">
        <f t="shared" si="63"/>
        <v>0</v>
      </c>
      <c r="Q123" s="101">
        <f t="shared" si="63"/>
        <v>0</v>
      </c>
      <c r="R123" s="184">
        <f t="shared" si="38"/>
        <v>0</v>
      </c>
      <c r="S123" s="309"/>
      <c r="T123" s="310" t="str">
        <f t="shared" ref="T123" si="64">IFERROR(Q123/S123-1,"")</f>
        <v/>
      </c>
    </row>
    <row r="124" spans="1:22" s="8" customFormat="1" ht="18.5" thickBot="1" x14ac:dyDescent="0.4">
      <c r="A124" s="67"/>
      <c r="Q124" s="113"/>
      <c r="R124" s="194"/>
      <c r="S124" s="321"/>
      <c r="T124" s="322"/>
      <c r="U124" s="238"/>
    </row>
    <row r="125" spans="1:22" s="8" customFormat="1" ht="18" thickBot="1" x14ac:dyDescent="0.4">
      <c r="A125" s="218"/>
      <c r="B125" s="223" t="s">
        <v>82</v>
      </c>
      <c r="C125" s="224"/>
      <c r="D125" s="224"/>
      <c r="E125" s="224">
        <f t="shared" ref="E125:Q125" si="65">+E111-E117-E119-E123</f>
        <v>-149814.42740478861</v>
      </c>
      <c r="F125" s="224">
        <f t="shared" si="65"/>
        <v>-7477.4374047886231</v>
      </c>
      <c r="G125" s="224">
        <f t="shared" si="65"/>
        <v>-153730.63740478863</v>
      </c>
      <c r="H125" s="224">
        <f t="shared" si="65"/>
        <v>-291097.20740478864</v>
      </c>
      <c r="I125" s="224">
        <f t="shared" si="65"/>
        <v>10308.122595211382</v>
      </c>
      <c r="J125" s="224">
        <f t="shared" si="65"/>
        <v>21873.63259521138</v>
      </c>
      <c r="K125" s="224">
        <f t="shared" si="65"/>
        <v>29342.072595211379</v>
      </c>
      <c r="L125" s="224">
        <f t="shared" si="65"/>
        <v>25760.289261878046</v>
      </c>
      <c r="M125" s="224">
        <f t="shared" si="65"/>
        <v>1370.7492618780452</v>
      </c>
      <c r="N125" s="224">
        <f t="shared" si="65"/>
        <v>28307.139261878048</v>
      </c>
      <c r="O125" s="224">
        <f t="shared" si="65"/>
        <v>21461.329261878047</v>
      </c>
      <c r="P125" s="224">
        <f t="shared" si="65"/>
        <v>60377.929261878053</v>
      </c>
      <c r="Q125" s="221">
        <f t="shared" si="65"/>
        <v>-403318.44552413007</v>
      </c>
      <c r="R125" s="225">
        <f t="shared" si="38"/>
        <v>-20.183077892415056</v>
      </c>
      <c r="S125" s="313">
        <f>+S111-S117-S119-S123</f>
        <v>268668</v>
      </c>
      <c r="T125" s="314">
        <f>Q125/S125-1</f>
        <v>-2.5011778310931341</v>
      </c>
      <c r="U125" s="238"/>
    </row>
    <row r="126" spans="1:22" ht="18" x14ac:dyDescent="0.35">
      <c r="A126" s="66"/>
      <c r="Q126" s="101"/>
      <c r="R126" s="184"/>
      <c r="S126" s="311"/>
      <c r="T126" s="312"/>
    </row>
    <row r="127" spans="1:22" x14ac:dyDescent="0.35">
      <c r="A127" s="66"/>
      <c r="B127" s="6" t="s">
        <v>83</v>
      </c>
      <c r="Q127" s="101"/>
      <c r="R127" s="184"/>
      <c r="S127" s="304"/>
      <c r="T127" s="308"/>
    </row>
    <row r="128" spans="1:22" x14ac:dyDescent="0.35">
      <c r="A128" s="66" t="s">
        <v>128</v>
      </c>
      <c r="C128" s="6" t="s">
        <v>84</v>
      </c>
      <c r="E128" s="6">
        <f>VLOOKUP($B$1,'INS RET DEBT'!$C$98:$Q$107,3,FALSE)</f>
        <v>0</v>
      </c>
      <c r="F128" s="6">
        <f>VLOOKUP($B$1,'INS RET DEBT'!$C$98:$Q$107,4,FALSE)</f>
        <v>0</v>
      </c>
      <c r="G128" s="6">
        <f>VLOOKUP($B$1,'INS RET DEBT'!$C$98:$Q$107,5,FALSE)</f>
        <v>0</v>
      </c>
      <c r="H128" s="6">
        <f>VLOOKUP($B$1,'INS RET DEBT'!$C$98:$Q$107,6,FALSE)</f>
        <v>0</v>
      </c>
      <c r="I128" s="6">
        <f>VLOOKUP($B$1,'INS RET DEBT'!$C$98:$Q$107,7,FALSE)</f>
        <v>0</v>
      </c>
      <c r="J128" s="6">
        <f>VLOOKUP($B$1,'INS RET DEBT'!$C$98:$Q$107,8,FALSE)</f>
        <v>0</v>
      </c>
      <c r="K128" s="6">
        <f>VLOOKUP($B$1,'INS RET DEBT'!$C$98:$Q$107,9,FALSE)</f>
        <v>0</v>
      </c>
      <c r="L128" s="6">
        <f>VLOOKUP($B$1,'INS RET DEBT'!$C$98:$Q$107,10,FALSE)</f>
        <v>0</v>
      </c>
      <c r="M128" s="6">
        <f>VLOOKUP($B$1,'INS RET DEBT'!$C$98:$Q$107,11,FALSE)</f>
        <v>0</v>
      </c>
      <c r="N128" s="6">
        <f>VLOOKUP($B$1,'INS RET DEBT'!$C$98:$Q$107,12,FALSE)</f>
        <v>0</v>
      </c>
      <c r="O128" s="6">
        <f>VLOOKUP($B$1,'INS RET DEBT'!$C$98:$Q$107,13,FALSE)</f>
        <v>0</v>
      </c>
      <c r="P128" s="6">
        <f>VLOOKUP($B$1,'INS RET DEBT'!$C$98:$Q$107,14,FALSE)</f>
        <v>0</v>
      </c>
      <c r="Q128" s="101">
        <f>SUM(E128:P128)</f>
        <v>0</v>
      </c>
      <c r="R128" s="184">
        <f t="shared" si="38"/>
        <v>0</v>
      </c>
      <c r="S128" s="304">
        <v>0</v>
      </c>
      <c r="T128" s="308" t="str">
        <f t="shared" ref="T128:T129" si="66">IFERROR(Q128/S128-1,"")</f>
        <v/>
      </c>
    </row>
    <row r="129" spans="1:21" x14ac:dyDescent="0.35">
      <c r="A129" s="66" t="s">
        <v>145</v>
      </c>
      <c r="C129" s="6" t="s">
        <v>85</v>
      </c>
      <c r="E129" s="6">
        <f>VLOOKUP($B$1,'INS RET DEBT'!$C$113:$Q$122,3,FALSE)</f>
        <v>0</v>
      </c>
      <c r="F129" s="6">
        <f>VLOOKUP($B$1,'INS RET DEBT'!$C$113:$Q$122,4,FALSE)</f>
        <v>0</v>
      </c>
      <c r="G129" s="6">
        <f>VLOOKUP($B$1,'INS RET DEBT'!$C$113:$Q$122,5,FALSE)</f>
        <v>0</v>
      </c>
      <c r="H129" s="6">
        <f>VLOOKUP($B$1,'INS RET DEBT'!$C$113:$Q$122,6,FALSE)</f>
        <v>0</v>
      </c>
      <c r="I129" s="6">
        <f>VLOOKUP($B$1,'INS RET DEBT'!$C$113:$Q$122,7,FALSE)</f>
        <v>0</v>
      </c>
      <c r="J129" s="6">
        <f>VLOOKUP($B$1,'INS RET DEBT'!$C$113:$Q$122,8,FALSE)</f>
        <v>0</v>
      </c>
      <c r="K129" s="6">
        <f>VLOOKUP($B$1,'INS RET DEBT'!$C$113:$Q$122,9,FALSE)</f>
        <v>0</v>
      </c>
      <c r="L129" s="6">
        <f>VLOOKUP($B$1,'INS RET DEBT'!$C$113:$Q$122,10,FALSE)</f>
        <v>0</v>
      </c>
      <c r="M129" s="6">
        <f>VLOOKUP($B$1,'INS RET DEBT'!$C$113:$Q$122,11,FALSE)</f>
        <v>0</v>
      </c>
      <c r="N129" s="6">
        <f>VLOOKUP($B$1,'INS RET DEBT'!$C$113:$Q$122,12,FALSE)</f>
        <v>0</v>
      </c>
      <c r="O129" s="6">
        <f>VLOOKUP($B$1,'INS RET DEBT'!$C$113:$Q$122,13,FALSE)</f>
        <v>0</v>
      </c>
      <c r="P129" s="6">
        <f>VLOOKUP($B$1,'INS RET DEBT'!$C$113:$Q$122,14,FALSE)</f>
        <v>0</v>
      </c>
      <c r="Q129" s="101">
        <f>SUM(E129:P129)</f>
        <v>0</v>
      </c>
      <c r="R129" s="184">
        <f t="shared" si="38"/>
        <v>0</v>
      </c>
      <c r="S129" s="304">
        <v>0</v>
      </c>
      <c r="T129" s="308" t="str">
        <f t="shared" si="66"/>
        <v/>
      </c>
    </row>
    <row r="130" spans="1:21" x14ac:dyDescent="0.35">
      <c r="A130" s="66" t="s">
        <v>146</v>
      </c>
      <c r="C130" s="6" t="s">
        <v>86</v>
      </c>
      <c r="Q130" s="101">
        <f>SUM(E130:P130)</f>
        <v>0</v>
      </c>
      <c r="R130" s="184">
        <f t="shared" si="38"/>
        <v>0</v>
      </c>
      <c r="S130" s="304"/>
      <c r="T130" s="308"/>
    </row>
    <row r="131" spans="1:21" x14ac:dyDescent="0.35">
      <c r="A131" s="66"/>
      <c r="C131" s="6" t="s">
        <v>87</v>
      </c>
      <c r="E131" s="28">
        <f t="shared" ref="E131:Q131" si="67">SUM(E128:E130)</f>
        <v>0</v>
      </c>
      <c r="F131" s="28">
        <f t="shared" si="67"/>
        <v>0</v>
      </c>
      <c r="G131" s="28">
        <f t="shared" si="67"/>
        <v>0</v>
      </c>
      <c r="H131" s="28">
        <f t="shared" si="67"/>
        <v>0</v>
      </c>
      <c r="I131" s="28">
        <f t="shared" si="67"/>
        <v>0</v>
      </c>
      <c r="J131" s="28">
        <f t="shared" si="67"/>
        <v>0</v>
      </c>
      <c r="K131" s="28">
        <f t="shared" si="67"/>
        <v>0</v>
      </c>
      <c r="L131" s="28">
        <f t="shared" si="67"/>
        <v>0</v>
      </c>
      <c r="M131" s="28">
        <f t="shared" si="67"/>
        <v>0</v>
      </c>
      <c r="N131" s="28">
        <f t="shared" si="67"/>
        <v>0</v>
      </c>
      <c r="O131" s="28">
        <f t="shared" si="67"/>
        <v>0</v>
      </c>
      <c r="P131" s="28">
        <f t="shared" si="67"/>
        <v>0</v>
      </c>
      <c r="Q131" s="110">
        <f t="shared" si="67"/>
        <v>0</v>
      </c>
      <c r="R131" s="191">
        <f t="shared" si="38"/>
        <v>0</v>
      </c>
      <c r="S131" s="309">
        <f>SUM(S128:S129)</f>
        <v>0</v>
      </c>
      <c r="T131" s="310" t="str">
        <f>IFERROR(Q131/S131-1,"")</f>
        <v/>
      </c>
    </row>
    <row r="132" spans="1:21" ht="18" x14ac:dyDescent="0.35">
      <c r="A132" s="66"/>
      <c r="Q132" s="101"/>
      <c r="R132" s="184"/>
      <c r="S132" s="311"/>
      <c r="T132" s="312"/>
    </row>
    <row r="133" spans="1:21" ht="18.5" thickBot="1" x14ac:dyDescent="0.4">
      <c r="A133" s="67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12"/>
      <c r="R133" s="193"/>
      <c r="S133" s="311"/>
      <c r="T133" s="312"/>
    </row>
    <row r="134" spans="1:21" s="8" customFormat="1" ht="18" thickBot="1" x14ac:dyDescent="0.4">
      <c r="A134" s="218"/>
      <c r="B134" s="223" t="s">
        <v>88</v>
      </c>
      <c r="C134" s="224"/>
      <c r="D134" s="224"/>
      <c r="E134" s="224">
        <f t="shared" ref="E134:Q134" si="68">+E125-E131</f>
        <v>-149814.42740478861</v>
      </c>
      <c r="F134" s="224">
        <f t="shared" si="68"/>
        <v>-7477.4374047886231</v>
      </c>
      <c r="G134" s="224">
        <f t="shared" si="68"/>
        <v>-153730.63740478863</v>
      </c>
      <c r="H134" s="224">
        <f t="shared" si="68"/>
        <v>-291097.20740478864</v>
      </c>
      <c r="I134" s="224">
        <f t="shared" si="68"/>
        <v>10308.122595211382</v>
      </c>
      <c r="J134" s="224">
        <f t="shared" si="68"/>
        <v>21873.63259521138</v>
      </c>
      <c r="K134" s="224">
        <f t="shared" si="68"/>
        <v>29342.072595211379</v>
      </c>
      <c r="L134" s="224">
        <f t="shared" si="68"/>
        <v>25760.289261878046</v>
      </c>
      <c r="M134" s="224">
        <f t="shared" si="68"/>
        <v>1370.7492618780452</v>
      </c>
      <c r="N134" s="224">
        <f t="shared" si="68"/>
        <v>28307.139261878048</v>
      </c>
      <c r="O134" s="224">
        <f t="shared" si="68"/>
        <v>21461.329261878047</v>
      </c>
      <c r="P134" s="224">
        <f t="shared" si="68"/>
        <v>60377.929261878053</v>
      </c>
      <c r="Q134" s="221">
        <f t="shared" si="68"/>
        <v>-403318.44552413007</v>
      </c>
      <c r="R134" s="225">
        <f t="shared" si="38"/>
        <v>-20.183077892415056</v>
      </c>
      <c r="S134" s="313">
        <f>+S125-S131</f>
        <v>268668</v>
      </c>
      <c r="T134" s="314">
        <f>Q134/S134-1</f>
        <v>-2.5011778310931341</v>
      </c>
      <c r="U134" s="238"/>
    </row>
    <row r="135" spans="1:21" ht="18" x14ac:dyDescent="0.35">
      <c r="A135" s="68"/>
      <c r="B135" s="8"/>
      <c r="C135" s="32"/>
      <c r="S135" s="328"/>
      <c r="T135" s="329"/>
    </row>
    <row r="136" spans="1:21" s="8" customFormat="1" ht="17.5" x14ac:dyDescent="0.3">
      <c r="A136" s="68"/>
      <c r="C136" s="32"/>
      <c r="D136" s="33"/>
      <c r="S136" s="328"/>
      <c r="T136" s="329"/>
      <c r="U136" s="238"/>
    </row>
    <row r="137" spans="1:21" ht="18" x14ac:dyDescent="0.35">
      <c r="A137" s="66"/>
      <c r="S137" s="328"/>
      <c r="T137" s="329"/>
    </row>
    <row r="138" spans="1:21" x14ac:dyDescent="0.35">
      <c r="A138" s="69"/>
    </row>
    <row r="139" spans="1:21" x14ac:dyDescent="0.35">
      <c r="A139" s="69"/>
    </row>
    <row r="140" spans="1:21" ht="17.5" x14ac:dyDescent="0.35">
      <c r="B140" s="9" t="str">
        <f>"Rental Summary by Month "&amp;C1</f>
        <v>Rental Summary by Month - Shops at Lafayette Hill</v>
      </c>
      <c r="E140" s="349"/>
      <c r="F140" s="350"/>
      <c r="G140" s="350"/>
      <c r="H140" s="350"/>
      <c r="I140" s="350"/>
      <c r="J140" s="350"/>
      <c r="K140" s="350"/>
      <c r="L140" s="350"/>
      <c r="M140" s="350"/>
      <c r="N140" s="350"/>
      <c r="O140" s="350"/>
      <c r="P140" s="350"/>
      <c r="T140" s="6"/>
      <c r="U140" s="6"/>
    </row>
    <row r="141" spans="1:21" x14ac:dyDescent="0.35">
      <c r="B141" s="15" t="s">
        <v>503</v>
      </c>
      <c r="C141" s="15"/>
      <c r="D141" s="15" t="s">
        <v>302</v>
      </c>
      <c r="E141" s="338">
        <f>E160</f>
        <v>46023</v>
      </c>
      <c r="F141" s="338">
        <f t="shared" ref="F141:P141" si="69">F160</f>
        <v>46054</v>
      </c>
      <c r="G141" s="338">
        <f t="shared" si="69"/>
        <v>46082</v>
      </c>
      <c r="H141" s="338">
        <f t="shared" si="69"/>
        <v>46113</v>
      </c>
      <c r="I141" s="338">
        <f t="shared" si="69"/>
        <v>46143</v>
      </c>
      <c r="J141" s="338">
        <f t="shared" si="69"/>
        <v>46174</v>
      </c>
      <c r="K141" s="338">
        <f t="shared" si="69"/>
        <v>46204</v>
      </c>
      <c r="L141" s="338">
        <f t="shared" si="69"/>
        <v>46235</v>
      </c>
      <c r="M141" s="338">
        <f t="shared" si="69"/>
        <v>46266</v>
      </c>
      <c r="N141" s="338">
        <f t="shared" si="69"/>
        <v>46296</v>
      </c>
      <c r="O141" s="338">
        <f t="shared" si="69"/>
        <v>46327</v>
      </c>
      <c r="P141" s="338">
        <f t="shared" si="69"/>
        <v>46357</v>
      </c>
      <c r="Q141" s="285" t="s">
        <v>12</v>
      </c>
      <c r="T141" s="6"/>
      <c r="U141" s="6"/>
    </row>
    <row r="142" spans="1:21" x14ac:dyDescent="0.35">
      <c r="B142" s="79" t="str">
        <f t="shared" ref="B142:B153" si="70">B161</f>
        <v>9510-400</v>
      </c>
      <c r="D142" s="6" t="str">
        <f t="shared" ref="D142:D155" si="71">IF(D161="None",D180,D161)</f>
        <v>From the Boot</v>
      </c>
      <c r="E142" s="6">
        <f t="shared" ref="E142:P155" si="72">SUMIF($B$161:$B$174,$B142,E$161:E$174)+SUMIF($B$180:$B$193,$B142,E$180:E$193)</f>
        <v>0</v>
      </c>
      <c r="F142" s="6">
        <f t="shared" si="72"/>
        <v>0</v>
      </c>
      <c r="G142" s="6">
        <f t="shared" si="72"/>
        <v>0</v>
      </c>
      <c r="H142" s="6">
        <f t="shared" si="72"/>
        <v>0</v>
      </c>
      <c r="I142" s="6">
        <f t="shared" si="72"/>
        <v>0</v>
      </c>
      <c r="J142" s="6">
        <f t="shared" si="72"/>
        <v>0</v>
      </c>
      <c r="K142" s="6">
        <f t="shared" si="72"/>
        <v>0</v>
      </c>
      <c r="L142" s="6">
        <f t="shared" si="72"/>
        <v>991.875</v>
      </c>
      <c r="M142" s="6">
        <f t="shared" si="72"/>
        <v>991.875</v>
      </c>
      <c r="N142" s="6">
        <f t="shared" si="72"/>
        <v>991.875</v>
      </c>
      <c r="O142" s="6">
        <f t="shared" si="72"/>
        <v>991.875</v>
      </c>
      <c r="P142" s="6">
        <f t="shared" si="72"/>
        <v>991.875</v>
      </c>
      <c r="Q142" s="87">
        <f>SUM(E142:P142)</f>
        <v>4959.375</v>
      </c>
      <c r="T142" s="6"/>
      <c r="U142" s="6"/>
    </row>
    <row r="143" spans="1:21" x14ac:dyDescent="0.35">
      <c r="B143" s="79" t="str">
        <f t="shared" si="70"/>
        <v>9510-404</v>
      </c>
      <c r="D143" s="6" t="str">
        <f t="shared" si="71"/>
        <v>From the Boot</v>
      </c>
      <c r="E143" s="6">
        <f t="shared" si="72"/>
        <v>0</v>
      </c>
      <c r="F143" s="6">
        <f t="shared" si="72"/>
        <v>0</v>
      </c>
      <c r="G143" s="6">
        <f t="shared" si="72"/>
        <v>0</v>
      </c>
      <c r="H143" s="6">
        <f t="shared" si="72"/>
        <v>0</v>
      </c>
      <c r="I143" s="6">
        <f t="shared" si="72"/>
        <v>0</v>
      </c>
      <c r="J143" s="6">
        <f t="shared" si="72"/>
        <v>0</v>
      </c>
      <c r="K143" s="6">
        <f t="shared" si="72"/>
        <v>0</v>
      </c>
      <c r="L143" s="6">
        <f t="shared" si="72"/>
        <v>4993.125</v>
      </c>
      <c r="M143" s="6">
        <f t="shared" si="72"/>
        <v>4993.125</v>
      </c>
      <c r="N143" s="6">
        <f t="shared" si="72"/>
        <v>4993.125</v>
      </c>
      <c r="O143" s="6">
        <f t="shared" si="72"/>
        <v>4993.125</v>
      </c>
      <c r="P143" s="6">
        <f t="shared" si="72"/>
        <v>4993.125</v>
      </c>
      <c r="Q143" s="8">
        <f t="shared" ref="Q143:Q155" si="73">SUM(E143:P143)</f>
        <v>24965.625</v>
      </c>
    </row>
    <row r="144" spans="1:21" x14ac:dyDescent="0.35">
      <c r="B144" s="79" t="str">
        <f t="shared" si="70"/>
        <v>9510-406</v>
      </c>
      <c r="D144" s="6" t="str">
        <f t="shared" si="71"/>
        <v>Wawa #97</v>
      </c>
      <c r="E144" s="6">
        <f t="shared" si="72"/>
        <v>7916.67</v>
      </c>
      <c r="F144" s="6">
        <f t="shared" si="72"/>
        <v>7916.67</v>
      </c>
      <c r="G144" s="6">
        <f t="shared" si="72"/>
        <v>7916.67</v>
      </c>
      <c r="H144" s="6">
        <f t="shared" si="72"/>
        <v>7916.67</v>
      </c>
      <c r="I144" s="6">
        <f t="shared" si="72"/>
        <v>7916.67</v>
      </c>
      <c r="J144" s="6">
        <f t="shared" si="72"/>
        <v>7916.67</v>
      </c>
      <c r="K144" s="6">
        <f t="shared" si="72"/>
        <v>7916.67</v>
      </c>
      <c r="L144" s="6">
        <f t="shared" si="72"/>
        <v>7916.67</v>
      </c>
      <c r="M144" s="6">
        <f t="shared" si="72"/>
        <v>7916.67</v>
      </c>
      <c r="N144" s="6">
        <f t="shared" si="72"/>
        <v>7916.67</v>
      </c>
      <c r="O144" s="6">
        <f t="shared" si="72"/>
        <v>7916.67</v>
      </c>
      <c r="P144" s="6">
        <f t="shared" si="72"/>
        <v>7916.67</v>
      </c>
      <c r="Q144" s="8">
        <f t="shared" si="73"/>
        <v>95000.04</v>
      </c>
    </row>
    <row r="145" spans="2:21" x14ac:dyDescent="0.35">
      <c r="B145" s="79" t="str">
        <f t="shared" si="70"/>
        <v>9510-408</v>
      </c>
      <c r="D145" s="6" t="str">
        <f t="shared" si="71"/>
        <v>Vino's Pizza</v>
      </c>
      <c r="E145" s="6">
        <f t="shared" si="72"/>
        <v>2604.4</v>
      </c>
      <c r="F145" s="6">
        <f t="shared" si="72"/>
        <v>2604.4</v>
      </c>
      <c r="G145" s="6">
        <f t="shared" si="72"/>
        <v>2604.4</v>
      </c>
      <c r="H145" s="6">
        <f t="shared" si="72"/>
        <v>2604.4</v>
      </c>
      <c r="I145" s="6">
        <f t="shared" si="72"/>
        <v>2604.4</v>
      </c>
      <c r="J145" s="6">
        <f t="shared" si="72"/>
        <v>2604.4</v>
      </c>
      <c r="K145" s="6">
        <f t="shared" si="72"/>
        <v>2604.4</v>
      </c>
      <c r="L145" s="6">
        <f t="shared" si="72"/>
        <v>2604.4</v>
      </c>
      <c r="M145" s="6">
        <f t="shared" si="72"/>
        <v>2604.4</v>
      </c>
      <c r="N145" s="6">
        <f t="shared" si="72"/>
        <v>2604.4</v>
      </c>
      <c r="O145" s="6">
        <f t="shared" si="72"/>
        <v>2604.4</v>
      </c>
      <c r="P145" s="6">
        <f t="shared" si="72"/>
        <v>2604.4</v>
      </c>
      <c r="Q145" s="8">
        <f t="shared" si="73"/>
        <v>31252.800000000007</v>
      </c>
    </row>
    <row r="146" spans="2:21" x14ac:dyDescent="0.35">
      <c r="B146" s="79" t="str">
        <f t="shared" si="70"/>
        <v>9510-410</v>
      </c>
      <c r="D146" s="6" t="str">
        <f t="shared" si="71"/>
        <v>Kevin Chan aka Hunan Wok</v>
      </c>
      <c r="E146" s="6">
        <f t="shared" si="72"/>
        <v>2393</v>
      </c>
      <c r="F146" s="6">
        <f t="shared" si="72"/>
        <v>2393</v>
      </c>
      <c r="G146" s="6">
        <f t="shared" si="72"/>
        <v>2393</v>
      </c>
      <c r="H146" s="6">
        <f t="shared" si="72"/>
        <v>2393</v>
      </c>
      <c r="I146" s="6">
        <f t="shared" si="72"/>
        <v>2393</v>
      </c>
      <c r="J146" s="6">
        <f t="shared" si="72"/>
        <v>2393</v>
      </c>
      <c r="K146" s="6">
        <f t="shared" si="72"/>
        <v>2393</v>
      </c>
      <c r="L146" s="6">
        <f t="shared" si="72"/>
        <v>2393</v>
      </c>
      <c r="M146" s="6">
        <f t="shared" si="72"/>
        <v>2464.79</v>
      </c>
      <c r="N146" s="6">
        <f t="shared" si="72"/>
        <v>2464.79</v>
      </c>
      <c r="O146" s="6">
        <f t="shared" si="72"/>
        <v>2464.79</v>
      </c>
      <c r="P146" s="6">
        <f t="shared" si="72"/>
        <v>2464.79</v>
      </c>
      <c r="Q146" s="8">
        <f t="shared" si="73"/>
        <v>29003.160000000003</v>
      </c>
    </row>
    <row r="147" spans="2:21" x14ac:dyDescent="0.35">
      <c r="B147" s="79" t="str">
        <f t="shared" si="70"/>
        <v>9510-412</v>
      </c>
      <c r="D147" s="6" t="str">
        <f t="shared" si="71"/>
        <v>Touch of Class</v>
      </c>
      <c r="E147" s="6">
        <f t="shared" si="72"/>
        <v>2607.4499999999998</v>
      </c>
      <c r="F147" s="6">
        <f t="shared" si="72"/>
        <v>2607.4499999999998</v>
      </c>
      <c r="G147" s="6">
        <f t="shared" si="72"/>
        <v>2607.4499999999998</v>
      </c>
      <c r="H147" s="6">
        <f t="shared" si="72"/>
        <v>2607.4499999999998</v>
      </c>
      <c r="I147" s="6">
        <f t="shared" si="72"/>
        <v>2607.4499999999998</v>
      </c>
      <c r="J147" s="6">
        <f t="shared" si="72"/>
        <v>2607.4499999999998</v>
      </c>
      <c r="K147" s="6">
        <f t="shared" si="72"/>
        <v>2607.4499999999998</v>
      </c>
      <c r="L147" s="6">
        <f t="shared" si="72"/>
        <v>2749.1166666666668</v>
      </c>
      <c r="M147" s="6">
        <f t="shared" si="72"/>
        <v>2749.1166666666668</v>
      </c>
      <c r="N147" s="6">
        <f t="shared" si="72"/>
        <v>2749.1166666666668</v>
      </c>
      <c r="O147" s="6">
        <f t="shared" si="72"/>
        <v>2749.1166666666668</v>
      </c>
      <c r="P147" s="6">
        <f t="shared" si="72"/>
        <v>2749.1166666666668</v>
      </c>
      <c r="Q147" s="8">
        <f t="shared" si="73"/>
        <v>31997.733333333344</v>
      </c>
    </row>
    <row r="148" spans="2:21" x14ac:dyDescent="0.35">
      <c r="B148" s="79" t="str">
        <f t="shared" si="70"/>
        <v>9510-414</v>
      </c>
      <c r="D148" s="6" t="str">
        <f t="shared" si="71"/>
        <v>Hair Concepts</v>
      </c>
      <c r="E148" s="6">
        <f t="shared" si="72"/>
        <v>2378.6</v>
      </c>
      <c r="F148" s="6">
        <f t="shared" si="72"/>
        <v>2378.6</v>
      </c>
      <c r="G148" s="6">
        <f t="shared" si="72"/>
        <v>2378.6</v>
      </c>
      <c r="H148" s="6">
        <f t="shared" si="72"/>
        <v>2378.6</v>
      </c>
      <c r="I148" s="6">
        <f t="shared" si="72"/>
        <v>2378.6</v>
      </c>
      <c r="J148" s="6">
        <f t="shared" si="72"/>
        <v>2378.6</v>
      </c>
      <c r="K148" s="6">
        <f t="shared" si="72"/>
        <v>2378.6</v>
      </c>
      <c r="L148" s="6">
        <f t="shared" si="72"/>
        <v>0</v>
      </c>
      <c r="M148" s="6">
        <f t="shared" si="72"/>
        <v>0</v>
      </c>
      <c r="N148" s="6">
        <f t="shared" si="72"/>
        <v>0</v>
      </c>
      <c r="O148" s="6">
        <f t="shared" si="72"/>
        <v>0</v>
      </c>
      <c r="P148" s="6">
        <f t="shared" si="72"/>
        <v>0</v>
      </c>
      <c r="Q148" s="8">
        <f t="shared" si="73"/>
        <v>16650.2</v>
      </c>
    </row>
    <row r="149" spans="2:21" x14ac:dyDescent="0.35">
      <c r="B149" s="79" t="str">
        <f t="shared" si="70"/>
        <v>9510-416</v>
      </c>
      <c r="D149" s="6" t="str">
        <f t="shared" si="71"/>
        <v>VACANT</v>
      </c>
      <c r="E149" s="6">
        <f t="shared" si="72"/>
        <v>0</v>
      </c>
      <c r="F149" s="6">
        <f t="shared" si="72"/>
        <v>0</v>
      </c>
      <c r="G149" s="6">
        <f t="shared" si="72"/>
        <v>0</v>
      </c>
      <c r="H149" s="6">
        <f t="shared" si="72"/>
        <v>0</v>
      </c>
      <c r="I149" s="6">
        <f t="shared" si="72"/>
        <v>0</v>
      </c>
      <c r="J149" s="6">
        <f t="shared" si="72"/>
        <v>0</v>
      </c>
      <c r="K149" s="6">
        <f t="shared" si="72"/>
        <v>0</v>
      </c>
      <c r="L149" s="6">
        <f t="shared" si="72"/>
        <v>0</v>
      </c>
      <c r="M149" s="6">
        <f t="shared" si="72"/>
        <v>0</v>
      </c>
      <c r="N149" s="6">
        <f t="shared" si="72"/>
        <v>0</v>
      </c>
      <c r="O149" s="6">
        <f t="shared" si="72"/>
        <v>0</v>
      </c>
      <c r="P149" s="6">
        <f t="shared" si="72"/>
        <v>0</v>
      </c>
      <c r="Q149" s="8">
        <f t="shared" si="73"/>
        <v>0</v>
      </c>
    </row>
    <row r="150" spans="2:21" x14ac:dyDescent="0.35">
      <c r="B150" s="79" t="str">
        <f t="shared" si="70"/>
        <v>9510-420</v>
      </c>
      <c r="D150" s="6" t="str">
        <f t="shared" si="71"/>
        <v>Lafayette Hill Cleaners</v>
      </c>
      <c r="E150" s="6">
        <f t="shared" si="72"/>
        <v>3560.87</v>
      </c>
      <c r="F150" s="6">
        <f t="shared" si="72"/>
        <v>3560.87</v>
      </c>
      <c r="G150" s="6">
        <f t="shared" si="72"/>
        <v>3560.87</v>
      </c>
      <c r="H150" s="6">
        <f t="shared" si="72"/>
        <v>3560.87</v>
      </c>
      <c r="I150" s="6">
        <f t="shared" si="72"/>
        <v>3667.7</v>
      </c>
      <c r="J150" s="6">
        <f t="shared" si="72"/>
        <v>3667.7</v>
      </c>
      <c r="K150" s="6">
        <f t="shared" si="72"/>
        <v>3667.7</v>
      </c>
      <c r="L150" s="6">
        <f t="shared" si="72"/>
        <v>3667.7</v>
      </c>
      <c r="M150" s="6">
        <f t="shared" si="72"/>
        <v>3667.7</v>
      </c>
      <c r="N150" s="6">
        <f t="shared" si="72"/>
        <v>3667.7</v>
      </c>
      <c r="O150" s="6">
        <f t="shared" si="72"/>
        <v>3667.7</v>
      </c>
      <c r="P150" s="6">
        <f t="shared" si="72"/>
        <v>3667.7</v>
      </c>
      <c r="Q150" s="8">
        <f t="shared" si="73"/>
        <v>43585.079999999994</v>
      </c>
    </row>
    <row r="151" spans="2:21" x14ac:dyDescent="0.35">
      <c r="B151" s="79" t="str">
        <f t="shared" si="70"/>
        <v>9510-422</v>
      </c>
      <c r="D151" s="6" t="str">
        <f t="shared" si="71"/>
        <v>Liang Jiang</v>
      </c>
      <c r="E151" s="6">
        <f t="shared" si="72"/>
        <v>2122.54</v>
      </c>
      <c r="F151" s="6">
        <f t="shared" si="72"/>
        <v>2122.54</v>
      </c>
      <c r="G151" s="6">
        <f t="shared" si="72"/>
        <v>2122.54</v>
      </c>
      <c r="H151" s="6">
        <f t="shared" si="72"/>
        <v>2122.54</v>
      </c>
      <c r="I151" s="6">
        <f t="shared" si="72"/>
        <v>2122.54</v>
      </c>
      <c r="J151" s="6">
        <f t="shared" si="72"/>
        <v>2122.54</v>
      </c>
      <c r="K151" s="6">
        <f t="shared" si="72"/>
        <v>2122.54</v>
      </c>
      <c r="L151" s="6">
        <f t="shared" si="72"/>
        <v>2122.54</v>
      </c>
      <c r="M151" s="6">
        <f t="shared" si="72"/>
        <v>2122.54</v>
      </c>
      <c r="N151" s="6">
        <f t="shared" si="72"/>
        <v>2186.2199999999998</v>
      </c>
      <c r="O151" s="6">
        <f t="shared" si="72"/>
        <v>2186.2199999999998</v>
      </c>
      <c r="P151" s="6">
        <f t="shared" si="72"/>
        <v>2186.2199999999998</v>
      </c>
      <c r="Q151" s="8">
        <f t="shared" si="73"/>
        <v>25661.520000000008</v>
      </c>
    </row>
    <row r="152" spans="2:21" x14ac:dyDescent="0.35">
      <c r="B152" s="79" t="str">
        <f t="shared" si="70"/>
        <v>9510-424</v>
      </c>
      <c r="D152" s="6" t="str">
        <f t="shared" si="71"/>
        <v>DKMNK, LLC</v>
      </c>
      <c r="E152" s="6">
        <f t="shared" si="72"/>
        <v>0</v>
      </c>
      <c r="F152" s="6">
        <f t="shared" si="72"/>
        <v>0</v>
      </c>
      <c r="G152" s="6">
        <f t="shared" si="72"/>
        <v>0</v>
      </c>
      <c r="H152" s="6">
        <f t="shared" si="72"/>
        <v>0</v>
      </c>
      <c r="I152" s="6">
        <f t="shared" si="72"/>
        <v>0</v>
      </c>
      <c r="J152" s="6">
        <f t="shared" si="72"/>
        <v>0</v>
      </c>
      <c r="K152" s="6">
        <f t="shared" si="72"/>
        <v>0</v>
      </c>
      <c r="L152" s="6">
        <f t="shared" si="72"/>
        <v>0</v>
      </c>
      <c r="M152" s="6">
        <f t="shared" si="72"/>
        <v>0</v>
      </c>
      <c r="N152" s="6">
        <f t="shared" si="72"/>
        <v>0</v>
      </c>
      <c r="O152" s="6">
        <f t="shared" si="72"/>
        <v>0</v>
      </c>
      <c r="P152" s="6">
        <f t="shared" si="72"/>
        <v>0</v>
      </c>
      <c r="Q152" s="8">
        <f t="shared" si="73"/>
        <v>0</v>
      </c>
    </row>
    <row r="153" spans="2:21" x14ac:dyDescent="0.35">
      <c r="B153" s="79" t="str">
        <f t="shared" si="70"/>
        <v>9510-426</v>
      </c>
      <c r="D153" s="6" t="str">
        <f t="shared" si="71"/>
        <v>Marvel Agency, Inc.</v>
      </c>
      <c r="E153" s="6">
        <f t="shared" si="72"/>
        <v>1674</v>
      </c>
      <c r="F153" s="6">
        <f t="shared" si="72"/>
        <v>1674</v>
      </c>
      <c r="G153" s="6">
        <f t="shared" si="72"/>
        <v>1674</v>
      </c>
      <c r="H153" s="6">
        <f t="shared" si="72"/>
        <v>1674</v>
      </c>
      <c r="I153" s="6">
        <f t="shared" si="72"/>
        <v>1674</v>
      </c>
      <c r="J153" s="6">
        <f t="shared" si="72"/>
        <v>1734.75</v>
      </c>
      <c r="K153" s="6">
        <f t="shared" si="72"/>
        <v>1734.75</v>
      </c>
      <c r="L153" s="6">
        <f t="shared" si="72"/>
        <v>1734.75</v>
      </c>
      <c r="M153" s="6">
        <f t="shared" si="72"/>
        <v>1734.75</v>
      </c>
      <c r="N153" s="6">
        <f t="shared" si="72"/>
        <v>1734.75</v>
      </c>
      <c r="O153" s="6">
        <f t="shared" si="72"/>
        <v>1734.75</v>
      </c>
      <c r="P153" s="6">
        <f t="shared" si="72"/>
        <v>1734.75</v>
      </c>
      <c r="Q153" s="8">
        <f t="shared" si="73"/>
        <v>20513.25</v>
      </c>
    </row>
    <row r="154" spans="2:21" x14ac:dyDescent="0.35">
      <c r="B154" s="79" t="str">
        <f t="shared" ref="B154:B155" si="74">B173</f>
        <v>9510-428</v>
      </c>
      <c r="D154" s="6" t="str">
        <f t="shared" si="71"/>
        <v>VACANT</v>
      </c>
      <c r="E154" s="6">
        <f t="shared" si="72"/>
        <v>0</v>
      </c>
      <c r="F154" s="6">
        <f t="shared" si="72"/>
        <v>0</v>
      </c>
      <c r="G154" s="6">
        <f t="shared" si="72"/>
        <v>0</v>
      </c>
      <c r="H154" s="6">
        <f t="shared" si="72"/>
        <v>0</v>
      </c>
      <c r="I154" s="6">
        <f t="shared" si="72"/>
        <v>0</v>
      </c>
      <c r="J154" s="6">
        <f t="shared" si="72"/>
        <v>1800</v>
      </c>
      <c r="K154" s="6">
        <f t="shared" si="72"/>
        <v>1800</v>
      </c>
      <c r="L154" s="6">
        <f t="shared" si="72"/>
        <v>1800</v>
      </c>
      <c r="M154" s="6">
        <f t="shared" si="72"/>
        <v>1800</v>
      </c>
      <c r="N154" s="6">
        <f t="shared" si="72"/>
        <v>1800</v>
      </c>
      <c r="O154" s="6">
        <f t="shared" si="72"/>
        <v>1800</v>
      </c>
      <c r="P154" s="6">
        <f t="shared" si="72"/>
        <v>1800</v>
      </c>
      <c r="Q154" s="8">
        <f t="shared" si="73"/>
        <v>12600</v>
      </c>
    </row>
    <row r="155" spans="2:21" x14ac:dyDescent="0.35">
      <c r="B155" s="227" t="str">
        <f t="shared" si="74"/>
        <v>9510-500</v>
      </c>
      <c r="C155" s="15"/>
      <c r="D155" s="15" t="str">
        <f t="shared" si="71"/>
        <v xml:space="preserve">Emily / James </v>
      </c>
      <c r="E155" s="15">
        <f t="shared" si="72"/>
        <v>3150</v>
      </c>
      <c r="F155" s="15">
        <f t="shared" si="72"/>
        <v>3150</v>
      </c>
      <c r="G155" s="15">
        <f t="shared" si="72"/>
        <v>0</v>
      </c>
      <c r="H155" s="15">
        <f t="shared" si="72"/>
        <v>0</v>
      </c>
      <c r="I155" s="15">
        <f t="shared" si="72"/>
        <v>3200</v>
      </c>
      <c r="J155" s="15">
        <f t="shared" si="72"/>
        <v>3200</v>
      </c>
      <c r="K155" s="15">
        <f t="shared" si="72"/>
        <v>3200</v>
      </c>
      <c r="L155" s="15">
        <f t="shared" si="72"/>
        <v>3200</v>
      </c>
      <c r="M155" s="15">
        <f t="shared" si="72"/>
        <v>3200</v>
      </c>
      <c r="N155" s="15">
        <f t="shared" si="72"/>
        <v>3200</v>
      </c>
      <c r="O155" s="15">
        <f t="shared" si="72"/>
        <v>3200</v>
      </c>
      <c r="P155" s="15">
        <f t="shared" si="72"/>
        <v>3200</v>
      </c>
      <c r="Q155" s="49">
        <f t="shared" si="73"/>
        <v>31900</v>
      </c>
    </row>
    <row r="156" spans="2:21" x14ac:dyDescent="0.35">
      <c r="B156" s="3"/>
      <c r="D156" s="16"/>
      <c r="E156" s="8">
        <f t="shared" ref="E156:Q156" si="75">SUM(E142:E155)</f>
        <v>28407.53</v>
      </c>
      <c r="F156" s="8">
        <f t="shared" si="75"/>
        <v>28407.53</v>
      </c>
      <c r="G156" s="8">
        <f t="shared" si="75"/>
        <v>25257.53</v>
      </c>
      <c r="H156" s="8">
        <f t="shared" si="75"/>
        <v>25257.53</v>
      </c>
      <c r="I156" s="8">
        <f t="shared" si="75"/>
        <v>28564.36</v>
      </c>
      <c r="J156" s="8">
        <f t="shared" si="75"/>
        <v>30425.11</v>
      </c>
      <c r="K156" s="8">
        <f t="shared" si="75"/>
        <v>30425.11</v>
      </c>
      <c r="L156" s="8">
        <f t="shared" si="75"/>
        <v>34173.176666666666</v>
      </c>
      <c r="M156" s="8">
        <f t="shared" si="75"/>
        <v>34244.966666666674</v>
      </c>
      <c r="N156" s="8">
        <f t="shared" si="75"/>
        <v>34308.646666666667</v>
      </c>
      <c r="O156" s="8">
        <f t="shared" si="75"/>
        <v>34308.646666666667</v>
      </c>
      <c r="P156" s="8">
        <f t="shared" si="75"/>
        <v>34308.646666666667</v>
      </c>
      <c r="Q156" s="8">
        <f t="shared" si="75"/>
        <v>368088.78333333338</v>
      </c>
    </row>
    <row r="157" spans="2:21" x14ac:dyDescent="0.35">
      <c r="B157" s="3"/>
      <c r="E157" s="55">
        <f t="shared" ref="E157:Q157" si="76">(E10+E11)-E156</f>
        <v>0</v>
      </c>
      <c r="F157" s="55">
        <f t="shared" si="76"/>
        <v>0</v>
      </c>
      <c r="G157" s="55">
        <f t="shared" si="76"/>
        <v>0</v>
      </c>
      <c r="H157" s="55">
        <f t="shared" si="76"/>
        <v>0</v>
      </c>
      <c r="I157" s="55">
        <f t="shared" si="76"/>
        <v>0</v>
      </c>
      <c r="J157" s="55">
        <f t="shared" si="76"/>
        <v>0</v>
      </c>
      <c r="K157" s="55">
        <f t="shared" si="76"/>
        <v>0</v>
      </c>
      <c r="L157" s="55">
        <f t="shared" si="76"/>
        <v>0</v>
      </c>
      <c r="M157" s="55">
        <f t="shared" si="76"/>
        <v>0</v>
      </c>
      <c r="N157" s="55">
        <f t="shared" si="76"/>
        <v>0</v>
      </c>
      <c r="O157" s="55">
        <f t="shared" si="76"/>
        <v>0</v>
      </c>
      <c r="P157" s="55">
        <f t="shared" si="76"/>
        <v>0</v>
      </c>
      <c r="Q157" s="55">
        <f t="shared" si="76"/>
        <v>0</v>
      </c>
    </row>
    <row r="159" spans="2:21" ht="17.5" x14ac:dyDescent="0.35">
      <c r="B159" s="352" t="s">
        <v>159</v>
      </c>
      <c r="E159" s="336"/>
      <c r="F159" s="336"/>
      <c r="G159" s="336"/>
      <c r="H159" s="336"/>
      <c r="I159" s="336"/>
      <c r="J159" s="336"/>
      <c r="K159" s="336"/>
      <c r="L159" s="336"/>
      <c r="M159" s="336"/>
      <c r="N159" s="336"/>
      <c r="O159" s="336"/>
      <c r="P159" s="336"/>
      <c r="S159" s="23"/>
      <c r="T159" s="6"/>
      <c r="U159" s="6"/>
    </row>
    <row r="160" spans="2:21" outlineLevel="1" x14ac:dyDescent="0.35">
      <c r="B160" s="15" t="s">
        <v>503</v>
      </c>
      <c r="C160" s="15"/>
      <c r="D160" s="15" t="s">
        <v>302</v>
      </c>
      <c r="E160" s="338">
        <v>46023</v>
      </c>
      <c r="F160" s="338">
        <v>46054</v>
      </c>
      <c r="G160" s="338">
        <v>46082</v>
      </c>
      <c r="H160" s="338">
        <v>46113</v>
      </c>
      <c r="I160" s="338">
        <v>46143</v>
      </c>
      <c r="J160" s="338">
        <v>46174</v>
      </c>
      <c r="K160" s="338">
        <v>46204</v>
      </c>
      <c r="L160" s="338">
        <v>46235</v>
      </c>
      <c r="M160" s="338">
        <v>46266</v>
      </c>
      <c r="N160" s="338">
        <v>46296</v>
      </c>
      <c r="O160" s="338">
        <v>46327</v>
      </c>
      <c r="P160" s="338">
        <v>46357</v>
      </c>
      <c r="Q160" s="285" t="s">
        <v>12</v>
      </c>
      <c r="R160" s="23"/>
      <c r="S160" s="23"/>
      <c r="T160" s="6"/>
      <c r="U160" s="6"/>
    </row>
    <row r="161" spans="2:17" outlineLevel="1" x14ac:dyDescent="0.35">
      <c r="B161" s="339" t="s">
        <v>520</v>
      </c>
      <c r="C161" s="341"/>
      <c r="D161" s="45" t="str">
        <f>IFERROR(VLOOKUP(B161,'In Place Revenue'!$B$2:$H$630,2,FALSE),VLOOKUP(B161,$B$180:$D$193,3,FALSE))</f>
        <v>From the Boot</v>
      </c>
      <c r="E161" s="6">
        <f>SUMIFS('In Place Revenue'!$G$2:$G$764,'In Place Revenue'!$B$2:$B$764,$B161,'In Place Revenue'!$D$2:$D$764,E$160)</f>
        <v>0</v>
      </c>
      <c r="F161" s="6">
        <f>SUMIFS('In Place Revenue'!$G$2:$G$764,'In Place Revenue'!$B$2:$B$764,$B161,'In Place Revenue'!$D$2:$D$764,F$160)</f>
        <v>0</v>
      </c>
      <c r="G161" s="6">
        <f>SUMIFS('In Place Revenue'!$G$2:$G$764,'In Place Revenue'!$B$2:$B$764,$B161,'In Place Revenue'!$D$2:$D$764,G$160)</f>
        <v>0</v>
      </c>
      <c r="H161" s="6">
        <f>SUMIFS('In Place Revenue'!$G$2:$G$764,'In Place Revenue'!$B$2:$B$764,$B161,'In Place Revenue'!$D$2:$D$764,H$160)</f>
        <v>0</v>
      </c>
      <c r="I161" s="6">
        <f>SUMIFS('In Place Revenue'!$G$2:$G$764,'In Place Revenue'!$B$2:$B$764,$B161,'In Place Revenue'!$D$2:$D$764,I$160)</f>
        <v>0</v>
      </c>
      <c r="J161" s="6">
        <f>SUMIFS('In Place Revenue'!$G$2:$G$764,'In Place Revenue'!$B$2:$B$764,$B161,'In Place Revenue'!$D$2:$D$764,J$160)</f>
        <v>0</v>
      </c>
      <c r="K161" s="6">
        <f>SUMIFS('In Place Revenue'!$G$2:$G$764,'In Place Revenue'!$B$2:$B$764,$B161,'In Place Revenue'!$D$2:$D$764,K$160)</f>
        <v>0</v>
      </c>
      <c r="L161" s="6">
        <f>SUMIFS('In Place Revenue'!$G$2:$G$764,'In Place Revenue'!$B$2:$B$764,$B161,'In Place Revenue'!$D$2:$D$764,L$160)</f>
        <v>0</v>
      </c>
      <c r="M161" s="6">
        <f>SUMIFS('In Place Revenue'!$G$2:$G$764,'In Place Revenue'!$B$2:$B$764,$B161,'In Place Revenue'!$D$2:$D$764,M$160)</f>
        <v>0</v>
      </c>
      <c r="N161" s="6">
        <f>SUMIFS('In Place Revenue'!$G$2:$G$764,'In Place Revenue'!$B$2:$B$764,$B161,'In Place Revenue'!$D$2:$D$764,N$160)</f>
        <v>0</v>
      </c>
      <c r="O161" s="6">
        <f>SUMIFS('In Place Revenue'!$G$2:$G$764,'In Place Revenue'!$B$2:$B$764,$B161,'In Place Revenue'!$D$2:$D$764,O$160)</f>
        <v>0</v>
      </c>
      <c r="P161" s="6">
        <f>SUMIFS('In Place Revenue'!$G$2:$G$764,'In Place Revenue'!$B$2:$B$764,$B161,'In Place Revenue'!$D$2:$D$764,P$160)</f>
        <v>0</v>
      </c>
      <c r="Q161" s="8">
        <f>SUM(E161:P161)</f>
        <v>0</v>
      </c>
    </row>
    <row r="162" spans="2:17" outlineLevel="1" x14ac:dyDescent="0.35">
      <c r="B162" s="339" t="s">
        <v>521</v>
      </c>
      <c r="C162" s="341"/>
      <c r="D162" s="6" t="str">
        <f>IFERROR(VLOOKUP(B162,'In Place Revenue'!$B$2:$H$630,2,FALSE),VLOOKUP(B162,$B$180:$D$193,3,FALSE))</f>
        <v>From the Boot</v>
      </c>
      <c r="E162" s="6">
        <f>SUMIFS('In Place Revenue'!$G$2:$G$764,'In Place Revenue'!$B$2:$B$764,$B162,'In Place Revenue'!$D$2:$D$764,E$160)</f>
        <v>0</v>
      </c>
      <c r="F162" s="6">
        <f>SUMIFS('In Place Revenue'!$G$2:$G$764,'In Place Revenue'!$B$2:$B$764,$B162,'In Place Revenue'!$D$2:$D$764,F$160)</f>
        <v>0</v>
      </c>
      <c r="G162" s="6">
        <f>SUMIFS('In Place Revenue'!$G$2:$G$764,'In Place Revenue'!$B$2:$B$764,$B162,'In Place Revenue'!$D$2:$D$764,G$160)</f>
        <v>0</v>
      </c>
      <c r="H162" s="6">
        <f>SUMIFS('In Place Revenue'!$G$2:$G$764,'In Place Revenue'!$B$2:$B$764,$B162,'In Place Revenue'!$D$2:$D$764,H$160)</f>
        <v>0</v>
      </c>
      <c r="I162" s="6">
        <f>SUMIFS('In Place Revenue'!$G$2:$G$764,'In Place Revenue'!$B$2:$B$764,$B162,'In Place Revenue'!$D$2:$D$764,I$160)</f>
        <v>0</v>
      </c>
      <c r="J162" s="6">
        <f>SUMIFS('In Place Revenue'!$G$2:$G$764,'In Place Revenue'!$B$2:$B$764,$B162,'In Place Revenue'!$D$2:$D$764,J$160)</f>
        <v>0</v>
      </c>
      <c r="K162" s="6">
        <f>SUMIFS('In Place Revenue'!$G$2:$G$764,'In Place Revenue'!$B$2:$B$764,$B162,'In Place Revenue'!$D$2:$D$764,K$160)</f>
        <v>0</v>
      </c>
      <c r="L162" s="6">
        <f>SUMIFS('In Place Revenue'!$G$2:$G$764,'In Place Revenue'!$B$2:$B$764,$B162,'In Place Revenue'!$D$2:$D$764,L$160)</f>
        <v>0</v>
      </c>
      <c r="M162" s="6">
        <f>SUMIFS('In Place Revenue'!$G$2:$G$764,'In Place Revenue'!$B$2:$B$764,$B162,'In Place Revenue'!$D$2:$D$764,M$160)</f>
        <v>0</v>
      </c>
      <c r="N162" s="6">
        <f>SUMIFS('In Place Revenue'!$G$2:$G$764,'In Place Revenue'!$B$2:$B$764,$B162,'In Place Revenue'!$D$2:$D$764,N$160)</f>
        <v>0</v>
      </c>
      <c r="O162" s="6">
        <f>SUMIFS('In Place Revenue'!$G$2:$G$764,'In Place Revenue'!$B$2:$B$764,$B162,'In Place Revenue'!$D$2:$D$764,O$160)</f>
        <v>0</v>
      </c>
      <c r="P162" s="6">
        <f>SUMIFS('In Place Revenue'!$G$2:$G$764,'In Place Revenue'!$B$2:$B$764,$B162,'In Place Revenue'!$D$2:$D$764,P$160)</f>
        <v>0</v>
      </c>
      <c r="Q162" s="8">
        <f t="shared" ref="Q162" si="77">SUM(E162:P162)</f>
        <v>0</v>
      </c>
    </row>
    <row r="163" spans="2:17" outlineLevel="1" x14ac:dyDescent="0.35">
      <c r="B163" s="339" t="s">
        <v>445</v>
      </c>
      <c r="C163" s="341"/>
      <c r="D163" s="6" t="str">
        <f>IFERROR(VLOOKUP(B163,'In Place Revenue'!$B$2:$H$630,2,FALSE),VLOOKUP(B163,$B$180:$D$193,3,FALSE))</f>
        <v>Wawa #97</v>
      </c>
      <c r="E163" s="6">
        <f>SUMIFS('In Place Revenue'!$G$2:$G$764,'In Place Revenue'!$B$2:$B$764,$B163,'In Place Revenue'!$D$2:$D$764,E$160)</f>
        <v>7916.67</v>
      </c>
      <c r="F163" s="6">
        <f>SUMIFS('In Place Revenue'!$G$2:$G$764,'In Place Revenue'!$B$2:$B$764,$B163,'In Place Revenue'!$D$2:$D$764,F$160)</f>
        <v>7916.67</v>
      </c>
      <c r="G163" s="6">
        <f>SUMIFS('In Place Revenue'!$G$2:$G$764,'In Place Revenue'!$B$2:$B$764,$B163,'In Place Revenue'!$D$2:$D$764,G$160)</f>
        <v>7916.67</v>
      </c>
      <c r="H163" s="6">
        <f>SUMIFS('In Place Revenue'!$G$2:$G$764,'In Place Revenue'!$B$2:$B$764,$B163,'In Place Revenue'!$D$2:$D$764,H$160)</f>
        <v>7916.67</v>
      </c>
      <c r="I163" s="6">
        <f>SUMIFS('In Place Revenue'!$G$2:$G$764,'In Place Revenue'!$B$2:$B$764,$B163,'In Place Revenue'!$D$2:$D$764,I$160)</f>
        <v>7916.67</v>
      </c>
      <c r="J163" s="6">
        <f>SUMIFS('In Place Revenue'!$G$2:$G$764,'In Place Revenue'!$B$2:$B$764,$B163,'In Place Revenue'!$D$2:$D$764,J$160)</f>
        <v>7916.67</v>
      </c>
      <c r="K163" s="6">
        <f>SUMIFS('In Place Revenue'!$G$2:$G$764,'In Place Revenue'!$B$2:$B$764,$B163,'In Place Revenue'!$D$2:$D$764,K$160)</f>
        <v>7916.67</v>
      </c>
      <c r="L163" s="6">
        <f>SUMIFS('In Place Revenue'!$G$2:$G$764,'In Place Revenue'!$B$2:$B$764,$B163,'In Place Revenue'!$D$2:$D$764,L$160)</f>
        <v>7916.67</v>
      </c>
      <c r="M163" s="6">
        <f>SUMIFS('In Place Revenue'!$G$2:$G$764,'In Place Revenue'!$B$2:$B$764,$B163,'In Place Revenue'!$D$2:$D$764,M$160)</f>
        <v>7916.67</v>
      </c>
      <c r="N163" s="6">
        <f>SUMIFS('In Place Revenue'!$G$2:$G$764,'In Place Revenue'!$B$2:$B$764,$B163,'In Place Revenue'!$D$2:$D$764,N$160)</f>
        <v>7916.67</v>
      </c>
      <c r="O163" s="6">
        <f>SUMIFS('In Place Revenue'!$G$2:$G$764,'In Place Revenue'!$B$2:$B$764,$B163,'In Place Revenue'!$D$2:$D$764,O$160)</f>
        <v>7916.67</v>
      </c>
      <c r="P163" s="6">
        <f>SUMIFS('In Place Revenue'!$G$2:$G$764,'In Place Revenue'!$B$2:$B$764,$B163,'In Place Revenue'!$D$2:$D$764,P$160)</f>
        <v>7916.67</v>
      </c>
      <c r="Q163" s="8">
        <f t="shared" ref="Q163:Q174" si="78">SUM(E163:P163)</f>
        <v>95000.04</v>
      </c>
    </row>
    <row r="164" spans="2:17" outlineLevel="1" x14ac:dyDescent="0.35">
      <c r="B164" s="339" t="s">
        <v>447</v>
      </c>
      <c r="C164" s="341"/>
      <c r="D164" s="6" t="str">
        <f>IFERROR(VLOOKUP(B164,'In Place Revenue'!$B$2:$H$630,2,FALSE),VLOOKUP(B164,$B$180:$D$193,3,FALSE))</f>
        <v>Vino's Pizza</v>
      </c>
      <c r="E164" s="6">
        <f>SUMIFS('In Place Revenue'!$G$2:$G$764,'In Place Revenue'!$B$2:$B$764,$B164,'In Place Revenue'!$D$2:$D$764,E$160)</f>
        <v>2604.4</v>
      </c>
      <c r="F164" s="6">
        <f>SUMIFS('In Place Revenue'!$G$2:$G$764,'In Place Revenue'!$B$2:$B$764,$B164,'In Place Revenue'!$D$2:$D$764,F$160)</f>
        <v>2604.4</v>
      </c>
      <c r="G164" s="6">
        <f>SUMIFS('In Place Revenue'!$G$2:$G$764,'In Place Revenue'!$B$2:$B$764,$B164,'In Place Revenue'!$D$2:$D$764,G$160)</f>
        <v>2604.4</v>
      </c>
      <c r="H164" s="6">
        <f>SUMIFS('In Place Revenue'!$G$2:$G$764,'In Place Revenue'!$B$2:$B$764,$B164,'In Place Revenue'!$D$2:$D$764,H$160)</f>
        <v>2604.4</v>
      </c>
      <c r="I164" s="6">
        <f>SUMIFS('In Place Revenue'!$G$2:$G$764,'In Place Revenue'!$B$2:$B$764,$B164,'In Place Revenue'!$D$2:$D$764,I$160)</f>
        <v>2604.4</v>
      </c>
      <c r="J164" s="6">
        <f>SUMIFS('In Place Revenue'!$G$2:$G$764,'In Place Revenue'!$B$2:$B$764,$B164,'In Place Revenue'!$D$2:$D$764,J$160)</f>
        <v>2604.4</v>
      </c>
      <c r="K164" s="6">
        <f>SUMIFS('In Place Revenue'!$G$2:$G$764,'In Place Revenue'!$B$2:$B$764,$B164,'In Place Revenue'!$D$2:$D$764,K$160)</f>
        <v>2604.4</v>
      </c>
      <c r="L164" s="6">
        <f>SUMIFS('In Place Revenue'!$G$2:$G$764,'In Place Revenue'!$B$2:$B$764,$B164,'In Place Revenue'!$D$2:$D$764,L$160)</f>
        <v>2604.4</v>
      </c>
      <c r="M164" s="6">
        <f>SUMIFS('In Place Revenue'!$G$2:$G$764,'In Place Revenue'!$B$2:$B$764,$B164,'In Place Revenue'!$D$2:$D$764,M$160)</f>
        <v>2604.4</v>
      </c>
      <c r="N164" s="6">
        <f>SUMIFS('In Place Revenue'!$G$2:$G$764,'In Place Revenue'!$B$2:$B$764,$B164,'In Place Revenue'!$D$2:$D$764,N$160)</f>
        <v>2604.4</v>
      </c>
      <c r="O164" s="6">
        <f>SUMIFS('In Place Revenue'!$G$2:$G$764,'In Place Revenue'!$B$2:$B$764,$B164,'In Place Revenue'!$D$2:$D$764,O$160)</f>
        <v>2604.4</v>
      </c>
      <c r="P164" s="6">
        <f>SUMIFS('In Place Revenue'!$G$2:$G$764,'In Place Revenue'!$B$2:$B$764,$B164,'In Place Revenue'!$D$2:$D$764,P$160)</f>
        <v>2604.4</v>
      </c>
      <c r="Q164" s="8">
        <f t="shared" si="78"/>
        <v>31252.800000000007</v>
      </c>
    </row>
    <row r="165" spans="2:17" outlineLevel="1" x14ac:dyDescent="0.35">
      <c r="B165" s="339" t="s">
        <v>448</v>
      </c>
      <c r="C165" s="341"/>
      <c r="D165" s="6" t="str">
        <f>IFERROR(VLOOKUP(B165,'In Place Revenue'!$B$2:$H$630,2,FALSE),VLOOKUP(B165,$B$180:$D$193,3,FALSE))</f>
        <v>Kevin Chan aka Hunan Wok</v>
      </c>
      <c r="E165" s="6">
        <f>SUMIFS('In Place Revenue'!$G$2:$G$764,'In Place Revenue'!$B$2:$B$764,$B165,'In Place Revenue'!$D$2:$D$764,E$160)</f>
        <v>2393</v>
      </c>
      <c r="F165" s="6">
        <f>SUMIFS('In Place Revenue'!$G$2:$G$764,'In Place Revenue'!$B$2:$B$764,$B165,'In Place Revenue'!$D$2:$D$764,F$160)</f>
        <v>2393</v>
      </c>
      <c r="G165" s="6">
        <f>SUMIFS('In Place Revenue'!$G$2:$G$764,'In Place Revenue'!$B$2:$B$764,$B165,'In Place Revenue'!$D$2:$D$764,G$160)</f>
        <v>2393</v>
      </c>
      <c r="H165" s="6">
        <f>SUMIFS('In Place Revenue'!$G$2:$G$764,'In Place Revenue'!$B$2:$B$764,$B165,'In Place Revenue'!$D$2:$D$764,H$160)</f>
        <v>2393</v>
      </c>
      <c r="I165" s="6">
        <f>SUMIFS('In Place Revenue'!$G$2:$G$764,'In Place Revenue'!$B$2:$B$764,$B165,'In Place Revenue'!$D$2:$D$764,I$160)</f>
        <v>2393</v>
      </c>
      <c r="J165" s="6">
        <f>SUMIFS('In Place Revenue'!$G$2:$G$764,'In Place Revenue'!$B$2:$B$764,$B165,'In Place Revenue'!$D$2:$D$764,J$160)</f>
        <v>2393</v>
      </c>
      <c r="K165" s="6">
        <f>SUMIFS('In Place Revenue'!$G$2:$G$764,'In Place Revenue'!$B$2:$B$764,$B165,'In Place Revenue'!$D$2:$D$764,K$160)</f>
        <v>2393</v>
      </c>
      <c r="L165" s="6">
        <f>SUMIFS('In Place Revenue'!$G$2:$G$764,'In Place Revenue'!$B$2:$B$764,$B165,'In Place Revenue'!$D$2:$D$764,L$160)</f>
        <v>2393</v>
      </c>
      <c r="M165" s="6">
        <f>SUMIFS('In Place Revenue'!$G$2:$G$764,'In Place Revenue'!$B$2:$B$764,$B165,'In Place Revenue'!$D$2:$D$764,M$160)</f>
        <v>2464.79</v>
      </c>
      <c r="N165" s="6">
        <f>SUMIFS('In Place Revenue'!$G$2:$G$764,'In Place Revenue'!$B$2:$B$764,$B165,'In Place Revenue'!$D$2:$D$764,N$160)</f>
        <v>2464.79</v>
      </c>
      <c r="O165" s="6">
        <f>SUMIFS('In Place Revenue'!$G$2:$G$764,'In Place Revenue'!$B$2:$B$764,$B165,'In Place Revenue'!$D$2:$D$764,O$160)</f>
        <v>2464.79</v>
      </c>
      <c r="P165" s="6">
        <f>SUMIFS('In Place Revenue'!$G$2:$G$764,'In Place Revenue'!$B$2:$B$764,$B165,'In Place Revenue'!$D$2:$D$764,P$160)</f>
        <v>2464.79</v>
      </c>
      <c r="Q165" s="8">
        <f t="shared" si="78"/>
        <v>29003.160000000003</v>
      </c>
    </row>
    <row r="166" spans="2:17" outlineLevel="1" x14ac:dyDescent="0.35">
      <c r="B166" s="339" t="s">
        <v>450</v>
      </c>
      <c r="C166" s="341"/>
      <c r="D166" s="6" t="str">
        <f>IFERROR(VLOOKUP(B166,'In Place Revenue'!$B$2:$H$630,2,FALSE),VLOOKUP(B166,$B$180:$D$193,3,FALSE))</f>
        <v>Touch of Class</v>
      </c>
      <c r="E166" s="6">
        <f>SUMIFS('In Place Revenue'!$G$2:$G$764,'In Place Revenue'!$B$2:$B$764,$B166,'In Place Revenue'!$D$2:$D$764,E$160)</f>
        <v>2607.4499999999998</v>
      </c>
      <c r="F166" s="6">
        <f>SUMIFS('In Place Revenue'!$G$2:$G$764,'In Place Revenue'!$B$2:$B$764,$B166,'In Place Revenue'!$D$2:$D$764,F$160)</f>
        <v>2607.4499999999998</v>
      </c>
      <c r="G166" s="6">
        <f>SUMIFS('In Place Revenue'!$G$2:$G$764,'In Place Revenue'!$B$2:$B$764,$B166,'In Place Revenue'!$D$2:$D$764,G$160)</f>
        <v>2607.4499999999998</v>
      </c>
      <c r="H166" s="6">
        <f>SUMIFS('In Place Revenue'!$G$2:$G$764,'In Place Revenue'!$B$2:$B$764,$B166,'In Place Revenue'!$D$2:$D$764,H$160)</f>
        <v>2607.4499999999998</v>
      </c>
      <c r="I166" s="6">
        <f>SUMIFS('In Place Revenue'!$G$2:$G$764,'In Place Revenue'!$B$2:$B$764,$B166,'In Place Revenue'!$D$2:$D$764,I$160)</f>
        <v>2607.4499999999998</v>
      </c>
      <c r="J166" s="6">
        <f>SUMIFS('In Place Revenue'!$G$2:$G$764,'In Place Revenue'!$B$2:$B$764,$B166,'In Place Revenue'!$D$2:$D$764,J$160)</f>
        <v>2607.4499999999998</v>
      </c>
      <c r="K166" s="6">
        <f>SUMIFS('In Place Revenue'!$G$2:$G$764,'In Place Revenue'!$B$2:$B$764,$B166,'In Place Revenue'!$D$2:$D$764,K$160)</f>
        <v>2607.4499999999998</v>
      </c>
      <c r="L166" s="6">
        <f>SUMIFS('In Place Revenue'!$G$2:$G$764,'In Place Revenue'!$B$2:$B$764,$B166,'In Place Revenue'!$D$2:$D$764,L$160)</f>
        <v>0</v>
      </c>
      <c r="M166" s="6">
        <f>SUMIFS('In Place Revenue'!$G$2:$G$764,'In Place Revenue'!$B$2:$B$764,$B166,'In Place Revenue'!$D$2:$D$764,M$160)</f>
        <v>0</v>
      </c>
      <c r="N166" s="6">
        <f>SUMIFS('In Place Revenue'!$G$2:$G$764,'In Place Revenue'!$B$2:$B$764,$B166,'In Place Revenue'!$D$2:$D$764,N$160)</f>
        <v>0</v>
      </c>
      <c r="O166" s="6">
        <f>SUMIFS('In Place Revenue'!$G$2:$G$764,'In Place Revenue'!$B$2:$B$764,$B166,'In Place Revenue'!$D$2:$D$764,O$160)</f>
        <v>0</v>
      </c>
      <c r="P166" s="6">
        <f>SUMIFS('In Place Revenue'!$G$2:$G$764,'In Place Revenue'!$B$2:$B$764,$B166,'In Place Revenue'!$D$2:$D$764,P$160)</f>
        <v>0</v>
      </c>
      <c r="Q166" s="8">
        <f t="shared" si="78"/>
        <v>18252.150000000001</v>
      </c>
    </row>
    <row r="167" spans="2:17" outlineLevel="1" x14ac:dyDescent="0.35">
      <c r="B167" s="339" t="s">
        <v>451</v>
      </c>
      <c r="C167" s="341"/>
      <c r="D167" s="6" t="str">
        <f>IFERROR(VLOOKUP(B167,'In Place Revenue'!$B$2:$H$630,2,FALSE),VLOOKUP(B167,$B$180:$D$193,3,FALSE))</f>
        <v>Hair Concepts</v>
      </c>
      <c r="E167" s="6">
        <f>SUMIFS('In Place Revenue'!$G$2:$G$764,'In Place Revenue'!$B$2:$B$764,$B167,'In Place Revenue'!$D$2:$D$764,E$160)</f>
        <v>2378.6</v>
      </c>
      <c r="F167" s="6">
        <f>SUMIFS('In Place Revenue'!$G$2:$G$764,'In Place Revenue'!$B$2:$B$764,$B167,'In Place Revenue'!$D$2:$D$764,F$160)</f>
        <v>2378.6</v>
      </c>
      <c r="G167" s="6">
        <f>SUMIFS('In Place Revenue'!$G$2:$G$764,'In Place Revenue'!$B$2:$B$764,$B167,'In Place Revenue'!$D$2:$D$764,G$160)</f>
        <v>2378.6</v>
      </c>
      <c r="H167" s="6">
        <f>SUMIFS('In Place Revenue'!$G$2:$G$764,'In Place Revenue'!$B$2:$B$764,$B167,'In Place Revenue'!$D$2:$D$764,H$160)</f>
        <v>2378.6</v>
      </c>
      <c r="I167" s="6">
        <f>SUMIFS('In Place Revenue'!$G$2:$G$764,'In Place Revenue'!$B$2:$B$764,$B167,'In Place Revenue'!$D$2:$D$764,I$160)</f>
        <v>2378.6</v>
      </c>
      <c r="J167" s="6">
        <f>SUMIFS('In Place Revenue'!$G$2:$G$764,'In Place Revenue'!$B$2:$B$764,$B167,'In Place Revenue'!$D$2:$D$764,J$160)</f>
        <v>2378.6</v>
      </c>
      <c r="K167" s="6">
        <f>SUMIFS('In Place Revenue'!$G$2:$G$764,'In Place Revenue'!$B$2:$B$764,$B167,'In Place Revenue'!$D$2:$D$764,K$160)</f>
        <v>2378.6</v>
      </c>
      <c r="L167" s="6">
        <f>SUMIFS('In Place Revenue'!$G$2:$G$764,'In Place Revenue'!$B$2:$B$764,$B167,'In Place Revenue'!$D$2:$D$764,L$160)</f>
        <v>0</v>
      </c>
      <c r="M167" s="6">
        <f>SUMIFS('In Place Revenue'!$G$2:$G$764,'In Place Revenue'!$B$2:$B$764,$B167,'In Place Revenue'!$D$2:$D$764,M$160)</f>
        <v>0</v>
      </c>
      <c r="N167" s="6">
        <f>SUMIFS('In Place Revenue'!$G$2:$G$764,'In Place Revenue'!$B$2:$B$764,$B167,'In Place Revenue'!$D$2:$D$764,N$160)</f>
        <v>0</v>
      </c>
      <c r="O167" s="6">
        <f>SUMIFS('In Place Revenue'!$G$2:$G$764,'In Place Revenue'!$B$2:$B$764,$B167,'In Place Revenue'!$D$2:$D$764,O$160)</f>
        <v>0</v>
      </c>
      <c r="P167" s="6">
        <f>SUMIFS('In Place Revenue'!$G$2:$G$764,'In Place Revenue'!$B$2:$B$764,$B167,'In Place Revenue'!$D$2:$D$764,P$160)</f>
        <v>0</v>
      </c>
      <c r="Q167" s="8">
        <f t="shared" si="78"/>
        <v>16650.2</v>
      </c>
    </row>
    <row r="168" spans="2:17" outlineLevel="1" x14ac:dyDescent="0.35">
      <c r="B168" s="339" t="s">
        <v>524</v>
      </c>
      <c r="C168" s="341"/>
      <c r="D168" s="6" t="str">
        <f>IFERROR(VLOOKUP(B168,'In Place Revenue'!$B$2:$H$630,2,FALSE),VLOOKUP(B168,$B$180:$D$193,3,FALSE))</f>
        <v>VACANT</v>
      </c>
      <c r="E168" s="6">
        <f>SUMIFS('In Place Revenue'!$G$2:$G$764,'In Place Revenue'!$B$2:$B$764,$B168,'In Place Revenue'!$D$2:$D$764,E$160)</f>
        <v>0</v>
      </c>
      <c r="F168" s="6">
        <f>SUMIFS('In Place Revenue'!$G$2:$G$764,'In Place Revenue'!$B$2:$B$764,$B168,'In Place Revenue'!$D$2:$D$764,F$160)</f>
        <v>0</v>
      </c>
      <c r="G168" s="6">
        <f>SUMIFS('In Place Revenue'!$G$2:$G$764,'In Place Revenue'!$B$2:$B$764,$B168,'In Place Revenue'!$D$2:$D$764,G$160)</f>
        <v>0</v>
      </c>
      <c r="H168" s="6">
        <f>SUMIFS('In Place Revenue'!$G$2:$G$764,'In Place Revenue'!$B$2:$B$764,$B168,'In Place Revenue'!$D$2:$D$764,H$160)</f>
        <v>0</v>
      </c>
      <c r="I168" s="6">
        <f>SUMIFS('In Place Revenue'!$G$2:$G$764,'In Place Revenue'!$B$2:$B$764,$B168,'In Place Revenue'!$D$2:$D$764,I$160)</f>
        <v>0</v>
      </c>
      <c r="J168" s="6">
        <f>SUMIFS('In Place Revenue'!$G$2:$G$764,'In Place Revenue'!$B$2:$B$764,$B168,'In Place Revenue'!$D$2:$D$764,J$160)</f>
        <v>0</v>
      </c>
      <c r="K168" s="6">
        <f>SUMIFS('In Place Revenue'!$G$2:$G$764,'In Place Revenue'!$B$2:$B$764,$B168,'In Place Revenue'!$D$2:$D$764,K$160)</f>
        <v>0</v>
      </c>
      <c r="L168" s="6">
        <f>SUMIFS('In Place Revenue'!$G$2:$G$764,'In Place Revenue'!$B$2:$B$764,$B168,'In Place Revenue'!$D$2:$D$764,L$160)</f>
        <v>0</v>
      </c>
      <c r="M168" s="6">
        <f>SUMIFS('In Place Revenue'!$G$2:$G$764,'In Place Revenue'!$B$2:$B$764,$B168,'In Place Revenue'!$D$2:$D$764,M$160)</f>
        <v>0</v>
      </c>
      <c r="N168" s="6">
        <f>SUMIFS('In Place Revenue'!$G$2:$G$764,'In Place Revenue'!$B$2:$B$764,$B168,'In Place Revenue'!$D$2:$D$764,N$160)</f>
        <v>0</v>
      </c>
      <c r="O168" s="6">
        <f>SUMIFS('In Place Revenue'!$G$2:$G$764,'In Place Revenue'!$B$2:$B$764,$B168,'In Place Revenue'!$D$2:$D$764,O$160)</f>
        <v>0</v>
      </c>
      <c r="P168" s="6">
        <f>SUMIFS('In Place Revenue'!$G$2:$G$764,'In Place Revenue'!$B$2:$B$764,$B168,'In Place Revenue'!$D$2:$D$764,P$160)</f>
        <v>0</v>
      </c>
      <c r="Q168" s="8">
        <f t="shared" ref="Q168" si="79">SUM(E168:P168)</f>
        <v>0</v>
      </c>
    </row>
    <row r="169" spans="2:17" outlineLevel="1" x14ac:dyDescent="0.35">
      <c r="B169" s="339" t="s">
        <v>453</v>
      </c>
      <c r="C169" s="341"/>
      <c r="D169" s="6" t="str">
        <f>IFERROR(VLOOKUP(B169,'In Place Revenue'!$B$2:$H$630,2,FALSE),VLOOKUP(B169,$B$180:$D$193,3,FALSE))</f>
        <v>Lafayette Hill Cleaners</v>
      </c>
      <c r="E169" s="6">
        <f>SUMIFS('In Place Revenue'!$G$2:$G$764,'In Place Revenue'!$B$2:$B$764,$B169,'In Place Revenue'!$D$2:$D$764,E$160)</f>
        <v>3560.87</v>
      </c>
      <c r="F169" s="6">
        <f>SUMIFS('In Place Revenue'!$G$2:$G$764,'In Place Revenue'!$B$2:$B$764,$B169,'In Place Revenue'!$D$2:$D$764,F$160)</f>
        <v>3560.87</v>
      </c>
      <c r="G169" s="6">
        <f>SUMIFS('In Place Revenue'!$G$2:$G$764,'In Place Revenue'!$B$2:$B$764,$B169,'In Place Revenue'!$D$2:$D$764,G$160)</f>
        <v>3560.87</v>
      </c>
      <c r="H169" s="6">
        <f>SUMIFS('In Place Revenue'!$G$2:$G$764,'In Place Revenue'!$B$2:$B$764,$B169,'In Place Revenue'!$D$2:$D$764,H$160)</f>
        <v>3560.87</v>
      </c>
      <c r="I169" s="6">
        <f>SUMIFS('In Place Revenue'!$G$2:$G$764,'In Place Revenue'!$B$2:$B$764,$B169,'In Place Revenue'!$D$2:$D$764,I$160)</f>
        <v>3667.7</v>
      </c>
      <c r="J169" s="6">
        <f>SUMIFS('In Place Revenue'!$G$2:$G$764,'In Place Revenue'!$B$2:$B$764,$B169,'In Place Revenue'!$D$2:$D$764,J$160)</f>
        <v>3667.7</v>
      </c>
      <c r="K169" s="6">
        <f>SUMIFS('In Place Revenue'!$G$2:$G$764,'In Place Revenue'!$B$2:$B$764,$B169,'In Place Revenue'!$D$2:$D$764,K$160)</f>
        <v>3667.7</v>
      </c>
      <c r="L169" s="6">
        <f>SUMIFS('In Place Revenue'!$G$2:$G$764,'In Place Revenue'!$B$2:$B$764,$B169,'In Place Revenue'!$D$2:$D$764,L$160)</f>
        <v>3667.7</v>
      </c>
      <c r="M169" s="6">
        <f>SUMIFS('In Place Revenue'!$G$2:$G$764,'In Place Revenue'!$B$2:$B$764,$B169,'In Place Revenue'!$D$2:$D$764,M$160)</f>
        <v>3667.7</v>
      </c>
      <c r="N169" s="6">
        <f>SUMIFS('In Place Revenue'!$G$2:$G$764,'In Place Revenue'!$B$2:$B$764,$B169,'In Place Revenue'!$D$2:$D$764,N$160)</f>
        <v>3667.7</v>
      </c>
      <c r="O169" s="6">
        <f>SUMIFS('In Place Revenue'!$G$2:$G$764,'In Place Revenue'!$B$2:$B$764,$B169,'In Place Revenue'!$D$2:$D$764,O$160)</f>
        <v>3667.7</v>
      </c>
      <c r="P169" s="6">
        <f>SUMIFS('In Place Revenue'!$G$2:$G$764,'In Place Revenue'!$B$2:$B$764,$B169,'In Place Revenue'!$D$2:$D$764,P$160)</f>
        <v>3667.7</v>
      </c>
      <c r="Q169" s="8">
        <f t="shared" si="78"/>
        <v>43585.079999999994</v>
      </c>
    </row>
    <row r="170" spans="2:17" outlineLevel="1" x14ac:dyDescent="0.35">
      <c r="B170" s="339" t="s">
        <v>455</v>
      </c>
      <c r="C170" s="341"/>
      <c r="D170" s="6" t="str">
        <f>IFERROR(VLOOKUP(B170,'In Place Revenue'!$B$2:$H$630,2,FALSE),VLOOKUP(B170,$B$180:$D$193,3,FALSE))</f>
        <v>Liang Jiang</v>
      </c>
      <c r="E170" s="6">
        <f>SUMIFS('In Place Revenue'!$G$2:$G$764,'In Place Revenue'!$B$2:$B$764,$B170,'In Place Revenue'!$D$2:$D$764,E$160)</f>
        <v>2122.54</v>
      </c>
      <c r="F170" s="6">
        <f>SUMIFS('In Place Revenue'!$G$2:$G$764,'In Place Revenue'!$B$2:$B$764,$B170,'In Place Revenue'!$D$2:$D$764,F$160)</f>
        <v>2122.54</v>
      </c>
      <c r="G170" s="6">
        <f>SUMIFS('In Place Revenue'!$G$2:$G$764,'In Place Revenue'!$B$2:$B$764,$B170,'In Place Revenue'!$D$2:$D$764,G$160)</f>
        <v>2122.54</v>
      </c>
      <c r="H170" s="6">
        <f>SUMIFS('In Place Revenue'!$G$2:$G$764,'In Place Revenue'!$B$2:$B$764,$B170,'In Place Revenue'!$D$2:$D$764,H$160)</f>
        <v>2122.54</v>
      </c>
      <c r="I170" s="6">
        <f>SUMIFS('In Place Revenue'!$G$2:$G$764,'In Place Revenue'!$B$2:$B$764,$B170,'In Place Revenue'!$D$2:$D$764,I$160)</f>
        <v>2122.54</v>
      </c>
      <c r="J170" s="6">
        <f>SUMIFS('In Place Revenue'!$G$2:$G$764,'In Place Revenue'!$B$2:$B$764,$B170,'In Place Revenue'!$D$2:$D$764,J$160)</f>
        <v>2122.54</v>
      </c>
      <c r="K170" s="6">
        <f>SUMIFS('In Place Revenue'!$G$2:$G$764,'In Place Revenue'!$B$2:$B$764,$B170,'In Place Revenue'!$D$2:$D$764,K$160)</f>
        <v>2122.54</v>
      </c>
      <c r="L170" s="6">
        <f>SUMIFS('In Place Revenue'!$G$2:$G$764,'In Place Revenue'!$B$2:$B$764,$B170,'In Place Revenue'!$D$2:$D$764,L$160)</f>
        <v>2122.54</v>
      </c>
      <c r="M170" s="6">
        <f>SUMIFS('In Place Revenue'!$G$2:$G$764,'In Place Revenue'!$B$2:$B$764,$B170,'In Place Revenue'!$D$2:$D$764,M$160)</f>
        <v>2122.54</v>
      </c>
      <c r="N170" s="6">
        <f>SUMIFS('In Place Revenue'!$G$2:$G$764,'In Place Revenue'!$B$2:$B$764,$B170,'In Place Revenue'!$D$2:$D$764,N$160)</f>
        <v>2186.2199999999998</v>
      </c>
      <c r="O170" s="6">
        <f>SUMIFS('In Place Revenue'!$G$2:$G$764,'In Place Revenue'!$B$2:$B$764,$B170,'In Place Revenue'!$D$2:$D$764,O$160)</f>
        <v>2186.2199999999998</v>
      </c>
      <c r="P170" s="6">
        <f>SUMIFS('In Place Revenue'!$G$2:$G$764,'In Place Revenue'!$B$2:$B$764,$B170,'In Place Revenue'!$D$2:$D$764,P$160)</f>
        <v>2186.2199999999998</v>
      </c>
      <c r="Q170" s="8">
        <f t="shared" si="78"/>
        <v>25661.520000000008</v>
      </c>
    </row>
    <row r="171" spans="2:17" outlineLevel="1" x14ac:dyDescent="0.35">
      <c r="B171" s="339" t="s">
        <v>522</v>
      </c>
      <c r="C171" s="341"/>
      <c r="D171" s="6" t="str">
        <f>IFERROR(VLOOKUP(B171,'In Place Revenue'!$B$2:$H$630,2,FALSE),VLOOKUP(B171,$B$180:$D$193,3,FALSE))</f>
        <v>DKMNK, LLC</v>
      </c>
      <c r="E171" s="6">
        <f>SUMIFS('In Place Revenue'!$G$2:$G$764,'In Place Revenue'!$B$2:$B$764,$B171,'In Place Revenue'!$D$2:$D$764,E$160)</f>
        <v>0</v>
      </c>
      <c r="F171" s="6">
        <f>SUMIFS('In Place Revenue'!$G$2:$G$764,'In Place Revenue'!$B$2:$B$764,$B171,'In Place Revenue'!$D$2:$D$764,F$160)</f>
        <v>0</v>
      </c>
      <c r="G171" s="6">
        <f>SUMIFS('In Place Revenue'!$G$2:$G$764,'In Place Revenue'!$B$2:$B$764,$B171,'In Place Revenue'!$D$2:$D$764,G$160)</f>
        <v>0</v>
      </c>
      <c r="H171" s="6">
        <f>SUMIFS('In Place Revenue'!$G$2:$G$764,'In Place Revenue'!$B$2:$B$764,$B171,'In Place Revenue'!$D$2:$D$764,H$160)</f>
        <v>0</v>
      </c>
      <c r="I171" s="6">
        <f>SUMIFS('In Place Revenue'!$G$2:$G$764,'In Place Revenue'!$B$2:$B$764,$B171,'In Place Revenue'!$D$2:$D$764,I$160)</f>
        <v>0</v>
      </c>
      <c r="J171" s="6">
        <f>SUMIFS('In Place Revenue'!$G$2:$G$764,'In Place Revenue'!$B$2:$B$764,$B171,'In Place Revenue'!$D$2:$D$764,J$160)</f>
        <v>0</v>
      </c>
      <c r="K171" s="6">
        <f>SUMIFS('In Place Revenue'!$G$2:$G$764,'In Place Revenue'!$B$2:$B$764,$B171,'In Place Revenue'!$D$2:$D$764,K$160)</f>
        <v>0</v>
      </c>
      <c r="L171" s="6">
        <f>SUMIFS('In Place Revenue'!$G$2:$G$764,'In Place Revenue'!$B$2:$B$764,$B171,'In Place Revenue'!$D$2:$D$764,L$160)</f>
        <v>0</v>
      </c>
      <c r="M171" s="6">
        <f>SUMIFS('In Place Revenue'!$G$2:$G$764,'In Place Revenue'!$B$2:$B$764,$B171,'In Place Revenue'!$D$2:$D$764,M$160)</f>
        <v>0</v>
      </c>
      <c r="N171" s="6">
        <f>SUMIFS('In Place Revenue'!$G$2:$G$764,'In Place Revenue'!$B$2:$B$764,$B171,'In Place Revenue'!$D$2:$D$764,N$160)</f>
        <v>0</v>
      </c>
      <c r="O171" s="6">
        <f>SUMIFS('In Place Revenue'!$G$2:$G$764,'In Place Revenue'!$B$2:$B$764,$B171,'In Place Revenue'!$D$2:$D$764,O$160)</f>
        <v>0</v>
      </c>
      <c r="P171" s="6">
        <f>SUMIFS('In Place Revenue'!$G$2:$G$764,'In Place Revenue'!$B$2:$B$764,$B171,'In Place Revenue'!$D$2:$D$764,P$160)</f>
        <v>0</v>
      </c>
      <c r="Q171" s="8">
        <f t="shared" ref="Q171" si="80">SUM(E171:P171)</f>
        <v>0</v>
      </c>
    </row>
    <row r="172" spans="2:17" outlineLevel="1" x14ac:dyDescent="0.35">
      <c r="B172" s="343" t="s">
        <v>456</v>
      </c>
      <c r="C172" s="341"/>
      <c r="D172" s="6" t="str">
        <f>IFERROR(VLOOKUP(B172,'In Place Revenue'!$B$2:$H$630,2,FALSE),VLOOKUP(B172,$B$180:$D$193,3,FALSE))</f>
        <v>Marvel Agency, Inc.</v>
      </c>
      <c r="E172" s="6">
        <f>SUMIFS('In Place Revenue'!$G$2:$G$764,'In Place Revenue'!$B$2:$B$764,$B172,'In Place Revenue'!$D$2:$D$764,E$160)</f>
        <v>1674</v>
      </c>
      <c r="F172" s="6">
        <f>SUMIFS('In Place Revenue'!$G$2:$G$764,'In Place Revenue'!$B$2:$B$764,$B172,'In Place Revenue'!$D$2:$D$764,F$160)</f>
        <v>1674</v>
      </c>
      <c r="G172" s="6">
        <f>SUMIFS('In Place Revenue'!$G$2:$G$764,'In Place Revenue'!$B$2:$B$764,$B172,'In Place Revenue'!$D$2:$D$764,G$160)</f>
        <v>1674</v>
      </c>
      <c r="H172" s="6">
        <f>SUMIFS('In Place Revenue'!$G$2:$G$764,'In Place Revenue'!$B$2:$B$764,$B172,'In Place Revenue'!$D$2:$D$764,H$160)</f>
        <v>1674</v>
      </c>
      <c r="I172" s="6">
        <f>SUMIFS('In Place Revenue'!$G$2:$G$764,'In Place Revenue'!$B$2:$B$764,$B172,'In Place Revenue'!$D$2:$D$764,I$160)</f>
        <v>1674</v>
      </c>
      <c r="J172" s="6">
        <f>SUMIFS('In Place Revenue'!$G$2:$G$764,'In Place Revenue'!$B$2:$B$764,$B172,'In Place Revenue'!$D$2:$D$764,J$160)</f>
        <v>1734.75</v>
      </c>
      <c r="K172" s="6">
        <f>SUMIFS('In Place Revenue'!$G$2:$G$764,'In Place Revenue'!$B$2:$B$764,$B172,'In Place Revenue'!$D$2:$D$764,K$160)</f>
        <v>1734.75</v>
      </c>
      <c r="L172" s="6">
        <f>SUMIFS('In Place Revenue'!$G$2:$G$764,'In Place Revenue'!$B$2:$B$764,$B172,'In Place Revenue'!$D$2:$D$764,L$160)</f>
        <v>1734.75</v>
      </c>
      <c r="M172" s="6">
        <f>SUMIFS('In Place Revenue'!$G$2:$G$764,'In Place Revenue'!$B$2:$B$764,$B172,'In Place Revenue'!$D$2:$D$764,M$160)</f>
        <v>1734.75</v>
      </c>
      <c r="N172" s="6">
        <f>SUMIFS('In Place Revenue'!$G$2:$G$764,'In Place Revenue'!$B$2:$B$764,$B172,'In Place Revenue'!$D$2:$D$764,N$160)</f>
        <v>1734.75</v>
      </c>
      <c r="O172" s="6">
        <f>SUMIFS('In Place Revenue'!$G$2:$G$764,'In Place Revenue'!$B$2:$B$764,$B172,'In Place Revenue'!$D$2:$D$764,O$160)</f>
        <v>1734.75</v>
      </c>
      <c r="P172" s="6">
        <f>SUMIFS('In Place Revenue'!$G$2:$G$764,'In Place Revenue'!$B$2:$B$764,$B172,'In Place Revenue'!$D$2:$D$764,P$160)</f>
        <v>1734.75</v>
      </c>
      <c r="Q172" s="8">
        <f t="shared" si="78"/>
        <v>20513.25</v>
      </c>
    </row>
    <row r="173" spans="2:17" outlineLevel="1" x14ac:dyDescent="0.35">
      <c r="B173" s="343" t="s">
        <v>525</v>
      </c>
      <c r="C173" s="341"/>
      <c r="D173" s="6" t="str">
        <f>IFERROR(VLOOKUP(B173,'In Place Revenue'!$B$2:$H$630,2,FALSE),VLOOKUP(B173,$B$180:$D$193,3,FALSE))</f>
        <v>VACANT</v>
      </c>
      <c r="E173" s="6">
        <f>SUMIFS('In Place Revenue'!$G$2:$G$764,'In Place Revenue'!$B$2:$B$764,$B173,'In Place Revenue'!$D$2:$D$764,E$160)</f>
        <v>0</v>
      </c>
      <c r="F173" s="6">
        <f>SUMIFS('In Place Revenue'!$G$2:$G$764,'In Place Revenue'!$B$2:$B$764,$B173,'In Place Revenue'!$D$2:$D$764,F$160)</f>
        <v>0</v>
      </c>
      <c r="G173" s="6">
        <f>SUMIFS('In Place Revenue'!$G$2:$G$764,'In Place Revenue'!$B$2:$B$764,$B173,'In Place Revenue'!$D$2:$D$764,G$160)</f>
        <v>0</v>
      </c>
      <c r="H173" s="6">
        <f>SUMIFS('In Place Revenue'!$G$2:$G$764,'In Place Revenue'!$B$2:$B$764,$B173,'In Place Revenue'!$D$2:$D$764,H$160)</f>
        <v>0</v>
      </c>
      <c r="I173" s="6">
        <f>SUMIFS('In Place Revenue'!$G$2:$G$764,'In Place Revenue'!$B$2:$B$764,$B173,'In Place Revenue'!$D$2:$D$764,I$160)</f>
        <v>0</v>
      </c>
      <c r="J173" s="6">
        <f>SUMIFS('In Place Revenue'!$G$2:$G$764,'In Place Revenue'!$B$2:$B$764,$B173,'In Place Revenue'!$D$2:$D$764,J$160)</f>
        <v>0</v>
      </c>
      <c r="K173" s="6">
        <f>SUMIFS('In Place Revenue'!$G$2:$G$764,'In Place Revenue'!$B$2:$B$764,$B173,'In Place Revenue'!$D$2:$D$764,K$160)</f>
        <v>0</v>
      </c>
      <c r="L173" s="6">
        <f>SUMIFS('In Place Revenue'!$G$2:$G$764,'In Place Revenue'!$B$2:$B$764,$B173,'In Place Revenue'!$D$2:$D$764,L$160)</f>
        <v>0</v>
      </c>
      <c r="M173" s="6">
        <f>SUMIFS('In Place Revenue'!$G$2:$G$764,'In Place Revenue'!$B$2:$B$764,$B173,'In Place Revenue'!$D$2:$D$764,M$160)</f>
        <v>0</v>
      </c>
      <c r="N173" s="6">
        <f>SUMIFS('In Place Revenue'!$G$2:$G$764,'In Place Revenue'!$B$2:$B$764,$B173,'In Place Revenue'!$D$2:$D$764,N$160)</f>
        <v>0</v>
      </c>
      <c r="O173" s="6">
        <f>SUMIFS('In Place Revenue'!$G$2:$G$764,'In Place Revenue'!$B$2:$B$764,$B173,'In Place Revenue'!$D$2:$D$764,O$160)</f>
        <v>0</v>
      </c>
      <c r="P173" s="6">
        <f>SUMIFS('In Place Revenue'!$G$2:$G$764,'In Place Revenue'!$B$2:$B$764,$B173,'In Place Revenue'!$D$2:$D$764,P$160)</f>
        <v>0</v>
      </c>
      <c r="Q173" s="8">
        <f t="shared" ref="Q173" si="81">SUM(E173:P173)</f>
        <v>0</v>
      </c>
    </row>
    <row r="174" spans="2:17" outlineLevel="1" x14ac:dyDescent="0.35">
      <c r="B174" s="340" t="s">
        <v>523</v>
      </c>
      <c r="C174" s="342"/>
      <c r="D174" s="15" t="str">
        <f>IFERROR(VLOOKUP(B174,'In Place Revenue'!$B$2:$H$630,2,FALSE),VLOOKUP(B174,$B$180:$D$193,3,FALSE))</f>
        <v xml:space="preserve">Emily / James </v>
      </c>
      <c r="E174" s="15">
        <f>SUMIFS('In Place Revenue'!$G$2:$G$764,'In Place Revenue'!$B$2:$B$764,$B174,'In Place Revenue'!$D$2:$D$764,E$160)</f>
        <v>0</v>
      </c>
      <c r="F174" s="15">
        <f>SUMIFS('In Place Revenue'!$G$2:$G$764,'In Place Revenue'!$B$2:$B$764,$B174,'In Place Revenue'!$D$2:$D$764,F$160)</f>
        <v>0</v>
      </c>
      <c r="G174" s="15">
        <f>SUMIFS('In Place Revenue'!$G$2:$G$764,'In Place Revenue'!$B$2:$B$764,$B174,'In Place Revenue'!$D$2:$D$764,G$160)</f>
        <v>0</v>
      </c>
      <c r="H174" s="15">
        <f>SUMIFS('In Place Revenue'!$G$2:$G$764,'In Place Revenue'!$B$2:$B$764,$B174,'In Place Revenue'!$D$2:$D$764,H$160)</f>
        <v>0</v>
      </c>
      <c r="I174" s="15">
        <f>SUMIFS('In Place Revenue'!$G$2:$G$764,'In Place Revenue'!$B$2:$B$764,$B174,'In Place Revenue'!$D$2:$D$764,I$160)</f>
        <v>0</v>
      </c>
      <c r="J174" s="15">
        <f>SUMIFS('In Place Revenue'!$G$2:$G$764,'In Place Revenue'!$B$2:$B$764,$B174,'In Place Revenue'!$D$2:$D$764,J$160)</f>
        <v>0</v>
      </c>
      <c r="K174" s="15">
        <f>SUMIFS('In Place Revenue'!$G$2:$G$764,'In Place Revenue'!$B$2:$B$764,$B174,'In Place Revenue'!$D$2:$D$764,K$160)</f>
        <v>0</v>
      </c>
      <c r="L174" s="15">
        <f>SUMIFS('In Place Revenue'!$G$2:$G$764,'In Place Revenue'!$B$2:$B$764,$B174,'In Place Revenue'!$D$2:$D$764,L$160)</f>
        <v>0</v>
      </c>
      <c r="M174" s="15">
        <f>SUMIFS('In Place Revenue'!$G$2:$G$764,'In Place Revenue'!$B$2:$B$764,$B174,'In Place Revenue'!$D$2:$D$764,M$160)</f>
        <v>0</v>
      </c>
      <c r="N174" s="15">
        <f>SUMIFS('In Place Revenue'!$G$2:$G$764,'In Place Revenue'!$B$2:$B$764,$B174,'In Place Revenue'!$D$2:$D$764,N$160)</f>
        <v>0</v>
      </c>
      <c r="O174" s="15">
        <f>SUMIFS('In Place Revenue'!$G$2:$G$764,'In Place Revenue'!$B$2:$B$764,$B174,'In Place Revenue'!$D$2:$D$764,O$160)</f>
        <v>0</v>
      </c>
      <c r="P174" s="15">
        <f>SUMIFS('In Place Revenue'!$G$2:$G$764,'In Place Revenue'!$B$2:$B$764,$B174,'In Place Revenue'!$D$2:$D$764,P$160)</f>
        <v>0</v>
      </c>
      <c r="Q174" s="49">
        <f t="shared" si="78"/>
        <v>0</v>
      </c>
    </row>
    <row r="175" spans="2:17" outlineLevel="1" x14ac:dyDescent="0.35">
      <c r="B175" s="3"/>
      <c r="D175" s="16" t="s">
        <v>12</v>
      </c>
      <c r="E175" s="8">
        <f t="shared" ref="E175:Q175" si="82">SUM(E161:E174)</f>
        <v>25257.53</v>
      </c>
      <c r="F175" s="8">
        <f t="shared" si="82"/>
        <v>25257.53</v>
      </c>
      <c r="G175" s="8">
        <f t="shared" si="82"/>
        <v>25257.53</v>
      </c>
      <c r="H175" s="8">
        <f t="shared" si="82"/>
        <v>25257.53</v>
      </c>
      <c r="I175" s="8">
        <f t="shared" si="82"/>
        <v>25364.36</v>
      </c>
      <c r="J175" s="8">
        <f t="shared" si="82"/>
        <v>25425.11</v>
      </c>
      <c r="K175" s="8">
        <f t="shared" si="82"/>
        <v>25425.11</v>
      </c>
      <c r="L175" s="8">
        <f t="shared" si="82"/>
        <v>20439.060000000001</v>
      </c>
      <c r="M175" s="8">
        <f t="shared" si="82"/>
        <v>20510.850000000002</v>
      </c>
      <c r="N175" s="8">
        <f t="shared" si="82"/>
        <v>20574.530000000002</v>
      </c>
      <c r="O175" s="8">
        <f t="shared" si="82"/>
        <v>20574.530000000002</v>
      </c>
      <c r="P175" s="8">
        <f t="shared" si="82"/>
        <v>20574.530000000002</v>
      </c>
      <c r="Q175" s="8">
        <f t="shared" si="82"/>
        <v>279918.2</v>
      </c>
    </row>
    <row r="176" spans="2:17" outlineLevel="1" x14ac:dyDescent="0.35">
      <c r="B176" s="3"/>
      <c r="E176" s="55">
        <f t="shared" ref="E176:Q176" si="83">E10-E175</f>
        <v>0</v>
      </c>
      <c r="F176" s="55">
        <f t="shared" si="83"/>
        <v>0</v>
      </c>
      <c r="G176" s="55">
        <f t="shared" si="83"/>
        <v>0</v>
      </c>
      <c r="H176" s="55">
        <f t="shared" si="83"/>
        <v>0</v>
      </c>
      <c r="I176" s="55">
        <f t="shared" si="83"/>
        <v>0</v>
      </c>
      <c r="J176" s="55">
        <f t="shared" si="83"/>
        <v>0</v>
      </c>
      <c r="K176" s="55">
        <f t="shared" si="83"/>
        <v>0</v>
      </c>
      <c r="L176" s="55">
        <f t="shared" si="83"/>
        <v>0</v>
      </c>
      <c r="M176" s="55">
        <f t="shared" si="83"/>
        <v>0</v>
      </c>
      <c r="N176" s="55">
        <f t="shared" si="83"/>
        <v>0</v>
      </c>
      <c r="O176" s="55">
        <f t="shared" si="83"/>
        <v>0</v>
      </c>
      <c r="P176" s="55">
        <f t="shared" si="83"/>
        <v>0</v>
      </c>
      <c r="Q176" s="55">
        <f t="shared" si="83"/>
        <v>0</v>
      </c>
    </row>
    <row r="177" spans="2:21" x14ac:dyDescent="0.35">
      <c r="B177" s="3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</row>
    <row r="178" spans="2:21" ht="17.5" x14ac:dyDescent="0.35">
      <c r="B178" s="9" t="s">
        <v>160</v>
      </c>
      <c r="E178" s="349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0"/>
      <c r="T178" s="6"/>
      <c r="U178" s="6"/>
    </row>
    <row r="179" spans="2:21" outlineLevel="1" x14ac:dyDescent="0.35">
      <c r="B179" s="15" t="s">
        <v>503</v>
      </c>
      <c r="C179" s="15"/>
      <c r="D179" s="15" t="s">
        <v>302</v>
      </c>
      <c r="E179" s="338">
        <f>E160</f>
        <v>46023</v>
      </c>
      <c r="F179" s="338">
        <f t="shared" ref="F179:P179" si="84">F160</f>
        <v>46054</v>
      </c>
      <c r="G179" s="338">
        <f t="shared" si="84"/>
        <v>46082</v>
      </c>
      <c r="H179" s="338">
        <f t="shared" si="84"/>
        <v>46113</v>
      </c>
      <c r="I179" s="338">
        <f t="shared" si="84"/>
        <v>46143</v>
      </c>
      <c r="J179" s="338">
        <f t="shared" si="84"/>
        <v>46174</v>
      </c>
      <c r="K179" s="338">
        <f t="shared" si="84"/>
        <v>46204</v>
      </c>
      <c r="L179" s="338">
        <f t="shared" si="84"/>
        <v>46235</v>
      </c>
      <c r="M179" s="338">
        <f t="shared" si="84"/>
        <v>46266</v>
      </c>
      <c r="N179" s="338">
        <f t="shared" si="84"/>
        <v>46296</v>
      </c>
      <c r="O179" s="338">
        <f t="shared" si="84"/>
        <v>46327</v>
      </c>
      <c r="P179" s="338">
        <f t="shared" si="84"/>
        <v>46357</v>
      </c>
      <c r="Q179" s="285" t="s">
        <v>12</v>
      </c>
      <c r="T179" s="6"/>
      <c r="U179" s="6"/>
    </row>
    <row r="180" spans="2:21" outlineLevel="1" x14ac:dyDescent="0.35">
      <c r="B180" s="357" t="str">
        <f t="shared" ref="B180:B193" si="85">B161</f>
        <v>9510-400</v>
      </c>
      <c r="D180" s="45" t="str">
        <f>IFERROR(VLOOKUP(B180,'Renew &amp; Vac '!$L$207:$M$221,2,FALSE),IFERROR(VLOOKUP(B180,'Renew &amp; Vac '!$A$207:$B$221,2,FALSE),VLOOKUP(B180,$B$161:$D$174,3,FALSE)))</f>
        <v>From the Boot</v>
      </c>
      <c r="E180" s="45">
        <f>SUMIFS('Renew &amp; Vac '!$S$207:$S$221,'Renew &amp; Vac '!$L$207:$L$221,$B180,'Renew &amp; Vac '!$O$207:$O$221,"&lt;="&amp;E$179,'Renew &amp; Vac '!$P$207:$P$221,"&gt;="&amp;E$179)+SUMIFS('Renew &amp; Vac '!$H$207:$H$221,'Renew &amp; Vac '!$A$207:$A$221,$B180,'Renew &amp; Vac '!$D$207:$D$221,"&lt;="&amp;E$179,'Renew &amp; Vac '!$E$207:$E$221,"&gt;="&amp;E$179)</f>
        <v>0</v>
      </c>
      <c r="F180" s="45">
        <f>SUMIFS('Renew &amp; Vac '!$S$207:$S$221,'Renew &amp; Vac '!$L$207:$L$221,$B180,'Renew &amp; Vac '!$O$207:$O$221,"&lt;="&amp;F$179,'Renew &amp; Vac '!$P$207:$P$221,"&gt;="&amp;F$179)+SUMIFS('Renew &amp; Vac '!$H$207:$H$221,'Renew &amp; Vac '!$A$207:$A$221,$B180,'Renew &amp; Vac '!$D$207:$D$221,"&lt;="&amp;F$179,'Renew &amp; Vac '!$E$207:$E$221,"&gt;="&amp;F$179)</f>
        <v>0</v>
      </c>
      <c r="G180" s="45">
        <f>SUMIFS('Renew &amp; Vac '!$S$207:$S$221,'Renew &amp; Vac '!$L$207:$L$221,$B180,'Renew &amp; Vac '!$O$207:$O$221,"&lt;="&amp;G$179,'Renew &amp; Vac '!$P$207:$P$221,"&gt;="&amp;G$179)+SUMIFS('Renew &amp; Vac '!$H$207:$H$221,'Renew &amp; Vac '!$A$207:$A$221,$B180,'Renew &amp; Vac '!$D$207:$D$221,"&lt;="&amp;G$179,'Renew &amp; Vac '!$E$207:$E$221,"&gt;="&amp;G$179)</f>
        <v>0</v>
      </c>
      <c r="H180" s="45">
        <f>SUMIFS('Renew &amp; Vac '!$S$207:$S$221,'Renew &amp; Vac '!$L$207:$L$221,$B180,'Renew &amp; Vac '!$O$207:$O$221,"&lt;="&amp;H$179,'Renew &amp; Vac '!$P$207:$P$221,"&gt;="&amp;H$179)+SUMIFS('Renew &amp; Vac '!$H$207:$H$221,'Renew &amp; Vac '!$A$207:$A$221,$B180,'Renew &amp; Vac '!$D$207:$D$221,"&lt;="&amp;H$179,'Renew &amp; Vac '!$E$207:$E$221,"&gt;="&amp;H$179)</f>
        <v>0</v>
      </c>
      <c r="I180" s="45">
        <f>SUMIFS('Renew &amp; Vac '!$S$207:$S$221,'Renew &amp; Vac '!$L$207:$L$221,$B180,'Renew &amp; Vac '!$O$207:$O$221,"&lt;="&amp;I$179,'Renew &amp; Vac '!$P$207:$P$221,"&gt;="&amp;I$179)+SUMIFS('Renew &amp; Vac '!$H$207:$H$221,'Renew &amp; Vac '!$A$207:$A$221,$B180,'Renew &amp; Vac '!$D$207:$D$221,"&lt;="&amp;I$179,'Renew &amp; Vac '!$E$207:$E$221,"&gt;="&amp;I$179)</f>
        <v>0</v>
      </c>
      <c r="J180" s="45">
        <f>SUMIFS('Renew &amp; Vac '!$S$207:$S$221,'Renew &amp; Vac '!$L$207:$L$221,$B180,'Renew &amp; Vac '!$O$207:$O$221,"&lt;="&amp;J$179,'Renew &amp; Vac '!$P$207:$P$221,"&gt;="&amp;J$179)+SUMIFS('Renew &amp; Vac '!$H$207:$H$221,'Renew &amp; Vac '!$A$207:$A$221,$B180,'Renew &amp; Vac '!$D$207:$D$221,"&lt;="&amp;J$179,'Renew &amp; Vac '!$E$207:$E$221,"&gt;="&amp;J$179)</f>
        <v>0</v>
      </c>
      <c r="K180" s="45">
        <f>SUMIFS('Renew &amp; Vac '!$S$207:$S$221,'Renew &amp; Vac '!$L$207:$L$221,$B180,'Renew &amp; Vac '!$O$207:$O$221,"&lt;="&amp;K$179,'Renew &amp; Vac '!$P$207:$P$221,"&gt;="&amp;K$179)+SUMIFS('Renew &amp; Vac '!$H$207:$H$221,'Renew &amp; Vac '!$A$207:$A$221,$B180,'Renew &amp; Vac '!$D$207:$D$221,"&lt;="&amp;K$179,'Renew &amp; Vac '!$E$207:$E$221,"&gt;="&amp;K$179)</f>
        <v>0</v>
      </c>
      <c r="L180" s="45">
        <f>SUMIFS('Renew &amp; Vac '!$S$207:$S$221,'Renew &amp; Vac '!$L$207:$L$221,$B180,'Renew &amp; Vac '!$O$207:$O$221,"&lt;="&amp;L$179,'Renew &amp; Vac '!$P$207:$P$221,"&gt;="&amp;L$179)+SUMIFS('Renew &amp; Vac '!$H$207:$H$221,'Renew &amp; Vac '!$A$207:$A$221,$B180,'Renew &amp; Vac '!$D$207:$D$221,"&lt;="&amp;L$179,'Renew &amp; Vac '!$E$207:$E$221,"&gt;="&amp;L$179)</f>
        <v>991.875</v>
      </c>
      <c r="M180" s="45">
        <f>SUMIFS('Renew &amp; Vac '!$S$207:$S$221,'Renew &amp; Vac '!$L$207:$L$221,$B180,'Renew &amp; Vac '!$O$207:$O$221,"&lt;="&amp;M$179,'Renew &amp; Vac '!$P$207:$P$221,"&gt;="&amp;M$179)+SUMIFS('Renew &amp; Vac '!$H$207:$H$221,'Renew &amp; Vac '!$A$207:$A$221,$B180,'Renew &amp; Vac '!$D$207:$D$221,"&lt;="&amp;M$179,'Renew &amp; Vac '!$E$207:$E$221,"&gt;="&amp;M$179)</f>
        <v>991.875</v>
      </c>
      <c r="N180" s="45">
        <f>SUMIFS('Renew &amp; Vac '!$S$207:$S$221,'Renew &amp; Vac '!$L$207:$L$221,$B180,'Renew &amp; Vac '!$O$207:$O$221,"&lt;="&amp;N$179,'Renew &amp; Vac '!$P$207:$P$221,"&gt;="&amp;N$179)+SUMIFS('Renew &amp; Vac '!$H$207:$H$221,'Renew &amp; Vac '!$A$207:$A$221,$B180,'Renew &amp; Vac '!$D$207:$D$221,"&lt;="&amp;N$179,'Renew &amp; Vac '!$E$207:$E$221,"&gt;="&amp;N$179)</f>
        <v>991.875</v>
      </c>
      <c r="O180" s="45">
        <f>SUMIFS('Renew &amp; Vac '!$S$207:$S$221,'Renew &amp; Vac '!$L$207:$L$221,$B180,'Renew &amp; Vac '!$O$207:$O$221,"&lt;="&amp;O$179,'Renew &amp; Vac '!$P$207:$P$221,"&gt;="&amp;O$179)+SUMIFS('Renew &amp; Vac '!$H$207:$H$221,'Renew &amp; Vac '!$A$207:$A$221,$B180,'Renew &amp; Vac '!$D$207:$D$221,"&lt;="&amp;O$179,'Renew &amp; Vac '!$E$207:$E$221,"&gt;="&amp;O$179)</f>
        <v>991.875</v>
      </c>
      <c r="P180" s="45">
        <f>SUMIFS('Renew &amp; Vac '!$S$207:$S$221,'Renew &amp; Vac '!$L$207:$L$221,$B180,'Renew &amp; Vac '!$O$207:$O$221,"&lt;="&amp;P$179,'Renew &amp; Vac '!$P$207:$P$221,"&gt;="&amp;P$179)+SUMIFS('Renew &amp; Vac '!$H$207:$H$221,'Renew &amp; Vac '!$A$207:$A$221,$B180,'Renew &amp; Vac '!$D$207:$D$221,"&lt;="&amp;P$179,'Renew &amp; Vac '!$E$207:$E$221,"&gt;="&amp;P$179)</f>
        <v>991.875</v>
      </c>
      <c r="Q180" s="8">
        <f>SUM(E180:P180)</f>
        <v>4959.375</v>
      </c>
      <c r="T180" s="6"/>
      <c r="U180" s="6"/>
    </row>
    <row r="181" spans="2:21" outlineLevel="1" x14ac:dyDescent="0.35">
      <c r="B181" s="79" t="str">
        <f t="shared" si="85"/>
        <v>9510-404</v>
      </c>
      <c r="D181" s="6" t="str">
        <f>IFERROR(VLOOKUP(B181,'Renew &amp; Vac '!$L$207:$M$221,2,FALSE),IFERROR(VLOOKUP(B181,'Renew &amp; Vac '!$A$207:$B$221,2,FALSE),VLOOKUP(B181,$B$161:$D$174,3,FALSE)))</f>
        <v>From the Boot</v>
      </c>
      <c r="E181" s="6">
        <f>SUMIFS('Renew &amp; Vac '!$S$207:$S$221,'Renew &amp; Vac '!$L$207:$L$221,$B181,'Renew &amp; Vac '!$O$207:$O$221,"&lt;="&amp;E$179,'Renew &amp; Vac '!$P$207:$P$221,"&gt;="&amp;E$179)+SUMIFS('Renew &amp; Vac '!$H$207:$H$221,'Renew &amp; Vac '!$A$207:$A$221,$B181,'Renew &amp; Vac '!$D$207:$D$221,"&lt;="&amp;E$179,'Renew &amp; Vac '!$E$207:$E$221,"&gt;="&amp;E$179)</f>
        <v>0</v>
      </c>
      <c r="F181" s="6">
        <f>SUMIFS('Renew &amp; Vac '!$S$207:$S$221,'Renew &amp; Vac '!$L$207:$L$221,$B181,'Renew &amp; Vac '!$O$207:$O$221,"&lt;="&amp;F$179,'Renew &amp; Vac '!$P$207:$P$221,"&gt;="&amp;F$179)+SUMIFS('Renew &amp; Vac '!$H$207:$H$221,'Renew &amp; Vac '!$A$207:$A$221,$B181,'Renew &amp; Vac '!$D$207:$D$221,"&lt;="&amp;F$179,'Renew &amp; Vac '!$E$207:$E$221,"&gt;="&amp;F$179)</f>
        <v>0</v>
      </c>
      <c r="G181" s="6">
        <f>SUMIFS('Renew &amp; Vac '!$S$207:$S$221,'Renew &amp; Vac '!$L$207:$L$221,$B181,'Renew &amp; Vac '!$O$207:$O$221,"&lt;="&amp;G$179,'Renew &amp; Vac '!$P$207:$P$221,"&gt;="&amp;G$179)+SUMIFS('Renew &amp; Vac '!$H$207:$H$221,'Renew &amp; Vac '!$A$207:$A$221,$B181,'Renew &amp; Vac '!$D$207:$D$221,"&lt;="&amp;G$179,'Renew &amp; Vac '!$E$207:$E$221,"&gt;="&amp;G$179)</f>
        <v>0</v>
      </c>
      <c r="H181" s="6">
        <f>SUMIFS('Renew &amp; Vac '!$S$207:$S$221,'Renew &amp; Vac '!$L$207:$L$221,$B181,'Renew &amp; Vac '!$O$207:$O$221,"&lt;="&amp;H$179,'Renew &amp; Vac '!$P$207:$P$221,"&gt;="&amp;H$179)+SUMIFS('Renew &amp; Vac '!$H$207:$H$221,'Renew &amp; Vac '!$A$207:$A$221,$B181,'Renew &amp; Vac '!$D$207:$D$221,"&lt;="&amp;H$179,'Renew &amp; Vac '!$E$207:$E$221,"&gt;="&amp;H$179)</f>
        <v>0</v>
      </c>
      <c r="I181" s="6">
        <f>SUMIFS('Renew &amp; Vac '!$S$207:$S$221,'Renew &amp; Vac '!$L$207:$L$221,$B181,'Renew &amp; Vac '!$O$207:$O$221,"&lt;="&amp;I$179,'Renew &amp; Vac '!$P$207:$P$221,"&gt;="&amp;I$179)+SUMIFS('Renew &amp; Vac '!$H$207:$H$221,'Renew &amp; Vac '!$A$207:$A$221,$B181,'Renew &amp; Vac '!$D$207:$D$221,"&lt;="&amp;I$179,'Renew &amp; Vac '!$E$207:$E$221,"&gt;="&amp;I$179)</f>
        <v>0</v>
      </c>
      <c r="J181" s="6">
        <f>SUMIFS('Renew &amp; Vac '!$S$207:$S$221,'Renew &amp; Vac '!$L$207:$L$221,$B181,'Renew &amp; Vac '!$O$207:$O$221,"&lt;="&amp;J$179,'Renew &amp; Vac '!$P$207:$P$221,"&gt;="&amp;J$179)+SUMIFS('Renew &amp; Vac '!$H$207:$H$221,'Renew &amp; Vac '!$A$207:$A$221,$B181,'Renew &amp; Vac '!$D$207:$D$221,"&lt;="&amp;J$179,'Renew &amp; Vac '!$E$207:$E$221,"&gt;="&amp;J$179)</f>
        <v>0</v>
      </c>
      <c r="K181" s="6">
        <f>SUMIFS('Renew &amp; Vac '!$S$207:$S$221,'Renew &amp; Vac '!$L$207:$L$221,$B181,'Renew &amp; Vac '!$O$207:$O$221,"&lt;="&amp;K$179,'Renew &amp; Vac '!$P$207:$P$221,"&gt;="&amp;K$179)+SUMIFS('Renew &amp; Vac '!$H$207:$H$221,'Renew &amp; Vac '!$A$207:$A$221,$B181,'Renew &amp; Vac '!$D$207:$D$221,"&lt;="&amp;K$179,'Renew &amp; Vac '!$E$207:$E$221,"&gt;="&amp;K$179)</f>
        <v>0</v>
      </c>
      <c r="L181" s="6">
        <f>SUMIFS('Renew &amp; Vac '!$S$207:$S$221,'Renew &amp; Vac '!$L$207:$L$221,$B181,'Renew &amp; Vac '!$O$207:$O$221,"&lt;="&amp;L$179,'Renew &amp; Vac '!$P$207:$P$221,"&gt;="&amp;L$179)+SUMIFS('Renew &amp; Vac '!$H$207:$H$221,'Renew &amp; Vac '!$A$207:$A$221,$B181,'Renew &amp; Vac '!$D$207:$D$221,"&lt;="&amp;L$179,'Renew &amp; Vac '!$E$207:$E$221,"&gt;="&amp;L$179)</f>
        <v>4993.125</v>
      </c>
      <c r="M181" s="6">
        <f>SUMIFS('Renew &amp; Vac '!$S$207:$S$221,'Renew &amp; Vac '!$L$207:$L$221,$B181,'Renew &amp; Vac '!$O$207:$O$221,"&lt;="&amp;M$179,'Renew &amp; Vac '!$P$207:$P$221,"&gt;="&amp;M$179)+SUMIFS('Renew &amp; Vac '!$H$207:$H$221,'Renew &amp; Vac '!$A$207:$A$221,$B181,'Renew &amp; Vac '!$D$207:$D$221,"&lt;="&amp;M$179,'Renew &amp; Vac '!$E$207:$E$221,"&gt;="&amp;M$179)</f>
        <v>4993.125</v>
      </c>
      <c r="N181" s="6">
        <f>SUMIFS('Renew &amp; Vac '!$S$207:$S$221,'Renew &amp; Vac '!$L$207:$L$221,$B181,'Renew &amp; Vac '!$O$207:$O$221,"&lt;="&amp;N$179,'Renew &amp; Vac '!$P$207:$P$221,"&gt;="&amp;N$179)+SUMIFS('Renew &amp; Vac '!$H$207:$H$221,'Renew &amp; Vac '!$A$207:$A$221,$B181,'Renew &amp; Vac '!$D$207:$D$221,"&lt;="&amp;N$179,'Renew &amp; Vac '!$E$207:$E$221,"&gt;="&amp;N$179)</f>
        <v>4993.125</v>
      </c>
      <c r="O181" s="6">
        <f>SUMIFS('Renew &amp; Vac '!$S$207:$S$221,'Renew &amp; Vac '!$L$207:$L$221,$B181,'Renew &amp; Vac '!$O$207:$O$221,"&lt;="&amp;O$179,'Renew &amp; Vac '!$P$207:$P$221,"&gt;="&amp;O$179)+SUMIFS('Renew &amp; Vac '!$H$207:$H$221,'Renew &amp; Vac '!$A$207:$A$221,$B181,'Renew &amp; Vac '!$D$207:$D$221,"&lt;="&amp;O$179,'Renew &amp; Vac '!$E$207:$E$221,"&gt;="&amp;O$179)</f>
        <v>4993.125</v>
      </c>
      <c r="P181" s="6">
        <f>SUMIFS('Renew &amp; Vac '!$S$207:$S$221,'Renew &amp; Vac '!$L$207:$L$221,$B181,'Renew &amp; Vac '!$O$207:$O$221,"&lt;="&amp;P$179,'Renew &amp; Vac '!$P$207:$P$221,"&gt;="&amp;P$179)+SUMIFS('Renew &amp; Vac '!$H$207:$H$221,'Renew &amp; Vac '!$A$207:$A$221,$B181,'Renew &amp; Vac '!$D$207:$D$221,"&lt;="&amp;P$179,'Renew &amp; Vac '!$E$207:$E$221,"&gt;="&amp;P$179)</f>
        <v>4993.125</v>
      </c>
      <c r="Q181" s="8">
        <f t="shared" ref="Q181:Q192" si="86">SUM(E181:P181)</f>
        <v>24965.625</v>
      </c>
    </row>
    <row r="182" spans="2:21" outlineLevel="1" x14ac:dyDescent="0.35">
      <c r="B182" s="79" t="str">
        <f t="shared" si="85"/>
        <v>9510-406</v>
      </c>
      <c r="D182" s="6" t="str">
        <f>IFERROR(VLOOKUP(B182,'Renew &amp; Vac '!$L$207:$M$221,2,FALSE),IFERROR(VLOOKUP(B182,'Renew &amp; Vac '!$A$207:$B$221,2,FALSE),VLOOKUP(B182,$B$161:$D$174,3,FALSE)))</f>
        <v>Wawa #97</v>
      </c>
      <c r="E182" s="6">
        <f>SUMIFS('Renew &amp; Vac '!$S$207:$S$221,'Renew &amp; Vac '!$L$207:$L$221,$B182,'Renew &amp; Vac '!$O$207:$O$221,"&lt;="&amp;E$179,'Renew &amp; Vac '!$P$207:$P$221,"&gt;="&amp;E$179)+SUMIFS('Renew &amp; Vac '!$H$207:$H$221,'Renew &amp; Vac '!$A$207:$A$221,$B182,'Renew &amp; Vac '!$D$207:$D$221,"&lt;="&amp;E$179,'Renew &amp; Vac '!$E$207:$E$221,"&gt;="&amp;E$179)</f>
        <v>0</v>
      </c>
      <c r="F182" s="6">
        <f>SUMIFS('Renew &amp; Vac '!$S$207:$S$221,'Renew &amp; Vac '!$L$207:$L$221,$B182,'Renew &amp; Vac '!$O$207:$O$221,"&lt;="&amp;F$179,'Renew &amp; Vac '!$P$207:$P$221,"&gt;="&amp;F$179)+SUMIFS('Renew &amp; Vac '!$H$207:$H$221,'Renew &amp; Vac '!$A$207:$A$221,$B182,'Renew &amp; Vac '!$D$207:$D$221,"&lt;="&amp;F$179,'Renew &amp; Vac '!$E$207:$E$221,"&gt;="&amp;F$179)</f>
        <v>0</v>
      </c>
      <c r="G182" s="6">
        <f>SUMIFS('Renew &amp; Vac '!$S$207:$S$221,'Renew &amp; Vac '!$L$207:$L$221,$B182,'Renew &amp; Vac '!$O$207:$O$221,"&lt;="&amp;G$179,'Renew &amp; Vac '!$P$207:$P$221,"&gt;="&amp;G$179)+SUMIFS('Renew &amp; Vac '!$H$207:$H$221,'Renew &amp; Vac '!$A$207:$A$221,$B182,'Renew &amp; Vac '!$D$207:$D$221,"&lt;="&amp;G$179,'Renew &amp; Vac '!$E$207:$E$221,"&gt;="&amp;G$179)</f>
        <v>0</v>
      </c>
      <c r="H182" s="6">
        <f>SUMIFS('Renew &amp; Vac '!$S$207:$S$221,'Renew &amp; Vac '!$L$207:$L$221,$B182,'Renew &amp; Vac '!$O$207:$O$221,"&lt;="&amp;H$179,'Renew &amp; Vac '!$P$207:$P$221,"&gt;="&amp;H$179)+SUMIFS('Renew &amp; Vac '!$H$207:$H$221,'Renew &amp; Vac '!$A$207:$A$221,$B182,'Renew &amp; Vac '!$D$207:$D$221,"&lt;="&amp;H$179,'Renew &amp; Vac '!$E$207:$E$221,"&gt;="&amp;H$179)</f>
        <v>0</v>
      </c>
      <c r="I182" s="6">
        <f>SUMIFS('Renew &amp; Vac '!$S$207:$S$221,'Renew &amp; Vac '!$L$207:$L$221,$B182,'Renew &amp; Vac '!$O$207:$O$221,"&lt;="&amp;I$179,'Renew &amp; Vac '!$P$207:$P$221,"&gt;="&amp;I$179)+SUMIFS('Renew &amp; Vac '!$H$207:$H$221,'Renew &amp; Vac '!$A$207:$A$221,$B182,'Renew &amp; Vac '!$D$207:$D$221,"&lt;="&amp;I$179,'Renew &amp; Vac '!$E$207:$E$221,"&gt;="&amp;I$179)</f>
        <v>0</v>
      </c>
      <c r="J182" s="6">
        <f>SUMIFS('Renew &amp; Vac '!$S$207:$S$221,'Renew &amp; Vac '!$L$207:$L$221,$B182,'Renew &amp; Vac '!$O$207:$O$221,"&lt;="&amp;J$179,'Renew &amp; Vac '!$P$207:$P$221,"&gt;="&amp;J$179)+SUMIFS('Renew &amp; Vac '!$H$207:$H$221,'Renew &amp; Vac '!$A$207:$A$221,$B182,'Renew &amp; Vac '!$D$207:$D$221,"&lt;="&amp;J$179,'Renew &amp; Vac '!$E$207:$E$221,"&gt;="&amp;J$179)</f>
        <v>0</v>
      </c>
      <c r="K182" s="6">
        <f>SUMIFS('Renew &amp; Vac '!$S$207:$S$221,'Renew &amp; Vac '!$L$207:$L$221,$B182,'Renew &amp; Vac '!$O$207:$O$221,"&lt;="&amp;K$179,'Renew &amp; Vac '!$P$207:$P$221,"&gt;="&amp;K$179)+SUMIFS('Renew &amp; Vac '!$H$207:$H$221,'Renew &amp; Vac '!$A$207:$A$221,$B182,'Renew &amp; Vac '!$D$207:$D$221,"&lt;="&amp;K$179,'Renew &amp; Vac '!$E$207:$E$221,"&gt;="&amp;K$179)</f>
        <v>0</v>
      </c>
      <c r="L182" s="6">
        <f>SUMIFS('Renew &amp; Vac '!$S$207:$S$221,'Renew &amp; Vac '!$L$207:$L$221,$B182,'Renew &amp; Vac '!$O$207:$O$221,"&lt;="&amp;L$179,'Renew &amp; Vac '!$P$207:$P$221,"&gt;="&amp;L$179)+SUMIFS('Renew &amp; Vac '!$H$207:$H$221,'Renew &amp; Vac '!$A$207:$A$221,$B182,'Renew &amp; Vac '!$D$207:$D$221,"&lt;="&amp;L$179,'Renew &amp; Vac '!$E$207:$E$221,"&gt;="&amp;L$179)</f>
        <v>0</v>
      </c>
      <c r="M182" s="6">
        <f>SUMIFS('Renew &amp; Vac '!$S$207:$S$221,'Renew &amp; Vac '!$L$207:$L$221,$B182,'Renew &amp; Vac '!$O$207:$O$221,"&lt;="&amp;M$179,'Renew &amp; Vac '!$P$207:$P$221,"&gt;="&amp;M$179)+SUMIFS('Renew &amp; Vac '!$H$207:$H$221,'Renew &amp; Vac '!$A$207:$A$221,$B182,'Renew &amp; Vac '!$D$207:$D$221,"&lt;="&amp;M$179,'Renew &amp; Vac '!$E$207:$E$221,"&gt;="&amp;M$179)</f>
        <v>0</v>
      </c>
      <c r="N182" s="6">
        <f>SUMIFS('Renew &amp; Vac '!$S$207:$S$221,'Renew &amp; Vac '!$L$207:$L$221,$B182,'Renew &amp; Vac '!$O$207:$O$221,"&lt;="&amp;N$179,'Renew &amp; Vac '!$P$207:$P$221,"&gt;="&amp;N$179)+SUMIFS('Renew &amp; Vac '!$H$207:$H$221,'Renew &amp; Vac '!$A$207:$A$221,$B182,'Renew &amp; Vac '!$D$207:$D$221,"&lt;="&amp;N$179,'Renew &amp; Vac '!$E$207:$E$221,"&gt;="&amp;N$179)</f>
        <v>0</v>
      </c>
      <c r="O182" s="6">
        <f>SUMIFS('Renew &amp; Vac '!$S$207:$S$221,'Renew &amp; Vac '!$L$207:$L$221,$B182,'Renew &amp; Vac '!$O$207:$O$221,"&lt;="&amp;O$179,'Renew &amp; Vac '!$P$207:$P$221,"&gt;="&amp;O$179)+SUMIFS('Renew &amp; Vac '!$H$207:$H$221,'Renew &amp; Vac '!$A$207:$A$221,$B182,'Renew &amp; Vac '!$D$207:$D$221,"&lt;="&amp;O$179,'Renew &amp; Vac '!$E$207:$E$221,"&gt;="&amp;O$179)</f>
        <v>0</v>
      </c>
      <c r="P182" s="6">
        <f>SUMIFS('Renew &amp; Vac '!$S$207:$S$221,'Renew &amp; Vac '!$L$207:$L$221,$B182,'Renew &amp; Vac '!$O$207:$O$221,"&lt;="&amp;P$179,'Renew &amp; Vac '!$P$207:$P$221,"&gt;="&amp;P$179)+SUMIFS('Renew &amp; Vac '!$H$207:$H$221,'Renew &amp; Vac '!$A$207:$A$221,$B182,'Renew &amp; Vac '!$D$207:$D$221,"&lt;="&amp;P$179,'Renew &amp; Vac '!$E$207:$E$221,"&gt;="&amp;P$179)</f>
        <v>0</v>
      </c>
      <c r="Q182" s="8">
        <f t="shared" si="86"/>
        <v>0</v>
      </c>
    </row>
    <row r="183" spans="2:21" outlineLevel="1" x14ac:dyDescent="0.35">
      <c r="B183" s="79" t="str">
        <f t="shared" si="85"/>
        <v>9510-408</v>
      </c>
      <c r="D183" s="6" t="str">
        <f>IFERROR(VLOOKUP(B183,'Renew &amp; Vac '!$L$207:$M$221,2,FALSE),IFERROR(VLOOKUP(B183,'Renew &amp; Vac '!$A$207:$B$221,2,FALSE),VLOOKUP(B183,$B$161:$D$174,3,FALSE)))</f>
        <v>Vino's Pizza</v>
      </c>
      <c r="E183" s="6">
        <f>SUMIFS('Renew &amp; Vac '!$S$207:$S$221,'Renew &amp; Vac '!$L$207:$L$221,$B183,'Renew &amp; Vac '!$O$207:$O$221,"&lt;="&amp;E$179,'Renew &amp; Vac '!$P$207:$P$221,"&gt;="&amp;E$179)+SUMIFS('Renew &amp; Vac '!$H$207:$H$221,'Renew &amp; Vac '!$A$207:$A$221,$B183,'Renew &amp; Vac '!$D$207:$D$221,"&lt;="&amp;E$179,'Renew &amp; Vac '!$E$207:$E$221,"&gt;="&amp;E$179)</f>
        <v>0</v>
      </c>
      <c r="F183" s="6">
        <f>SUMIFS('Renew &amp; Vac '!$S$207:$S$221,'Renew &amp; Vac '!$L$207:$L$221,$B183,'Renew &amp; Vac '!$O$207:$O$221,"&lt;="&amp;F$179,'Renew &amp; Vac '!$P$207:$P$221,"&gt;="&amp;F$179)+SUMIFS('Renew &amp; Vac '!$H$207:$H$221,'Renew &amp; Vac '!$A$207:$A$221,$B183,'Renew &amp; Vac '!$D$207:$D$221,"&lt;="&amp;F$179,'Renew &amp; Vac '!$E$207:$E$221,"&gt;="&amp;F$179)</f>
        <v>0</v>
      </c>
      <c r="G183" s="6">
        <f>SUMIFS('Renew &amp; Vac '!$S$207:$S$221,'Renew &amp; Vac '!$L$207:$L$221,$B183,'Renew &amp; Vac '!$O$207:$O$221,"&lt;="&amp;G$179,'Renew &amp; Vac '!$P$207:$P$221,"&gt;="&amp;G$179)+SUMIFS('Renew &amp; Vac '!$H$207:$H$221,'Renew &amp; Vac '!$A$207:$A$221,$B183,'Renew &amp; Vac '!$D$207:$D$221,"&lt;="&amp;G$179,'Renew &amp; Vac '!$E$207:$E$221,"&gt;="&amp;G$179)</f>
        <v>0</v>
      </c>
      <c r="H183" s="6">
        <f>SUMIFS('Renew &amp; Vac '!$S$207:$S$221,'Renew &amp; Vac '!$L$207:$L$221,$B183,'Renew &amp; Vac '!$O$207:$O$221,"&lt;="&amp;H$179,'Renew &amp; Vac '!$P$207:$P$221,"&gt;="&amp;H$179)+SUMIFS('Renew &amp; Vac '!$H$207:$H$221,'Renew &amp; Vac '!$A$207:$A$221,$B183,'Renew &amp; Vac '!$D$207:$D$221,"&lt;="&amp;H$179,'Renew &amp; Vac '!$E$207:$E$221,"&gt;="&amp;H$179)</f>
        <v>0</v>
      </c>
      <c r="I183" s="6">
        <f>SUMIFS('Renew &amp; Vac '!$S$207:$S$221,'Renew &amp; Vac '!$L$207:$L$221,$B183,'Renew &amp; Vac '!$O$207:$O$221,"&lt;="&amp;I$179,'Renew &amp; Vac '!$P$207:$P$221,"&gt;="&amp;I$179)+SUMIFS('Renew &amp; Vac '!$H$207:$H$221,'Renew &amp; Vac '!$A$207:$A$221,$B183,'Renew &amp; Vac '!$D$207:$D$221,"&lt;="&amp;I$179,'Renew &amp; Vac '!$E$207:$E$221,"&gt;="&amp;I$179)</f>
        <v>0</v>
      </c>
      <c r="J183" s="6">
        <f>SUMIFS('Renew &amp; Vac '!$S$207:$S$221,'Renew &amp; Vac '!$L$207:$L$221,$B183,'Renew &amp; Vac '!$O$207:$O$221,"&lt;="&amp;J$179,'Renew &amp; Vac '!$P$207:$P$221,"&gt;="&amp;J$179)+SUMIFS('Renew &amp; Vac '!$H$207:$H$221,'Renew &amp; Vac '!$A$207:$A$221,$B183,'Renew &amp; Vac '!$D$207:$D$221,"&lt;="&amp;J$179,'Renew &amp; Vac '!$E$207:$E$221,"&gt;="&amp;J$179)</f>
        <v>0</v>
      </c>
      <c r="K183" s="6">
        <f>SUMIFS('Renew &amp; Vac '!$S$207:$S$221,'Renew &amp; Vac '!$L$207:$L$221,$B183,'Renew &amp; Vac '!$O$207:$O$221,"&lt;="&amp;K$179,'Renew &amp; Vac '!$P$207:$P$221,"&gt;="&amp;K$179)+SUMIFS('Renew &amp; Vac '!$H$207:$H$221,'Renew &amp; Vac '!$A$207:$A$221,$B183,'Renew &amp; Vac '!$D$207:$D$221,"&lt;="&amp;K$179,'Renew &amp; Vac '!$E$207:$E$221,"&gt;="&amp;K$179)</f>
        <v>0</v>
      </c>
      <c r="L183" s="6">
        <f>SUMIFS('Renew &amp; Vac '!$S$207:$S$221,'Renew &amp; Vac '!$L$207:$L$221,$B183,'Renew &amp; Vac '!$O$207:$O$221,"&lt;="&amp;L$179,'Renew &amp; Vac '!$P$207:$P$221,"&gt;="&amp;L$179)+SUMIFS('Renew &amp; Vac '!$H$207:$H$221,'Renew &amp; Vac '!$A$207:$A$221,$B183,'Renew &amp; Vac '!$D$207:$D$221,"&lt;="&amp;L$179,'Renew &amp; Vac '!$E$207:$E$221,"&gt;="&amp;L$179)</f>
        <v>0</v>
      </c>
      <c r="M183" s="6">
        <f>SUMIFS('Renew &amp; Vac '!$S$207:$S$221,'Renew &amp; Vac '!$L$207:$L$221,$B183,'Renew &amp; Vac '!$O$207:$O$221,"&lt;="&amp;M$179,'Renew &amp; Vac '!$P$207:$P$221,"&gt;="&amp;M$179)+SUMIFS('Renew &amp; Vac '!$H$207:$H$221,'Renew &amp; Vac '!$A$207:$A$221,$B183,'Renew &amp; Vac '!$D$207:$D$221,"&lt;="&amp;M$179,'Renew &amp; Vac '!$E$207:$E$221,"&gt;="&amp;M$179)</f>
        <v>0</v>
      </c>
      <c r="N183" s="6">
        <f>SUMIFS('Renew &amp; Vac '!$S$207:$S$221,'Renew &amp; Vac '!$L$207:$L$221,$B183,'Renew &amp; Vac '!$O$207:$O$221,"&lt;="&amp;N$179,'Renew &amp; Vac '!$P$207:$P$221,"&gt;="&amp;N$179)+SUMIFS('Renew &amp; Vac '!$H$207:$H$221,'Renew &amp; Vac '!$A$207:$A$221,$B183,'Renew &amp; Vac '!$D$207:$D$221,"&lt;="&amp;N$179,'Renew &amp; Vac '!$E$207:$E$221,"&gt;="&amp;N$179)</f>
        <v>0</v>
      </c>
      <c r="O183" s="6">
        <f>SUMIFS('Renew &amp; Vac '!$S$207:$S$221,'Renew &amp; Vac '!$L$207:$L$221,$B183,'Renew &amp; Vac '!$O$207:$O$221,"&lt;="&amp;O$179,'Renew &amp; Vac '!$P$207:$P$221,"&gt;="&amp;O$179)+SUMIFS('Renew &amp; Vac '!$H$207:$H$221,'Renew &amp; Vac '!$A$207:$A$221,$B183,'Renew &amp; Vac '!$D$207:$D$221,"&lt;="&amp;O$179,'Renew &amp; Vac '!$E$207:$E$221,"&gt;="&amp;O$179)</f>
        <v>0</v>
      </c>
      <c r="P183" s="6">
        <f>SUMIFS('Renew &amp; Vac '!$S$207:$S$221,'Renew &amp; Vac '!$L$207:$L$221,$B183,'Renew &amp; Vac '!$O$207:$O$221,"&lt;="&amp;P$179,'Renew &amp; Vac '!$P$207:$P$221,"&gt;="&amp;P$179)+SUMIFS('Renew &amp; Vac '!$H$207:$H$221,'Renew &amp; Vac '!$A$207:$A$221,$B183,'Renew &amp; Vac '!$D$207:$D$221,"&lt;="&amp;P$179,'Renew &amp; Vac '!$E$207:$E$221,"&gt;="&amp;P$179)</f>
        <v>0</v>
      </c>
      <c r="Q183" s="8">
        <f t="shared" si="86"/>
        <v>0</v>
      </c>
    </row>
    <row r="184" spans="2:21" outlineLevel="1" x14ac:dyDescent="0.35">
      <c r="B184" s="79" t="str">
        <f t="shared" si="85"/>
        <v>9510-410</v>
      </c>
      <c r="D184" s="6" t="str">
        <f>IFERROR(VLOOKUP(B184,'Renew &amp; Vac '!$L$207:$M$221,2,FALSE),IFERROR(VLOOKUP(B184,'Renew &amp; Vac '!$A$207:$B$221,2,FALSE),VLOOKUP(B184,$B$161:$D$174,3,FALSE)))</f>
        <v>Kevin Chan aka Hunan Wok</v>
      </c>
      <c r="E184" s="6">
        <f>SUMIFS('Renew &amp; Vac '!$S$207:$S$221,'Renew &amp; Vac '!$L$207:$L$221,$B184,'Renew &amp; Vac '!$O$207:$O$221,"&lt;="&amp;E$179,'Renew &amp; Vac '!$P$207:$P$221,"&gt;="&amp;E$179)+SUMIFS('Renew &amp; Vac '!$H$207:$H$221,'Renew &amp; Vac '!$A$207:$A$221,$B184,'Renew &amp; Vac '!$D$207:$D$221,"&lt;="&amp;E$179,'Renew &amp; Vac '!$E$207:$E$221,"&gt;="&amp;E$179)</f>
        <v>0</v>
      </c>
      <c r="F184" s="6">
        <f>SUMIFS('Renew &amp; Vac '!$S$207:$S$221,'Renew &amp; Vac '!$L$207:$L$221,$B184,'Renew &amp; Vac '!$O$207:$O$221,"&lt;="&amp;F$179,'Renew &amp; Vac '!$P$207:$P$221,"&gt;="&amp;F$179)+SUMIFS('Renew &amp; Vac '!$H$207:$H$221,'Renew &amp; Vac '!$A$207:$A$221,$B184,'Renew &amp; Vac '!$D$207:$D$221,"&lt;="&amp;F$179,'Renew &amp; Vac '!$E$207:$E$221,"&gt;="&amp;F$179)</f>
        <v>0</v>
      </c>
      <c r="G184" s="6">
        <f>SUMIFS('Renew &amp; Vac '!$S$207:$S$221,'Renew &amp; Vac '!$L$207:$L$221,$B184,'Renew &amp; Vac '!$O$207:$O$221,"&lt;="&amp;G$179,'Renew &amp; Vac '!$P$207:$P$221,"&gt;="&amp;G$179)+SUMIFS('Renew &amp; Vac '!$H$207:$H$221,'Renew &amp; Vac '!$A$207:$A$221,$B184,'Renew &amp; Vac '!$D$207:$D$221,"&lt;="&amp;G$179,'Renew &amp; Vac '!$E$207:$E$221,"&gt;="&amp;G$179)</f>
        <v>0</v>
      </c>
      <c r="H184" s="6">
        <f>SUMIFS('Renew &amp; Vac '!$S$207:$S$221,'Renew &amp; Vac '!$L$207:$L$221,$B184,'Renew &amp; Vac '!$O$207:$O$221,"&lt;="&amp;H$179,'Renew &amp; Vac '!$P$207:$P$221,"&gt;="&amp;H$179)+SUMIFS('Renew &amp; Vac '!$H$207:$H$221,'Renew &amp; Vac '!$A$207:$A$221,$B184,'Renew &amp; Vac '!$D$207:$D$221,"&lt;="&amp;H$179,'Renew &amp; Vac '!$E$207:$E$221,"&gt;="&amp;H$179)</f>
        <v>0</v>
      </c>
      <c r="I184" s="6">
        <f>SUMIFS('Renew &amp; Vac '!$S$207:$S$221,'Renew &amp; Vac '!$L$207:$L$221,$B184,'Renew &amp; Vac '!$O$207:$O$221,"&lt;="&amp;I$179,'Renew &amp; Vac '!$P$207:$P$221,"&gt;="&amp;I$179)+SUMIFS('Renew &amp; Vac '!$H$207:$H$221,'Renew &amp; Vac '!$A$207:$A$221,$B184,'Renew &amp; Vac '!$D$207:$D$221,"&lt;="&amp;I$179,'Renew &amp; Vac '!$E$207:$E$221,"&gt;="&amp;I$179)</f>
        <v>0</v>
      </c>
      <c r="J184" s="6">
        <f>SUMIFS('Renew &amp; Vac '!$S$207:$S$221,'Renew &amp; Vac '!$L$207:$L$221,$B184,'Renew &amp; Vac '!$O$207:$O$221,"&lt;="&amp;J$179,'Renew &amp; Vac '!$P$207:$P$221,"&gt;="&amp;J$179)+SUMIFS('Renew &amp; Vac '!$H$207:$H$221,'Renew &amp; Vac '!$A$207:$A$221,$B184,'Renew &amp; Vac '!$D$207:$D$221,"&lt;="&amp;J$179,'Renew &amp; Vac '!$E$207:$E$221,"&gt;="&amp;J$179)</f>
        <v>0</v>
      </c>
      <c r="K184" s="6">
        <f>SUMIFS('Renew &amp; Vac '!$S$207:$S$221,'Renew &amp; Vac '!$L$207:$L$221,$B184,'Renew &amp; Vac '!$O$207:$O$221,"&lt;="&amp;K$179,'Renew &amp; Vac '!$P$207:$P$221,"&gt;="&amp;K$179)+SUMIFS('Renew &amp; Vac '!$H$207:$H$221,'Renew &amp; Vac '!$A$207:$A$221,$B184,'Renew &amp; Vac '!$D$207:$D$221,"&lt;="&amp;K$179,'Renew &amp; Vac '!$E$207:$E$221,"&gt;="&amp;K$179)</f>
        <v>0</v>
      </c>
      <c r="L184" s="6">
        <f>SUMIFS('Renew &amp; Vac '!$S$207:$S$221,'Renew &amp; Vac '!$L$207:$L$221,$B184,'Renew &amp; Vac '!$O$207:$O$221,"&lt;="&amp;L$179,'Renew &amp; Vac '!$P$207:$P$221,"&gt;="&amp;L$179)+SUMIFS('Renew &amp; Vac '!$H$207:$H$221,'Renew &amp; Vac '!$A$207:$A$221,$B184,'Renew &amp; Vac '!$D$207:$D$221,"&lt;="&amp;L$179,'Renew &amp; Vac '!$E$207:$E$221,"&gt;="&amp;L$179)</f>
        <v>0</v>
      </c>
      <c r="M184" s="6">
        <f>SUMIFS('Renew &amp; Vac '!$S$207:$S$221,'Renew &amp; Vac '!$L$207:$L$221,$B184,'Renew &amp; Vac '!$O$207:$O$221,"&lt;="&amp;M$179,'Renew &amp; Vac '!$P$207:$P$221,"&gt;="&amp;M$179)+SUMIFS('Renew &amp; Vac '!$H$207:$H$221,'Renew &amp; Vac '!$A$207:$A$221,$B184,'Renew &amp; Vac '!$D$207:$D$221,"&lt;="&amp;M$179,'Renew &amp; Vac '!$E$207:$E$221,"&gt;="&amp;M$179)</f>
        <v>0</v>
      </c>
      <c r="N184" s="6">
        <f>SUMIFS('Renew &amp; Vac '!$S$207:$S$221,'Renew &amp; Vac '!$L$207:$L$221,$B184,'Renew &amp; Vac '!$O$207:$O$221,"&lt;="&amp;N$179,'Renew &amp; Vac '!$P$207:$P$221,"&gt;="&amp;N$179)+SUMIFS('Renew &amp; Vac '!$H$207:$H$221,'Renew &amp; Vac '!$A$207:$A$221,$B184,'Renew &amp; Vac '!$D$207:$D$221,"&lt;="&amp;N$179,'Renew &amp; Vac '!$E$207:$E$221,"&gt;="&amp;N$179)</f>
        <v>0</v>
      </c>
      <c r="O184" s="6">
        <f>SUMIFS('Renew &amp; Vac '!$S$207:$S$221,'Renew &amp; Vac '!$L$207:$L$221,$B184,'Renew &amp; Vac '!$O$207:$O$221,"&lt;="&amp;O$179,'Renew &amp; Vac '!$P$207:$P$221,"&gt;="&amp;O$179)+SUMIFS('Renew &amp; Vac '!$H$207:$H$221,'Renew &amp; Vac '!$A$207:$A$221,$B184,'Renew &amp; Vac '!$D$207:$D$221,"&lt;="&amp;O$179,'Renew &amp; Vac '!$E$207:$E$221,"&gt;="&amp;O$179)</f>
        <v>0</v>
      </c>
      <c r="P184" s="6">
        <f>SUMIFS('Renew &amp; Vac '!$S$207:$S$221,'Renew &amp; Vac '!$L$207:$L$221,$B184,'Renew &amp; Vac '!$O$207:$O$221,"&lt;="&amp;P$179,'Renew &amp; Vac '!$P$207:$P$221,"&gt;="&amp;P$179)+SUMIFS('Renew &amp; Vac '!$H$207:$H$221,'Renew &amp; Vac '!$A$207:$A$221,$B184,'Renew &amp; Vac '!$D$207:$D$221,"&lt;="&amp;P$179,'Renew &amp; Vac '!$E$207:$E$221,"&gt;="&amp;P$179)</f>
        <v>0</v>
      </c>
      <c r="Q184" s="8">
        <f t="shared" si="86"/>
        <v>0</v>
      </c>
    </row>
    <row r="185" spans="2:21" outlineLevel="1" x14ac:dyDescent="0.35">
      <c r="B185" s="79" t="str">
        <f t="shared" si="85"/>
        <v>9510-412</v>
      </c>
      <c r="D185" s="6" t="str">
        <f>IFERROR(VLOOKUP(B185,'Renew &amp; Vac '!$L$207:$M$221,2,FALSE),IFERROR(VLOOKUP(B185,'Renew &amp; Vac '!$A$207:$B$221,2,FALSE),VLOOKUP(B185,$B$161:$D$174,3,FALSE)))</f>
        <v>Touch of Class</v>
      </c>
      <c r="E185" s="6">
        <f>SUMIFS('Renew &amp; Vac '!$S$207:$S$221,'Renew &amp; Vac '!$L$207:$L$221,$B185,'Renew &amp; Vac '!$O$207:$O$221,"&lt;="&amp;E$179,'Renew &amp; Vac '!$P$207:$P$221,"&gt;="&amp;E$179)+SUMIFS('Renew &amp; Vac '!$H$207:$H$221,'Renew &amp; Vac '!$A$207:$A$221,$B185,'Renew &amp; Vac '!$D$207:$D$221,"&lt;="&amp;E$179,'Renew &amp; Vac '!$E$207:$E$221,"&gt;="&amp;E$179)</f>
        <v>0</v>
      </c>
      <c r="F185" s="6">
        <f>SUMIFS('Renew &amp; Vac '!$S$207:$S$221,'Renew &amp; Vac '!$L$207:$L$221,$B185,'Renew &amp; Vac '!$O$207:$O$221,"&lt;="&amp;F$179,'Renew &amp; Vac '!$P$207:$P$221,"&gt;="&amp;F$179)+SUMIFS('Renew &amp; Vac '!$H$207:$H$221,'Renew &amp; Vac '!$A$207:$A$221,$B185,'Renew &amp; Vac '!$D$207:$D$221,"&lt;="&amp;F$179,'Renew &amp; Vac '!$E$207:$E$221,"&gt;="&amp;F$179)</f>
        <v>0</v>
      </c>
      <c r="G185" s="6">
        <f>SUMIFS('Renew &amp; Vac '!$S$207:$S$221,'Renew &amp; Vac '!$L$207:$L$221,$B185,'Renew &amp; Vac '!$O$207:$O$221,"&lt;="&amp;G$179,'Renew &amp; Vac '!$P$207:$P$221,"&gt;="&amp;G$179)+SUMIFS('Renew &amp; Vac '!$H$207:$H$221,'Renew &amp; Vac '!$A$207:$A$221,$B185,'Renew &amp; Vac '!$D$207:$D$221,"&lt;="&amp;G$179,'Renew &amp; Vac '!$E$207:$E$221,"&gt;="&amp;G$179)</f>
        <v>0</v>
      </c>
      <c r="H185" s="6">
        <f>SUMIFS('Renew &amp; Vac '!$S$207:$S$221,'Renew &amp; Vac '!$L$207:$L$221,$B185,'Renew &amp; Vac '!$O$207:$O$221,"&lt;="&amp;H$179,'Renew &amp; Vac '!$P$207:$P$221,"&gt;="&amp;H$179)+SUMIFS('Renew &amp; Vac '!$H$207:$H$221,'Renew &amp; Vac '!$A$207:$A$221,$B185,'Renew &amp; Vac '!$D$207:$D$221,"&lt;="&amp;H$179,'Renew &amp; Vac '!$E$207:$E$221,"&gt;="&amp;H$179)</f>
        <v>0</v>
      </c>
      <c r="I185" s="6">
        <f>SUMIFS('Renew &amp; Vac '!$S$207:$S$221,'Renew &amp; Vac '!$L$207:$L$221,$B185,'Renew &amp; Vac '!$O$207:$O$221,"&lt;="&amp;I$179,'Renew &amp; Vac '!$P$207:$P$221,"&gt;="&amp;I$179)+SUMIFS('Renew &amp; Vac '!$H$207:$H$221,'Renew &amp; Vac '!$A$207:$A$221,$B185,'Renew &amp; Vac '!$D$207:$D$221,"&lt;="&amp;I$179,'Renew &amp; Vac '!$E$207:$E$221,"&gt;="&amp;I$179)</f>
        <v>0</v>
      </c>
      <c r="J185" s="6">
        <f>SUMIFS('Renew &amp; Vac '!$S$207:$S$221,'Renew &amp; Vac '!$L$207:$L$221,$B185,'Renew &amp; Vac '!$O$207:$O$221,"&lt;="&amp;J$179,'Renew &amp; Vac '!$P$207:$P$221,"&gt;="&amp;J$179)+SUMIFS('Renew &amp; Vac '!$H$207:$H$221,'Renew &amp; Vac '!$A$207:$A$221,$B185,'Renew &amp; Vac '!$D$207:$D$221,"&lt;="&amp;J$179,'Renew &amp; Vac '!$E$207:$E$221,"&gt;="&amp;J$179)</f>
        <v>0</v>
      </c>
      <c r="K185" s="6">
        <f>SUMIFS('Renew &amp; Vac '!$S$207:$S$221,'Renew &amp; Vac '!$L$207:$L$221,$B185,'Renew &amp; Vac '!$O$207:$O$221,"&lt;="&amp;K$179,'Renew &amp; Vac '!$P$207:$P$221,"&gt;="&amp;K$179)+SUMIFS('Renew &amp; Vac '!$H$207:$H$221,'Renew &amp; Vac '!$A$207:$A$221,$B185,'Renew &amp; Vac '!$D$207:$D$221,"&lt;="&amp;K$179,'Renew &amp; Vac '!$E$207:$E$221,"&gt;="&amp;K$179)</f>
        <v>0</v>
      </c>
      <c r="L185" s="6">
        <f>SUMIFS('Renew &amp; Vac '!$S$207:$S$221,'Renew &amp; Vac '!$L$207:$L$221,$B185,'Renew &amp; Vac '!$O$207:$O$221,"&lt;="&amp;L$179,'Renew &amp; Vac '!$P$207:$P$221,"&gt;="&amp;L$179)+SUMIFS('Renew &amp; Vac '!$H$207:$H$221,'Renew &amp; Vac '!$A$207:$A$221,$B185,'Renew &amp; Vac '!$D$207:$D$221,"&lt;="&amp;L$179,'Renew &amp; Vac '!$E$207:$E$221,"&gt;="&amp;L$179)</f>
        <v>2749.1166666666668</v>
      </c>
      <c r="M185" s="6">
        <f>SUMIFS('Renew &amp; Vac '!$S$207:$S$221,'Renew &amp; Vac '!$L$207:$L$221,$B185,'Renew &amp; Vac '!$O$207:$O$221,"&lt;="&amp;M$179,'Renew &amp; Vac '!$P$207:$P$221,"&gt;="&amp;M$179)+SUMIFS('Renew &amp; Vac '!$H$207:$H$221,'Renew &amp; Vac '!$A$207:$A$221,$B185,'Renew &amp; Vac '!$D$207:$D$221,"&lt;="&amp;M$179,'Renew &amp; Vac '!$E$207:$E$221,"&gt;="&amp;M$179)</f>
        <v>2749.1166666666668</v>
      </c>
      <c r="N185" s="6">
        <f>SUMIFS('Renew &amp; Vac '!$S$207:$S$221,'Renew &amp; Vac '!$L$207:$L$221,$B185,'Renew &amp; Vac '!$O$207:$O$221,"&lt;="&amp;N$179,'Renew &amp; Vac '!$P$207:$P$221,"&gt;="&amp;N$179)+SUMIFS('Renew &amp; Vac '!$H$207:$H$221,'Renew &amp; Vac '!$A$207:$A$221,$B185,'Renew &amp; Vac '!$D$207:$D$221,"&lt;="&amp;N$179,'Renew &amp; Vac '!$E$207:$E$221,"&gt;="&amp;N$179)</f>
        <v>2749.1166666666668</v>
      </c>
      <c r="O185" s="6">
        <f>SUMIFS('Renew &amp; Vac '!$S$207:$S$221,'Renew &amp; Vac '!$L$207:$L$221,$B185,'Renew &amp; Vac '!$O$207:$O$221,"&lt;="&amp;O$179,'Renew &amp; Vac '!$P$207:$P$221,"&gt;="&amp;O$179)+SUMIFS('Renew &amp; Vac '!$H$207:$H$221,'Renew &amp; Vac '!$A$207:$A$221,$B185,'Renew &amp; Vac '!$D$207:$D$221,"&lt;="&amp;O$179,'Renew &amp; Vac '!$E$207:$E$221,"&gt;="&amp;O$179)</f>
        <v>2749.1166666666668</v>
      </c>
      <c r="P185" s="6">
        <f>SUMIFS('Renew &amp; Vac '!$S$207:$S$221,'Renew &amp; Vac '!$L$207:$L$221,$B185,'Renew &amp; Vac '!$O$207:$O$221,"&lt;="&amp;P$179,'Renew &amp; Vac '!$P$207:$P$221,"&gt;="&amp;P$179)+SUMIFS('Renew &amp; Vac '!$H$207:$H$221,'Renew &amp; Vac '!$A$207:$A$221,$B185,'Renew &amp; Vac '!$D$207:$D$221,"&lt;="&amp;P$179,'Renew &amp; Vac '!$E$207:$E$221,"&gt;="&amp;P$179)</f>
        <v>2749.1166666666668</v>
      </c>
      <c r="Q185" s="8">
        <f t="shared" si="86"/>
        <v>13745.583333333334</v>
      </c>
    </row>
    <row r="186" spans="2:21" outlineLevel="1" x14ac:dyDescent="0.35">
      <c r="B186" s="79" t="str">
        <f t="shared" si="85"/>
        <v>9510-414</v>
      </c>
      <c r="D186" s="6" t="str">
        <f>IFERROR(VLOOKUP(B186,'Renew &amp; Vac '!$L$207:$M$221,2,FALSE),IFERROR(VLOOKUP(B186,'Renew &amp; Vac '!$A$207:$B$221,2,FALSE),VLOOKUP(B186,$B$161:$D$174,3,FALSE)))</f>
        <v>Hair Concepts</v>
      </c>
      <c r="E186" s="6">
        <f>SUMIFS('Renew &amp; Vac '!$S$207:$S$221,'Renew &amp; Vac '!$L$207:$L$221,$B186,'Renew &amp; Vac '!$O$207:$O$221,"&lt;="&amp;E$179,'Renew &amp; Vac '!$P$207:$P$221,"&gt;="&amp;E$179)+SUMIFS('Renew &amp; Vac '!$H$207:$H$221,'Renew &amp; Vac '!$A$207:$A$221,$B186,'Renew &amp; Vac '!$D$207:$D$221,"&lt;="&amp;E$179,'Renew &amp; Vac '!$E$207:$E$221,"&gt;="&amp;E$179)</f>
        <v>0</v>
      </c>
      <c r="F186" s="6">
        <f>SUMIFS('Renew &amp; Vac '!$S$207:$S$221,'Renew &amp; Vac '!$L$207:$L$221,$B186,'Renew &amp; Vac '!$O$207:$O$221,"&lt;="&amp;F$179,'Renew &amp; Vac '!$P$207:$P$221,"&gt;="&amp;F$179)+SUMIFS('Renew &amp; Vac '!$H$207:$H$221,'Renew &amp; Vac '!$A$207:$A$221,$B186,'Renew &amp; Vac '!$D$207:$D$221,"&lt;="&amp;F$179,'Renew &amp; Vac '!$E$207:$E$221,"&gt;="&amp;F$179)</f>
        <v>0</v>
      </c>
      <c r="G186" s="6">
        <f>SUMIFS('Renew &amp; Vac '!$S$207:$S$221,'Renew &amp; Vac '!$L$207:$L$221,$B186,'Renew &amp; Vac '!$O$207:$O$221,"&lt;="&amp;G$179,'Renew &amp; Vac '!$P$207:$P$221,"&gt;="&amp;G$179)+SUMIFS('Renew &amp; Vac '!$H$207:$H$221,'Renew &amp; Vac '!$A$207:$A$221,$B186,'Renew &amp; Vac '!$D$207:$D$221,"&lt;="&amp;G$179,'Renew &amp; Vac '!$E$207:$E$221,"&gt;="&amp;G$179)</f>
        <v>0</v>
      </c>
      <c r="H186" s="6">
        <f>SUMIFS('Renew &amp; Vac '!$S$207:$S$221,'Renew &amp; Vac '!$L$207:$L$221,$B186,'Renew &amp; Vac '!$O$207:$O$221,"&lt;="&amp;H$179,'Renew &amp; Vac '!$P$207:$P$221,"&gt;="&amp;H$179)+SUMIFS('Renew &amp; Vac '!$H$207:$H$221,'Renew &amp; Vac '!$A$207:$A$221,$B186,'Renew &amp; Vac '!$D$207:$D$221,"&lt;="&amp;H$179,'Renew &amp; Vac '!$E$207:$E$221,"&gt;="&amp;H$179)</f>
        <v>0</v>
      </c>
      <c r="I186" s="6">
        <f>SUMIFS('Renew &amp; Vac '!$S$207:$S$221,'Renew &amp; Vac '!$L$207:$L$221,$B186,'Renew &amp; Vac '!$O$207:$O$221,"&lt;="&amp;I$179,'Renew &amp; Vac '!$P$207:$P$221,"&gt;="&amp;I$179)+SUMIFS('Renew &amp; Vac '!$H$207:$H$221,'Renew &amp; Vac '!$A$207:$A$221,$B186,'Renew &amp; Vac '!$D$207:$D$221,"&lt;="&amp;I$179,'Renew &amp; Vac '!$E$207:$E$221,"&gt;="&amp;I$179)</f>
        <v>0</v>
      </c>
      <c r="J186" s="6">
        <f>SUMIFS('Renew &amp; Vac '!$S$207:$S$221,'Renew &amp; Vac '!$L$207:$L$221,$B186,'Renew &amp; Vac '!$O$207:$O$221,"&lt;="&amp;J$179,'Renew &amp; Vac '!$P$207:$P$221,"&gt;="&amp;J$179)+SUMIFS('Renew &amp; Vac '!$H$207:$H$221,'Renew &amp; Vac '!$A$207:$A$221,$B186,'Renew &amp; Vac '!$D$207:$D$221,"&lt;="&amp;J$179,'Renew &amp; Vac '!$E$207:$E$221,"&gt;="&amp;J$179)</f>
        <v>0</v>
      </c>
      <c r="K186" s="6">
        <f>SUMIFS('Renew &amp; Vac '!$S$207:$S$221,'Renew &amp; Vac '!$L$207:$L$221,$B186,'Renew &amp; Vac '!$O$207:$O$221,"&lt;="&amp;K$179,'Renew &amp; Vac '!$P$207:$P$221,"&gt;="&amp;K$179)+SUMIFS('Renew &amp; Vac '!$H$207:$H$221,'Renew &amp; Vac '!$A$207:$A$221,$B186,'Renew &amp; Vac '!$D$207:$D$221,"&lt;="&amp;K$179,'Renew &amp; Vac '!$E$207:$E$221,"&gt;="&amp;K$179)</f>
        <v>0</v>
      </c>
      <c r="L186" s="6">
        <f>SUMIFS('Renew &amp; Vac '!$S$207:$S$221,'Renew &amp; Vac '!$L$207:$L$221,$B186,'Renew &amp; Vac '!$O$207:$O$221,"&lt;="&amp;L$179,'Renew &amp; Vac '!$P$207:$P$221,"&gt;="&amp;L$179)+SUMIFS('Renew &amp; Vac '!$H$207:$H$221,'Renew &amp; Vac '!$A$207:$A$221,$B186,'Renew &amp; Vac '!$D$207:$D$221,"&lt;="&amp;L$179,'Renew &amp; Vac '!$E$207:$E$221,"&gt;="&amp;L$179)</f>
        <v>0</v>
      </c>
      <c r="M186" s="6">
        <f>SUMIFS('Renew &amp; Vac '!$S$207:$S$221,'Renew &amp; Vac '!$L$207:$L$221,$B186,'Renew &amp; Vac '!$O$207:$O$221,"&lt;="&amp;M$179,'Renew &amp; Vac '!$P$207:$P$221,"&gt;="&amp;M$179)+SUMIFS('Renew &amp; Vac '!$H$207:$H$221,'Renew &amp; Vac '!$A$207:$A$221,$B186,'Renew &amp; Vac '!$D$207:$D$221,"&lt;="&amp;M$179,'Renew &amp; Vac '!$E$207:$E$221,"&gt;="&amp;M$179)</f>
        <v>0</v>
      </c>
      <c r="N186" s="6">
        <f>SUMIFS('Renew &amp; Vac '!$S$207:$S$221,'Renew &amp; Vac '!$L$207:$L$221,$B186,'Renew &amp; Vac '!$O$207:$O$221,"&lt;="&amp;N$179,'Renew &amp; Vac '!$P$207:$P$221,"&gt;="&amp;N$179)+SUMIFS('Renew &amp; Vac '!$H$207:$H$221,'Renew &amp; Vac '!$A$207:$A$221,$B186,'Renew &amp; Vac '!$D$207:$D$221,"&lt;="&amp;N$179,'Renew &amp; Vac '!$E$207:$E$221,"&gt;="&amp;N$179)</f>
        <v>0</v>
      </c>
      <c r="O186" s="6">
        <f>SUMIFS('Renew &amp; Vac '!$S$207:$S$221,'Renew &amp; Vac '!$L$207:$L$221,$B186,'Renew &amp; Vac '!$O$207:$O$221,"&lt;="&amp;O$179,'Renew &amp; Vac '!$P$207:$P$221,"&gt;="&amp;O$179)+SUMIFS('Renew &amp; Vac '!$H$207:$H$221,'Renew &amp; Vac '!$A$207:$A$221,$B186,'Renew &amp; Vac '!$D$207:$D$221,"&lt;="&amp;O$179,'Renew &amp; Vac '!$E$207:$E$221,"&gt;="&amp;O$179)</f>
        <v>0</v>
      </c>
      <c r="P186" s="6">
        <f>SUMIFS('Renew &amp; Vac '!$S$207:$S$221,'Renew &amp; Vac '!$L$207:$L$221,$B186,'Renew &amp; Vac '!$O$207:$O$221,"&lt;="&amp;P$179,'Renew &amp; Vac '!$P$207:$P$221,"&gt;="&amp;P$179)+SUMIFS('Renew &amp; Vac '!$H$207:$H$221,'Renew &amp; Vac '!$A$207:$A$221,$B186,'Renew &amp; Vac '!$D$207:$D$221,"&lt;="&amp;P$179,'Renew &amp; Vac '!$E$207:$E$221,"&gt;="&amp;P$179)</f>
        <v>0</v>
      </c>
      <c r="Q186" s="8">
        <f t="shared" si="86"/>
        <v>0</v>
      </c>
    </row>
    <row r="187" spans="2:21" outlineLevel="1" x14ac:dyDescent="0.35">
      <c r="B187" s="79" t="str">
        <f t="shared" si="85"/>
        <v>9510-416</v>
      </c>
      <c r="D187" s="6" t="str">
        <f>IFERROR(VLOOKUP(B187,'Renew &amp; Vac '!$L$207:$M$221,2,FALSE),IFERROR(VLOOKUP(B187,'Renew &amp; Vac '!$A$207:$B$221,2,FALSE),VLOOKUP(B187,$B$161:$D$174,3,FALSE)))</f>
        <v>VACANT</v>
      </c>
      <c r="E187" s="6">
        <f>SUMIFS('Renew &amp; Vac '!$S$207:$S$221,'Renew &amp; Vac '!$L$207:$L$221,$B187,'Renew &amp; Vac '!$O$207:$O$221,"&lt;="&amp;E$179,'Renew &amp; Vac '!$P$207:$P$221,"&gt;="&amp;E$179)+SUMIFS('Renew &amp; Vac '!$H$207:$H$221,'Renew &amp; Vac '!$A$207:$A$221,$B187,'Renew &amp; Vac '!$D$207:$D$221,"&lt;="&amp;E$179,'Renew &amp; Vac '!$E$207:$E$221,"&gt;="&amp;E$179)</f>
        <v>0</v>
      </c>
      <c r="F187" s="6">
        <f>SUMIFS('Renew &amp; Vac '!$S$207:$S$221,'Renew &amp; Vac '!$L$207:$L$221,$B187,'Renew &amp; Vac '!$O$207:$O$221,"&lt;="&amp;F$179,'Renew &amp; Vac '!$P$207:$P$221,"&gt;="&amp;F$179)+SUMIFS('Renew &amp; Vac '!$H$207:$H$221,'Renew &amp; Vac '!$A$207:$A$221,$B187,'Renew &amp; Vac '!$D$207:$D$221,"&lt;="&amp;F$179,'Renew &amp; Vac '!$E$207:$E$221,"&gt;="&amp;F$179)</f>
        <v>0</v>
      </c>
      <c r="G187" s="6">
        <f>SUMIFS('Renew &amp; Vac '!$S$207:$S$221,'Renew &amp; Vac '!$L$207:$L$221,$B187,'Renew &amp; Vac '!$O$207:$O$221,"&lt;="&amp;G$179,'Renew &amp; Vac '!$P$207:$P$221,"&gt;="&amp;G$179)+SUMIFS('Renew &amp; Vac '!$H$207:$H$221,'Renew &amp; Vac '!$A$207:$A$221,$B187,'Renew &amp; Vac '!$D$207:$D$221,"&lt;="&amp;G$179,'Renew &amp; Vac '!$E$207:$E$221,"&gt;="&amp;G$179)</f>
        <v>0</v>
      </c>
      <c r="H187" s="6">
        <f>SUMIFS('Renew &amp; Vac '!$S$207:$S$221,'Renew &amp; Vac '!$L$207:$L$221,$B187,'Renew &amp; Vac '!$O$207:$O$221,"&lt;="&amp;H$179,'Renew &amp; Vac '!$P$207:$P$221,"&gt;="&amp;H$179)+SUMIFS('Renew &amp; Vac '!$H$207:$H$221,'Renew &amp; Vac '!$A$207:$A$221,$B187,'Renew &amp; Vac '!$D$207:$D$221,"&lt;="&amp;H$179,'Renew &amp; Vac '!$E$207:$E$221,"&gt;="&amp;H$179)</f>
        <v>0</v>
      </c>
      <c r="I187" s="6">
        <f>SUMIFS('Renew &amp; Vac '!$S$207:$S$221,'Renew &amp; Vac '!$L$207:$L$221,$B187,'Renew &amp; Vac '!$O$207:$O$221,"&lt;="&amp;I$179,'Renew &amp; Vac '!$P$207:$P$221,"&gt;="&amp;I$179)+SUMIFS('Renew &amp; Vac '!$H$207:$H$221,'Renew &amp; Vac '!$A$207:$A$221,$B187,'Renew &amp; Vac '!$D$207:$D$221,"&lt;="&amp;I$179,'Renew &amp; Vac '!$E$207:$E$221,"&gt;="&amp;I$179)</f>
        <v>0</v>
      </c>
      <c r="J187" s="6">
        <f>SUMIFS('Renew &amp; Vac '!$S$207:$S$221,'Renew &amp; Vac '!$L$207:$L$221,$B187,'Renew &amp; Vac '!$O$207:$O$221,"&lt;="&amp;J$179,'Renew &amp; Vac '!$P$207:$P$221,"&gt;="&amp;J$179)+SUMIFS('Renew &amp; Vac '!$H$207:$H$221,'Renew &amp; Vac '!$A$207:$A$221,$B187,'Renew &amp; Vac '!$D$207:$D$221,"&lt;="&amp;J$179,'Renew &amp; Vac '!$E$207:$E$221,"&gt;="&amp;J$179)</f>
        <v>0</v>
      </c>
      <c r="K187" s="6">
        <f>SUMIFS('Renew &amp; Vac '!$S$207:$S$221,'Renew &amp; Vac '!$L$207:$L$221,$B187,'Renew &amp; Vac '!$O$207:$O$221,"&lt;="&amp;K$179,'Renew &amp; Vac '!$P$207:$P$221,"&gt;="&amp;K$179)+SUMIFS('Renew &amp; Vac '!$H$207:$H$221,'Renew &amp; Vac '!$A$207:$A$221,$B187,'Renew &amp; Vac '!$D$207:$D$221,"&lt;="&amp;K$179,'Renew &amp; Vac '!$E$207:$E$221,"&gt;="&amp;K$179)</f>
        <v>0</v>
      </c>
      <c r="L187" s="6">
        <f>SUMIFS('Renew &amp; Vac '!$S$207:$S$221,'Renew &amp; Vac '!$L$207:$L$221,$B187,'Renew &amp; Vac '!$O$207:$O$221,"&lt;="&amp;L$179,'Renew &amp; Vac '!$P$207:$P$221,"&gt;="&amp;L$179)+SUMIFS('Renew &amp; Vac '!$H$207:$H$221,'Renew &amp; Vac '!$A$207:$A$221,$B187,'Renew &amp; Vac '!$D$207:$D$221,"&lt;="&amp;L$179,'Renew &amp; Vac '!$E$207:$E$221,"&gt;="&amp;L$179)</f>
        <v>0</v>
      </c>
      <c r="M187" s="6">
        <f>SUMIFS('Renew &amp; Vac '!$S$207:$S$221,'Renew &amp; Vac '!$L$207:$L$221,$B187,'Renew &amp; Vac '!$O$207:$O$221,"&lt;="&amp;M$179,'Renew &amp; Vac '!$P$207:$P$221,"&gt;="&amp;M$179)+SUMIFS('Renew &amp; Vac '!$H$207:$H$221,'Renew &amp; Vac '!$A$207:$A$221,$B187,'Renew &amp; Vac '!$D$207:$D$221,"&lt;="&amp;M$179,'Renew &amp; Vac '!$E$207:$E$221,"&gt;="&amp;M$179)</f>
        <v>0</v>
      </c>
      <c r="N187" s="6">
        <f>SUMIFS('Renew &amp; Vac '!$S$207:$S$221,'Renew &amp; Vac '!$L$207:$L$221,$B187,'Renew &amp; Vac '!$O$207:$O$221,"&lt;="&amp;N$179,'Renew &amp; Vac '!$P$207:$P$221,"&gt;="&amp;N$179)+SUMIFS('Renew &amp; Vac '!$H$207:$H$221,'Renew &amp; Vac '!$A$207:$A$221,$B187,'Renew &amp; Vac '!$D$207:$D$221,"&lt;="&amp;N$179,'Renew &amp; Vac '!$E$207:$E$221,"&gt;="&amp;N$179)</f>
        <v>0</v>
      </c>
      <c r="O187" s="6">
        <f>SUMIFS('Renew &amp; Vac '!$S$207:$S$221,'Renew &amp; Vac '!$L$207:$L$221,$B187,'Renew &amp; Vac '!$O$207:$O$221,"&lt;="&amp;O$179,'Renew &amp; Vac '!$P$207:$P$221,"&gt;="&amp;O$179)+SUMIFS('Renew &amp; Vac '!$H$207:$H$221,'Renew &amp; Vac '!$A$207:$A$221,$B187,'Renew &amp; Vac '!$D$207:$D$221,"&lt;="&amp;O$179,'Renew &amp; Vac '!$E$207:$E$221,"&gt;="&amp;O$179)</f>
        <v>0</v>
      </c>
      <c r="P187" s="6">
        <f>SUMIFS('Renew &amp; Vac '!$S$207:$S$221,'Renew &amp; Vac '!$L$207:$L$221,$B187,'Renew &amp; Vac '!$O$207:$O$221,"&lt;="&amp;P$179,'Renew &amp; Vac '!$P$207:$P$221,"&gt;="&amp;P$179)+SUMIFS('Renew &amp; Vac '!$H$207:$H$221,'Renew &amp; Vac '!$A$207:$A$221,$B187,'Renew &amp; Vac '!$D$207:$D$221,"&lt;="&amp;P$179,'Renew &amp; Vac '!$E$207:$E$221,"&gt;="&amp;P$179)</f>
        <v>0</v>
      </c>
      <c r="Q187" s="8">
        <f t="shared" si="86"/>
        <v>0</v>
      </c>
    </row>
    <row r="188" spans="2:21" outlineLevel="1" x14ac:dyDescent="0.35">
      <c r="B188" s="79" t="str">
        <f t="shared" si="85"/>
        <v>9510-420</v>
      </c>
      <c r="D188" s="6" t="str">
        <f>IFERROR(VLOOKUP(B188,'Renew &amp; Vac '!$L$207:$M$221,2,FALSE),IFERROR(VLOOKUP(B188,'Renew &amp; Vac '!$A$207:$B$221,2,FALSE),VLOOKUP(B188,$B$161:$D$174,3,FALSE)))</f>
        <v>Lafayette Hill Cleaners</v>
      </c>
      <c r="E188" s="6">
        <f>SUMIFS('Renew &amp; Vac '!$S$207:$S$221,'Renew &amp; Vac '!$L$207:$L$221,$B188,'Renew &amp; Vac '!$O$207:$O$221,"&lt;="&amp;E$179,'Renew &amp; Vac '!$P$207:$P$221,"&gt;="&amp;E$179)+SUMIFS('Renew &amp; Vac '!$H$207:$H$221,'Renew &amp; Vac '!$A$207:$A$221,$B188,'Renew &amp; Vac '!$D$207:$D$221,"&lt;="&amp;E$179,'Renew &amp; Vac '!$E$207:$E$221,"&gt;="&amp;E$179)</f>
        <v>0</v>
      </c>
      <c r="F188" s="6">
        <f>SUMIFS('Renew &amp; Vac '!$S$207:$S$221,'Renew &amp; Vac '!$L$207:$L$221,$B188,'Renew &amp; Vac '!$O$207:$O$221,"&lt;="&amp;F$179,'Renew &amp; Vac '!$P$207:$P$221,"&gt;="&amp;F$179)+SUMIFS('Renew &amp; Vac '!$H$207:$H$221,'Renew &amp; Vac '!$A$207:$A$221,$B188,'Renew &amp; Vac '!$D$207:$D$221,"&lt;="&amp;F$179,'Renew &amp; Vac '!$E$207:$E$221,"&gt;="&amp;F$179)</f>
        <v>0</v>
      </c>
      <c r="G188" s="6">
        <f>SUMIFS('Renew &amp; Vac '!$S$207:$S$221,'Renew &amp; Vac '!$L$207:$L$221,$B188,'Renew &amp; Vac '!$O$207:$O$221,"&lt;="&amp;G$179,'Renew &amp; Vac '!$P$207:$P$221,"&gt;="&amp;G$179)+SUMIFS('Renew &amp; Vac '!$H$207:$H$221,'Renew &amp; Vac '!$A$207:$A$221,$B188,'Renew &amp; Vac '!$D$207:$D$221,"&lt;="&amp;G$179,'Renew &amp; Vac '!$E$207:$E$221,"&gt;="&amp;G$179)</f>
        <v>0</v>
      </c>
      <c r="H188" s="6">
        <f>SUMIFS('Renew &amp; Vac '!$S$207:$S$221,'Renew &amp; Vac '!$L$207:$L$221,$B188,'Renew &amp; Vac '!$O$207:$O$221,"&lt;="&amp;H$179,'Renew &amp; Vac '!$P$207:$P$221,"&gt;="&amp;H$179)+SUMIFS('Renew &amp; Vac '!$H$207:$H$221,'Renew &amp; Vac '!$A$207:$A$221,$B188,'Renew &amp; Vac '!$D$207:$D$221,"&lt;="&amp;H$179,'Renew &amp; Vac '!$E$207:$E$221,"&gt;="&amp;H$179)</f>
        <v>0</v>
      </c>
      <c r="I188" s="6">
        <f>SUMIFS('Renew &amp; Vac '!$S$207:$S$221,'Renew &amp; Vac '!$L$207:$L$221,$B188,'Renew &amp; Vac '!$O$207:$O$221,"&lt;="&amp;I$179,'Renew &amp; Vac '!$P$207:$P$221,"&gt;="&amp;I$179)+SUMIFS('Renew &amp; Vac '!$H$207:$H$221,'Renew &amp; Vac '!$A$207:$A$221,$B188,'Renew &amp; Vac '!$D$207:$D$221,"&lt;="&amp;I$179,'Renew &amp; Vac '!$E$207:$E$221,"&gt;="&amp;I$179)</f>
        <v>0</v>
      </c>
      <c r="J188" s="6">
        <f>SUMIFS('Renew &amp; Vac '!$S$207:$S$221,'Renew &amp; Vac '!$L$207:$L$221,$B188,'Renew &amp; Vac '!$O$207:$O$221,"&lt;="&amp;J$179,'Renew &amp; Vac '!$P$207:$P$221,"&gt;="&amp;J$179)+SUMIFS('Renew &amp; Vac '!$H$207:$H$221,'Renew &amp; Vac '!$A$207:$A$221,$B188,'Renew &amp; Vac '!$D$207:$D$221,"&lt;="&amp;J$179,'Renew &amp; Vac '!$E$207:$E$221,"&gt;="&amp;J$179)</f>
        <v>0</v>
      </c>
      <c r="K188" s="6">
        <f>SUMIFS('Renew &amp; Vac '!$S$207:$S$221,'Renew &amp; Vac '!$L$207:$L$221,$B188,'Renew &amp; Vac '!$O$207:$O$221,"&lt;="&amp;K$179,'Renew &amp; Vac '!$P$207:$P$221,"&gt;="&amp;K$179)+SUMIFS('Renew &amp; Vac '!$H$207:$H$221,'Renew &amp; Vac '!$A$207:$A$221,$B188,'Renew &amp; Vac '!$D$207:$D$221,"&lt;="&amp;K$179,'Renew &amp; Vac '!$E$207:$E$221,"&gt;="&amp;K$179)</f>
        <v>0</v>
      </c>
      <c r="L188" s="6">
        <f>SUMIFS('Renew &amp; Vac '!$S$207:$S$221,'Renew &amp; Vac '!$L$207:$L$221,$B188,'Renew &amp; Vac '!$O$207:$O$221,"&lt;="&amp;L$179,'Renew &amp; Vac '!$P$207:$P$221,"&gt;="&amp;L$179)+SUMIFS('Renew &amp; Vac '!$H$207:$H$221,'Renew &amp; Vac '!$A$207:$A$221,$B188,'Renew &amp; Vac '!$D$207:$D$221,"&lt;="&amp;L$179,'Renew &amp; Vac '!$E$207:$E$221,"&gt;="&amp;L$179)</f>
        <v>0</v>
      </c>
      <c r="M188" s="6">
        <f>SUMIFS('Renew &amp; Vac '!$S$207:$S$221,'Renew &amp; Vac '!$L$207:$L$221,$B188,'Renew &amp; Vac '!$O$207:$O$221,"&lt;="&amp;M$179,'Renew &amp; Vac '!$P$207:$P$221,"&gt;="&amp;M$179)+SUMIFS('Renew &amp; Vac '!$H$207:$H$221,'Renew &amp; Vac '!$A$207:$A$221,$B188,'Renew &amp; Vac '!$D$207:$D$221,"&lt;="&amp;M$179,'Renew &amp; Vac '!$E$207:$E$221,"&gt;="&amp;M$179)</f>
        <v>0</v>
      </c>
      <c r="N188" s="6">
        <f>SUMIFS('Renew &amp; Vac '!$S$207:$S$221,'Renew &amp; Vac '!$L$207:$L$221,$B188,'Renew &amp; Vac '!$O$207:$O$221,"&lt;="&amp;N$179,'Renew &amp; Vac '!$P$207:$P$221,"&gt;="&amp;N$179)+SUMIFS('Renew &amp; Vac '!$H$207:$H$221,'Renew &amp; Vac '!$A$207:$A$221,$B188,'Renew &amp; Vac '!$D$207:$D$221,"&lt;="&amp;N$179,'Renew &amp; Vac '!$E$207:$E$221,"&gt;="&amp;N$179)</f>
        <v>0</v>
      </c>
      <c r="O188" s="6">
        <f>SUMIFS('Renew &amp; Vac '!$S$207:$S$221,'Renew &amp; Vac '!$L$207:$L$221,$B188,'Renew &amp; Vac '!$O$207:$O$221,"&lt;="&amp;O$179,'Renew &amp; Vac '!$P$207:$P$221,"&gt;="&amp;O$179)+SUMIFS('Renew &amp; Vac '!$H$207:$H$221,'Renew &amp; Vac '!$A$207:$A$221,$B188,'Renew &amp; Vac '!$D$207:$D$221,"&lt;="&amp;O$179,'Renew &amp; Vac '!$E$207:$E$221,"&gt;="&amp;O$179)</f>
        <v>0</v>
      </c>
      <c r="P188" s="6">
        <f>SUMIFS('Renew &amp; Vac '!$S$207:$S$221,'Renew &amp; Vac '!$L$207:$L$221,$B188,'Renew &amp; Vac '!$O$207:$O$221,"&lt;="&amp;P$179,'Renew &amp; Vac '!$P$207:$P$221,"&gt;="&amp;P$179)+SUMIFS('Renew &amp; Vac '!$H$207:$H$221,'Renew &amp; Vac '!$A$207:$A$221,$B188,'Renew &amp; Vac '!$D$207:$D$221,"&lt;="&amp;P$179,'Renew &amp; Vac '!$E$207:$E$221,"&gt;="&amp;P$179)</f>
        <v>0</v>
      </c>
      <c r="Q188" s="8">
        <f t="shared" si="86"/>
        <v>0</v>
      </c>
    </row>
    <row r="189" spans="2:21" outlineLevel="1" x14ac:dyDescent="0.35">
      <c r="B189" s="79" t="str">
        <f t="shared" si="85"/>
        <v>9510-422</v>
      </c>
      <c r="D189" s="6" t="str">
        <f>IFERROR(VLOOKUP(B189,'Renew &amp; Vac '!$L$207:$M$221,2,FALSE),IFERROR(VLOOKUP(B189,'Renew &amp; Vac '!$A$207:$B$221,2,FALSE),VLOOKUP(B189,$B$161:$D$174,3,FALSE)))</f>
        <v>Liang Jiang</v>
      </c>
      <c r="E189" s="6">
        <f>SUMIFS('Renew &amp; Vac '!$S$207:$S$221,'Renew &amp; Vac '!$L$207:$L$221,$B189,'Renew &amp; Vac '!$O$207:$O$221,"&lt;="&amp;E$179,'Renew &amp; Vac '!$P$207:$P$221,"&gt;="&amp;E$179)+SUMIFS('Renew &amp; Vac '!$H$207:$H$221,'Renew &amp; Vac '!$A$207:$A$221,$B189,'Renew &amp; Vac '!$D$207:$D$221,"&lt;="&amp;E$179,'Renew &amp; Vac '!$E$207:$E$221,"&gt;="&amp;E$179)</f>
        <v>0</v>
      </c>
      <c r="F189" s="6">
        <f>SUMIFS('Renew &amp; Vac '!$S$207:$S$221,'Renew &amp; Vac '!$L$207:$L$221,$B189,'Renew &amp; Vac '!$O$207:$O$221,"&lt;="&amp;F$179,'Renew &amp; Vac '!$P$207:$P$221,"&gt;="&amp;F$179)+SUMIFS('Renew &amp; Vac '!$H$207:$H$221,'Renew &amp; Vac '!$A$207:$A$221,$B189,'Renew &amp; Vac '!$D$207:$D$221,"&lt;="&amp;F$179,'Renew &amp; Vac '!$E$207:$E$221,"&gt;="&amp;F$179)</f>
        <v>0</v>
      </c>
      <c r="G189" s="6">
        <f>SUMIFS('Renew &amp; Vac '!$S$207:$S$221,'Renew &amp; Vac '!$L$207:$L$221,$B189,'Renew &amp; Vac '!$O$207:$O$221,"&lt;="&amp;G$179,'Renew &amp; Vac '!$P$207:$P$221,"&gt;="&amp;G$179)+SUMIFS('Renew &amp; Vac '!$H$207:$H$221,'Renew &amp; Vac '!$A$207:$A$221,$B189,'Renew &amp; Vac '!$D$207:$D$221,"&lt;="&amp;G$179,'Renew &amp; Vac '!$E$207:$E$221,"&gt;="&amp;G$179)</f>
        <v>0</v>
      </c>
      <c r="H189" s="6">
        <f>SUMIFS('Renew &amp; Vac '!$S$207:$S$221,'Renew &amp; Vac '!$L$207:$L$221,$B189,'Renew &amp; Vac '!$O$207:$O$221,"&lt;="&amp;H$179,'Renew &amp; Vac '!$P$207:$P$221,"&gt;="&amp;H$179)+SUMIFS('Renew &amp; Vac '!$H$207:$H$221,'Renew &amp; Vac '!$A$207:$A$221,$B189,'Renew &amp; Vac '!$D$207:$D$221,"&lt;="&amp;H$179,'Renew &amp; Vac '!$E$207:$E$221,"&gt;="&amp;H$179)</f>
        <v>0</v>
      </c>
      <c r="I189" s="6">
        <f>SUMIFS('Renew &amp; Vac '!$S$207:$S$221,'Renew &amp; Vac '!$L$207:$L$221,$B189,'Renew &amp; Vac '!$O$207:$O$221,"&lt;="&amp;I$179,'Renew &amp; Vac '!$P$207:$P$221,"&gt;="&amp;I$179)+SUMIFS('Renew &amp; Vac '!$H$207:$H$221,'Renew &amp; Vac '!$A$207:$A$221,$B189,'Renew &amp; Vac '!$D$207:$D$221,"&lt;="&amp;I$179,'Renew &amp; Vac '!$E$207:$E$221,"&gt;="&amp;I$179)</f>
        <v>0</v>
      </c>
      <c r="J189" s="6">
        <f>SUMIFS('Renew &amp; Vac '!$S$207:$S$221,'Renew &amp; Vac '!$L$207:$L$221,$B189,'Renew &amp; Vac '!$O$207:$O$221,"&lt;="&amp;J$179,'Renew &amp; Vac '!$P$207:$P$221,"&gt;="&amp;J$179)+SUMIFS('Renew &amp; Vac '!$H$207:$H$221,'Renew &amp; Vac '!$A$207:$A$221,$B189,'Renew &amp; Vac '!$D$207:$D$221,"&lt;="&amp;J$179,'Renew &amp; Vac '!$E$207:$E$221,"&gt;="&amp;J$179)</f>
        <v>0</v>
      </c>
      <c r="K189" s="6">
        <f>SUMIFS('Renew &amp; Vac '!$S$207:$S$221,'Renew &amp; Vac '!$L$207:$L$221,$B189,'Renew &amp; Vac '!$O$207:$O$221,"&lt;="&amp;K$179,'Renew &amp; Vac '!$P$207:$P$221,"&gt;="&amp;K$179)+SUMIFS('Renew &amp; Vac '!$H$207:$H$221,'Renew &amp; Vac '!$A$207:$A$221,$B189,'Renew &amp; Vac '!$D$207:$D$221,"&lt;="&amp;K$179,'Renew &amp; Vac '!$E$207:$E$221,"&gt;="&amp;K$179)</f>
        <v>0</v>
      </c>
      <c r="L189" s="6">
        <f>SUMIFS('Renew &amp; Vac '!$S$207:$S$221,'Renew &amp; Vac '!$L$207:$L$221,$B189,'Renew &amp; Vac '!$O$207:$O$221,"&lt;="&amp;L$179,'Renew &amp; Vac '!$P$207:$P$221,"&gt;="&amp;L$179)+SUMIFS('Renew &amp; Vac '!$H$207:$H$221,'Renew &amp; Vac '!$A$207:$A$221,$B189,'Renew &amp; Vac '!$D$207:$D$221,"&lt;="&amp;L$179,'Renew &amp; Vac '!$E$207:$E$221,"&gt;="&amp;L$179)</f>
        <v>0</v>
      </c>
      <c r="M189" s="6">
        <f>SUMIFS('Renew &amp; Vac '!$S$207:$S$221,'Renew &amp; Vac '!$L$207:$L$221,$B189,'Renew &amp; Vac '!$O$207:$O$221,"&lt;="&amp;M$179,'Renew &amp; Vac '!$P$207:$P$221,"&gt;="&amp;M$179)+SUMIFS('Renew &amp; Vac '!$H$207:$H$221,'Renew &amp; Vac '!$A$207:$A$221,$B189,'Renew &amp; Vac '!$D$207:$D$221,"&lt;="&amp;M$179,'Renew &amp; Vac '!$E$207:$E$221,"&gt;="&amp;M$179)</f>
        <v>0</v>
      </c>
      <c r="N189" s="6">
        <f>SUMIFS('Renew &amp; Vac '!$S$207:$S$221,'Renew &amp; Vac '!$L$207:$L$221,$B189,'Renew &amp; Vac '!$O$207:$O$221,"&lt;="&amp;N$179,'Renew &amp; Vac '!$P$207:$P$221,"&gt;="&amp;N$179)+SUMIFS('Renew &amp; Vac '!$H$207:$H$221,'Renew &amp; Vac '!$A$207:$A$221,$B189,'Renew &amp; Vac '!$D$207:$D$221,"&lt;="&amp;N$179,'Renew &amp; Vac '!$E$207:$E$221,"&gt;="&amp;N$179)</f>
        <v>0</v>
      </c>
      <c r="O189" s="6">
        <f>SUMIFS('Renew &amp; Vac '!$S$207:$S$221,'Renew &amp; Vac '!$L$207:$L$221,$B189,'Renew &amp; Vac '!$O$207:$O$221,"&lt;="&amp;O$179,'Renew &amp; Vac '!$P$207:$P$221,"&gt;="&amp;O$179)+SUMIFS('Renew &amp; Vac '!$H$207:$H$221,'Renew &amp; Vac '!$A$207:$A$221,$B189,'Renew &amp; Vac '!$D$207:$D$221,"&lt;="&amp;O$179,'Renew &amp; Vac '!$E$207:$E$221,"&gt;="&amp;O$179)</f>
        <v>0</v>
      </c>
      <c r="P189" s="6">
        <f>SUMIFS('Renew &amp; Vac '!$S$207:$S$221,'Renew &amp; Vac '!$L$207:$L$221,$B189,'Renew &amp; Vac '!$O$207:$O$221,"&lt;="&amp;P$179,'Renew &amp; Vac '!$P$207:$P$221,"&gt;="&amp;P$179)+SUMIFS('Renew &amp; Vac '!$H$207:$H$221,'Renew &amp; Vac '!$A$207:$A$221,$B189,'Renew &amp; Vac '!$D$207:$D$221,"&lt;="&amp;P$179,'Renew &amp; Vac '!$E$207:$E$221,"&gt;="&amp;P$179)</f>
        <v>0</v>
      </c>
      <c r="Q189" s="8">
        <f t="shared" si="86"/>
        <v>0</v>
      </c>
    </row>
    <row r="190" spans="2:21" outlineLevel="1" x14ac:dyDescent="0.35">
      <c r="B190" s="79" t="str">
        <f t="shared" si="85"/>
        <v>9510-424</v>
      </c>
      <c r="D190" s="6" t="str">
        <f>IFERROR(VLOOKUP(B190,'Renew &amp; Vac '!$L$207:$M$221,2,FALSE),IFERROR(VLOOKUP(B190,'Renew &amp; Vac '!$A$207:$B$221,2,FALSE),VLOOKUP(B190,$B$161:$D$174,3,FALSE)))</f>
        <v>DKMNK, LLC</v>
      </c>
      <c r="E190" s="6">
        <f>SUMIFS('Renew &amp; Vac '!$S$207:$S$221,'Renew &amp; Vac '!$L$207:$L$221,$B190,'Renew &amp; Vac '!$O$207:$O$221,"&lt;="&amp;E$179,'Renew &amp; Vac '!$P$207:$P$221,"&gt;="&amp;E$179)+SUMIFS('Renew &amp; Vac '!$H$207:$H$221,'Renew &amp; Vac '!$A$207:$A$221,$B190,'Renew &amp; Vac '!$D$207:$D$221,"&lt;="&amp;E$179,'Renew &amp; Vac '!$E$207:$E$221,"&gt;="&amp;E$179)</f>
        <v>0</v>
      </c>
      <c r="F190" s="6">
        <f>SUMIFS('Renew &amp; Vac '!$S$207:$S$221,'Renew &amp; Vac '!$L$207:$L$221,$B190,'Renew &amp; Vac '!$O$207:$O$221,"&lt;="&amp;F$179,'Renew &amp; Vac '!$P$207:$P$221,"&gt;="&amp;F$179)+SUMIFS('Renew &amp; Vac '!$H$207:$H$221,'Renew &amp; Vac '!$A$207:$A$221,$B190,'Renew &amp; Vac '!$D$207:$D$221,"&lt;="&amp;F$179,'Renew &amp; Vac '!$E$207:$E$221,"&gt;="&amp;F$179)</f>
        <v>0</v>
      </c>
      <c r="G190" s="6">
        <f>SUMIFS('Renew &amp; Vac '!$S$207:$S$221,'Renew &amp; Vac '!$L$207:$L$221,$B190,'Renew &amp; Vac '!$O$207:$O$221,"&lt;="&amp;G$179,'Renew &amp; Vac '!$P$207:$P$221,"&gt;="&amp;G$179)+SUMIFS('Renew &amp; Vac '!$H$207:$H$221,'Renew &amp; Vac '!$A$207:$A$221,$B190,'Renew &amp; Vac '!$D$207:$D$221,"&lt;="&amp;G$179,'Renew &amp; Vac '!$E$207:$E$221,"&gt;="&amp;G$179)</f>
        <v>0</v>
      </c>
      <c r="H190" s="6">
        <f>SUMIFS('Renew &amp; Vac '!$S$207:$S$221,'Renew &amp; Vac '!$L$207:$L$221,$B190,'Renew &amp; Vac '!$O$207:$O$221,"&lt;="&amp;H$179,'Renew &amp; Vac '!$P$207:$P$221,"&gt;="&amp;H$179)+SUMIFS('Renew &amp; Vac '!$H$207:$H$221,'Renew &amp; Vac '!$A$207:$A$221,$B190,'Renew &amp; Vac '!$D$207:$D$221,"&lt;="&amp;H$179,'Renew &amp; Vac '!$E$207:$E$221,"&gt;="&amp;H$179)</f>
        <v>0</v>
      </c>
      <c r="I190" s="6">
        <f>SUMIFS('Renew &amp; Vac '!$S$207:$S$221,'Renew &amp; Vac '!$L$207:$L$221,$B190,'Renew &amp; Vac '!$O$207:$O$221,"&lt;="&amp;I$179,'Renew &amp; Vac '!$P$207:$P$221,"&gt;="&amp;I$179)+SUMIFS('Renew &amp; Vac '!$H$207:$H$221,'Renew &amp; Vac '!$A$207:$A$221,$B190,'Renew &amp; Vac '!$D$207:$D$221,"&lt;="&amp;I$179,'Renew &amp; Vac '!$E$207:$E$221,"&gt;="&amp;I$179)</f>
        <v>0</v>
      </c>
      <c r="J190" s="6">
        <f>SUMIFS('Renew &amp; Vac '!$S$207:$S$221,'Renew &amp; Vac '!$L$207:$L$221,$B190,'Renew &amp; Vac '!$O$207:$O$221,"&lt;="&amp;J$179,'Renew &amp; Vac '!$P$207:$P$221,"&gt;="&amp;J$179)+SUMIFS('Renew &amp; Vac '!$H$207:$H$221,'Renew &amp; Vac '!$A$207:$A$221,$B190,'Renew &amp; Vac '!$D$207:$D$221,"&lt;="&amp;J$179,'Renew &amp; Vac '!$E$207:$E$221,"&gt;="&amp;J$179)</f>
        <v>0</v>
      </c>
      <c r="K190" s="6">
        <f>SUMIFS('Renew &amp; Vac '!$S$207:$S$221,'Renew &amp; Vac '!$L$207:$L$221,$B190,'Renew &amp; Vac '!$O$207:$O$221,"&lt;="&amp;K$179,'Renew &amp; Vac '!$P$207:$P$221,"&gt;="&amp;K$179)+SUMIFS('Renew &amp; Vac '!$H$207:$H$221,'Renew &amp; Vac '!$A$207:$A$221,$B190,'Renew &amp; Vac '!$D$207:$D$221,"&lt;="&amp;K$179,'Renew &amp; Vac '!$E$207:$E$221,"&gt;="&amp;K$179)</f>
        <v>0</v>
      </c>
      <c r="L190" s="6">
        <f>SUMIFS('Renew &amp; Vac '!$S$207:$S$221,'Renew &amp; Vac '!$L$207:$L$221,$B190,'Renew &amp; Vac '!$O$207:$O$221,"&lt;="&amp;L$179,'Renew &amp; Vac '!$P$207:$P$221,"&gt;="&amp;L$179)+SUMIFS('Renew &amp; Vac '!$H$207:$H$221,'Renew &amp; Vac '!$A$207:$A$221,$B190,'Renew &amp; Vac '!$D$207:$D$221,"&lt;="&amp;L$179,'Renew &amp; Vac '!$E$207:$E$221,"&gt;="&amp;L$179)</f>
        <v>0</v>
      </c>
      <c r="M190" s="6">
        <f>SUMIFS('Renew &amp; Vac '!$S$207:$S$221,'Renew &amp; Vac '!$L$207:$L$221,$B190,'Renew &amp; Vac '!$O$207:$O$221,"&lt;="&amp;M$179,'Renew &amp; Vac '!$P$207:$P$221,"&gt;="&amp;M$179)+SUMIFS('Renew &amp; Vac '!$H$207:$H$221,'Renew &amp; Vac '!$A$207:$A$221,$B190,'Renew &amp; Vac '!$D$207:$D$221,"&lt;="&amp;M$179,'Renew &amp; Vac '!$E$207:$E$221,"&gt;="&amp;M$179)</f>
        <v>0</v>
      </c>
      <c r="N190" s="6">
        <f>SUMIFS('Renew &amp; Vac '!$S$207:$S$221,'Renew &amp; Vac '!$L$207:$L$221,$B190,'Renew &amp; Vac '!$O$207:$O$221,"&lt;="&amp;N$179,'Renew &amp; Vac '!$P$207:$P$221,"&gt;="&amp;N$179)+SUMIFS('Renew &amp; Vac '!$H$207:$H$221,'Renew &amp; Vac '!$A$207:$A$221,$B190,'Renew &amp; Vac '!$D$207:$D$221,"&lt;="&amp;N$179,'Renew &amp; Vac '!$E$207:$E$221,"&gt;="&amp;N$179)</f>
        <v>0</v>
      </c>
      <c r="O190" s="6">
        <f>SUMIFS('Renew &amp; Vac '!$S$207:$S$221,'Renew &amp; Vac '!$L$207:$L$221,$B190,'Renew &amp; Vac '!$O$207:$O$221,"&lt;="&amp;O$179,'Renew &amp; Vac '!$P$207:$P$221,"&gt;="&amp;O$179)+SUMIFS('Renew &amp; Vac '!$H$207:$H$221,'Renew &amp; Vac '!$A$207:$A$221,$B190,'Renew &amp; Vac '!$D$207:$D$221,"&lt;="&amp;O$179,'Renew &amp; Vac '!$E$207:$E$221,"&gt;="&amp;O$179)</f>
        <v>0</v>
      </c>
      <c r="P190" s="6">
        <f>SUMIFS('Renew &amp; Vac '!$S$207:$S$221,'Renew &amp; Vac '!$L$207:$L$221,$B190,'Renew &amp; Vac '!$O$207:$O$221,"&lt;="&amp;P$179,'Renew &amp; Vac '!$P$207:$P$221,"&gt;="&amp;P$179)+SUMIFS('Renew &amp; Vac '!$H$207:$H$221,'Renew &amp; Vac '!$A$207:$A$221,$B190,'Renew &amp; Vac '!$D$207:$D$221,"&lt;="&amp;P$179,'Renew &amp; Vac '!$E$207:$E$221,"&gt;="&amp;P$179)</f>
        <v>0</v>
      </c>
      <c r="Q190" s="8">
        <f t="shared" si="86"/>
        <v>0</v>
      </c>
    </row>
    <row r="191" spans="2:21" outlineLevel="1" x14ac:dyDescent="0.35">
      <c r="B191" s="79" t="str">
        <f t="shared" si="85"/>
        <v>9510-426</v>
      </c>
      <c r="D191" s="6" t="str">
        <f>IFERROR(VLOOKUP(B191,'Renew &amp; Vac '!$L$207:$M$221,2,FALSE),IFERROR(VLOOKUP(B191,'Renew &amp; Vac '!$A$207:$B$221,2,FALSE),VLOOKUP(B191,$B$161:$D$174,3,FALSE)))</f>
        <v>Marvel Agency, Inc.</v>
      </c>
      <c r="E191" s="6">
        <f>SUMIFS('Renew &amp; Vac '!$S$207:$S$221,'Renew &amp; Vac '!$L$207:$L$221,$B191,'Renew &amp; Vac '!$O$207:$O$221,"&lt;="&amp;E$179,'Renew &amp; Vac '!$P$207:$P$221,"&gt;="&amp;E$179)+SUMIFS('Renew &amp; Vac '!$H$207:$H$221,'Renew &amp; Vac '!$A$207:$A$221,$B191,'Renew &amp; Vac '!$D$207:$D$221,"&lt;="&amp;E$179,'Renew &amp; Vac '!$E$207:$E$221,"&gt;="&amp;E$179)</f>
        <v>0</v>
      </c>
      <c r="F191" s="6">
        <f>SUMIFS('Renew &amp; Vac '!$S$207:$S$221,'Renew &amp; Vac '!$L$207:$L$221,$B191,'Renew &amp; Vac '!$O$207:$O$221,"&lt;="&amp;F$179,'Renew &amp; Vac '!$P$207:$P$221,"&gt;="&amp;F$179)+SUMIFS('Renew &amp; Vac '!$H$207:$H$221,'Renew &amp; Vac '!$A$207:$A$221,$B191,'Renew &amp; Vac '!$D$207:$D$221,"&lt;="&amp;F$179,'Renew &amp; Vac '!$E$207:$E$221,"&gt;="&amp;F$179)</f>
        <v>0</v>
      </c>
      <c r="G191" s="6">
        <f>SUMIFS('Renew &amp; Vac '!$S$207:$S$221,'Renew &amp; Vac '!$L$207:$L$221,$B191,'Renew &amp; Vac '!$O$207:$O$221,"&lt;="&amp;G$179,'Renew &amp; Vac '!$P$207:$P$221,"&gt;="&amp;G$179)+SUMIFS('Renew &amp; Vac '!$H$207:$H$221,'Renew &amp; Vac '!$A$207:$A$221,$B191,'Renew &amp; Vac '!$D$207:$D$221,"&lt;="&amp;G$179,'Renew &amp; Vac '!$E$207:$E$221,"&gt;="&amp;G$179)</f>
        <v>0</v>
      </c>
      <c r="H191" s="6">
        <f>SUMIFS('Renew &amp; Vac '!$S$207:$S$221,'Renew &amp; Vac '!$L$207:$L$221,$B191,'Renew &amp; Vac '!$O$207:$O$221,"&lt;="&amp;H$179,'Renew &amp; Vac '!$P$207:$P$221,"&gt;="&amp;H$179)+SUMIFS('Renew &amp; Vac '!$H$207:$H$221,'Renew &amp; Vac '!$A$207:$A$221,$B191,'Renew &amp; Vac '!$D$207:$D$221,"&lt;="&amp;H$179,'Renew &amp; Vac '!$E$207:$E$221,"&gt;="&amp;H$179)</f>
        <v>0</v>
      </c>
      <c r="I191" s="6">
        <f>SUMIFS('Renew &amp; Vac '!$S$207:$S$221,'Renew &amp; Vac '!$L$207:$L$221,$B191,'Renew &amp; Vac '!$O$207:$O$221,"&lt;="&amp;I$179,'Renew &amp; Vac '!$P$207:$P$221,"&gt;="&amp;I$179)+SUMIFS('Renew &amp; Vac '!$H$207:$H$221,'Renew &amp; Vac '!$A$207:$A$221,$B191,'Renew &amp; Vac '!$D$207:$D$221,"&lt;="&amp;I$179,'Renew &amp; Vac '!$E$207:$E$221,"&gt;="&amp;I$179)</f>
        <v>0</v>
      </c>
      <c r="J191" s="6">
        <f>SUMIFS('Renew &amp; Vac '!$S$207:$S$221,'Renew &amp; Vac '!$L$207:$L$221,$B191,'Renew &amp; Vac '!$O$207:$O$221,"&lt;="&amp;J$179,'Renew &amp; Vac '!$P$207:$P$221,"&gt;="&amp;J$179)+SUMIFS('Renew &amp; Vac '!$H$207:$H$221,'Renew &amp; Vac '!$A$207:$A$221,$B191,'Renew &amp; Vac '!$D$207:$D$221,"&lt;="&amp;J$179,'Renew &amp; Vac '!$E$207:$E$221,"&gt;="&amp;J$179)</f>
        <v>0</v>
      </c>
      <c r="K191" s="6">
        <f>SUMIFS('Renew &amp; Vac '!$S$207:$S$221,'Renew &amp; Vac '!$L$207:$L$221,$B191,'Renew &amp; Vac '!$O$207:$O$221,"&lt;="&amp;K$179,'Renew &amp; Vac '!$P$207:$P$221,"&gt;="&amp;K$179)+SUMIFS('Renew &amp; Vac '!$H$207:$H$221,'Renew &amp; Vac '!$A$207:$A$221,$B191,'Renew &amp; Vac '!$D$207:$D$221,"&lt;="&amp;K$179,'Renew &amp; Vac '!$E$207:$E$221,"&gt;="&amp;K$179)</f>
        <v>0</v>
      </c>
      <c r="L191" s="6">
        <f>SUMIFS('Renew &amp; Vac '!$S$207:$S$221,'Renew &amp; Vac '!$L$207:$L$221,$B191,'Renew &amp; Vac '!$O$207:$O$221,"&lt;="&amp;L$179,'Renew &amp; Vac '!$P$207:$P$221,"&gt;="&amp;L$179)+SUMIFS('Renew &amp; Vac '!$H$207:$H$221,'Renew &amp; Vac '!$A$207:$A$221,$B191,'Renew &amp; Vac '!$D$207:$D$221,"&lt;="&amp;L$179,'Renew &amp; Vac '!$E$207:$E$221,"&gt;="&amp;L$179)</f>
        <v>0</v>
      </c>
      <c r="M191" s="6">
        <f>SUMIFS('Renew &amp; Vac '!$S$207:$S$221,'Renew &amp; Vac '!$L$207:$L$221,$B191,'Renew &amp; Vac '!$O$207:$O$221,"&lt;="&amp;M$179,'Renew &amp; Vac '!$P$207:$P$221,"&gt;="&amp;M$179)+SUMIFS('Renew &amp; Vac '!$H$207:$H$221,'Renew &amp; Vac '!$A$207:$A$221,$B191,'Renew &amp; Vac '!$D$207:$D$221,"&lt;="&amp;M$179,'Renew &amp; Vac '!$E$207:$E$221,"&gt;="&amp;M$179)</f>
        <v>0</v>
      </c>
      <c r="N191" s="6">
        <f>SUMIFS('Renew &amp; Vac '!$S$207:$S$221,'Renew &amp; Vac '!$L$207:$L$221,$B191,'Renew &amp; Vac '!$O$207:$O$221,"&lt;="&amp;N$179,'Renew &amp; Vac '!$P$207:$P$221,"&gt;="&amp;N$179)+SUMIFS('Renew &amp; Vac '!$H$207:$H$221,'Renew &amp; Vac '!$A$207:$A$221,$B191,'Renew &amp; Vac '!$D$207:$D$221,"&lt;="&amp;N$179,'Renew &amp; Vac '!$E$207:$E$221,"&gt;="&amp;N$179)</f>
        <v>0</v>
      </c>
      <c r="O191" s="6">
        <f>SUMIFS('Renew &amp; Vac '!$S$207:$S$221,'Renew &amp; Vac '!$L$207:$L$221,$B191,'Renew &amp; Vac '!$O$207:$O$221,"&lt;="&amp;O$179,'Renew &amp; Vac '!$P$207:$P$221,"&gt;="&amp;O$179)+SUMIFS('Renew &amp; Vac '!$H$207:$H$221,'Renew &amp; Vac '!$A$207:$A$221,$B191,'Renew &amp; Vac '!$D$207:$D$221,"&lt;="&amp;O$179,'Renew &amp; Vac '!$E$207:$E$221,"&gt;="&amp;O$179)</f>
        <v>0</v>
      </c>
      <c r="P191" s="6">
        <f>SUMIFS('Renew &amp; Vac '!$S$207:$S$221,'Renew &amp; Vac '!$L$207:$L$221,$B191,'Renew &amp; Vac '!$O$207:$O$221,"&lt;="&amp;P$179,'Renew &amp; Vac '!$P$207:$P$221,"&gt;="&amp;P$179)+SUMIFS('Renew &amp; Vac '!$H$207:$H$221,'Renew &amp; Vac '!$A$207:$A$221,$B191,'Renew &amp; Vac '!$D$207:$D$221,"&lt;="&amp;P$179,'Renew &amp; Vac '!$E$207:$E$221,"&gt;="&amp;P$179)</f>
        <v>0</v>
      </c>
      <c r="Q191" s="8">
        <f t="shared" si="86"/>
        <v>0</v>
      </c>
    </row>
    <row r="192" spans="2:21" outlineLevel="1" x14ac:dyDescent="0.35">
      <c r="B192" s="79" t="str">
        <f t="shared" si="85"/>
        <v>9510-428</v>
      </c>
      <c r="D192" s="6" t="str">
        <f>IFERROR(VLOOKUP(B192,'Renew &amp; Vac '!$L$207:$M$221,2,FALSE),IFERROR(VLOOKUP(B192,'Renew &amp; Vac '!$A$207:$B$221,2,FALSE),VLOOKUP(B192,$B$161:$D$174,3,FALSE)))</f>
        <v>VACANT</v>
      </c>
      <c r="E192" s="6">
        <f>SUMIFS('Renew &amp; Vac '!$S$207:$S$221,'Renew &amp; Vac '!$L$207:$L$221,$B192,'Renew &amp; Vac '!$O$207:$O$221,"&lt;="&amp;E$179,'Renew &amp; Vac '!$P$207:$P$221,"&gt;="&amp;E$179)+SUMIFS('Renew &amp; Vac '!$H$207:$H$221,'Renew &amp; Vac '!$A$207:$A$221,$B192,'Renew &amp; Vac '!$D$207:$D$221,"&lt;="&amp;E$179,'Renew &amp; Vac '!$E$207:$E$221,"&gt;="&amp;E$179)</f>
        <v>0</v>
      </c>
      <c r="F192" s="6">
        <f>SUMIFS('Renew &amp; Vac '!$S$207:$S$221,'Renew &amp; Vac '!$L$207:$L$221,$B192,'Renew &amp; Vac '!$O$207:$O$221,"&lt;="&amp;F$179,'Renew &amp; Vac '!$P$207:$P$221,"&gt;="&amp;F$179)+SUMIFS('Renew &amp; Vac '!$H$207:$H$221,'Renew &amp; Vac '!$A$207:$A$221,$B192,'Renew &amp; Vac '!$D$207:$D$221,"&lt;="&amp;F$179,'Renew &amp; Vac '!$E$207:$E$221,"&gt;="&amp;F$179)</f>
        <v>0</v>
      </c>
      <c r="G192" s="6">
        <f>SUMIFS('Renew &amp; Vac '!$S$207:$S$221,'Renew &amp; Vac '!$L$207:$L$221,$B192,'Renew &amp; Vac '!$O$207:$O$221,"&lt;="&amp;G$179,'Renew &amp; Vac '!$P$207:$P$221,"&gt;="&amp;G$179)+SUMIFS('Renew &amp; Vac '!$H$207:$H$221,'Renew &amp; Vac '!$A$207:$A$221,$B192,'Renew &amp; Vac '!$D$207:$D$221,"&lt;="&amp;G$179,'Renew &amp; Vac '!$E$207:$E$221,"&gt;="&amp;G$179)</f>
        <v>0</v>
      </c>
      <c r="H192" s="6">
        <f>SUMIFS('Renew &amp; Vac '!$S$207:$S$221,'Renew &amp; Vac '!$L$207:$L$221,$B192,'Renew &amp; Vac '!$O$207:$O$221,"&lt;="&amp;H$179,'Renew &amp; Vac '!$P$207:$P$221,"&gt;="&amp;H$179)+SUMIFS('Renew &amp; Vac '!$H$207:$H$221,'Renew &amp; Vac '!$A$207:$A$221,$B192,'Renew &amp; Vac '!$D$207:$D$221,"&lt;="&amp;H$179,'Renew &amp; Vac '!$E$207:$E$221,"&gt;="&amp;H$179)</f>
        <v>0</v>
      </c>
      <c r="I192" s="6">
        <f>SUMIFS('Renew &amp; Vac '!$S$207:$S$221,'Renew &amp; Vac '!$L$207:$L$221,$B192,'Renew &amp; Vac '!$O$207:$O$221,"&lt;="&amp;I$179,'Renew &amp; Vac '!$P$207:$P$221,"&gt;="&amp;I$179)+SUMIFS('Renew &amp; Vac '!$H$207:$H$221,'Renew &amp; Vac '!$A$207:$A$221,$B192,'Renew &amp; Vac '!$D$207:$D$221,"&lt;="&amp;I$179,'Renew &amp; Vac '!$E$207:$E$221,"&gt;="&amp;I$179)</f>
        <v>0</v>
      </c>
      <c r="J192" s="6">
        <f>SUMIFS('Renew &amp; Vac '!$S$207:$S$221,'Renew &amp; Vac '!$L$207:$L$221,$B192,'Renew &amp; Vac '!$O$207:$O$221,"&lt;="&amp;J$179,'Renew &amp; Vac '!$P$207:$P$221,"&gt;="&amp;J$179)+SUMIFS('Renew &amp; Vac '!$H$207:$H$221,'Renew &amp; Vac '!$A$207:$A$221,$B192,'Renew &amp; Vac '!$D$207:$D$221,"&lt;="&amp;J$179,'Renew &amp; Vac '!$E$207:$E$221,"&gt;="&amp;J$179)</f>
        <v>1800</v>
      </c>
      <c r="K192" s="6">
        <f>SUMIFS('Renew &amp; Vac '!$S$207:$S$221,'Renew &amp; Vac '!$L$207:$L$221,$B192,'Renew &amp; Vac '!$O$207:$O$221,"&lt;="&amp;K$179,'Renew &amp; Vac '!$P$207:$P$221,"&gt;="&amp;K$179)+SUMIFS('Renew &amp; Vac '!$H$207:$H$221,'Renew &amp; Vac '!$A$207:$A$221,$B192,'Renew &amp; Vac '!$D$207:$D$221,"&lt;="&amp;K$179,'Renew &amp; Vac '!$E$207:$E$221,"&gt;="&amp;K$179)</f>
        <v>1800</v>
      </c>
      <c r="L192" s="6">
        <f>SUMIFS('Renew &amp; Vac '!$S$207:$S$221,'Renew &amp; Vac '!$L$207:$L$221,$B192,'Renew &amp; Vac '!$O$207:$O$221,"&lt;="&amp;L$179,'Renew &amp; Vac '!$P$207:$P$221,"&gt;="&amp;L$179)+SUMIFS('Renew &amp; Vac '!$H$207:$H$221,'Renew &amp; Vac '!$A$207:$A$221,$B192,'Renew &amp; Vac '!$D$207:$D$221,"&lt;="&amp;L$179,'Renew &amp; Vac '!$E$207:$E$221,"&gt;="&amp;L$179)</f>
        <v>1800</v>
      </c>
      <c r="M192" s="6">
        <f>SUMIFS('Renew &amp; Vac '!$S$207:$S$221,'Renew &amp; Vac '!$L$207:$L$221,$B192,'Renew &amp; Vac '!$O$207:$O$221,"&lt;="&amp;M$179,'Renew &amp; Vac '!$P$207:$P$221,"&gt;="&amp;M$179)+SUMIFS('Renew &amp; Vac '!$H$207:$H$221,'Renew &amp; Vac '!$A$207:$A$221,$B192,'Renew &amp; Vac '!$D$207:$D$221,"&lt;="&amp;M$179,'Renew &amp; Vac '!$E$207:$E$221,"&gt;="&amp;M$179)</f>
        <v>1800</v>
      </c>
      <c r="N192" s="6">
        <f>SUMIFS('Renew &amp; Vac '!$S$207:$S$221,'Renew &amp; Vac '!$L$207:$L$221,$B192,'Renew &amp; Vac '!$O$207:$O$221,"&lt;="&amp;N$179,'Renew &amp; Vac '!$P$207:$P$221,"&gt;="&amp;N$179)+SUMIFS('Renew &amp; Vac '!$H$207:$H$221,'Renew &amp; Vac '!$A$207:$A$221,$B192,'Renew &amp; Vac '!$D$207:$D$221,"&lt;="&amp;N$179,'Renew &amp; Vac '!$E$207:$E$221,"&gt;="&amp;N$179)</f>
        <v>1800</v>
      </c>
      <c r="O192" s="6">
        <f>SUMIFS('Renew &amp; Vac '!$S$207:$S$221,'Renew &amp; Vac '!$L$207:$L$221,$B192,'Renew &amp; Vac '!$O$207:$O$221,"&lt;="&amp;O$179,'Renew &amp; Vac '!$P$207:$P$221,"&gt;="&amp;O$179)+SUMIFS('Renew &amp; Vac '!$H$207:$H$221,'Renew &amp; Vac '!$A$207:$A$221,$B192,'Renew &amp; Vac '!$D$207:$D$221,"&lt;="&amp;O$179,'Renew &amp; Vac '!$E$207:$E$221,"&gt;="&amp;O$179)</f>
        <v>1800</v>
      </c>
      <c r="P192" s="6">
        <f>SUMIFS('Renew &amp; Vac '!$S$207:$S$221,'Renew &amp; Vac '!$L$207:$L$221,$B192,'Renew &amp; Vac '!$O$207:$O$221,"&lt;="&amp;P$179,'Renew &amp; Vac '!$P$207:$P$221,"&gt;="&amp;P$179)+SUMIFS('Renew &amp; Vac '!$H$207:$H$221,'Renew &amp; Vac '!$A$207:$A$221,$B192,'Renew &amp; Vac '!$D$207:$D$221,"&lt;="&amp;P$179,'Renew &amp; Vac '!$E$207:$E$221,"&gt;="&amp;P$179)</f>
        <v>1800</v>
      </c>
      <c r="Q192" s="8">
        <f t="shared" si="86"/>
        <v>12600</v>
      </c>
    </row>
    <row r="193" spans="1:20" outlineLevel="1" x14ac:dyDescent="0.35">
      <c r="B193" s="227" t="str">
        <f t="shared" si="85"/>
        <v>9510-500</v>
      </c>
      <c r="C193" s="15"/>
      <c r="D193" s="15" t="str">
        <f>IFERROR(VLOOKUP(B193,'Renew &amp; Vac '!$L$207:$M$221,2,FALSE),IFERROR(VLOOKUP(B193,'Renew &amp; Vac '!$A$207:$B$221,2,FALSE),VLOOKUP(B193,$B$161:$D$174,3,FALSE)))</f>
        <v xml:space="preserve">Emily / James </v>
      </c>
      <c r="E193" s="15">
        <f>SUMIFS('Renew &amp; Vac '!$S$207:$S$221,'Renew &amp; Vac '!$L$207:$L$221,$B193,'Renew &amp; Vac '!$O$207:$O$221,"&lt;="&amp;E$179,'Renew &amp; Vac '!$P$207:$P$221,"&gt;="&amp;E$179)+SUMIFS('Renew &amp; Vac '!$H$207:$H$221,'Renew &amp; Vac '!$A$207:$A$221,$B193,'Renew &amp; Vac '!$D$207:$D$221,"&lt;="&amp;E$179,'Renew &amp; Vac '!$E$207:$E$221,"&gt;="&amp;E$179)</f>
        <v>3150</v>
      </c>
      <c r="F193" s="15">
        <f>SUMIFS('Renew &amp; Vac '!$S$207:$S$221,'Renew &amp; Vac '!$L$207:$L$221,$B193,'Renew &amp; Vac '!$O$207:$O$221,"&lt;="&amp;F$179,'Renew &amp; Vac '!$P$207:$P$221,"&gt;="&amp;F$179)+SUMIFS('Renew &amp; Vac '!$H$207:$H$221,'Renew &amp; Vac '!$A$207:$A$221,$B193,'Renew &amp; Vac '!$D$207:$D$221,"&lt;="&amp;F$179,'Renew &amp; Vac '!$E$207:$E$221,"&gt;="&amp;F$179)</f>
        <v>3150</v>
      </c>
      <c r="G193" s="15">
        <f>SUMIFS('Renew &amp; Vac '!$S$207:$S$221,'Renew &amp; Vac '!$L$207:$L$221,$B193,'Renew &amp; Vac '!$O$207:$O$221,"&lt;="&amp;G$179,'Renew &amp; Vac '!$P$207:$P$221,"&gt;="&amp;G$179)+SUMIFS('Renew &amp; Vac '!$H$207:$H$221,'Renew &amp; Vac '!$A$207:$A$221,$B193,'Renew &amp; Vac '!$D$207:$D$221,"&lt;="&amp;G$179,'Renew &amp; Vac '!$E$207:$E$221,"&gt;="&amp;G$179)</f>
        <v>0</v>
      </c>
      <c r="H193" s="15">
        <f>SUMIFS('Renew &amp; Vac '!$S$207:$S$221,'Renew &amp; Vac '!$L$207:$L$221,$B193,'Renew &amp; Vac '!$O$207:$O$221,"&lt;="&amp;H$179,'Renew &amp; Vac '!$P$207:$P$221,"&gt;="&amp;H$179)+SUMIFS('Renew &amp; Vac '!$H$207:$H$221,'Renew &amp; Vac '!$A$207:$A$221,$B193,'Renew &amp; Vac '!$D$207:$D$221,"&lt;="&amp;H$179,'Renew &amp; Vac '!$E$207:$E$221,"&gt;="&amp;H$179)</f>
        <v>0</v>
      </c>
      <c r="I193" s="15">
        <f>SUMIFS('Renew &amp; Vac '!$S$207:$S$221,'Renew &amp; Vac '!$L$207:$L$221,$B193,'Renew &amp; Vac '!$O$207:$O$221,"&lt;="&amp;I$179,'Renew &amp; Vac '!$P$207:$P$221,"&gt;="&amp;I$179)+SUMIFS('Renew &amp; Vac '!$H$207:$H$221,'Renew &amp; Vac '!$A$207:$A$221,$B193,'Renew &amp; Vac '!$D$207:$D$221,"&lt;="&amp;I$179,'Renew &amp; Vac '!$E$207:$E$221,"&gt;="&amp;I$179)</f>
        <v>3200</v>
      </c>
      <c r="J193" s="15">
        <f>SUMIFS('Renew &amp; Vac '!$S$207:$S$221,'Renew &amp; Vac '!$L$207:$L$221,$B193,'Renew &amp; Vac '!$O$207:$O$221,"&lt;="&amp;J$179,'Renew &amp; Vac '!$P$207:$P$221,"&gt;="&amp;J$179)+SUMIFS('Renew &amp; Vac '!$H$207:$H$221,'Renew &amp; Vac '!$A$207:$A$221,$B193,'Renew &amp; Vac '!$D$207:$D$221,"&lt;="&amp;J$179,'Renew &amp; Vac '!$E$207:$E$221,"&gt;="&amp;J$179)</f>
        <v>3200</v>
      </c>
      <c r="K193" s="15">
        <f>SUMIFS('Renew &amp; Vac '!$S$207:$S$221,'Renew &amp; Vac '!$L$207:$L$221,$B193,'Renew &amp; Vac '!$O$207:$O$221,"&lt;="&amp;K$179,'Renew &amp; Vac '!$P$207:$P$221,"&gt;="&amp;K$179)+SUMIFS('Renew &amp; Vac '!$H$207:$H$221,'Renew &amp; Vac '!$A$207:$A$221,$B193,'Renew &amp; Vac '!$D$207:$D$221,"&lt;="&amp;K$179,'Renew &amp; Vac '!$E$207:$E$221,"&gt;="&amp;K$179)</f>
        <v>3200</v>
      </c>
      <c r="L193" s="15">
        <f>SUMIFS('Renew &amp; Vac '!$S$207:$S$221,'Renew &amp; Vac '!$L$207:$L$221,$B193,'Renew &amp; Vac '!$O$207:$O$221,"&lt;="&amp;L$179,'Renew &amp; Vac '!$P$207:$P$221,"&gt;="&amp;L$179)+SUMIFS('Renew &amp; Vac '!$H$207:$H$221,'Renew &amp; Vac '!$A$207:$A$221,$B193,'Renew &amp; Vac '!$D$207:$D$221,"&lt;="&amp;L$179,'Renew &amp; Vac '!$E$207:$E$221,"&gt;="&amp;L$179)</f>
        <v>3200</v>
      </c>
      <c r="M193" s="15">
        <f>SUMIFS('Renew &amp; Vac '!$S$207:$S$221,'Renew &amp; Vac '!$L$207:$L$221,$B193,'Renew &amp; Vac '!$O$207:$O$221,"&lt;="&amp;M$179,'Renew &amp; Vac '!$P$207:$P$221,"&gt;="&amp;M$179)+SUMIFS('Renew &amp; Vac '!$H$207:$H$221,'Renew &amp; Vac '!$A$207:$A$221,$B193,'Renew &amp; Vac '!$D$207:$D$221,"&lt;="&amp;M$179,'Renew &amp; Vac '!$E$207:$E$221,"&gt;="&amp;M$179)</f>
        <v>3200</v>
      </c>
      <c r="N193" s="15">
        <f>SUMIFS('Renew &amp; Vac '!$S$207:$S$221,'Renew &amp; Vac '!$L$207:$L$221,$B193,'Renew &amp; Vac '!$O$207:$O$221,"&lt;="&amp;N$179,'Renew &amp; Vac '!$P$207:$P$221,"&gt;="&amp;N$179)+SUMIFS('Renew &amp; Vac '!$H$207:$H$221,'Renew &amp; Vac '!$A$207:$A$221,$B193,'Renew &amp; Vac '!$D$207:$D$221,"&lt;="&amp;N$179,'Renew &amp; Vac '!$E$207:$E$221,"&gt;="&amp;N$179)</f>
        <v>3200</v>
      </c>
      <c r="O193" s="15">
        <f>SUMIFS('Renew &amp; Vac '!$S$207:$S$221,'Renew &amp; Vac '!$L$207:$L$221,$B193,'Renew &amp; Vac '!$O$207:$O$221,"&lt;="&amp;O$179,'Renew &amp; Vac '!$P$207:$P$221,"&gt;="&amp;O$179)+SUMIFS('Renew &amp; Vac '!$H$207:$H$221,'Renew &amp; Vac '!$A$207:$A$221,$B193,'Renew &amp; Vac '!$D$207:$D$221,"&lt;="&amp;O$179,'Renew &amp; Vac '!$E$207:$E$221,"&gt;="&amp;O$179)</f>
        <v>3200</v>
      </c>
      <c r="P193" s="15">
        <f>SUMIFS('Renew &amp; Vac '!$S$207:$S$221,'Renew &amp; Vac '!$L$207:$L$221,$B193,'Renew &amp; Vac '!$O$207:$O$221,"&lt;="&amp;P$179,'Renew &amp; Vac '!$P$207:$P$221,"&gt;="&amp;P$179)+SUMIFS('Renew &amp; Vac '!$H$207:$H$221,'Renew &amp; Vac '!$A$207:$A$221,$B193,'Renew &amp; Vac '!$D$207:$D$221,"&lt;="&amp;P$179,'Renew &amp; Vac '!$E$207:$E$221,"&gt;="&amp;P$179)</f>
        <v>3200</v>
      </c>
      <c r="Q193" s="49">
        <f t="shared" ref="Q193" si="87">SUM(E193:P193)</f>
        <v>31900</v>
      </c>
    </row>
    <row r="194" spans="1:20" outlineLevel="1" x14ac:dyDescent="0.35">
      <c r="B194" s="3"/>
      <c r="D194" s="16"/>
      <c r="E194" s="8">
        <f>SUM(E180:E193)</f>
        <v>3150</v>
      </c>
      <c r="F194" s="8">
        <f t="shared" ref="F194:Q194" si="88">SUM(F180:F193)</f>
        <v>3150</v>
      </c>
      <c r="G194" s="8">
        <f t="shared" si="88"/>
        <v>0</v>
      </c>
      <c r="H194" s="8">
        <f t="shared" si="88"/>
        <v>0</v>
      </c>
      <c r="I194" s="8">
        <f t="shared" si="88"/>
        <v>3200</v>
      </c>
      <c r="J194" s="8">
        <f t="shared" si="88"/>
        <v>5000</v>
      </c>
      <c r="K194" s="8">
        <f t="shared" si="88"/>
        <v>5000</v>
      </c>
      <c r="L194" s="8">
        <f t="shared" si="88"/>
        <v>13734.116666666667</v>
      </c>
      <c r="M194" s="8">
        <f t="shared" si="88"/>
        <v>13734.116666666667</v>
      </c>
      <c r="N194" s="8">
        <f t="shared" si="88"/>
        <v>13734.116666666667</v>
      </c>
      <c r="O194" s="8">
        <f t="shared" si="88"/>
        <v>13734.116666666667</v>
      </c>
      <c r="P194" s="8">
        <f t="shared" si="88"/>
        <v>13734.116666666667</v>
      </c>
      <c r="Q194" s="8">
        <f t="shared" si="88"/>
        <v>88170.583333333343</v>
      </c>
    </row>
    <row r="195" spans="1:20" outlineLevel="1" x14ac:dyDescent="0.35">
      <c r="B195" s="3"/>
      <c r="E195" s="55">
        <f t="shared" ref="E195:Q195" si="89">E11-E194</f>
        <v>0</v>
      </c>
      <c r="F195" s="55">
        <f t="shared" si="89"/>
        <v>0</v>
      </c>
      <c r="G195" s="55">
        <f t="shared" si="89"/>
        <v>0</v>
      </c>
      <c r="H195" s="55">
        <f t="shared" si="89"/>
        <v>0</v>
      </c>
      <c r="I195" s="55">
        <f t="shared" si="89"/>
        <v>0</v>
      </c>
      <c r="J195" s="55">
        <f t="shared" si="89"/>
        <v>0</v>
      </c>
      <c r="K195" s="55">
        <f t="shared" si="89"/>
        <v>0</v>
      </c>
      <c r="L195" s="55">
        <f t="shared" si="89"/>
        <v>0</v>
      </c>
      <c r="M195" s="55">
        <f t="shared" si="89"/>
        <v>0</v>
      </c>
      <c r="N195" s="55">
        <f t="shared" si="89"/>
        <v>0</v>
      </c>
      <c r="O195" s="55">
        <f t="shared" si="89"/>
        <v>0</v>
      </c>
      <c r="P195" s="55">
        <f t="shared" si="89"/>
        <v>0</v>
      </c>
      <c r="Q195" s="55">
        <f t="shared" si="89"/>
        <v>0</v>
      </c>
    </row>
    <row r="196" spans="1:20" ht="17.149999999999999" customHeight="1" x14ac:dyDescent="0.35">
      <c r="B196" s="3"/>
    </row>
    <row r="197" spans="1:20" ht="17.5" x14ac:dyDescent="0.35">
      <c r="A197" s="47"/>
      <c r="B197" s="9" t="str">
        <f>"Budget Import - "&amp;B1</f>
        <v>Budget Import - 9510</v>
      </c>
      <c r="E197" s="389">
        <v>5</v>
      </c>
      <c r="F197" s="390">
        <f>E197+1</f>
        <v>6</v>
      </c>
      <c r="G197" s="390">
        <f t="shared" ref="G197:P197" si="90">F197+1</f>
        <v>7</v>
      </c>
      <c r="H197" s="390">
        <f t="shared" si="90"/>
        <v>8</v>
      </c>
      <c r="I197" s="390">
        <f t="shared" si="90"/>
        <v>9</v>
      </c>
      <c r="J197" s="390">
        <f t="shared" si="90"/>
        <v>10</v>
      </c>
      <c r="K197" s="390">
        <f t="shared" si="90"/>
        <v>11</v>
      </c>
      <c r="L197" s="390">
        <f t="shared" si="90"/>
        <v>12</v>
      </c>
      <c r="M197" s="390">
        <f t="shared" si="90"/>
        <v>13</v>
      </c>
      <c r="N197" s="390">
        <f t="shared" si="90"/>
        <v>14</v>
      </c>
      <c r="O197" s="390">
        <f t="shared" si="90"/>
        <v>15</v>
      </c>
      <c r="P197" s="390">
        <f t="shared" si="90"/>
        <v>16</v>
      </c>
      <c r="Q197" s="390" t="s">
        <v>566</v>
      </c>
    </row>
    <row r="198" spans="1:20" ht="16.5" outlineLevel="1" thickBot="1" x14ac:dyDescent="0.4">
      <c r="A198" s="47"/>
      <c r="D198" s="6" t="s">
        <v>96</v>
      </c>
      <c r="E198" s="6">
        <v>1</v>
      </c>
      <c r="F198" s="6">
        <v>2</v>
      </c>
      <c r="G198" s="6">
        <v>3</v>
      </c>
      <c r="H198" s="6">
        <v>4</v>
      </c>
      <c r="I198" s="6">
        <v>5</v>
      </c>
      <c r="J198" s="6">
        <v>6</v>
      </c>
      <c r="K198" s="6">
        <v>7</v>
      </c>
      <c r="L198" s="6">
        <v>8</v>
      </c>
      <c r="M198" s="6">
        <v>9</v>
      </c>
      <c r="N198" s="6">
        <v>10</v>
      </c>
      <c r="O198" s="6">
        <v>11</v>
      </c>
      <c r="P198" s="6">
        <v>12</v>
      </c>
      <c r="Q198" s="13" t="s">
        <v>12</v>
      </c>
    </row>
    <row r="199" spans="1:20" outlineLevel="1" x14ac:dyDescent="0.35">
      <c r="A199" s="294" t="str">
        <f>VLOOKUP($D199,$A$10:$D$130,3,FALSE)</f>
        <v>Rental Income - In Place</v>
      </c>
      <c r="D199" s="60" t="s">
        <v>132</v>
      </c>
      <c r="E199" s="58">
        <f>-(VLOOKUP($D199,$A$10:$P$134,E$197,FALSE)+E11)</f>
        <v>-28407.53</v>
      </c>
      <c r="F199" s="58">
        <f t="shared" ref="F199:O199" si="91">-(VLOOKUP($D199,$A$10:$P$134,F$197,FALSE)+F11)</f>
        <v>-28407.53</v>
      </c>
      <c r="G199" s="58">
        <f t="shared" si="91"/>
        <v>-25257.53</v>
      </c>
      <c r="H199" s="58">
        <f t="shared" si="91"/>
        <v>-25257.53</v>
      </c>
      <c r="I199" s="58">
        <f t="shared" si="91"/>
        <v>-28564.36</v>
      </c>
      <c r="J199" s="58">
        <f t="shared" si="91"/>
        <v>-30425.11</v>
      </c>
      <c r="K199" s="58">
        <f t="shared" si="91"/>
        <v>-30425.11</v>
      </c>
      <c r="L199" s="58">
        <f t="shared" si="91"/>
        <v>-34173.176666666666</v>
      </c>
      <c r="M199" s="58">
        <f t="shared" si="91"/>
        <v>-34244.966666666667</v>
      </c>
      <c r="N199" s="58">
        <f t="shared" si="91"/>
        <v>-34308.646666666667</v>
      </c>
      <c r="O199" s="58">
        <f t="shared" si="91"/>
        <v>-34308.646666666667</v>
      </c>
      <c r="P199" s="59">
        <f t="shared" ref="P199" si="92">-(VLOOKUP($D199,$A$10:$P$134,P$197,FALSE)+P11)</f>
        <v>-34308.646666666667</v>
      </c>
      <c r="Q199" s="13">
        <f t="shared" ref="Q199:Q201" si="93">SUM(E199:P199)</f>
        <v>-368088.78333333327</v>
      </c>
      <c r="R199" s="13"/>
    </row>
    <row r="200" spans="1:20" outlineLevel="1" x14ac:dyDescent="0.35">
      <c r="A200" s="294" t="str">
        <f t="shared" ref="A200:A238" si="94">VLOOKUP($D200,$A$10:$D$130,3,FALSE)</f>
        <v>Interest Income</v>
      </c>
      <c r="D200" s="60" t="s">
        <v>134</v>
      </c>
      <c r="E200" s="61">
        <f t="shared" ref="E200:P204" si="95">-VLOOKUP($D200,$A$10:$P$134,E$197,FALSE)</f>
        <v>-13.39</v>
      </c>
      <c r="F200" s="61">
        <f t="shared" si="95"/>
        <v>-13.39</v>
      </c>
      <c r="G200" s="61">
        <f t="shared" si="95"/>
        <v>-13.39</v>
      </c>
      <c r="H200" s="61">
        <f t="shared" si="95"/>
        <v>-13.39</v>
      </c>
      <c r="I200" s="61">
        <f t="shared" si="95"/>
        <v>-13.39</v>
      </c>
      <c r="J200" s="61">
        <f t="shared" si="95"/>
        <v>-13.39</v>
      </c>
      <c r="K200" s="61">
        <f t="shared" si="95"/>
        <v>-13.39</v>
      </c>
      <c r="L200" s="61">
        <f t="shared" si="95"/>
        <v>-13.39</v>
      </c>
      <c r="M200" s="61">
        <f t="shared" si="95"/>
        <v>-13.39</v>
      </c>
      <c r="N200" s="61">
        <f t="shared" si="95"/>
        <v>-13.39</v>
      </c>
      <c r="O200" s="61">
        <f t="shared" si="95"/>
        <v>-13.39</v>
      </c>
      <c r="P200" s="62">
        <f t="shared" si="95"/>
        <v>-13.39</v>
      </c>
      <c r="Q200" s="13">
        <f t="shared" si="93"/>
        <v>-160.68</v>
      </c>
      <c r="R200" s="13"/>
    </row>
    <row r="201" spans="1:20" outlineLevel="1" x14ac:dyDescent="0.35">
      <c r="A201" s="294" t="str">
        <f t="shared" si="94"/>
        <v>Percentage Rents</v>
      </c>
      <c r="D201" s="60" t="s">
        <v>97</v>
      </c>
      <c r="E201" s="61">
        <f t="shared" si="95"/>
        <v>0</v>
      </c>
      <c r="F201" s="61">
        <f t="shared" si="95"/>
        <v>0</v>
      </c>
      <c r="G201" s="61">
        <f t="shared" si="95"/>
        <v>0</v>
      </c>
      <c r="H201" s="61">
        <f t="shared" si="95"/>
        <v>0</v>
      </c>
      <c r="I201" s="61">
        <f t="shared" si="95"/>
        <v>0</v>
      </c>
      <c r="J201" s="61">
        <f t="shared" si="95"/>
        <v>0</v>
      </c>
      <c r="K201" s="61">
        <f t="shared" si="95"/>
        <v>0</v>
      </c>
      <c r="L201" s="61">
        <f t="shared" si="95"/>
        <v>0</v>
      </c>
      <c r="M201" s="61">
        <f t="shared" si="95"/>
        <v>0</v>
      </c>
      <c r="N201" s="61">
        <f t="shared" si="95"/>
        <v>0</v>
      </c>
      <c r="O201" s="61">
        <f t="shared" si="95"/>
        <v>0</v>
      </c>
      <c r="P201" s="62">
        <f t="shared" si="95"/>
        <v>-33958.07</v>
      </c>
      <c r="Q201" s="13">
        <f t="shared" si="93"/>
        <v>-33958.07</v>
      </c>
      <c r="R201" s="13"/>
    </row>
    <row r="202" spans="1:20" outlineLevel="1" x14ac:dyDescent="0.35">
      <c r="A202" s="294" t="str">
        <f t="shared" si="94"/>
        <v>Electric</v>
      </c>
      <c r="D202" s="60" t="s">
        <v>98</v>
      </c>
      <c r="E202" s="61">
        <f t="shared" si="95"/>
        <v>0</v>
      </c>
      <c r="F202" s="61">
        <f t="shared" si="95"/>
        <v>0</v>
      </c>
      <c r="G202" s="61">
        <f t="shared" si="95"/>
        <v>0</v>
      </c>
      <c r="H202" s="61">
        <f t="shared" si="95"/>
        <v>0</v>
      </c>
      <c r="I202" s="61">
        <f t="shared" si="95"/>
        <v>0</v>
      </c>
      <c r="J202" s="61">
        <f t="shared" si="95"/>
        <v>0</v>
      </c>
      <c r="K202" s="61">
        <f t="shared" si="95"/>
        <v>0</v>
      </c>
      <c r="L202" s="61">
        <f t="shared" si="95"/>
        <v>0</v>
      </c>
      <c r="M202" s="61">
        <f t="shared" si="95"/>
        <v>0</v>
      </c>
      <c r="N202" s="61">
        <f t="shared" si="95"/>
        <v>0</v>
      </c>
      <c r="O202" s="61">
        <f t="shared" si="95"/>
        <v>0</v>
      </c>
      <c r="P202" s="62">
        <f t="shared" si="95"/>
        <v>0</v>
      </c>
      <c r="Q202" s="13">
        <f t="shared" ref="Q202:Q238" si="96">SUM(E202:P202)</f>
        <v>0</v>
      </c>
      <c r="R202" s="13"/>
    </row>
    <row r="203" spans="1:20" ht="18" outlineLevel="1" x14ac:dyDescent="0.35">
      <c r="A203" s="294" t="str">
        <f t="shared" si="94"/>
        <v>Common Area Maintenance</v>
      </c>
      <c r="D203" s="60" t="s">
        <v>99</v>
      </c>
      <c r="E203" s="61">
        <f t="shared" si="95"/>
        <v>-6100</v>
      </c>
      <c r="F203" s="61">
        <f t="shared" si="95"/>
        <v>-6100</v>
      </c>
      <c r="G203" s="61">
        <f t="shared" si="95"/>
        <v>-6100</v>
      </c>
      <c r="H203" s="61">
        <f t="shared" si="95"/>
        <v>-11739.25</v>
      </c>
      <c r="I203" s="61">
        <f t="shared" si="95"/>
        <v>-6100</v>
      </c>
      <c r="J203" s="61">
        <f t="shared" si="95"/>
        <v>-6100</v>
      </c>
      <c r="K203" s="61">
        <f t="shared" si="95"/>
        <v>-11739.25</v>
      </c>
      <c r="L203" s="61">
        <f t="shared" si="95"/>
        <v>-6100</v>
      </c>
      <c r="M203" s="61">
        <f t="shared" si="95"/>
        <v>-6100</v>
      </c>
      <c r="N203" s="61">
        <f t="shared" si="95"/>
        <v>-11739.25</v>
      </c>
      <c r="O203" s="61">
        <f t="shared" si="95"/>
        <v>-6100</v>
      </c>
      <c r="P203" s="62">
        <f t="shared" si="95"/>
        <v>-11739.25</v>
      </c>
      <c r="Q203" s="13">
        <f t="shared" si="96"/>
        <v>-95757</v>
      </c>
      <c r="R203" s="13"/>
      <c r="S203" s="328"/>
      <c r="T203" s="329"/>
    </row>
    <row r="204" spans="1:20" outlineLevel="1" x14ac:dyDescent="0.35">
      <c r="A204" s="294" t="str">
        <f t="shared" si="94"/>
        <v>Real Estate Taxes</v>
      </c>
      <c r="D204" s="60" t="s">
        <v>100</v>
      </c>
      <c r="E204" s="61">
        <f t="shared" si="95"/>
        <v>-1200</v>
      </c>
      <c r="F204" s="61">
        <f t="shared" si="95"/>
        <v>-1200</v>
      </c>
      <c r="G204" s="61">
        <f t="shared" si="95"/>
        <v>-1200</v>
      </c>
      <c r="H204" s="61">
        <f t="shared" si="95"/>
        <v>-2769</v>
      </c>
      <c r="I204" s="61">
        <f t="shared" si="95"/>
        <v>-1200</v>
      </c>
      <c r="J204" s="61">
        <f t="shared" si="95"/>
        <v>-1200</v>
      </c>
      <c r="K204" s="61">
        <f t="shared" si="95"/>
        <v>-2769</v>
      </c>
      <c r="L204" s="61">
        <f t="shared" si="95"/>
        <v>-1200</v>
      </c>
      <c r="M204" s="61">
        <f t="shared" si="95"/>
        <v>-1200</v>
      </c>
      <c r="N204" s="61">
        <f t="shared" si="95"/>
        <v>-2769</v>
      </c>
      <c r="O204" s="61">
        <f t="shared" si="95"/>
        <v>-1200</v>
      </c>
      <c r="P204" s="62">
        <f t="shared" si="95"/>
        <v>-2769</v>
      </c>
      <c r="Q204" s="13">
        <f t="shared" si="96"/>
        <v>-20676</v>
      </c>
      <c r="R204" s="13"/>
    </row>
    <row r="205" spans="1:20" outlineLevel="1" x14ac:dyDescent="0.35">
      <c r="A205" s="294" t="str">
        <f t="shared" si="94"/>
        <v>Insurance</v>
      </c>
      <c r="D205" s="60" t="s">
        <v>135</v>
      </c>
      <c r="E205" s="61">
        <f>-VLOOKUP($D205,$A$10:$P$134,E$197,FALSE)</f>
        <v>0</v>
      </c>
      <c r="F205" s="61">
        <f t="shared" ref="F205:P205" si="97">-VLOOKUP($D205,$A$10:$P$134,F$197,FALSE)</f>
        <v>0</v>
      </c>
      <c r="G205" s="61">
        <f t="shared" si="97"/>
        <v>0</v>
      </c>
      <c r="H205" s="61">
        <f t="shared" si="97"/>
        <v>0</v>
      </c>
      <c r="I205" s="61">
        <f t="shared" si="97"/>
        <v>0</v>
      </c>
      <c r="J205" s="61">
        <f t="shared" si="97"/>
        <v>0</v>
      </c>
      <c r="K205" s="61">
        <f t="shared" si="97"/>
        <v>0</v>
      </c>
      <c r="L205" s="61">
        <f t="shared" si="97"/>
        <v>0</v>
      </c>
      <c r="M205" s="61">
        <f t="shared" si="97"/>
        <v>0</v>
      </c>
      <c r="N205" s="61">
        <f t="shared" si="97"/>
        <v>0</v>
      </c>
      <c r="O205" s="61">
        <f t="shared" si="97"/>
        <v>0</v>
      </c>
      <c r="P205" s="62">
        <f t="shared" si="97"/>
        <v>0</v>
      </c>
      <c r="Q205" s="13">
        <f>SUM(E205:P205)</f>
        <v>0</v>
      </c>
      <c r="R205" s="13"/>
    </row>
    <row r="206" spans="1:20" outlineLevel="1" x14ac:dyDescent="0.35">
      <c r="A206" s="294" t="str">
        <f t="shared" si="94"/>
        <v>Maintenance Salaries</v>
      </c>
      <c r="D206" s="60" t="s">
        <v>101</v>
      </c>
      <c r="E206" s="61">
        <f>VLOOKUP($D206,$A$10:$P$134,E$197,FALSE)</f>
        <v>615.33907145528622</v>
      </c>
      <c r="F206" s="61">
        <f t="shared" ref="F206:P224" si="98">VLOOKUP($D206,$A$10:$P$134,F$197,FALSE)</f>
        <v>615.33907145528622</v>
      </c>
      <c r="G206" s="61">
        <f t="shared" si="98"/>
        <v>615.33907145528622</v>
      </c>
      <c r="H206" s="61">
        <f t="shared" si="98"/>
        <v>615.33907145528622</v>
      </c>
      <c r="I206" s="61">
        <f t="shared" si="98"/>
        <v>615.33907145528622</v>
      </c>
      <c r="J206" s="61">
        <f t="shared" si="98"/>
        <v>615.33907145528622</v>
      </c>
      <c r="K206" s="61">
        <f t="shared" si="98"/>
        <v>615.33907145528622</v>
      </c>
      <c r="L206" s="61">
        <f t="shared" si="98"/>
        <v>615.33907145528622</v>
      </c>
      <c r="M206" s="61">
        <f t="shared" si="98"/>
        <v>615.33907145528622</v>
      </c>
      <c r="N206" s="61">
        <f t="shared" si="98"/>
        <v>615.33907145528622</v>
      </c>
      <c r="O206" s="61">
        <f t="shared" si="98"/>
        <v>615.33907145528622</v>
      </c>
      <c r="P206" s="62">
        <f t="shared" si="98"/>
        <v>615.33907145528622</v>
      </c>
      <c r="Q206" s="13">
        <f t="shared" si="96"/>
        <v>7384.0688574634341</v>
      </c>
      <c r="R206" s="13"/>
      <c r="S206" s="8"/>
      <c r="T206" s="323"/>
    </row>
    <row r="207" spans="1:20" outlineLevel="1" x14ac:dyDescent="0.35">
      <c r="A207" s="294" t="str">
        <f t="shared" si="94"/>
        <v>Electric</v>
      </c>
      <c r="D207" s="60" t="s">
        <v>102</v>
      </c>
      <c r="E207" s="61">
        <f t="shared" ref="E207:P238" si="99">VLOOKUP($D207,$A$10:$P$134,E$197,FALSE)</f>
        <v>185.4</v>
      </c>
      <c r="F207" s="61">
        <f t="shared" si="98"/>
        <v>185.4</v>
      </c>
      <c r="G207" s="61">
        <f t="shared" si="98"/>
        <v>228.66</v>
      </c>
      <c r="H207" s="61">
        <f t="shared" si="98"/>
        <v>133.9</v>
      </c>
      <c r="I207" s="61">
        <f t="shared" si="98"/>
        <v>127.72</v>
      </c>
      <c r="J207" s="61">
        <f t="shared" si="98"/>
        <v>153.47</v>
      </c>
      <c r="K207" s="61">
        <f t="shared" si="98"/>
        <v>123.60000000000001</v>
      </c>
      <c r="L207" s="61">
        <f t="shared" si="98"/>
        <v>207.03</v>
      </c>
      <c r="M207" s="61">
        <f t="shared" si="98"/>
        <v>208.06</v>
      </c>
      <c r="N207" s="61">
        <f t="shared" si="98"/>
        <v>244.11</v>
      </c>
      <c r="O207" s="61">
        <f t="shared" si="98"/>
        <v>260.59000000000003</v>
      </c>
      <c r="P207" s="62">
        <f t="shared" si="98"/>
        <v>341.96000000000004</v>
      </c>
      <c r="Q207" s="13">
        <f t="shared" si="96"/>
        <v>2399.9</v>
      </c>
      <c r="R207" s="13"/>
    </row>
    <row r="208" spans="1:20" outlineLevel="1" x14ac:dyDescent="0.35">
      <c r="A208" s="294" t="str">
        <f t="shared" si="94"/>
        <v>Water &amp; Sewer</v>
      </c>
      <c r="D208" s="60" t="s">
        <v>103</v>
      </c>
      <c r="E208" s="61">
        <f t="shared" si="99"/>
        <v>0</v>
      </c>
      <c r="F208" s="61">
        <f t="shared" si="98"/>
        <v>0</v>
      </c>
      <c r="G208" s="61">
        <f t="shared" si="98"/>
        <v>0</v>
      </c>
      <c r="H208" s="61">
        <f t="shared" si="98"/>
        <v>0</v>
      </c>
      <c r="I208" s="61">
        <f t="shared" si="98"/>
        <v>0</v>
      </c>
      <c r="J208" s="61">
        <f t="shared" si="98"/>
        <v>0</v>
      </c>
      <c r="K208" s="61">
        <f t="shared" si="98"/>
        <v>0</v>
      </c>
      <c r="L208" s="61">
        <f t="shared" si="98"/>
        <v>0</v>
      </c>
      <c r="M208" s="61">
        <f t="shared" si="98"/>
        <v>0</v>
      </c>
      <c r="N208" s="61">
        <f t="shared" si="98"/>
        <v>0</v>
      </c>
      <c r="O208" s="61">
        <f t="shared" si="98"/>
        <v>0</v>
      </c>
      <c r="P208" s="62">
        <f t="shared" si="98"/>
        <v>0</v>
      </c>
      <c r="Q208" s="13">
        <f t="shared" si="96"/>
        <v>0</v>
      </c>
      <c r="R208" s="13"/>
    </row>
    <row r="209" spans="1:18" outlineLevel="1" x14ac:dyDescent="0.35">
      <c r="A209" s="294" t="str">
        <f t="shared" si="94"/>
        <v>Building Maintenance</v>
      </c>
      <c r="D209" s="60" t="s">
        <v>104</v>
      </c>
      <c r="E209" s="61">
        <f t="shared" si="99"/>
        <v>500</v>
      </c>
      <c r="F209" s="61">
        <f t="shared" si="98"/>
        <v>500</v>
      </c>
      <c r="G209" s="61">
        <f t="shared" si="98"/>
        <v>500</v>
      </c>
      <c r="H209" s="61">
        <f t="shared" si="98"/>
        <v>12860</v>
      </c>
      <c r="I209" s="61">
        <f t="shared" si="98"/>
        <v>1775</v>
      </c>
      <c r="J209" s="61">
        <f t="shared" si="98"/>
        <v>500</v>
      </c>
      <c r="K209" s="61">
        <f t="shared" si="98"/>
        <v>500</v>
      </c>
      <c r="L209" s="61">
        <f t="shared" si="98"/>
        <v>500</v>
      </c>
      <c r="M209" s="61">
        <f t="shared" si="98"/>
        <v>15160</v>
      </c>
      <c r="N209" s="61">
        <f t="shared" si="98"/>
        <v>500</v>
      </c>
      <c r="O209" s="61">
        <f t="shared" si="98"/>
        <v>1775</v>
      </c>
      <c r="P209" s="62">
        <f t="shared" si="98"/>
        <v>500</v>
      </c>
      <c r="Q209" s="13">
        <f t="shared" si="96"/>
        <v>35570</v>
      </c>
      <c r="R209" s="13"/>
    </row>
    <row r="210" spans="1:18" outlineLevel="1" x14ac:dyDescent="0.35">
      <c r="A210" s="294" t="str">
        <f t="shared" si="94"/>
        <v>Parking Lot Cleaning</v>
      </c>
      <c r="D210" s="60" t="s">
        <v>136</v>
      </c>
      <c r="E210" s="61">
        <f t="shared" si="99"/>
        <v>1390.5</v>
      </c>
      <c r="F210" s="61">
        <f t="shared" si="98"/>
        <v>1390.5</v>
      </c>
      <c r="G210" s="61">
        <f t="shared" si="98"/>
        <v>1390.5</v>
      </c>
      <c r="H210" s="61">
        <f t="shared" si="98"/>
        <v>1390.5</v>
      </c>
      <c r="I210" s="61">
        <f t="shared" si="98"/>
        <v>1390.5</v>
      </c>
      <c r="J210" s="61">
        <f t="shared" si="98"/>
        <v>1390.5</v>
      </c>
      <c r="K210" s="61">
        <f t="shared" si="98"/>
        <v>1390.5</v>
      </c>
      <c r="L210" s="61">
        <f t="shared" si="98"/>
        <v>1390.5</v>
      </c>
      <c r="M210" s="61">
        <f t="shared" si="98"/>
        <v>1390.5</v>
      </c>
      <c r="N210" s="61">
        <f t="shared" si="98"/>
        <v>1390.5</v>
      </c>
      <c r="O210" s="61">
        <f t="shared" si="98"/>
        <v>1390.5</v>
      </c>
      <c r="P210" s="62">
        <f t="shared" si="98"/>
        <v>1287.5</v>
      </c>
      <c r="Q210" s="13">
        <f t="shared" ref="Q210" si="100">SUM(E210:P210)</f>
        <v>16583</v>
      </c>
      <c r="R210" s="13"/>
    </row>
    <row r="211" spans="1:18" outlineLevel="1" x14ac:dyDescent="0.35">
      <c r="A211" s="294" t="str">
        <f t="shared" si="94"/>
        <v>Parking Lot Maintenance</v>
      </c>
      <c r="D211" s="60" t="s">
        <v>105</v>
      </c>
      <c r="E211" s="61">
        <f t="shared" si="99"/>
        <v>592.25</v>
      </c>
      <c r="F211" s="61">
        <f t="shared" si="98"/>
        <v>592.25</v>
      </c>
      <c r="G211" s="61">
        <f t="shared" si="98"/>
        <v>1297.8</v>
      </c>
      <c r="H211" s="61">
        <f t="shared" si="98"/>
        <v>6257.25</v>
      </c>
      <c r="I211" s="61">
        <f t="shared" si="98"/>
        <v>592.25</v>
      </c>
      <c r="J211" s="61">
        <f t="shared" si="98"/>
        <v>1297.8</v>
      </c>
      <c r="K211" s="61">
        <f t="shared" si="98"/>
        <v>592.25</v>
      </c>
      <c r="L211" s="61">
        <f t="shared" si="98"/>
        <v>592.25</v>
      </c>
      <c r="M211" s="61">
        <f t="shared" si="98"/>
        <v>6447.8</v>
      </c>
      <c r="N211" s="61">
        <f t="shared" si="98"/>
        <v>1107.25</v>
      </c>
      <c r="O211" s="61">
        <f t="shared" si="98"/>
        <v>592.25</v>
      </c>
      <c r="P211" s="62">
        <f t="shared" si="98"/>
        <v>1416.25</v>
      </c>
      <c r="Q211" s="13">
        <f t="shared" si="96"/>
        <v>21377.649999999998</v>
      </c>
      <c r="R211" s="13"/>
    </row>
    <row r="212" spans="1:18" outlineLevel="1" x14ac:dyDescent="0.35">
      <c r="A212" s="294" t="str">
        <f t="shared" si="94"/>
        <v>Snow Removal</v>
      </c>
      <c r="D212" s="60" t="s">
        <v>106</v>
      </c>
      <c r="E212" s="61">
        <f t="shared" si="99"/>
        <v>3605</v>
      </c>
      <c r="F212" s="61">
        <f t="shared" si="98"/>
        <v>3605</v>
      </c>
      <c r="G212" s="61">
        <f t="shared" si="98"/>
        <v>3605</v>
      </c>
      <c r="H212" s="61">
        <f t="shared" si="98"/>
        <v>0</v>
      </c>
      <c r="I212" s="61">
        <f t="shared" si="98"/>
        <v>0</v>
      </c>
      <c r="J212" s="61">
        <f t="shared" si="98"/>
        <v>0</v>
      </c>
      <c r="K212" s="61">
        <f t="shared" si="98"/>
        <v>0</v>
      </c>
      <c r="L212" s="61">
        <f t="shared" si="98"/>
        <v>0</v>
      </c>
      <c r="M212" s="61">
        <f t="shared" si="98"/>
        <v>0</v>
      </c>
      <c r="N212" s="61">
        <f t="shared" si="98"/>
        <v>3605</v>
      </c>
      <c r="O212" s="61">
        <f t="shared" si="98"/>
        <v>3605</v>
      </c>
      <c r="P212" s="62">
        <f t="shared" si="98"/>
        <v>3605</v>
      </c>
      <c r="Q212" s="13">
        <f t="shared" si="96"/>
        <v>21630</v>
      </c>
      <c r="R212" s="13"/>
    </row>
    <row r="213" spans="1:18" outlineLevel="1" x14ac:dyDescent="0.35">
      <c r="A213" s="294" t="str">
        <f t="shared" si="94"/>
        <v>Landscaping</v>
      </c>
      <c r="D213" s="60" t="s">
        <v>107</v>
      </c>
      <c r="E213" s="61">
        <f t="shared" si="99"/>
        <v>0</v>
      </c>
      <c r="F213" s="61">
        <f t="shared" si="98"/>
        <v>0</v>
      </c>
      <c r="G213" s="61">
        <f t="shared" si="98"/>
        <v>0</v>
      </c>
      <c r="H213" s="61">
        <f t="shared" si="98"/>
        <v>515</v>
      </c>
      <c r="I213" s="61">
        <f t="shared" si="98"/>
        <v>9270</v>
      </c>
      <c r="J213" s="61">
        <f t="shared" si="98"/>
        <v>515</v>
      </c>
      <c r="K213" s="61">
        <f t="shared" si="98"/>
        <v>515</v>
      </c>
      <c r="L213" s="61">
        <f t="shared" si="98"/>
        <v>515</v>
      </c>
      <c r="M213" s="61">
        <f t="shared" si="98"/>
        <v>3090</v>
      </c>
      <c r="N213" s="61">
        <f t="shared" si="98"/>
        <v>515</v>
      </c>
      <c r="O213" s="61">
        <f t="shared" si="98"/>
        <v>0</v>
      </c>
      <c r="P213" s="62">
        <f t="shared" si="98"/>
        <v>0</v>
      </c>
      <c r="Q213" s="13">
        <f t="shared" si="96"/>
        <v>14935</v>
      </c>
      <c r="R213" s="13"/>
    </row>
    <row r="214" spans="1:18" outlineLevel="1" x14ac:dyDescent="0.35">
      <c r="A214" s="294" t="str">
        <f t="shared" si="94"/>
        <v>Security</v>
      </c>
      <c r="D214" s="60" t="s">
        <v>108</v>
      </c>
      <c r="E214" s="61">
        <f t="shared" si="99"/>
        <v>195.70000000000002</v>
      </c>
      <c r="F214" s="61">
        <f t="shared" si="98"/>
        <v>195.70000000000002</v>
      </c>
      <c r="G214" s="61">
        <f t="shared" si="98"/>
        <v>1225.7</v>
      </c>
      <c r="H214" s="61">
        <f t="shared" si="98"/>
        <v>195.70000000000002</v>
      </c>
      <c r="I214" s="61">
        <f t="shared" si="98"/>
        <v>195.70000000000002</v>
      </c>
      <c r="J214" s="61">
        <f t="shared" si="98"/>
        <v>195.70000000000002</v>
      </c>
      <c r="K214" s="61">
        <f t="shared" si="98"/>
        <v>195.70000000000002</v>
      </c>
      <c r="L214" s="61">
        <f t="shared" si="98"/>
        <v>195.70000000000002</v>
      </c>
      <c r="M214" s="61">
        <f t="shared" si="98"/>
        <v>1225.7</v>
      </c>
      <c r="N214" s="61">
        <f t="shared" si="98"/>
        <v>195.70000000000002</v>
      </c>
      <c r="O214" s="61">
        <f t="shared" si="98"/>
        <v>195.70000000000002</v>
      </c>
      <c r="P214" s="62">
        <f t="shared" si="98"/>
        <v>195.70000000000002</v>
      </c>
      <c r="Q214" s="13">
        <f t="shared" si="96"/>
        <v>4408.3999999999996</v>
      </c>
      <c r="R214" s="13"/>
    </row>
    <row r="215" spans="1:18" outlineLevel="1" x14ac:dyDescent="0.35">
      <c r="A215" s="294" t="str">
        <f t="shared" si="94"/>
        <v>Management fee</v>
      </c>
      <c r="D215" s="60" t="s">
        <v>141</v>
      </c>
      <c r="E215" s="61">
        <f t="shared" si="99"/>
        <v>2143</v>
      </c>
      <c r="F215" s="61">
        <f t="shared" si="98"/>
        <v>2143</v>
      </c>
      <c r="G215" s="61">
        <f t="shared" si="98"/>
        <v>1954</v>
      </c>
      <c r="H215" s="61">
        <f t="shared" si="98"/>
        <v>2387</v>
      </c>
      <c r="I215" s="61">
        <f t="shared" si="98"/>
        <v>2153</v>
      </c>
      <c r="J215" s="61">
        <f t="shared" si="98"/>
        <v>2264</v>
      </c>
      <c r="K215" s="61">
        <f t="shared" si="98"/>
        <v>2697</v>
      </c>
      <c r="L215" s="61">
        <f t="shared" si="98"/>
        <v>2489</v>
      </c>
      <c r="M215" s="61">
        <f t="shared" si="98"/>
        <v>2494</v>
      </c>
      <c r="N215" s="61">
        <f t="shared" si="98"/>
        <v>2930</v>
      </c>
      <c r="O215" s="61">
        <f t="shared" si="98"/>
        <v>2497</v>
      </c>
      <c r="P215" s="62">
        <f t="shared" si="98"/>
        <v>4967</v>
      </c>
      <c r="Q215" s="13">
        <f t="shared" si="96"/>
        <v>31118</v>
      </c>
      <c r="R215" s="13"/>
    </row>
    <row r="216" spans="1:18" outlineLevel="1" x14ac:dyDescent="0.35">
      <c r="A216" s="294" t="str">
        <f t="shared" si="94"/>
        <v>Trash Removal</v>
      </c>
      <c r="D216" s="60" t="s">
        <v>110</v>
      </c>
      <c r="E216" s="61">
        <f t="shared" si="99"/>
        <v>2266</v>
      </c>
      <c r="F216" s="61">
        <f t="shared" si="98"/>
        <v>2266</v>
      </c>
      <c r="G216" s="61">
        <f t="shared" si="98"/>
        <v>2266</v>
      </c>
      <c r="H216" s="61">
        <f t="shared" si="98"/>
        <v>2266</v>
      </c>
      <c r="I216" s="61">
        <f t="shared" si="98"/>
        <v>2266</v>
      </c>
      <c r="J216" s="61">
        <f t="shared" si="98"/>
        <v>2266</v>
      </c>
      <c r="K216" s="61">
        <f t="shared" si="98"/>
        <v>2266</v>
      </c>
      <c r="L216" s="61">
        <f t="shared" si="98"/>
        <v>2266</v>
      </c>
      <c r="M216" s="61">
        <f t="shared" si="98"/>
        <v>2266</v>
      </c>
      <c r="N216" s="61">
        <f t="shared" si="98"/>
        <v>2266</v>
      </c>
      <c r="O216" s="61">
        <f t="shared" si="98"/>
        <v>2266</v>
      </c>
      <c r="P216" s="62">
        <f t="shared" si="98"/>
        <v>2266</v>
      </c>
      <c r="Q216" s="13">
        <f t="shared" si="96"/>
        <v>27192</v>
      </c>
      <c r="R216" s="13"/>
    </row>
    <row r="217" spans="1:18" outlineLevel="1" x14ac:dyDescent="0.35">
      <c r="A217" s="294" t="str">
        <f t="shared" si="94"/>
        <v>Real Estate Taxes</v>
      </c>
      <c r="D217" s="60" t="s">
        <v>111</v>
      </c>
      <c r="E217" s="61">
        <f t="shared" si="99"/>
        <v>2725.2083333333335</v>
      </c>
      <c r="F217" s="61">
        <f t="shared" si="98"/>
        <v>2725.2083333333335</v>
      </c>
      <c r="G217" s="61">
        <f t="shared" si="98"/>
        <v>2725.2083333333335</v>
      </c>
      <c r="H217" s="61">
        <f t="shared" si="98"/>
        <v>2725.2083333333335</v>
      </c>
      <c r="I217" s="61">
        <f t="shared" si="98"/>
        <v>2725.2083333333335</v>
      </c>
      <c r="J217" s="61">
        <f t="shared" si="98"/>
        <v>2725.2083333333335</v>
      </c>
      <c r="K217" s="61">
        <f t="shared" si="98"/>
        <v>2725.2083333333335</v>
      </c>
      <c r="L217" s="61">
        <f t="shared" si="98"/>
        <v>2725.2083333333335</v>
      </c>
      <c r="M217" s="61">
        <f t="shared" si="98"/>
        <v>2725.2083333333335</v>
      </c>
      <c r="N217" s="61">
        <f t="shared" si="98"/>
        <v>2725.2083333333335</v>
      </c>
      <c r="O217" s="61">
        <f t="shared" si="98"/>
        <v>2725.2083333333335</v>
      </c>
      <c r="P217" s="62">
        <f t="shared" si="98"/>
        <v>2725.2083333333335</v>
      </c>
      <c r="Q217" s="13">
        <f t="shared" si="96"/>
        <v>32702.499999999996</v>
      </c>
      <c r="R217" s="13"/>
    </row>
    <row r="218" spans="1:18" outlineLevel="1" x14ac:dyDescent="0.35">
      <c r="A218" s="294" t="str">
        <f t="shared" si="94"/>
        <v>Insurance</v>
      </c>
      <c r="D218" s="60" t="s">
        <v>112</v>
      </c>
      <c r="E218" s="61">
        <f t="shared" si="99"/>
        <v>3123</v>
      </c>
      <c r="F218" s="61">
        <f t="shared" si="98"/>
        <v>3123</v>
      </c>
      <c r="G218" s="61">
        <f t="shared" si="98"/>
        <v>3123</v>
      </c>
      <c r="H218" s="61">
        <f t="shared" si="98"/>
        <v>3123</v>
      </c>
      <c r="I218" s="61">
        <f t="shared" si="98"/>
        <v>3123</v>
      </c>
      <c r="J218" s="61">
        <f t="shared" si="98"/>
        <v>3123</v>
      </c>
      <c r="K218" s="61">
        <f t="shared" si="98"/>
        <v>3123</v>
      </c>
      <c r="L218" s="61">
        <f t="shared" si="98"/>
        <v>3123</v>
      </c>
      <c r="M218" s="61">
        <f t="shared" si="98"/>
        <v>3123</v>
      </c>
      <c r="N218" s="61">
        <f t="shared" si="98"/>
        <v>3123</v>
      </c>
      <c r="O218" s="61">
        <f t="shared" si="98"/>
        <v>3185.46</v>
      </c>
      <c r="P218" s="62">
        <f t="shared" si="98"/>
        <v>3185.46</v>
      </c>
      <c r="Q218" s="13">
        <f t="shared" si="96"/>
        <v>37600.92</v>
      </c>
      <c r="R218" s="13"/>
    </row>
    <row r="219" spans="1:18" outlineLevel="1" x14ac:dyDescent="0.35">
      <c r="A219" s="294" t="str">
        <f t="shared" si="94"/>
        <v>Cleaning &amp; Supplies</v>
      </c>
      <c r="D219" s="60" t="s">
        <v>113</v>
      </c>
      <c r="E219" s="61">
        <f t="shared" si="99"/>
        <v>0</v>
      </c>
      <c r="F219" s="61">
        <f t="shared" si="98"/>
        <v>0</v>
      </c>
      <c r="G219" s="61">
        <f t="shared" si="98"/>
        <v>0</v>
      </c>
      <c r="H219" s="61">
        <f t="shared" si="98"/>
        <v>0</v>
      </c>
      <c r="I219" s="61">
        <f t="shared" si="98"/>
        <v>0</v>
      </c>
      <c r="J219" s="61">
        <f t="shared" si="98"/>
        <v>0</v>
      </c>
      <c r="K219" s="61">
        <f t="shared" si="98"/>
        <v>0</v>
      </c>
      <c r="L219" s="61">
        <f t="shared" si="98"/>
        <v>0</v>
      </c>
      <c r="M219" s="61">
        <f t="shared" si="98"/>
        <v>0</v>
      </c>
      <c r="N219" s="61">
        <f t="shared" si="98"/>
        <v>0</v>
      </c>
      <c r="O219" s="61">
        <f t="shared" si="98"/>
        <v>0</v>
      </c>
      <c r="P219" s="62">
        <f t="shared" si="98"/>
        <v>0</v>
      </c>
      <c r="Q219" s="13">
        <f t="shared" si="96"/>
        <v>0</v>
      </c>
      <c r="R219" s="13"/>
    </row>
    <row r="220" spans="1:18" outlineLevel="1" x14ac:dyDescent="0.35">
      <c r="A220" s="294" t="str">
        <f>VLOOKUP($D220,$A$10:$D$130,4,FALSE)</f>
        <v>Salaries &amp; Wages</v>
      </c>
      <c r="D220" s="60" t="s">
        <v>114</v>
      </c>
      <c r="E220" s="61">
        <f t="shared" si="99"/>
        <v>0</v>
      </c>
      <c r="F220" s="61">
        <f t="shared" si="98"/>
        <v>0</v>
      </c>
      <c r="G220" s="61">
        <f t="shared" si="98"/>
        <v>0</v>
      </c>
      <c r="H220" s="61">
        <f t="shared" si="98"/>
        <v>0</v>
      </c>
      <c r="I220" s="61">
        <f t="shared" si="98"/>
        <v>0</v>
      </c>
      <c r="J220" s="61">
        <f t="shared" si="98"/>
        <v>0</v>
      </c>
      <c r="K220" s="61">
        <f t="shared" si="98"/>
        <v>0</v>
      </c>
      <c r="L220" s="61">
        <f t="shared" si="98"/>
        <v>0</v>
      </c>
      <c r="M220" s="61">
        <f t="shared" si="98"/>
        <v>0</v>
      </c>
      <c r="N220" s="61">
        <f t="shared" si="98"/>
        <v>0</v>
      </c>
      <c r="O220" s="61">
        <f t="shared" si="98"/>
        <v>0</v>
      </c>
      <c r="P220" s="62">
        <f t="shared" si="98"/>
        <v>0</v>
      </c>
      <c r="Q220" s="13">
        <f t="shared" si="96"/>
        <v>0</v>
      </c>
      <c r="R220" s="13"/>
    </row>
    <row r="221" spans="1:18" outlineLevel="1" x14ac:dyDescent="0.35">
      <c r="A221" s="294" t="str">
        <f t="shared" ref="A221:A223" si="101">VLOOKUP($D221,$A$10:$D$130,4,FALSE)</f>
        <v>Gas</v>
      </c>
      <c r="D221" s="60" t="s">
        <v>138</v>
      </c>
      <c r="E221" s="61">
        <f t="shared" si="99"/>
        <v>0</v>
      </c>
      <c r="F221" s="61">
        <f t="shared" si="98"/>
        <v>0</v>
      </c>
      <c r="G221" s="61">
        <f t="shared" si="98"/>
        <v>0</v>
      </c>
      <c r="H221" s="61">
        <f t="shared" si="98"/>
        <v>0</v>
      </c>
      <c r="I221" s="61">
        <f t="shared" si="98"/>
        <v>0</v>
      </c>
      <c r="J221" s="61">
        <f t="shared" si="98"/>
        <v>0</v>
      </c>
      <c r="K221" s="61">
        <f t="shared" si="98"/>
        <v>0</v>
      </c>
      <c r="L221" s="61">
        <f t="shared" si="98"/>
        <v>0</v>
      </c>
      <c r="M221" s="61">
        <f t="shared" si="98"/>
        <v>0</v>
      </c>
      <c r="N221" s="61">
        <f t="shared" si="98"/>
        <v>0</v>
      </c>
      <c r="O221" s="61">
        <f t="shared" si="98"/>
        <v>0</v>
      </c>
      <c r="P221" s="62">
        <f t="shared" si="98"/>
        <v>0</v>
      </c>
      <c r="Q221" s="13">
        <f t="shared" ref="Q221:Q223" si="102">SUM(E221:P221)</f>
        <v>0</v>
      </c>
      <c r="R221" s="13"/>
    </row>
    <row r="222" spans="1:18" outlineLevel="1" x14ac:dyDescent="0.35">
      <c r="A222" s="294" t="str">
        <f t="shared" si="101"/>
        <v>Electric</v>
      </c>
      <c r="D222" s="60" t="s">
        <v>139</v>
      </c>
      <c r="E222" s="61">
        <f t="shared" si="99"/>
        <v>262.65000000000003</v>
      </c>
      <c r="F222" s="61">
        <f t="shared" si="98"/>
        <v>194.67000000000002</v>
      </c>
      <c r="G222" s="61">
        <f t="shared" si="98"/>
        <v>206</v>
      </c>
      <c r="H222" s="61">
        <f t="shared" si="98"/>
        <v>276.04000000000002</v>
      </c>
      <c r="I222" s="61">
        <f t="shared" si="98"/>
        <v>238.96</v>
      </c>
      <c r="J222" s="61">
        <f t="shared" si="98"/>
        <v>148.32</v>
      </c>
      <c r="K222" s="61">
        <f t="shared" si="98"/>
        <v>219.39000000000001</v>
      </c>
      <c r="L222" s="61">
        <f t="shared" si="98"/>
        <v>359.47</v>
      </c>
      <c r="M222" s="61">
        <f t="shared" si="98"/>
        <v>341.96000000000004</v>
      </c>
      <c r="N222" s="61">
        <f t="shared" si="98"/>
        <v>311.06</v>
      </c>
      <c r="O222" s="61">
        <f t="shared" si="98"/>
        <v>310.03000000000003</v>
      </c>
      <c r="P222" s="62">
        <f t="shared" si="98"/>
        <v>410.97</v>
      </c>
      <c r="Q222" s="13">
        <f t="shared" si="102"/>
        <v>3279.5200000000004</v>
      </c>
      <c r="R222" s="13"/>
    </row>
    <row r="223" spans="1:18" outlineLevel="1" x14ac:dyDescent="0.35">
      <c r="A223" s="294" t="str">
        <f t="shared" si="101"/>
        <v>Water &amp; Sewer</v>
      </c>
      <c r="D223" s="60" t="s">
        <v>140</v>
      </c>
      <c r="E223" s="61">
        <f t="shared" si="99"/>
        <v>113.3</v>
      </c>
      <c r="F223" s="61">
        <f t="shared" si="98"/>
        <v>44.29</v>
      </c>
      <c r="G223" s="61">
        <f t="shared" si="98"/>
        <v>46.35</v>
      </c>
      <c r="H223" s="61">
        <f t="shared" si="98"/>
        <v>49.44</v>
      </c>
      <c r="I223" s="61">
        <f t="shared" si="98"/>
        <v>478.95</v>
      </c>
      <c r="J223" s="61">
        <f t="shared" si="98"/>
        <v>52.53</v>
      </c>
      <c r="K223" s="61">
        <f t="shared" si="98"/>
        <v>23.69</v>
      </c>
      <c r="L223" s="61">
        <f t="shared" si="98"/>
        <v>129.78</v>
      </c>
      <c r="M223" s="61">
        <f t="shared" si="98"/>
        <v>482.04</v>
      </c>
      <c r="N223" s="61">
        <f t="shared" si="98"/>
        <v>376.98</v>
      </c>
      <c r="O223" s="61">
        <f t="shared" si="98"/>
        <v>124.63000000000001</v>
      </c>
      <c r="P223" s="62">
        <f t="shared" si="98"/>
        <v>276.04000000000002</v>
      </c>
      <c r="Q223" s="13">
        <f t="shared" si="102"/>
        <v>2198.02</v>
      </c>
      <c r="R223" s="13"/>
    </row>
    <row r="224" spans="1:18" outlineLevel="1" x14ac:dyDescent="0.35">
      <c r="A224" s="294" t="str">
        <f>VLOOKUP($D224,$A$10:$D$130,4,FALSE)</f>
        <v>Commissions-Internal Broker</v>
      </c>
      <c r="D224" s="60" t="s">
        <v>115</v>
      </c>
      <c r="E224" s="61">
        <f t="shared" si="99"/>
        <v>0</v>
      </c>
      <c r="F224" s="61">
        <f t="shared" si="98"/>
        <v>0</v>
      </c>
      <c r="G224" s="61">
        <f t="shared" si="98"/>
        <v>0</v>
      </c>
      <c r="H224" s="61">
        <f t="shared" si="98"/>
        <v>0</v>
      </c>
      <c r="I224" s="61">
        <f t="shared" si="98"/>
        <v>0</v>
      </c>
      <c r="J224" s="61">
        <f t="shared" si="98"/>
        <v>0</v>
      </c>
      <c r="K224" s="61">
        <f t="shared" si="98"/>
        <v>0</v>
      </c>
      <c r="L224" s="61">
        <f t="shared" si="98"/>
        <v>0</v>
      </c>
      <c r="M224" s="61">
        <f t="shared" si="98"/>
        <v>0</v>
      </c>
      <c r="N224" s="61">
        <f t="shared" si="98"/>
        <v>0</v>
      </c>
      <c r="O224" s="61">
        <f t="shared" si="98"/>
        <v>0</v>
      </c>
      <c r="P224" s="62">
        <f t="shared" si="98"/>
        <v>0</v>
      </c>
      <c r="Q224" s="13">
        <f t="shared" si="96"/>
        <v>0</v>
      </c>
      <c r="R224" s="13"/>
    </row>
    <row r="225" spans="1:18" outlineLevel="1" x14ac:dyDescent="0.35">
      <c r="A225" s="294" t="str">
        <f t="shared" si="94"/>
        <v>Building Maintenance</v>
      </c>
      <c r="D225" s="60" t="s">
        <v>116</v>
      </c>
      <c r="E225" s="61">
        <f t="shared" si="99"/>
        <v>515</v>
      </c>
      <c r="F225" s="61">
        <f t="shared" si="99"/>
        <v>515</v>
      </c>
      <c r="G225" s="61">
        <f t="shared" si="99"/>
        <v>515</v>
      </c>
      <c r="H225" s="61">
        <f t="shared" si="99"/>
        <v>515</v>
      </c>
      <c r="I225" s="61">
        <f t="shared" si="99"/>
        <v>515</v>
      </c>
      <c r="J225" s="61">
        <f t="shared" si="99"/>
        <v>515</v>
      </c>
      <c r="K225" s="61">
        <f t="shared" si="99"/>
        <v>515</v>
      </c>
      <c r="L225" s="61">
        <f t="shared" si="99"/>
        <v>515</v>
      </c>
      <c r="M225" s="61">
        <f t="shared" si="99"/>
        <v>515</v>
      </c>
      <c r="N225" s="61">
        <f t="shared" si="99"/>
        <v>515</v>
      </c>
      <c r="O225" s="61">
        <f t="shared" si="99"/>
        <v>515</v>
      </c>
      <c r="P225" s="62">
        <f t="shared" si="99"/>
        <v>515</v>
      </c>
      <c r="Q225" s="13">
        <f t="shared" si="96"/>
        <v>6180</v>
      </c>
      <c r="R225" s="13"/>
    </row>
    <row r="226" spans="1:18" outlineLevel="1" x14ac:dyDescent="0.35">
      <c r="A226" s="294" t="str">
        <f t="shared" si="94"/>
        <v>Marketing</v>
      </c>
      <c r="D226" s="60" t="s">
        <v>117</v>
      </c>
      <c r="E226" s="61">
        <f t="shared" si="99"/>
        <v>0</v>
      </c>
      <c r="F226" s="61">
        <f t="shared" si="99"/>
        <v>0</v>
      </c>
      <c r="G226" s="61">
        <f t="shared" si="99"/>
        <v>0</v>
      </c>
      <c r="H226" s="61">
        <f t="shared" si="99"/>
        <v>0</v>
      </c>
      <c r="I226" s="61">
        <f t="shared" si="99"/>
        <v>0</v>
      </c>
      <c r="J226" s="61">
        <f t="shared" si="99"/>
        <v>0</v>
      </c>
      <c r="K226" s="61">
        <f t="shared" si="99"/>
        <v>0</v>
      </c>
      <c r="L226" s="61">
        <f t="shared" si="99"/>
        <v>0</v>
      </c>
      <c r="M226" s="61">
        <f t="shared" si="99"/>
        <v>0</v>
      </c>
      <c r="N226" s="61">
        <f t="shared" si="99"/>
        <v>0</v>
      </c>
      <c r="O226" s="61">
        <f t="shared" si="99"/>
        <v>0</v>
      </c>
      <c r="P226" s="62">
        <f t="shared" si="99"/>
        <v>0</v>
      </c>
      <c r="Q226" s="13">
        <f t="shared" si="96"/>
        <v>0</v>
      </c>
      <c r="R226" s="13"/>
    </row>
    <row r="227" spans="1:18" outlineLevel="1" x14ac:dyDescent="0.35">
      <c r="A227" s="294" t="str">
        <f t="shared" si="94"/>
        <v>Business Taxes</v>
      </c>
      <c r="D227" s="60" t="s">
        <v>118</v>
      </c>
      <c r="E227" s="61">
        <f t="shared" si="99"/>
        <v>0</v>
      </c>
      <c r="F227" s="61">
        <f t="shared" si="99"/>
        <v>0</v>
      </c>
      <c r="G227" s="61">
        <f t="shared" si="99"/>
        <v>0</v>
      </c>
      <c r="H227" s="61">
        <f t="shared" si="99"/>
        <v>0</v>
      </c>
      <c r="I227" s="61">
        <f t="shared" si="99"/>
        <v>0</v>
      </c>
      <c r="J227" s="61">
        <f t="shared" si="99"/>
        <v>0</v>
      </c>
      <c r="K227" s="61">
        <f t="shared" si="99"/>
        <v>0</v>
      </c>
      <c r="L227" s="61">
        <f t="shared" si="99"/>
        <v>0</v>
      </c>
      <c r="M227" s="61">
        <f t="shared" si="99"/>
        <v>0</v>
      </c>
      <c r="N227" s="61">
        <f t="shared" si="99"/>
        <v>0</v>
      </c>
      <c r="O227" s="61">
        <f t="shared" si="99"/>
        <v>0</v>
      </c>
      <c r="P227" s="62">
        <f t="shared" si="99"/>
        <v>0</v>
      </c>
      <c r="Q227" s="13">
        <f t="shared" si="96"/>
        <v>0</v>
      </c>
      <c r="R227" s="13"/>
    </row>
    <row r="228" spans="1:18" outlineLevel="1" x14ac:dyDescent="0.35">
      <c r="A228" s="294" t="str">
        <f t="shared" si="94"/>
        <v>Legal &amp; Accounting</v>
      </c>
      <c r="D228" s="60" t="s">
        <v>119</v>
      </c>
      <c r="E228" s="61">
        <f t="shared" si="99"/>
        <v>103</v>
      </c>
      <c r="F228" s="61">
        <f t="shared" si="99"/>
        <v>103</v>
      </c>
      <c r="G228" s="61">
        <f t="shared" si="99"/>
        <v>103</v>
      </c>
      <c r="H228" s="61">
        <f t="shared" si="99"/>
        <v>103</v>
      </c>
      <c r="I228" s="61">
        <f t="shared" si="99"/>
        <v>103</v>
      </c>
      <c r="J228" s="61">
        <f t="shared" si="99"/>
        <v>103</v>
      </c>
      <c r="K228" s="61">
        <f t="shared" si="99"/>
        <v>103</v>
      </c>
      <c r="L228" s="61">
        <f t="shared" si="99"/>
        <v>103</v>
      </c>
      <c r="M228" s="61">
        <f t="shared" si="99"/>
        <v>103</v>
      </c>
      <c r="N228" s="61">
        <f t="shared" si="99"/>
        <v>103</v>
      </c>
      <c r="O228" s="61">
        <f t="shared" si="99"/>
        <v>103</v>
      </c>
      <c r="P228" s="62">
        <f t="shared" si="99"/>
        <v>103</v>
      </c>
      <c r="Q228" s="13">
        <f t="shared" si="96"/>
        <v>1236</v>
      </c>
      <c r="R228" s="13"/>
    </row>
    <row r="229" spans="1:18" outlineLevel="1" x14ac:dyDescent="0.35">
      <c r="A229" s="294" t="str">
        <f t="shared" ref="A229:A234" si="103">VLOOKUP($D229,$A$10:$D$130,4,FALSE)</f>
        <v>Bank Fees</v>
      </c>
      <c r="D229" s="60" t="s">
        <v>126</v>
      </c>
      <c r="E229" s="61">
        <f t="shared" si="99"/>
        <v>0</v>
      </c>
      <c r="F229" s="61">
        <f t="shared" si="99"/>
        <v>0</v>
      </c>
      <c r="G229" s="61">
        <f t="shared" si="99"/>
        <v>0</v>
      </c>
      <c r="H229" s="61">
        <f t="shared" si="99"/>
        <v>0</v>
      </c>
      <c r="I229" s="61">
        <f t="shared" si="99"/>
        <v>0</v>
      </c>
      <c r="J229" s="61">
        <f t="shared" si="99"/>
        <v>0</v>
      </c>
      <c r="K229" s="61">
        <f t="shared" si="99"/>
        <v>0</v>
      </c>
      <c r="L229" s="61">
        <f t="shared" si="99"/>
        <v>0</v>
      </c>
      <c r="M229" s="61">
        <f t="shared" si="99"/>
        <v>0</v>
      </c>
      <c r="N229" s="61">
        <f t="shared" si="99"/>
        <v>0</v>
      </c>
      <c r="O229" s="61">
        <f t="shared" si="99"/>
        <v>0</v>
      </c>
      <c r="P229" s="62">
        <f t="shared" si="99"/>
        <v>0</v>
      </c>
      <c r="Q229" s="13">
        <f t="shared" si="96"/>
        <v>0</v>
      </c>
      <c r="R229" s="13"/>
    </row>
    <row r="230" spans="1:18" outlineLevel="1" x14ac:dyDescent="0.35">
      <c r="A230" s="294" t="str">
        <f t="shared" si="103"/>
        <v>Other G&amp;A Expense</v>
      </c>
      <c r="D230" s="60" t="s">
        <v>127</v>
      </c>
      <c r="E230" s="61">
        <f t="shared" si="99"/>
        <v>0</v>
      </c>
      <c r="F230" s="61">
        <f t="shared" si="99"/>
        <v>0</v>
      </c>
      <c r="G230" s="61">
        <f t="shared" si="99"/>
        <v>0</v>
      </c>
      <c r="H230" s="61">
        <f t="shared" si="99"/>
        <v>0</v>
      </c>
      <c r="I230" s="61">
        <f t="shared" si="99"/>
        <v>0</v>
      </c>
      <c r="J230" s="61">
        <f t="shared" si="99"/>
        <v>0</v>
      </c>
      <c r="K230" s="61">
        <f t="shared" si="99"/>
        <v>0</v>
      </c>
      <c r="L230" s="61">
        <f t="shared" si="99"/>
        <v>0</v>
      </c>
      <c r="M230" s="61">
        <f t="shared" si="99"/>
        <v>0</v>
      </c>
      <c r="N230" s="61">
        <f t="shared" si="99"/>
        <v>0</v>
      </c>
      <c r="O230" s="61">
        <f t="shared" si="99"/>
        <v>0</v>
      </c>
      <c r="P230" s="62">
        <f t="shared" si="99"/>
        <v>0</v>
      </c>
      <c r="Q230" s="13">
        <f t="shared" si="96"/>
        <v>0</v>
      </c>
      <c r="R230" s="13"/>
    </row>
    <row r="231" spans="1:18" outlineLevel="1" x14ac:dyDescent="0.35">
      <c r="A231" s="294" t="str">
        <f t="shared" si="103"/>
        <v>Other G&amp;A-allocated from LIK</v>
      </c>
      <c r="D231" s="60" t="s">
        <v>120</v>
      </c>
      <c r="E231" s="61">
        <f t="shared" si="99"/>
        <v>0</v>
      </c>
      <c r="F231" s="61">
        <f t="shared" si="99"/>
        <v>0</v>
      </c>
      <c r="G231" s="61">
        <f t="shared" si="99"/>
        <v>0</v>
      </c>
      <c r="H231" s="61">
        <f t="shared" si="99"/>
        <v>0</v>
      </c>
      <c r="I231" s="61">
        <f t="shared" si="99"/>
        <v>0</v>
      </c>
      <c r="J231" s="61">
        <f t="shared" si="99"/>
        <v>0</v>
      </c>
      <c r="K231" s="61">
        <f t="shared" si="99"/>
        <v>0</v>
      </c>
      <c r="L231" s="61">
        <f t="shared" si="99"/>
        <v>0</v>
      </c>
      <c r="M231" s="61">
        <f t="shared" si="99"/>
        <v>0</v>
      </c>
      <c r="N231" s="61">
        <f t="shared" si="99"/>
        <v>0</v>
      </c>
      <c r="O231" s="61">
        <f t="shared" si="99"/>
        <v>0</v>
      </c>
      <c r="P231" s="62">
        <f t="shared" si="99"/>
        <v>0</v>
      </c>
      <c r="Q231" s="13">
        <f t="shared" si="96"/>
        <v>0</v>
      </c>
      <c r="R231" s="13"/>
    </row>
    <row r="232" spans="1:18" outlineLevel="1" x14ac:dyDescent="0.35">
      <c r="A232" s="294" t="str">
        <f t="shared" si="103"/>
        <v>Land Improvements</v>
      </c>
      <c r="D232" s="60" t="s">
        <v>121</v>
      </c>
      <c r="E232" s="61">
        <f t="shared" si="99"/>
        <v>0</v>
      </c>
      <c r="F232" s="61">
        <f t="shared" si="99"/>
        <v>0</v>
      </c>
      <c r="G232" s="61">
        <f t="shared" si="99"/>
        <v>0</v>
      </c>
      <c r="H232" s="61">
        <f t="shared" si="99"/>
        <v>0</v>
      </c>
      <c r="I232" s="61">
        <f t="shared" si="99"/>
        <v>0</v>
      </c>
      <c r="J232" s="61">
        <f t="shared" si="99"/>
        <v>0</v>
      </c>
      <c r="K232" s="61">
        <f t="shared" si="99"/>
        <v>0</v>
      </c>
      <c r="L232" s="61">
        <f t="shared" si="99"/>
        <v>0</v>
      </c>
      <c r="M232" s="61">
        <f t="shared" si="99"/>
        <v>0</v>
      </c>
      <c r="N232" s="61">
        <f t="shared" si="99"/>
        <v>0</v>
      </c>
      <c r="O232" s="61">
        <f t="shared" si="99"/>
        <v>0</v>
      </c>
      <c r="P232" s="62">
        <f t="shared" si="99"/>
        <v>0</v>
      </c>
      <c r="Q232" s="13">
        <f t="shared" si="96"/>
        <v>0</v>
      </c>
      <c r="R232" s="13"/>
    </row>
    <row r="233" spans="1:18" outlineLevel="1" x14ac:dyDescent="0.35">
      <c r="A233" s="294" t="str">
        <f t="shared" si="103"/>
        <v>Buildings</v>
      </c>
      <c r="D233" s="60" t="s">
        <v>122</v>
      </c>
      <c r="E233" s="61">
        <f t="shared" si="99"/>
        <v>167200</v>
      </c>
      <c r="F233" s="61">
        <f t="shared" si="99"/>
        <v>25000</v>
      </c>
      <c r="G233" s="61">
        <f t="shared" si="99"/>
        <v>38500</v>
      </c>
      <c r="H233" s="61">
        <f t="shared" si="99"/>
        <v>297464</v>
      </c>
      <c r="I233" s="61">
        <f t="shared" si="99"/>
        <v>0</v>
      </c>
      <c r="J233" s="61">
        <f t="shared" si="99"/>
        <v>0</v>
      </c>
      <c r="K233" s="61">
        <f t="shared" si="99"/>
        <v>0</v>
      </c>
      <c r="L233" s="61">
        <f t="shared" si="99"/>
        <v>0</v>
      </c>
      <c r="M233" s="61">
        <f t="shared" si="99"/>
        <v>0</v>
      </c>
      <c r="N233" s="61">
        <f t="shared" si="99"/>
        <v>0</v>
      </c>
      <c r="O233" s="61">
        <f t="shared" si="99"/>
        <v>0</v>
      </c>
      <c r="P233" s="62">
        <f t="shared" si="99"/>
        <v>0</v>
      </c>
      <c r="Q233" s="13">
        <f t="shared" si="96"/>
        <v>528164</v>
      </c>
      <c r="R233" s="13"/>
    </row>
    <row r="234" spans="1:18" outlineLevel="1" x14ac:dyDescent="0.35">
      <c r="A234" s="294" t="str">
        <f t="shared" si="103"/>
        <v>Equipment</v>
      </c>
      <c r="D234" s="60" t="s">
        <v>123</v>
      </c>
      <c r="E234" s="61">
        <f t="shared" si="99"/>
        <v>0</v>
      </c>
      <c r="F234" s="61">
        <f t="shared" si="99"/>
        <v>0</v>
      </c>
      <c r="G234" s="61">
        <f t="shared" si="99"/>
        <v>128000</v>
      </c>
      <c r="H234" s="61">
        <f t="shared" si="99"/>
        <v>0</v>
      </c>
      <c r="I234" s="61">
        <f t="shared" si="99"/>
        <v>0</v>
      </c>
      <c r="J234" s="61">
        <f t="shared" si="99"/>
        <v>0</v>
      </c>
      <c r="K234" s="61">
        <f t="shared" si="99"/>
        <v>0</v>
      </c>
      <c r="L234" s="61">
        <f t="shared" si="99"/>
        <v>0</v>
      </c>
      <c r="M234" s="61">
        <f t="shared" si="99"/>
        <v>0</v>
      </c>
      <c r="N234" s="61">
        <f t="shared" si="99"/>
        <v>0</v>
      </c>
      <c r="O234" s="61">
        <f t="shared" si="99"/>
        <v>0</v>
      </c>
      <c r="P234" s="62">
        <f t="shared" si="99"/>
        <v>0</v>
      </c>
      <c r="Q234" s="13">
        <f t="shared" si="96"/>
        <v>128000</v>
      </c>
      <c r="R234" s="13"/>
    </row>
    <row r="235" spans="1:18" outlineLevel="1" x14ac:dyDescent="0.35">
      <c r="A235" s="294" t="str">
        <f t="shared" si="94"/>
        <v>Tenant Improvements</v>
      </c>
      <c r="D235" s="60" t="s">
        <v>124</v>
      </c>
      <c r="E235" s="61">
        <f t="shared" si="99"/>
        <v>0</v>
      </c>
      <c r="F235" s="61">
        <f t="shared" si="99"/>
        <v>0</v>
      </c>
      <c r="G235" s="61">
        <f t="shared" si="99"/>
        <v>0</v>
      </c>
      <c r="H235" s="61">
        <f t="shared" si="99"/>
        <v>0</v>
      </c>
      <c r="I235" s="61">
        <f t="shared" si="99"/>
        <v>0</v>
      </c>
      <c r="J235" s="61">
        <f t="shared" si="99"/>
        <v>0</v>
      </c>
      <c r="K235" s="61">
        <f t="shared" si="99"/>
        <v>0</v>
      </c>
      <c r="L235" s="61">
        <f t="shared" si="99"/>
        <v>0</v>
      </c>
      <c r="M235" s="61">
        <f t="shared" si="99"/>
        <v>0</v>
      </c>
      <c r="N235" s="61">
        <f t="shared" si="99"/>
        <v>0</v>
      </c>
      <c r="O235" s="61">
        <f t="shared" si="99"/>
        <v>0</v>
      </c>
      <c r="P235" s="62">
        <f t="shared" si="99"/>
        <v>0</v>
      </c>
      <c r="Q235" s="13">
        <f t="shared" si="96"/>
        <v>0</v>
      </c>
      <c r="R235" s="13"/>
    </row>
    <row r="236" spans="1:18" outlineLevel="1" x14ac:dyDescent="0.35">
      <c r="A236" s="294" t="str">
        <f>VLOOKUP($D236,$A$10:$D$130,4,FALSE)</f>
        <v>Deferred Marketing</v>
      </c>
      <c r="D236" s="60" t="s">
        <v>125</v>
      </c>
      <c r="E236" s="61">
        <f t="shared" si="99"/>
        <v>0</v>
      </c>
      <c r="F236" s="61">
        <f t="shared" si="99"/>
        <v>0</v>
      </c>
      <c r="G236" s="61">
        <f t="shared" si="99"/>
        <v>0</v>
      </c>
      <c r="H236" s="61">
        <f t="shared" si="99"/>
        <v>0</v>
      </c>
      <c r="I236" s="61">
        <f t="shared" si="99"/>
        <v>0</v>
      </c>
      <c r="J236" s="61">
        <f t="shared" si="99"/>
        <v>0</v>
      </c>
      <c r="K236" s="61">
        <f t="shared" si="99"/>
        <v>0</v>
      </c>
      <c r="L236" s="61">
        <f t="shared" si="99"/>
        <v>0</v>
      </c>
      <c r="M236" s="61">
        <f t="shared" si="99"/>
        <v>0</v>
      </c>
      <c r="N236" s="61">
        <f t="shared" si="99"/>
        <v>0</v>
      </c>
      <c r="O236" s="61">
        <f t="shared" si="99"/>
        <v>0</v>
      </c>
      <c r="P236" s="62">
        <f t="shared" si="99"/>
        <v>0</v>
      </c>
      <c r="Q236" s="13">
        <f t="shared" si="96"/>
        <v>0</v>
      </c>
      <c r="R236" s="13"/>
    </row>
    <row r="237" spans="1:18" outlineLevel="1" x14ac:dyDescent="0.35">
      <c r="A237" s="294" t="str">
        <f t="shared" si="94"/>
        <v>Interest</v>
      </c>
      <c r="D237" s="60" t="s">
        <v>128</v>
      </c>
      <c r="E237" s="61">
        <f t="shared" si="99"/>
        <v>0</v>
      </c>
      <c r="F237" s="61">
        <f t="shared" si="99"/>
        <v>0</v>
      </c>
      <c r="G237" s="61">
        <f t="shared" si="99"/>
        <v>0</v>
      </c>
      <c r="H237" s="61">
        <f t="shared" si="99"/>
        <v>0</v>
      </c>
      <c r="I237" s="61">
        <f t="shared" si="99"/>
        <v>0</v>
      </c>
      <c r="J237" s="61">
        <f t="shared" si="99"/>
        <v>0</v>
      </c>
      <c r="K237" s="61">
        <f t="shared" si="99"/>
        <v>0</v>
      </c>
      <c r="L237" s="61">
        <f t="shared" si="99"/>
        <v>0</v>
      </c>
      <c r="M237" s="61">
        <f t="shared" si="99"/>
        <v>0</v>
      </c>
      <c r="N237" s="61">
        <f t="shared" si="99"/>
        <v>0</v>
      </c>
      <c r="O237" s="61">
        <f t="shared" si="99"/>
        <v>0</v>
      </c>
      <c r="P237" s="62">
        <f t="shared" si="99"/>
        <v>0</v>
      </c>
      <c r="Q237" s="13">
        <f t="shared" si="96"/>
        <v>0</v>
      </c>
      <c r="R237" s="13"/>
    </row>
    <row r="238" spans="1:18" ht="16.5" outlineLevel="1" thickBot="1" x14ac:dyDescent="0.4">
      <c r="A238" s="294" t="str">
        <f t="shared" si="94"/>
        <v>Mortgage Amortization</v>
      </c>
      <c r="D238" s="63" t="s">
        <v>145</v>
      </c>
      <c r="E238" s="64">
        <f t="shared" si="99"/>
        <v>0</v>
      </c>
      <c r="F238" s="64">
        <f t="shared" si="99"/>
        <v>0</v>
      </c>
      <c r="G238" s="64">
        <f t="shared" si="99"/>
        <v>0</v>
      </c>
      <c r="H238" s="64">
        <f t="shared" si="99"/>
        <v>0</v>
      </c>
      <c r="I238" s="64">
        <f t="shared" si="99"/>
        <v>0</v>
      </c>
      <c r="J238" s="64">
        <f t="shared" si="99"/>
        <v>0</v>
      </c>
      <c r="K238" s="64">
        <f t="shared" si="99"/>
        <v>0</v>
      </c>
      <c r="L238" s="64">
        <f t="shared" si="99"/>
        <v>0</v>
      </c>
      <c r="M238" s="64">
        <f t="shared" si="99"/>
        <v>0</v>
      </c>
      <c r="N238" s="64">
        <f t="shared" si="99"/>
        <v>0</v>
      </c>
      <c r="O238" s="64">
        <f t="shared" si="99"/>
        <v>0</v>
      </c>
      <c r="P238" s="65">
        <f t="shared" si="99"/>
        <v>0</v>
      </c>
      <c r="Q238" s="13">
        <f t="shared" si="96"/>
        <v>0</v>
      </c>
      <c r="R238" s="13"/>
    </row>
    <row r="239" spans="1:18" outlineLevel="1" x14ac:dyDescent="0.35">
      <c r="D239" s="79" t="s">
        <v>12</v>
      </c>
      <c r="E239" s="6">
        <f>SUM(E199:E238)</f>
        <v>149814.42740478861</v>
      </c>
      <c r="F239" s="6">
        <f t="shared" ref="F239:Q239" si="104">SUM(F199:F238)</f>
        <v>7477.4374047886231</v>
      </c>
      <c r="G239" s="6">
        <f t="shared" si="104"/>
        <v>153730.63740478863</v>
      </c>
      <c r="H239" s="6">
        <f t="shared" si="104"/>
        <v>291097.20740478864</v>
      </c>
      <c r="I239" s="6">
        <f t="shared" si="104"/>
        <v>-10308.122595211376</v>
      </c>
      <c r="J239" s="6">
        <f t="shared" si="104"/>
        <v>-21873.63259521138</v>
      </c>
      <c r="K239" s="6">
        <f t="shared" si="104"/>
        <v>-29342.072595211383</v>
      </c>
      <c r="L239" s="6">
        <f t="shared" si="104"/>
        <v>-25760.28926187805</v>
      </c>
      <c r="M239" s="6">
        <f t="shared" si="104"/>
        <v>-1370.749261878047</v>
      </c>
      <c r="N239" s="6">
        <f t="shared" si="104"/>
        <v>-28307.139261878048</v>
      </c>
      <c r="O239" s="6">
        <f t="shared" si="104"/>
        <v>-21461.329261878054</v>
      </c>
      <c r="P239" s="6">
        <f t="shared" si="104"/>
        <v>-60377.929261878038</v>
      </c>
      <c r="Q239" s="6">
        <f t="shared" si="104"/>
        <v>403318.44552413025</v>
      </c>
    </row>
    <row r="240" spans="1:18" outlineLevel="1" x14ac:dyDescent="0.35">
      <c r="E240" s="31">
        <f t="shared" ref="E240:Q240" si="105">E134+E239</f>
        <v>0</v>
      </c>
      <c r="F240" s="31">
        <f t="shared" si="105"/>
        <v>0</v>
      </c>
      <c r="G240" s="31">
        <f t="shared" si="105"/>
        <v>0</v>
      </c>
      <c r="H240" s="31">
        <f t="shared" si="105"/>
        <v>0</v>
      </c>
      <c r="I240" s="31">
        <f t="shared" si="105"/>
        <v>0</v>
      </c>
      <c r="J240" s="31">
        <f t="shared" si="105"/>
        <v>0</v>
      </c>
      <c r="K240" s="31">
        <f t="shared" si="105"/>
        <v>0</v>
      </c>
      <c r="L240" s="31">
        <f t="shared" si="105"/>
        <v>0</v>
      </c>
      <c r="M240" s="31">
        <f t="shared" si="105"/>
        <v>-1.8189894035458565E-12</v>
      </c>
      <c r="N240" s="31">
        <f t="shared" si="105"/>
        <v>0</v>
      </c>
      <c r="O240" s="31">
        <f t="shared" si="105"/>
        <v>0</v>
      </c>
      <c r="P240" s="31">
        <f t="shared" si="105"/>
        <v>0</v>
      </c>
      <c r="Q240" s="31">
        <f t="shared" si="105"/>
        <v>0</v>
      </c>
      <c r="R240" s="31"/>
    </row>
    <row r="242" spans="2:18" x14ac:dyDescent="0.35"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2:18" ht="22.5" x14ac:dyDescent="0.45">
      <c r="B243" s="401"/>
      <c r="C243" s="45"/>
      <c r="D243" s="402" t="s">
        <v>572</v>
      </c>
      <c r="E243" s="403"/>
      <c r="F243" s="403"/>
      <c r="G243" s="403"/>
      <c r="H243" s="403"/>
      <c r="I243" s="403"/>
      <c r="J243" s="403"/>
      <c r="K243" s="403"/>
      <c r="L243" s="403"/>
      <c r="M243" s="403"/>
      <c r="N243" s="403"/>
      <c r="O243" s="403"/>
      <c r="P243" s="403"/>
      <c r="Q243" s="404"/>
      <c r="R243" s="10"/>
    </row>
    <row r="244" spans="2:18" x14ac:dyDescent="0.35">
      <c r="B244" s="405"/>
      <c r="Q244" s="406"/>
      <c r="R244" s="10"/>
    </row>
    <row r="245" spans="2:18" x14ac:dyDescent="0.35">
      <c r="B245" s="407">
        <v>167200</v>
      </c>
      <c r="D245" s="8" t="s">
        <v>586</v>
      </c>
      <c r="Q245" s="371"/>
    </row>
    <row r="246" spans="2:18" x14ac:dyDescent="0.35">
      <c r="B246" s="405"/>
      <c r="D246" s="6" t="s">
        <v>573</v>
      </c>
      <c r="Q246" s="371"/>
    </row>
    <row r="247" spans="2:18" x14ac:dyDescent="0.35">
      <c r="B247" s="405"/>
      <c r="D247" s="6" t="s">
        <v>574</v>
      </c>
      <c r="Q247" s="371"/>
    </row>
    <row r="248" spans="2:18" x14ac:dyDescent="0.35">
      <c r="B248" s="405"/>
      <c r="D248" s="6" t="s">
        <v>575</v>
      </c>
      <c r="Q248" s="371"/>
    </row>
    <row r="249" spans="2:18" x14ac:dyDescent="0.35">
      <c r="B249" s="405"/>
      <c r="D249" s="6" t="s">
        <v>576</v>
      </c>
      <c r="Q249" s="371"/>
    </row>
    <row r="250" spans="2:18" x14ac:dyDescent="0.35">
      <c r="B250" s="405"/>
      <c r="D250" s="6" t="s">
        <v>577</v>
      </c>
      <c r="Q250" s="371"/>
    </row>
    <row r="251" spans="2:18" x14ac:dyDescent="0.35">
      <c r="B251" s="405"/>
      <c r="D251" s="6" t="s">
        <v>578</v>
      </c>
      <c r="Q251" s="371"/>
    </row>
    <row r="252" spans="2:18" x14ac:dyDescent="0.35">
      <c r="B252" s="405"/>
      <c r="D252" s="6" t="s">
        <v>614</v>
      </c>
      <c r="Q252" s="371"/>
    </row>
    <row r="253" spans="2:18" x14ac:dyDescent="0.35">
      <c r="B253" s="405"/>
      <c r="D253" s="6" t="s">
        <v>579</v>
      </c>
      <c r="Q253" s="371"/>
    </row>
    <row r="254" spans="2:18" x14ac:dyDescent="0.35">
      <c r="B254" s="405"/>
      <c r="D254" s="6" t="s">
        <v>580</v>
      </c>
      <c r="Q254" s="371"/>
    </row>
    <row r="255" spans="2:18" x14ac:dyDescent="0.35">
      <c r="B255" s="405"/>
      <c r="D255" s="6" t="s">
        <v>581</v>
      </c>
      <c r="Q255" s="371"/>
    </row>
    <row r="256" spans="2:18" x14ac:dyDescent="0.35">
      <c r="B256" s="405"/>
      <c r="D256" s="6" t="s">
        <v>582</v>
      </c>
      <c r="Q256" s="371"/>
    </row>
    <row r="257" spans="2:25" x14ac:dyDescent="0.35">
      <c r="B257" s="405"/>
      <c r="D257" s="6" t="s">
        <v>583</v>
      </c>
      <c r="Q257" s="371"/>
    </row>
    <row r="258" spans="2:25" x14ac:dyDescent="0.35">
      <c r="B258" s="405"/>
      <c r="Q258" s="371"/>
    </row>
    <row r="259" spans="2:25" x14ac:dyDescent="0.35">
      <c r="B259" s="407">
        <v>25000</v>
      </c>
      <c r="D259" s="8" t="s">
        <v>584</v>
      </c>
      <c r="Q259" s="371"/>
    </row>
    <row r="260" spans="2:25" x14ac:dyDescent="0.35">
      <c r="B260" s="405"/>
      <c r="D260" s="6" t="s">
        <v>585</v>
      </c>
      <c r="Q260" s="371"/>
    </row>
    <row r="261" spans="2:25" x14ac:dyDescent="0.35">
      <c r="B261" s="405"/>
      <c r="Q261" s="371"/>
    </row>
    <row r="262" spans="2:25" x14ac:dyDescent="0.35">
      <c r="B262" s="407">
        <v>38500</v>
      </c>
      <c r="D262" s="8" t="s">
        <v>587</v>
      </c>
      <c r="Q262" s="371"/>
    </row>
    <row r="263" spans="2:25" x14ac:dyDescent="0.35">
      <c r="B263" s="405"/>
      <c r="D263" s="6" t="s">
        <v>588</v>
      </c>
      <c r="Q263" s="371"/>
    </row>
    <row r="264" spans="2:25" x14ac:dyDescent="0.35">
      <c r="B264" s="405"/>
      <c r="D264" s="6" t="s">
        <v>589</v>
      </c>
      <c r="Q264" s="371"/>
    </row>
    <row r="265" spans="2:25" x14ac:dyDescent="0.35">
      <c r="B265" s="405"/>
      <c r="D265" s="6" t="s">
        <v>590</v>
      </c>
      <c r="Q265" s="371"/>
    </row>
    <row r="266" spans="2:25" x14ac:dyDescent="0.35">
      <c r="B266" s="405"/>
      <c r="D266" s="6" t="s">
        <v>591</v>
      </c>
      <c r="Q266" s="371"/>
    </row>
    <row r="267" spans="2:25" x14ac:dyDescent="0.35">
      <c r="B267" s="405"/>
      <c r="D267" s="6" t="s">
        <v>592</v>
      </c>
      <c r="Q267" s="371"/>
    </row>
    <row r="268" spans="2:25" x14ac:dyDescent="0.35">
      <c r="B268" s="405"/>
      <c r="D268" s="6" t="s">
        <v>593</v>
      </c>
      <c r="Q268" s="371"/>
    </row>
    <row r="269" spans="2:25" x14ac:dyDescent="0.35">
      <c r="B269" s="405"/>
      <c r="D269" s="6" t="s">
        <v>594</v>
      </c>
      <c r="Q269" s="371"/>
      <c r="S269" s="10"/>
      <c r="T269" s="324"/>
    </row>
    <row r="270" spans="2:25" x14ac:dyDescent="0.35">
      <c r="B270" s="405"/>
      <c r="D270" s="6" t="s">
        <v>595</v>
      </c>
      <c r="Q270" s="371"/>
      <c r="S270" s="10"/>
      <c r="T270" s="324"/>
    </row>
    <row r="271" spans="2:25" x14ac:dyDescent="0.35">
      <c r="B271" s="405"/>
      <c r="D271" s="6" t="s">
        <v>596</v>
      </c>
      <c r="Q271" s="371"/>
      <c r="S271" s="10"/>
      <c r="T271" s="324"/>
    </row>
    <row r="272" spans="2:25" x14ac:dyDescent="0.35">
      <c r="B272" s="405"/>
      <c r="D272" s="6" t="s">
        <v>597</v>
      </c>
      <c r="Q272" s="371"/>
      <c r="S272" s="10"/>
      <c r="T272" s="324"/>
      <c r="X272" s="8"/>
      <c r="Y272" s="8"/>
    </row>
    <row r="273" spans="2:25" x14ac:dyDescent="0.35">
      <c r="B273" s="405"/>
      <c r="D273" s="6" t="s">
        <v>598</v>
      </c>
      <c r="Q273" s="371"/>
      <c r="S273" s="10"/>
      <c r="T273" s="324"/>
    </row>
    <row r="274" spans="2:25" x14ac:dyDescent="0.35">
      <c r="B274" s="405"/>
      <c r="Q274" s="371"/>
      <c r="S274" s="10"/>
      <c r="T274" s="324"/>
      <c r="X274" s="8"/>
      <c r="Y274" s="8"/>
    </row>
    <row r="275" spans="2:25" x14ac:dyDescent="0.35">
      <c r="B275" s="407">
        <v>128000</v>
      </c>
      <c r="D275" s="8" t="s">
        <v>567</v>
      </c>
      <c r="Q275" s="371"/>
      <c r="S275" s="10"/>
      <c r="T275" s="324"/>
    </row>
    <row r="276" spans="2:25" x14ac:dyDescent="0.35">
      <c r="B276" s="405"/>
      <c r="D276" s="6" t="s">
        <v>568</v>
      </c>
      <c r="Q276" s="371"/>
      <c r="S276" s="10"/>
      <c r="T276" s="324"/>
      <c r="X276" s="8"/>
      <c r="Y276" s="8"/>
    </row>
    <row r="277" spans="2:25" x14ac:dyDescent="0.35">
      <c r="B277" s="405"/>
      <c r="D277" s="6" t="s">
        <v>569</v>
      </c>
      <c r="Q277" s="371"/>
      <c r="S277" s="10"/>
      <c r="T277" s="324"/>
    </row>
    <row r="278" spans="2:25" x14ac:dyDescent="0.35">
      <c r="B278" s="405"/>
      <c r="D278" s="6" t="s">
        <v>570</v>
      </c>
      <c r="Q278" s="371"/>
      <c r="S278" s="10"/>
      <c r="T278" s="324"/>
    </row>
    <row r="279" spans="2:25" x14ac:dyDescent="0.35">
      <c r="B279" s="405"/>
      <c r="D279" s="6" t="s">
        <v>571</v>
      </c>
      <c r="Q279" s="371"/>
      <c r="S279" s="10"/>
      <c r="T279" s="324"/>
    </row>
    <row r="280" spans="2:25" x14ac:dyDescent="0.35">
      <c r="B280" s="405"/>
      <c r="D280" s="6" t="s">
        <v>599</v>
      </c>
      <c r="Q280" s="371"/>
      <c r="S280" s="10"/>
      <c r="T280" s="324"/>
    </row>
    <row r="281" spans="2:25" x14ac:dyDescent="0.35">
      <c r="B281" s="405"/>
      <c r="Q281" s="371"/>
      <c r="S281" s="10"/>
      <c r="T281" s="324"/>
    </row>
    <row r="282" spans="2:25" x14ac:dyDescent="0.35">
      <c r="B282" s="407">
        <v>15500</v>
      </c>
      <c r="D282" s="8" t="s">
        <v>600</v>
      </c>
      <c r="Q282" s="371"/>
      <c r="S282" s="10"/>
      <c r="T282" s="324"/>
    </row>
    <row r="283" spans="2:25" x14ac:dyDescent="0.35">
      <c r="B283" s="405"/>
      <c r="D283" s="6" t="s">
        <v>601</v>
      </c>
      <c r="Q283" s="371"/>
      <c r="S283" s="10"/>
      <c r="T283" s="324"/>
    </row>
    <row r="284" spans="2:25" x14ac:dyDescent="0.35">
      <c r="B284" s="405"/>
      <c r="D284" s="6" t="s">
        <v>602</v>
      </c>
      <c r="Q284" s="371"/>
      <c r="S284" s="10"/>
      <c r="T284" s="324"/>
    </row>
    <row r="285" spans="2:25" x14ac:dyDescent="0.35">
      <c r="B285" s="405"/>
      <c r="D285" s="6" t="s">
        <v>603</v>
      </c>
      <c r="Q285" s="371"/>
      <c r="S285" s="10"/>
      <c r="T285" s="324"/>
    </row>
    <row r="286" spans="2:25" x14ac:dyDescent="0.35">
      <c r="B286" s="408"/>
      <c r="C286" s="15"/>
      <c r="D286" s="15"/>
      <c r="Q286" s="371"/>
      <c r="S286" s="10"/>
      <c r="T286" s="324"/>
    </row>
    <row r="287" spans="2:25" ht="18" x14ac:dyDescent="0.35">
      <c r="B287" s="407">
        <f>SUM(B245:B282)</f>
        <v>374200</v>
      </c>
      <c r="C287" s="7"/>
      <c r="D287" s="9" t="s">
        <v>604</v>
      </c>
      <c r="Q287" s="371"/>
      <c r="S287" s="10"/>
      <c r="T287" s="324"/>
    </row>
    <row r="288" spans="2:25" ht="18" x14ac:dyDescent="0.35">
      <c r="B288" s="409"/>
      <c r="C288" s="7"/>
      <c r="D288" s="7"/>
      <c r="Q288" s="371"/>
      <c r="S288" s="10"/>
      <c r="T288" s="324"/>
    </row>
    <row r="289" spans="2:20" x14ac:dyDescent="0.35">
      <c r="B289" s="405"/>
      <c r="Q289" s="371"/>
      <c r="S289" s="10"/>
      <c r="T289" s="324"/>
    </row>
    <row r="290" spans="2:20" ht="22.5" x14ac:dyDescent="0.45">
      <c r="B290" s="405"/>
      <c r="D290" s="410" t="s">
        <v>605</v>
      </c>
      <c r="Q290" s="371"/>
      <c r="S290" s="10"/>
      <c r="T290" s="324"/>
    </row>
    <row r="291" spans="2:20" x14ac:dyDescent="0.35">
      <c r="B291" s="405"/>
      <c r="Q291" s="371"/>
      <c r="S291" s="10"/>
      <c r="T291" s="324"/>
    </row>
    <row r="292" spans="2:20" x14ac:dyDescent="0.35">
      <c r="B292" s="407">
        <v>281964</v>
      </c>
      <c r="D292" s="8" t="s">
        <v>586</v>
      </c>
      <c r="Q292" s="371"/>
      <c r="S292" s="10"/>
      <c r="T292" s="324"/>
    </row>
    <row r="293" spans="2:20" x14ac:dyDescent="0.35">
      <c r="B293" s="51"/>
      <c r="D293" s="6" t="s">
        <v>606</v>
      </c>
      <c r="Q293" s="371"/>
      <c r="S293" s="10"/>
      <c r="T293" s="324"/>
    </row>
    <row r="294" spans="2:20" x14ac:dyDescent="0.35">
      <c r="B294" s="51"/>
      <c r="D294" s="6" t="s">
        <v>607</v>
      </c>
      <c r="Q294" s="371"/>
      <c r="S294" s="10"/>
      <c r="T294" s="324"/>
    </row>
    <row r="295" spans="2:20" x14ac:dyDescent="0.35">
      <c r="B295" s="51"/>
      <c r="D295" s="6" t="s">
        <v>608</v>
      </c>
      <c r="Q295" s="371"/>
      <c r="S295" s="10"/>
      <c r="T295" s="324"/>
    </row>
    <row r="296" spans="2:20" x14ac:dyDescent="0.35">
      <c r="B296" s="51"/>
      <c r="D296" s="6" t="s">
        <v>609</v>
      </c>
      <c r="Q296" s="371"/>
      <c r="S296" s="10"/>
      <c r="T296" s="324"/>
    </row>
    <row r="297" spans="2:20" x14ac:dyDescent="0.35">
      <c r="B297" s="51"/>
      <c r="D297" s="6" t="s">
        <v>610</v>
      </c>
      <c r="Q297" s="371"/>
      <c r="S297" s="10"/>
      <c r="T297" s="324"/>
    </row>
    <row r="298" spans="2:20" x14ac:dyDescent="0.35">
      <c r="B298" s="51"/>
      <c r="D298" s="6" t="s">
        <v>611</v>
      </c>
      <c r="Q298" s="371"/>
      <c r="S298" s="10"/>
      <c r="T298" s="324"/>
    </row>
    <row r="299" spans="2:20" x14ac:dyDescent="0.35">
      <c r="B299" s="51"/>
      <c r="D299" s="6" t="s">
        <v>612</v>
      </c>
      <c r="Q299" s="371"/>
      <c r="S299" s="10"/>
      <c r="T299" s="324"/>
    </row>
    <row r="300" spans="2:20" x14ac:dyDescent="0.35">
      <c r="B300" s="408"/>
      <c r="C300" s="15"/>
      <c r="D300" s="15"/>
      <c r="Q300" s="371"/>
      <c r="S300" s="10"/>
      <c r="T300" s="324"/>
    </row>
    <row r="301" spans="2:20" ht="18" x14ac:dyDescent="0.35">
      <c r="B301" s="407">
        <f>SUM(B287:B292)</f>
        <v>656164</v>
      </c>
      <c r="C301" s="7"/>
      <c r="D301" s="9" t="s">
        <v>199</v>
      </c>
      <c r="Q301" s="371"/>
      <c r="S301" s="10"/>
      <c r="T301" s="324"/>
    </row>
    <row r="302" spans="2:20" x14ac:dyDescent="0.35">
      <c r="B302" s="52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363"/>
      <c r="S302" s="10"/>
      <c r="T302" s="324"/>
    </row>
    <row r="303" spans="2:20" x14ac:dyDescent="0.35">
      <c r="S303" s="10"/>
      <c r="T303" s="324"/>
    </row>
    <row r="304" spans="2:20" x14ac:dyDescent="0.35">
      <c r="S304" s="10"/>
      <c r="T304" s="324"/>
    </row>
    <row r="305" spans="19:20" x14ac:dyDescent="0.35">
      <c r="S305" s="10"/>
      <c r="T305" s="324"/>
    </row>
    <row r="306" spans="19:20" x14ac:dyDescent="0.35">
      <c r="S306" s="10"/>
      <c r="T306" s="324"/>
    </row>
    <row r="307" spans="19:20" x14ac:dyDescent="0.35">
      <c r="S307" s="10"/>
      <c r="T307" s="324"/>
    </row>
    <row r="308" spans="19:20" x14ac:dyDescent="0.35">
      <c r="S308" s="10"/>
      <c r="T308" s="324"/>
    </row>
    <row r="309" spans="19:20" x14ac:dyDescent="0.35">
      <c r="S309" s="10"/>
      <c r="T309" s="324"/>
    </row>
    <row r="310" spans="19:20" x14ac:dyDescent="0.35">
      <c r="S310" s="10"/>
      <c r="T310" s="324"/>
    </row>
    <row r="311" spans="19:20" x14ac:dyDescent="0.35">
      <c r="S311" s="10"/>
      <c r="T311" s="324"/>
    </row>
    <row r="312" spans="19:20" x14ac:dyDescent="0.35">
      <c r="S312" s="10"/>
      <c r="T312" s="324"/>
    </row>
    <row r="313" spans="19:20" x14ac:dyDescent="0.35">
      <c r="S313" s="10"/>
      <c r="T313" s="324"/>
    </row>
    <row r="324" spans="19:20" x14ac:dyDescent="0.35">
      <c r="S324" s="10"/>
      <c r="T324" s="324"/>
    </row>
    <row r="325" spans="19:20" x14ac:dyDescent="0.35">
      <c r="S325" s="10"/>
      <c r="T325" s="324"/>
    </row>
    <row r="326" spans="19:20" x14ac:dyDescent="0.35">
      <c r="S326" s="10"/>
      <c r="T326" s="324"/>
    </row>
    <row r="327" spans="19:20" x14ac:dyDescent="0.35">
      <c r="S327" s="44"/>
      <c r="T327" s="325"/>
    </row>
    <row r="328" spans="19:20" x14ac:dyDescent="0.35">
      <c r="S328" s="42"/>
      <c r="T328" s="326"/>
    </row>
    <row r="329" spans="19:20" x14ac:dyDescent="0.35">
      <c r="S329" s="10"/>
      <c r="T329" s="324"/>
    </row>
    <row r="330" spans="19:20" x14ac:dyDescent="0.35">
      <c r="S330" s="10"/>
      <c r="T330" s="324"/>
    </row>
    <row r="331" spans="19:20" x14ac:dyDescent="0.35">
      <c r="S331" s="10"/>
      <c r="T331" s="324"/>
    </row>
    <row r="332" spans="19:20" x14ac:dyDescent="0.35">
      <c r="S332" s="10"/>
      <c r="T332" s="324"/>
    </row>
    <row r="333" spans="19:20" x14ac:dyDescent="0.35">
      <c r="S333" s="10"/>
      <c r="T333" s="324"/>
    </row>
    <row r="334" spans="19:20" x14ac:dyDescent="0.35">
      <c r="S334" s="10"/>
      <c r="T334" s="324"/>
    </row>
    <row r="335" spans="19:20" x14ac:dyDescent="0.35">
      <c r="S335" s="10"/>
      <c r="T335" s="324"/>
    </row>
    <row r="336" spans="19:20" x14ac:dyDescent="0.35">
      <c r="S336" s="10"/>
      <c r="T336" s="324"/>
    </row>
    <row r="337" spans="19:20" x14ac:dyDescent="0.35">
      <c r="S337" s="10"/>
      <c r="T337" s="324"/>
    </row>
    <row r="338" spans="19:20" x14ac:dyDescent="0.35">
      <c r="S338" s="10"/>
      <c r="T338" s="324"/>
    </row>
    <row r="339" spans="19:20" x14ac:dyDescent="0.35">
      <c r="S339" s="10"/>
      <c r="T339" s="324"/>
    </row>
    <row r="340" spans="19:20" x14ac:dyDescent="0.35">
      <c r="S340" s="10"/>
      <c r="T340" s="324"/>
    </row>
    <row r="341" spans="19:20" x14ac:dyDescent="0.35">
      <c r="S341" s="10"/>
      <c r="T341" s="324"/>
    </row>
    <row r="342" spans="19:20" x14ac:dyDescent="0.35">
      <c r="S342" s="10"/>
      <c r="T342" s="324"/>
    </row>
    <row r="343" spans="19:20" x14ac:dyDescent="0.35">
      <c r="S343" s="10"/>
      <c r="T343" s="324"/>
    </row>
    <row r="344" spans="19:20" x14ac:dyDescent="0.35">
      <c r="S344" s="10"/>
      <c r="T344" s="324"/>
    </row>
    <row r="345" spans="19:20" x14ac:dyDescent="0.35">
      <c r="S345" s="10"/>
      <c r="T345" s="324"/>
    </row>
    <row r="346" spans="19:20" x14ac:dyDescent="0.35">
      <c r="S346" s="10"/>
      <c r="T346" s="324"/>
    </row>
    <row r="347" spans="19:20" x14ac:dyDescent="0.35">
      <c r="S347" s="10"/>
      <c r="T347" s="324"/>
    </row>
    <row r="348" spans="19:20" x14ac:dyDescent="0.35">
      <c r="S348" s="10"/>
      <c r="T348" s="324"/>
    </row>
    <row r="349" spans="19:20" x14ac:dyDescent="0.35">
      <c r="S349" s="10"/>
      <c r="T349" s="324"/>
    </row>
    <row r="350" spans="19:20" x14ac:dyDescent="0.35">
      <c r="S350" s="10"/>
      <c r="T350" s="324"/>
    </row>
    <row r="351" spans="19:20" x14ac:dyDescent="0.35">
      <c r="S351" s="10"/>
      <c r="T351" s="324"/>
    </row>
    <row r="352" spans="19:20" x14ac:dyDescent="0.35">
      <c r="S352" s="10"/>
      <c r="T352" s="324"/>
    </row>
    <row r="353" spans="19:20" x14ac:dyDescent="0.35">
      <c r="S353" s="10"/>
      <c r="T353" s="324"/>
    </row>
    <row r="354" spans="19:20" x14ac:dyDescent="0.35">
      <c r="S354" s="10"/>
      <c r="T354" s="324"/>
    </row>
    <row r="355" spans="19:20" x14ac:dyDescent="0.35">
      <c r="S355" s="10"/>
      <c r="T355" s="324"/>
    </row>
    <row r="356" spans="19:20" x14ac:dyDescent="0.35">
      <c r="S356" s="10"/>
      <c r="T356" s="324"/>
    </row>
    <row r="357" spans="19:20" x14ac:dyDescent="0.35">
      <c r="S357" s="10"/>
      <c r="T357" s="324"/>
    </row>
    <row r="358" spans="19:20" x14ac:dyDescent="0.35">
      <c r="S358" s="10"/>
      <c r="T358" s="324"/>
    </row>
    <row r="359" spans="19:20" x14ac:dyDescent="0.35">
      <c r="S359" s="10"/>
      <c r="T359" s="324"/>
    </row>
    <row r="360" spans="19:20" x14ac:dyDescent="0.35">
      <c r="S360" s="10"/>
      <c r="T360" s="324"/>
    </row>
    <row r="361" spans="19:20" x14ac:dyDescent="0.35">
      <c r="S361" s="10"/>
      <c r="T361" s="324"/>
    </row>
    <row r="362" spans="19:20" x14ac:dyDescent="0.35">
      <c r="S362" s="10"/>
      <c r="T362" s="324"/>
    </row>
    <row r="364" spans="19:20" x14ac:dyDescent="0.35">
      <c r="S364" s="46"/>
      <c r="T364" s="327"/>
    </row>
    <row r="367" spans="19:20" x14ac:dyDescent="0.35">
      <c r="S367" s="10"/>
      <c r="T367" s="324"/>
    </row>
    <row r="368" spans="19:20" x14ac:dyDescent="0.35">
      <c r="S368" s="10"/>
      <c r="T368" s="324"/>
    </row>
  </sheetData>
  <sheetProtection selectLockedCells="1"/>
  <conditionalFormatting sqref="E142:P155">
    <cfRule type="expression" dxfId="90" priority="463">
      <formula>E180&gt;0</formula>
    </cfRule>
    <cfRule type="expression" dxfId="89" priority="464">
      <formula>E161&gt;0</formula>
    </cfRule>
  </conditionalFormatting>
  <conditionalFormatting sqref="E157:Q157">
    <cfRule type="expression" dxfId="88" priority="3">
      <formula>ABS(E157)&lt;1</formula>
    </cfRule>
  </conditionalFormatting>
  <conditionalFormatting sqref="E176:Q177">
    <cfRule type="expression" dxfId="87" priority="2">
      <formula>ABS(E176)&lt;1</formula>
    </cfRule>
  </conditionalFormatting>
  <conditionalFormatting sqref="E195:Q195">
    <cfRule type="expression" dxfId="86" priority="6">
      <formula>ABS(E195)&lt;1</formula>
    </cfRule>
  </conditionalFormatting>
  <conditionalFormatting sqref="E240:R240">
    <cfRule type="cellIs" dxfId="85" priority="1" operator="between">
      <formula>-1</formula>
      <formula>1</formula>
    </cfRule>
  </conditionalFormatting>
  <dataValidations disablePrompts="1" count="1">
    <dataValidation operator="notEqual" showInputMessage="1" showErrorMessage="1" sqref="E18:P18 E29:P29" xr:uid="{00000000-0002-0000-0C00-000000000000}"/>
  </dataValidations>
  <pageMargins left="0" right="0" top="0" bottom="0" header="0.05" footer="0"/>
  <pageSetup scale="47" fitToHeight="2" orientation="landscape" cellComments="asDisplayed" r:id="rId1"/>
  <headerFooter alignWithMargins="0">
    <oddFooter>&amp;L&amp;Z&amp;F\&amp;A&amp;R&amp;D;&amp;T</oddFooter>
  </headerFooter>
  <rowBreaks count="1" manualBreakCount="1">
    <brk id="72" max="1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9">
    <tabColor rgb="FF92D050"/>
  </sheetPr>
  <dimension ref="A1:Z984"/>
  <sheetViews>
    <sheetView zoomScale="115" zoomScaleNormal="115" workbookViewId="0">
      <selection activeCell="A549" sqref="A549"/>
    </sheetView>
  </sheetViews>
  <sheetFormatPr defaultColWidth="8.81640625" defaultRowHeight="16" x14ac:dyDescent="0.35"/>
  <cols>
    <col min="1" max="1" width="14.81640625" style="79" bestFit="1" customWidth="1"/>
    <col min="2" max="2" width="12.1796875" style="79" customWidth="1"/>
    <col min="3" max="3" width="38.1796875" style="79" bestFit="1" customWidth="1"/>
    <col min="4" max="4" width="17.1796875" style="79" customWidth="1"/>
    <col min="5" max="5" width="17.81640625" style="79" customWidth="1"/>
    <col min="6" max="6" width="15.81640625" style="79" customWidth="1"/>
    <col min="7" max="7" width="19.1796875" style="252" bestFit="1" customWidth="1"/>
    <col min="8" max="8" width="9.453125" style="204" customWidth="1"/>
    <col min="9" max="9" width="8.81640625" style="6"/>
    <col min="10" max="10" width="10.1796875" style="6" bestFit="1" customWidth="1"/>
    <col min="11" max="11" width="99.453125" style="6" bestFit="1" customWidth="1"/>
    <col min="12" max="12" width="17.453125" style="6" bestFit="1" customWidth="1"/>
    <col min="13" max="23" width="11.1796875" style="6" bestFit="1" customWidth="1"/>
    <col min="24" max="24" width="10.1796875" style="6" bestFit="1" customWidth="1"/>
    <col min="25" max="25" width="6.54296875" style="6" bestFit="1" customWidth="1"/>
    <col min="26" max="26" width="12.453125" style="6" bestFit="1" customWidth="1"/>
    <col min="27" max="16384" width="8.81640625" style="6"/>
  </cols>
  <sheetData>
    <row r="1" spans="1:15" x14ac:dyDescent="0.35">
      <c r="A1" s="227" t="s">
        <v>253</v>
      </c>
      <c r="B1" s="227" t="s">
        <v>254</v>
      </c>
      <c r="C1" s="227" t="s">
        <v>161</v>
      </c>
      <c r="D1" s="227" t="s">
        <v>162</v>
      </c>
      <c r="E1" s="227" t="s">
        <v>163</v>
      </c>
      <c r="F1" s="227" t="s">
        <v>255</v>
      </c>
      <c r="G1" s="248" t="s">
        <v>256</v>
      </c>
      <c r="H1" s="205" t="s">
        <v>213</v>
      </c>
      <c r="K1" s="61" t="s">
        <v>296</v>
      </c>
      <c r="L1" s="61"/>
      <c r="M1" s="61"/>
      <c r="N1" s="61"/>
      <c r="O1" s="61"/>
    </row>
    <row r="2" spans="1:15" x14ac:dyDescent="0.35">
      <c r="A2" s="244">
        <v>2300</v>
      </c>
      <c r="B2" s="245" t="s">
        <v>352</v>
      </c>
      <c r="C2" s="245" t="s">
        <v>353</v>
      </c>
      <c r="D2" s="245" t="s">
        <v>284</v>
      </c>
      <c r="E2" s="245" t="s">
        <v>165</v>
      </c>
      <c r="F2" s="245" t="s">
        <v>132</v>
      </c>
      <c r="G2" s="249">
        <v>11458.33</v>
      </c>
      <c r="H2" s="204">
        <f t="shared" ref="H2:H112" si="0">IF(D2="",0,MONTH(D2))</f>
        <v>1</v>
      </c>
      <c r="K2" s="61" t="s">
        <v>297</v>
      </c>
      <c r="L2" s="61"/>
      <c r="M2" s="61"/>
      <c r="N2" s="61"/>
      <c r="O2" s="61"/>
    </row>
    <row r="3" spans="1:15" x14ac:dyDescent="0.35">
      <c r="A3" s="244">
        <v>2300</v>
      </c>
      <c r="B3" s="245" t="s">
        <v>352</v>
      </c>
      <c r="C3" s="245" t="s">
        <v>353</v>
      </c>
      <c r="D3" s="245" t="s">
        <v>285</v>
      </c>
      <c r="E3" s="245" t="s">
        <v>165</v>
      </c>
      <c r="F3" s="245" t="s">
        <v>132</v>
      </c>
      <c r="G3" s="249">
        <v>11458.33</v>
      </c>
      <c r="H3" s="204">
        <f t="shared" si="0"/>
        <v>2</v>
      </c>
    </row>
    <row r="4" spans="1:15" x14ac:dyDescent="0.35">
      <c r="A4" s="244">
        <v>2300</v>
      </c>
      <c r="B4" s="245" t="s">
        <v>352</v>
      </c>
      <c r="C4" s="245" t="s">
        <v>353</v>
      </c>
      <c r="D4" s="245" t="s">
        <v>286</v>
      </c>
      <c r="E4" s="245" t="s">
        <v>165</v>
      </c>
      <c r="F4" s="245" t="s">
        <v>132</v>
      </c>
      <c r="G4" s="249">
        <v>11458.33</v>
      </c>
      <c r="H4" s="204">
        <f t="shared" si="0"/>
        <v>3</v>
      </c>
      <c r="K4" s="55" t="s">
        <v>458</v>
      </c>
    </row>
    <row r="5" spans="1:15" x14ac:dyDescent="0.35">
      <c r="A5" s="244">
        <v>2300</v>
      </c>
      <c r="B5" s="245" t="s">
        <v>352</v>
      </c>
      <c r="C5" s="245" t="s">
        <v>353</v>
      </c>
      <c r="D5" s="245" t="s">
        <v>287</v>
      </c>
      <c r="E5" s="245" t="s">
        <v>165</v>
      </c>
      <c r="F5" s="245" t="s">
        <v>132</v>
      </c>
      <c r="G5" s="250">
        <v>11458.33</v>
      </c>
      <c r="H5" s="204">
        <f t="shared" si="0"/>
        <v>4</v>
      </c>
    </row>
    <row r="6" spans="1:15" x14ac:dyDescent="0.35">
      <c r="A6" s="244">
        <v>2300</v>
      </c>
      <c r="B6" s="245" t="s">
        <v>352</v>
      </c>
      <c r="C6" s="245" t="s">
        <v>353</v>
      </c>
      <c r="D6" s="245" t="s">
        <v>288</v>
      </c>
      <c r="E6" s="245" t="s">
        <v>165</v>
      </c>
      <c r="F6" s="245" t="s">
        <v>132</v>
      </c>
      <c r="G6" s="249">
        <v>11458.33</v>
      </c>
      <c r="H6" s="204">
        <f t="shared" si="0"/>
        <v>5</v>
      </c>
    </row>
    <row r="7" spans="1:15" x14ac:dyDescent="0.35">
      <c r="A7" s="244">
        <v>2300</v>
      </c>
      <c r="B7" s="245" t="s">
        <v>352</v>
      </c>
      <c r="C7" s="245" t="s">
        <v>353</v>
      </c>
      <c r="D7" s="245" t="s">
        <v>289</v>
      </c>
      <c r="E7" s="245" t="s">
        <v>165</v>
      </c>
      <c r="F7" s="245" t="s">
        <v>132</v>
      </c>
      <c r="G7" s="249">
        <v>11458.33</v>
      </c>
      <c r="H7" s="204">
        <f t="shared" si="0"/>
        <v>6</v>
      </c>
    </row>
    <row r="8" spans="1:15" x14ac:dyDescent="0.35">
      <c r="A8" s="244">
        <v>2300</v>
      </c>
      <c r="B8" s="245" t="s">
        <v>352</v>
      </c>
      <c r="C8" s="245" t="s">
        <v>353</v>
      </c>
      <c r="D8" s="245" t="s">
        <v>290</v>
      </c>
      <c r="E8" s="245" t="s">
        <v>165</v>
      </c>
      <c r="F8" s="245" t="s">
        <v>132</v>
      </c>
      <c r="G8" s="249">
        <v>11458.08</v>
      </c>
      <c r="H8" s="204">
        <f t="shared" si="0"/>
        <v>7</v>
      </c>
    </row>
    <row r="9" spans="1:15" x14ac:dyDescent="0.35">
      <c r="A9" s="244">
        <v>2300</v>
      </c>
      <c r="B9" s="245" t="s">
        <v>352</v>
      </c>
      <c r="C9" s="245" t="s">
        <v>353</v>
      </c>
      <c r="D9" s="245" t="s">
        <v>291</v>
      </c>
      <c r="E9" s="245" t="s">
        <v>165</v>
      </c>
      <c r="F9" s="245" t="s">
        <v>132</v>
      </c>
      <c r="G9" s="249">
        <v>11458.08</v>
      </c>
      <c r="H9" s="204">
        <f t="shared" si="0"/>
        <v>8</v>
      </c>
    </row>
    <row r="10" spans="1:15" x14ac:dyDescent="0.35">
      <c r="A10" s="244">
        <v>2300</v>
      </c>
      <c r="B10" s="245" t="s">
        <v>352</v>
      </c>
      <c r="C10" s="245" t="s">
        <v>353</v>
      </c>
      <c r="D10" s="245" t="s">
        <v>292</v>
      </c>
      <c r="E10" s="245" t="s">
        <v>165</v>
      </c>
      <c r="F10" s="245" t="s">
        <v>132</v>
      </c>
      <c r="G10" s="249">
        <v>11458.08</v>
      </c>
      <c r="H10" s="204">
        <f t="shared" si="0"/>
        <v>9</v>
      </c>
    </row>
    <row r="11" spans="1:15" x14ac:dyDescent="0.35">
      <c r="A11" s="244">
        <v>2300</v>
      </c>
      <c r="B11" s="245" t="s">
        <v>352</v>
      </c>
      <c r="C11" s="245" t="s">
        <v>353</v>
      </c>
      <c r="D11" s="245" t="s">
        <v>293</v>
      </c>
      <c r="E11" s="245" t="s">
        <v>165</v>
      </c>
      <c r="F11" s="245" t="s">
        <v>132</v>
      </c>
      <c r="G11" s="249">
        <v>11458.08</v>
      </c>
      <c r="H11" s="204">
        <f t="shared" si="0"/>
        <v>10</v>
      </c>
    </row>
    <row r="12" spans="1:15" x14ac:dyDescent="0.35">
      <c r="A12" s="244">
        <v>2300</v>
      </c>
      <c r="B12" s="245" t="s">
        <v>352</v>
      </c>
      <c r="C12" s="245" t="s">
        <v>353</v>
      </c>
      <c r="D12" s="245" t="s">
        <v>294</v>
      </c>
      <c r="E12" s="245" t="s">
        <v>165</v>
      </c>
      <c r="F12" s="245" t="s">
        <v>132</v>
      </c>
      <c r="G12" s="249">
        <v>11458.08</v>
      </c>
      <c r="H12" s="204">
        <f t="shared" si="0"/>
        <v>11</v>
      </c>
    </row>
    <row r="13" spans="1:15" x14ac:dyDescent="0.35">
      <c r="A13" s="244">
        <v>2300</v>
      </c>
      <c r="B13" s="245" t="s">
        <v>352</v>
      </c>
      <c r="C13" s="245" t="s">
        <v>353</v>
      </c>
      <c r="D13" s="245" t="s">
        <v>295</v>
      </c>
      <c r="E13" s="245" t="s">
        <v>165</v>
      </c>
      <c r="F13" s="245" t="s">
        <v>132</v>
      </c>
      <c r="G13" s="249">
        <v>11458.08</v>
      </c>
      <c r="H13" s="204">
        <f t="shared" si="0"/>
        <v>12</v>
      </c>
    </row>
    <row r="14" spans="1:15" x14ac:dyDescent="0.35">
      <c r="A14" s="244">
        <v>2300</v>
      </c>
      <c r="B14" s="245" t="s">
        <v>354</v>
      </c>
      <c r="C14" s="245" t="s">
        <v>355</v>
      </c>
      <c r="D14" s="245" t="s">
        <v>284</v>
      </c>
      <c r="E14" s="245" t="s">
        <v>165</v>
      </c>
      <c r="F14" s="245" t="s">
        <v>132</v>
      </c>
      <c r="G14" s="249">
        <v>12759</v>
      </c>
      <c r="H14" s="204">
        <f t="shared" si="0"/>
        <v>1</v>
      </c>
    </row>
    <row r="15" spans="1:15" x14ac:dyDescent="0.35">
      <c r="A15" s="244">
        <v>2300</v>
      </c>
      <c r="B15" s="245" t="s">
        <v>354</v>
      </c>
      <c r="C15" s="245" t="s">
        <v>355</v>
      </c>
      <c r="D15" s="245" t="s">
        <v>285</v>
      </c>
      <c r="E15" s="245" t="s">
        <v>165</v>
      </c>
      <c r="F15" s="245" t="s">
        <v>132</v>
      </c>
      <c r="G15" s="249">
        <v>12759</v>
      </c>
      <c r="H15" s="204">
        <f t="shared" si="0"/>
        <v>2</v>
      </c>
    </row>
    <row r="16" spans="1:15" x14ac:dyDescent="0.35">
      <c r="A16" s="244">
        <v>2300</v>
      </c>
      <c r="B16" s="245" t="s">
        <v>354</v>
      </c>
      <c r="C16" s="245" t="s">
        <v>355</v>
      </c>
      <c r="D16" s="245" t="s">
        <v>286</v>
      </c>
      <c r="E16" s="245" t="s">
        <v>165</v>
      </c>
      <c r="F16" s="245" t="s">
        <v>132</v>
      </c>
      <c r="G16" s="249">
        <v>12759</v>
      </c>
      <c r="H16" s="204">
        <f t="shared" si="0"/>
        <v>3</v>
      </c>
    </row>
    <row r="17" spans="1:26" x14ac:dyDescent="0.35">
      <c r="A17" s="244">
        <v>2300</v>
      </c>
      <c r="B17" s="245" t="s">
        <v>354</v>
      </c>
      <c r="C17" s="245" t="s">
        <v>355</v>
      </c>
      <c r="D17" s="245" t="s">
        <v>287</v>
      </c>
      <c r="E17" s="245" t="s">
        <v>165</v>
      </c>
      <c r="F17" s="245" t="s">
        <v>132</v>
      </c>
      <c r="G17" s="249">
        <v>12759</v>
      </c>
      <c r="H17" s="204">
        <f t="shared" si="0"/>
        <v>4</v>
      </c>
    </row>
    <row r="18" spans="1:26" x14ac:dyDescent="0.35">
      <c r="A18" s="244">
        <v>2300</v>
      </c>
      <c r="B18" s="245" t="s">
        <v>354</v>
      </c>
      <c r="C18" s="245" t="s">
        <v>355</v>
      </c>
      <c r="D18" s="245" t="s">
        <v>288</v>
      </c>
      <c r="E18" s="245" t="s">
        <v>165</v>
      </c>
      <c r="F18" s="245" t="s">
        <v>132</v>
      </c>
      <c r="G18" s="249">
        <v>12759</v>
      </c>
      <c r="H18" s="204">
        <f t="shared" si="0"/>
        <v>5</v>
      </c>
    </row>
    <row r="19" spans="1:26" x14ac:dyDescent="0.35">
      <c r="A19" s="244">
        <v>2300</v>
      </c>
      <c r="B19" s="245" t="s">
        <v>354</v>
      </c>
      <c r="C19" s="245" t="s">
        <v>355</v>
      </c>
      <c r="D19" s="245" t="s">
        <v>289</v>
      </c>
      <c r="E19" s="245" t="s">
        <v>165</v>
      </c>
      <c r="F19" s="245" t="s">
        <v>132</v>
      </c>
      <c r="G19" s="249">
        <v>12759</v>
      </c>
      <c r="H19" s="204">
        <f t="shared" si="0"/>
        <v>6</v>
      </c>
    </row>
    <row r="20" spans="1:26" x14ac:dyDescent="0.35">
      <c r="A20" s="244">
        <v>2300</v>
      </c>
      <c r="B20" s="245" t="s">
        <v>354</v>
      </c>
      <c r="C20" s="245" t="s">
        <v>355</v>
      </c>
      <c r="D20" s="245" t="s">
        <v>290</v>
      </c>
      <c r="E20" s="245" t="s">
        <v>165</v>
      </c>
      <c r="F20" s="245" t="s">
        <v>132</v>
      </c>
      <c r="G20" s="249">
        <v>12759</v>
      </c>
      <c r="H20" s="204">
        <f t="shared" si="0"/>
        <v>7</v>
      </c>
    </row>
    <row r="21" spans="1:26" x14ac:dyDescent="0.35">
      <c r="A21" s="244">
        <v>2300</v>
      </c>
      <c r="B21" s="245" t="s">
        <v>354</v>
      </c>
      <c r="C21" s="245" t="s">
        <v>355</v>
      </c>
      <c r="D21" s="245" t="s">
        <v>291</v>
      </c>
      <c r="E21" s="245" t="s">
        <v>165</v>
      </c>
      <c r="F21" s="245" t="s">
        <v>132</v>
      </c>
      <c r="G21" s="249">
        <v>12759</v>
      </c>
      <c r="H21" s="204">
        <f t="shared" si="0"/>
        <v>8</v>
      </c>
    </row>
    <row r="22" spans="1:26" x14ac:dyDescent="0.35">
      <c r="A22" s="244">
        <v>2300</v>
      </c>
      <c r="B22" s="245" t="s">
        <v>354</v>
      </c>
      <c r="C22" s="245" t="s">
        <v>355</v>
      </c>
      <c r="D22" s="245" t="s">
        <v>292</v>
      </c>
      <c r="E22" s="245" t="s">
        <v>165</v>
      </c>
      <c r="F22" s="245" t="s">
        <v>132</v>
      </c>
      <c r="G22" s="249">
        <v>12759</v>
      </c>
      <c r="H22" s="204">
        <f t="shared" si="0"/>
        <v>9</v>
      </c>
    </row>
    <row r="23" spans="1:26" x14ac:dyDescent="0.35">
      <c r="A23" s="244">
        <v>2300</v>
      </c>
      <c r="B23" s="245" t="s">
        <v>354</v>
      </c>
      <c r="C23" s="245" t="s">
        <v>355</v>
      </c>
      <c r="D23" s="245" t="s">
        <v>293</v>
      </c>
      <c r="E23" s="245" t="s">
        <v>165</v>
      </c>
      <c r="F23" s="245" t="s">
        <v>132</v>
      </c>
      <c r="G23" s="249">
        <v>12759</v>
      </c>
      <c r="H23" s="204">
        <f t="shared" si="0"/>
        <v>10</v>
      </c>
    </row>
    <row r="24" spans="1:26" x14ac:dyDescent="0.35">
      <c r="A24" s="244">
        <v>2300</v>
      </c>
      <c r="B24" s="245" t="s">
        <v>354</v>
      </c>
      <c r="C24" s="245" t="s">
        <v>355</v>
      </c>
      <c r="D24" s="245" t="s">
        <v>294</v>
      </c>
      <c r="E24" s="245" t="s">
        <v>165</v>
      </c>
      <c r="F24" s="245" t="s">
        <v>132</v>
      </c>
      <c r="G24" s="249">
        <v>12759</v>
      </c>
      <c r="H24" s="204">
        <f t="shared" si="0"/>
        <v>11</v>
      </c>
    </row>
    <row r="25" spans="1:26" x14ac:dyDescent="0.35">
      <c r="A25" s="244">
        <v>2300</v>
      </c>
      <c r="B25" s="245" t="s">
        <v>354</v>
      </c>
      <c r="C25" s="245" t="s">
        <v>355</v>
      </c>
      <c r="D25" s="245" t="s">
        <v>295</v>
      </c>
      <c r="E25" s="245" t="s">
        <v>165</v>
      </c>
      <c r="F25" s="245" t="s">
        <v>132</v>
      </c>
      <c r="G25" s="249">
        <v>12759</v>
      </c>
      <c r="H25" s="204">
        <f t="shared" si="0"/>
        <v>12</v>
      </c>
    </row>
    <row r="26" spans="1:26" s="82" customFormat="1" x14ac:dyDescent="0.35">
      <c r="A26" s="244">
        <v>2300</v>
      </c>
      <c r="B26" s="245" t="s">
        <v>356</v>
      </c>
      <c r="C26" s="245" t="s">
        <v>357</v>
      </c>
      <c r="D26" s="245" t="s">
        <v>284</v>
      </c>
      <c r="E26" s="245" t="s">
        <v>165</v>
      </c>
      <c r="F26" s="245" t="s">
        <v>132</v>
      </c>
      <c r="G26" s="249">
        <v>20603.28</v>
      </c>
      <c r="H26" s="204">
        <f t="shared" ref="H26:H37" si="1">IF(D26="",0,MONTH(D26))</f>
        <v>1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s="82" customFormat="1" x14ac:dyDescent="0.35">
      <c r="A27" s="244">
        <v>2300</v>
      </c>
      <c r="B27" s="245" t="s">
        <v>356</v>
      </c>
      <c r="C27" s="245" t="s">
        <v>357</v>
      </c>
      <c r="D27" s="245" t="s">
        <v>285</v>
      </c>
      <c r="E27" s="245" t="s">
        <v>165</v>
      </c>
      <c r="F27" s="245" t="s">
        <v>132</v>
      </c>
      <c r="G27" s="249">
        <v>20603.28</v>
      </c>
      <c r="H27" s="204">
        <f t="shared" si="1"/>
        <v>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s="82" customFormat="1" x14ac:dyDescent="0.35">
      <c r="A28" s="244">
        <v>2300</v>
      </c>
      <c r="B28" s="245" t="s">
        <v>356</v>
      </c>
      <c r="C28" s="245" t="s">
        <v>357</v>
      </c>
      <c r="D28" s="245" t="s">
        <v>286</v>
      </c>
      <c r="E28" s="245" t="s">
        <v>165</v>
      </c>
      <c r="F28" s="245" t="s">
        <v>132</v>
      </c>
      <c r="G28" s="249">
        <v>20603.28</v>
      </c>
      <c r="H28" s="204">
        <f t="shared" si="1"/>
        <v>3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s="82" customFormat="1" x14ac:dyDescent="0.35">
      <c r="A29" s="244">
        <v>2300</v>
      </c>
      <c r="B29" s="245" t="s">
        <v>356</v>
      </c>
      <c r="C29" s="245" t="s">
        <v>357</v>
      </c>
      <c r="D29" s="245" t="s">
        <v>287</v>
      </c>
      <c r="E29" s="245" t="s">
        <v>165</v>
      </c>
      <c r="F29" s="245" t="s">
        <v>132</v>
      </c>
      <c r="G29" s="249">
        <v>20603.28</v>
      </c>
      <c r="H29" s="204">
        <f t="shared" si="1"/>
        <v>4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s="82" customFormat="1" x14ac:dyDescent="0.35">
      <c r="A30" s="244">
        <v>2300</v>
      </c>
      <c r="B30" s="245" t="s">
        <v>356</v>
      </c>
      <c r="C30" s="245" t="s">
        <v>357</v>
      </c>
      <c r="D30" s="245" t="s">
        <v>288</v>
      </c>
      <c r="E30" s="245" t="s">
        <v>165</v>
      </c>
      <c r="F30" s="245" t="s">
        <v>132</v>
      </c>
      <c r="G30" s="249">
        <v>20603.28</v>
      </c>
      <c r="H30" s="204">
        <f t="shared" si="1"/>
        <v>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s="82" customFormat="1" x14ac:dyDescent="0.35">
      <c r="A31" s="244">
        <v>2300</v>
      </c>
      <c r="B31" s="245" t="s">
        <v>356</v>
      </c>
      <c r="C31" s="245" t="s">
        <v>357</v>
      </c>
      <c r="D31" s="245" t="s">
        <v>289</v>
      </c>
      <c r="E31" s="245" t="s">
        <v>165</v>
      </c>
      <c r="F31" s="245" t="s">
        <v>132</v>
      </c>
      <c r="G31" s="249">
        <v>20603.28</v>
      </c>
      <c r="H31" s="204">
        <f t="shared" si="1"/>
        <v>6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s="82" customFormat="1" x14ac:dyDescent="0.35">
      <c r="A32" s="244">
        <v>2300</v>
      </c>
      <c r="B32" s="245" t="s">
        <v>356</v>
      </c>
      <c r="C32" s="245" t="s">
        <v>357</v>
      </c>
      <c r="D32" s="245" t="s">
        <v>290</v>
      </c>
      <c r="E32" s="245" t="s">
        <v>165</v>
      </c>
      <c r="F32" s="245" t="s">
        <v>132</v>
      </c>
      <c r="G32" s="249">
        <v>20603.28</v>
      </c>
      <c r="H32" s="204">
        <f t="shared" si="1"/>
        <v>7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s="82" customFormat="1" x14ac:dyDescent="0.35">
      <c r="A33" s="244">
        <v>2300</v>
      </c>
      <c r="B33" s="245" t="s">
        <v>356</v>
      </c>
      <c r="C33" s="245" t="s">
        <v>357</v>
      </c>
      <c r="D33" s="245" t="s">
        <v>291</v>
      </c>
      <c r="E33" s="245" t="s">
        <v>165</v>
      </c>
      <c r="F33" s="245" t="s">
        <v>132</v>
      </c>
      <c r="G33" s="249">
        <v>20603.28</v>
      </c>
      <c r="H33" s="204">
        <f t="shared" si="1"/>
        <v>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s="82" customFormat="1" x14ac:dyDescent="0.35">
      <c r="A34" s="244">
        <v>2300</v>
      </c>
      <c r="B34" s="245" t="s">
        <v>356</v>
      </c>
      <c r="C34" s="245" t="s">
        <v>357</v>
      </c>
      <c r="D34" s="245" t="s">
        <v>292</v>
      </c>
      <c r="E34" s="245" t="s">
        <v>165</v>
      </c>
      <c r="F34" s="245" t="s">
        <v>132</v>
      </c>
      <c r="G34" s="249">
        <v>20603.28</v>
      </c>
      <c r="H34" s="204">
        <f t="shared" si="1"/>
        <v>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s="82" customFormat="1" x14ac:dyDescent="0.35">
      <c r="A35" s="244">
        <v>2300</v>
      </c>
      <c r="B35" s="245" t="s">
        <v>356</v>
      </c>
      <c r="C35" s="245" t="s">
        <v>357</v>
      </c>
      <c r="D35" s="245" t="s">
        <v>293</v>
      </c>
      <c r="E35" s="245" t="s">
        <v>165</v>
      </c>
      <c r="F35" s="245" t="s">
        <v>132</v>
      </c>
      <c r="G35" s="249">
        <v>20603.28</v>
      </c>
      <c r="H35" s="204">
        <f t="shared" si="1"/>
        <v>10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s="82" customFormat="1" x14ac:dyDescent="0.35">
      <c r="A36" s="244">
        <v>2300</v>
      </c>
      <c r="B36" s="245" t="s">
        <v>356</v>
      </c>
      <c r="C36" s="245" t="s">
        <v>357</v>
      </c>
      <c r="D36" s="245" t="s">
        <v>294</v>
      </c>
      <c r="E36" s="245" t="s">
        <v>165</v>
      </c>
      <c r="F36" s="245" t="s">
        <v>132</v>
      </c>
      <c r="G36" s="249">
        <v>20603.28</v>
      </c>
      <c r="H36" s="204">
        <f t="shared" si="1"/>
        <v>11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s="82" customFormat="1" x14ac:dyDescent="0.35">
      <c r="A37" s="244">
        <v>2300</v>
      </c>
      <c r="B37" s="245" t="s">
        <v>356</v>
      </c>
      <c r="C37" s="245" t="s">
        <v>357</v>
      </c>
      <c r="D37" s="245" t="s">
        <v>295</v>
      </c>
      <c r="E37" s="245" t="s">
        <v>165</v>
      </c>
      <c r="F37" s="245" t="s">
        <v>132</v>
      </c>
      <c r="G37" s="249">
        <v>20603.28</v>
      </c>
      <c r="H37" s="204">
        <f t="shared" si="1"/>
        <v>12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35">
      <c r="A38" s="244">
        <v>2300</v>
      </c>
      <c r="B38" s="245" t="s">
        <v>358</v>
      </c>
      <c r="C38" s="245" t="s">
        <v>359</v>
      </c>
      <c r="D38" s="245" t="s">
        <v>284</v>
      </c>
      <c r="E38" s="245" t="s">
        <v>165</v>
      </c>
      <c r="F38" s="245" t="s">
        <v>132</v>
      </c>
      <c r="G38" s="249">
        <v>4583</v>
      </c>
      <c r="H38" s="204">
        <f t="shared" si="0"/>
        <v>1</v>
      </c>
    </row>
    <row r="39" spans="1:26" x14ac:dyDescent="0.35">
      <c r="A39" s="244">
        <v>2300</v>
      </c>
      <c r="B39" s="245" t="s">
        <v>358</v>
      </c>
      <c r="C39" s="245" t="s">
        <v>359</v>
      </c>
      <c r="D39" s="245" t="s">
        <v>285</v>
      </c>
      <c r="E39" s="245" t="s">
        <v>165</v>
      </c>
      <c r="F39" s="245" t="s">
        <v>132</v>
      </c>
      <c r="G39" s="249">
        <v>4583</v>
      </c>
      <c r="H39" s="204">
        <f t="shared" si="0"/>
        <v>2</v>
      </c>
    </row>
    <row r="40" spans="1:26" x14ac:dyDescent="0.35">
      <c r="A40" s="244">
        <v>2300</v>
      </c>
      <c r="B40" s="245" t="s">
        <v>358</v>
      </c>
      <c r="C40" s="245" t="s">
        <v>359</v>
      </c>
      <c r="D40" s="245" t="s">
        <v>286</v>
      </c>
      <c r="E40" s="245" t="s">
        <v>165</v>
      </c>
      <c r="F40" s="245" t="s">
        <v>132</v>
      </c>
      <c r="G40" s="249">
        <v>4833</v>
      </c>
      <c r="H40" s="204">
        <f t="shared" si="0"/>
        <v>3</v>
      </c>
    </row>
    <row r="41" spans="1:26" x14ac:dyDescent="0.35">
      <c r="A41" s="244">
        <v>2300</v>
      </c>
      <c r="B41" s="245" t="s">
        <v>358</v>
      </c>
      <c r="C41" s="245" t="s">
        <v>359</v>
      </c>
      <c r="D41" s="245" t="s">
        <v>287</v>
      </c>
      <c r="E41" s="245" t="s">
        <v>165</v>
      </c>
      <c r="F41" s="245" t="s">
        <v>132</v>
      </c>
      <c r="G41" s="249">
        <v>4833</v>
      </c>
      <c r="H41" s="204">
        <f t="shared" si="0"/>
        <v>4</v>
      </c>
    </row>
    <row r="42" spans="1:26" x14ac:dyDescent="0.35">
      <c r="A42" s="244">
        <v>2300</v>
      </c>
      <c r="B42" s="245" t="s">
        <v>358</v>
      </c>
      <c r="C42" s="245" t="s">
        <v>359</v>
      </c>
      <c r="D42" s="245" t="s">
        <v>288</v>
      </c>
      <c r="E42" s="245" t="s">
        <v>165</v>
      </c>
      <c r="F42" s="245" t="s">
        <v>132</v>
      </c>
      <c r="G42" s="249">
        <v>4833</v>
      </c>
      <c r="H42" s="204">
        <f t="shared" si="0"/>
        <v>5</v>
      </c>
    </row>
    <row r="43" spans="1:26" x14ac:dyDescent="0.35">
      <c r="A43" s="244">
        <v>2300</v>
      </c>
      <c r="B43" s="245" t="s">
        <v>358</v>
      </c>
      <c r="C43" s="245" t="s">
        <v>359</v>
      </c>
      <c r="D43" s="245" t="s">
        <v>289</v>
      </c>
      <c r="E43" s="245" t="s">
        <v>165</v>
      </c>
      <c r="F43" s="245" t="s">
        <v>132</v>
      </c>
      <c r="G43" s="249">
        <v>4833</v>
      </c>
      <c r="H43" s="204">
        <f t="shared" si="0"/>
        <v>6</v>
      </c>
    </row>
    <row r="44" spans="1:26" x14ac:dyDescent="0.35">
      <c r="A44" s="244">
        <v>2300</v>
      </c>
      <c r="B44" s="245" t="s">
        <v>358</v>
      </c>
      <c r="C44" s="245" t="s">
        <v>359</v>
      </c>
      <c r="D44" s="245" t="s">
        <v>290</v>
      </c>
      <c r="E44" s="245" t="s">
        <v>165</v>
      </c>
      <c r="F44" s="245" t="s">
        <v>132</v>
      </c>
      <c r="G44" s="249">
        <v>4833</v>
      </c>
      <c r="H44" s="204">
        <f t="shared" si="0"/>
        <v>7</v>
      </c>
    </row>
    <row r="45" spans="1:26" x14ac:dyDescent="0.35">
      <c r="A45" s="244">
        <v>2300</v>
      </c>
      <c r="B45" s="245" t="s">
        <v>358</v>
      </c>
      <c r="C45" s="245" t="s">
        <v>359</v>
      </c>
      <c r="D45" s="245" t="s">
        <v>291</v>
      </c>
      <c r="E45" s="245" t="s">
        <v>165</v>
      </c>
      <c r="F45" s="245" t="s">
        <v>132</v>
      </c>
      <c r="G45" s="249">
        <v>4833</v>
      </c>
      <c r="H45" s="204">
        <f t="shared" si="0"/>
        <v>8</v>
      </c>
    </row>
    <row r="46" spans="1:26" x14ac:dyDescent="0.35">
      <c r="A46" s="244">
        <v>2300</v>
      </c>
      <c r="B46" s="245" t="s">
        <v>358</v>
      </c>
      <c r="C46" s="245" t="s">
        <v>359</v>
      </c>
      <c r="D46" s="245" t="s">
        <v>292</v>
      </c>
      <c r="E46" s="245" t="s">
        <v>165</v>
      </c>
      <c r="F46" s="245" t="s">
        <v>132</v>
      </c>
      <c r="G46" s="249">
        <v>4833</v>
      </c>
      <c r="H46" s="204">
        <f t="shared" si="0"/>
        <v>9</v>
      </c>
    </row>
    <row r="47" spans="1:26" x14ac:dyDescent="0.35">
      <c r="A47" s="244">
        <v>2300</v>
      </c>
      <c r="B47" s="245" t="s">
        <v>358</v>
      </c>
      <c r="C47" s="245" t="s">
        <v>359</v>
      </c>
      <c r="D47" s="245" t="s">
        <v>293</v>
      </c>
      <c r="E47" s="245" t="s">
        <v>165</v>
      </c>
      <c r="F47" s="245" t="s">
        <v>132</v>
      </c>
      <c r="G47" s="249">
        <v>4833</v>
      </c>
      <c r="H47" s="204">
        <f t="shared" si="0"/>
        <v>10</v>
      </c>
    </row>
    <row r="48" spans="1:26" x14ac:dyDescent="0.35">
      <c r="A48" s="244">
        <v>2300</v>
      </c>
      <c r="B48" s="245" t="s">
        <v>358</v>
      </c>
      <c r="C48" s="245" t="s">
        <v>359</v>
      </c>
      <c r="D48" s="245" t="s">
        <v>294</v>
      </c>
      <c r="E48" s="245" t="s">
        <v>165</v>
      </c>
      <c r="F48" s="245" t="s">
        <v>132</v>
      </c>
      <c r="G48" s="249">
        <v>4833</v>
      </c>
      <c r="H48" s="204">
        <f t="shared" ref="H48:H59" si="2">IF(D48="",0,MONTH(D48))</f>
        <v>11</v>
      </c>
    </row>
    <row r="49" spans="1:8" x14ac:dyDescent="0.35">
      <c r="A49" s="244">
        <v>2300</v>
      </c>
      <c r="B49" s="245" t="s">
        <v>358</v>
      </c>
      <c r="C49" s="245" t="s">
        <v>359</v>
      </c>
      <c r="D49" s="245" t="s">
        <v>295</v>
      </c>
      <c r="E49" s="245" t="s">
        <v>165</v>
      </c>
      <c r="F49" s="245" t="s">
        <v>132</v>
      </c>
      <c r="G49" s="249">
        <v>4833</v>
      </c>
      <c r="H49" s="204">
        <f t="shared" si="2"/>
        <v>12</v>
      </c>
    </row>
    <row r="50" spans="1:8" x14ac:dyDescent="0.35">
      <c r="A50" s="244">
        <v>2300</v>
      </c>
      <c r="B50" s="245" t="s">
        <v>360</v>
      </c>
      <c r="C50" s="245" t="s">
        <v>361</v>
      </c>
      <c r="D50" s="245" t="s">
        <v>284</v>
      </c>
      <c r="E50" s="245" t="s">
        <v>165</v>
      </c>
      <c r="F50" s="245" t="s">
        <v>132</v>
      </c>
      <c r="G50" s="249">
        <v>3350</v>
      </c>
      <c r="H50" s="204">
        <f t="shared" si="2"/>
        <v>1</v>
      </c>
    </row>
    <row r="51" spans="1:8" x14ac:dyDescent="0.35">
      <c r="A51" s="244">
        <v>2300</v>
      </c>
      <c r="B51" s="245" t="s">
        <v>360</v>
      </c>
      <c r="C51" s="245" t="s">
        <v>361</v>
      </c>
      <c r="D51" s="245" t="s">
        <v>285</v>
      </c>
      <c r="E51" s="245" t="s">
        <v>165</v>
      </c>
      <c r="F51" s="245" t="s">
        <v>132</v>
      </c>
      <c r="G51" s="249">
        <v>3350</v>
      </c>
      <c r="H51" s="204">
        <f t="shared" si="2"/>
        <v>2</v>
      </c>
    </row>
    <row r="52" spans="1:8" x14ac:dyDescent="0.35">
      <c r="A52" s="244">
        <v>2300</v>
      </c>
      <c r="B52" s="245" t="s">
        <v>360</v>
      </c>
      <c r="C52" s="245" t="s">
        <v>361</v>
      </c>
      <c r="D52" s="245" t="s">
        <v>286</v>
      </c>
      <c r="E52" s="245" t="s">
        <v>165</v>
      </c>
      <c r="F52" s="245" t="s">
        <v>132</v>
      </c>
      <c r="G52" s="249">
        <v>3350</v>
      </c>
      <c r="H52" s="204">
        <f t="shared" si="2"/>
        <v>3</v>
      </c>
    </row>
    <row r="53" spans="1:8" x14ac:dyDescent="0.35">
      <c r="A53" s="244">
        <v>2300</v>
      </c>
      <c r="B53" s="245" t="s">
        <v>360</v>
      </c>
      <c r="C53" s="245" t="s">
        <v>361</v>
      </c>
      <c r="D53" s="245" t="s">
        <v>287</v>
      </c>
      <c r="E53" s="245" t="s">
        <v>165</v>
      </c>
      <c r="F53" s="245" t="s">
        <v>132</v>
      </c>
      <c r="G53" s="249">
        <v>3350</v>
      </c>
      <c r="H53" s="204">
        <f t="shared" si="2"/>
        <v>4</v>
      </c>
    </row>
    <row r="54" spans="1:8" x14ac:dyDescent="0.35">
      <c r="A54" s="244">
        <v>2300</v>
      </c>
      <c r="B54" s="245" t="s">
        <v>360</v>
      </c>
      <c r="C54" s="245" t="s">
        <v>361</v>
      </c>
      <c r="D54" s="245" t="s">
        <v>288</v>
      </c>
      <c r="E54" s="245" t="s">
        <v>165</v>
      </c>
      <c r="F54" s="245" t="s">
        <v>132</v>
      </c>
      <c r="G54" s="249">
        <v>3350</v>
      </c>
      <c r="H54" s="204">
        <f t="shared" si="2"/>
        <v>5</v>
      </c>
    </row>
    <row r="55" spans="1:8" x14ac:dyDescent="0.35">
      <c r="A55" s="244">
        <v>2300</v>
      </c>
      <c r="B55" s="245" t="s">
        <v>360</v>
      </c>
      <c r="C55" s="245" t="s">
        <v>361</v>
      </c>
      <c r="D55" s="245" t="s">
        <v>289</v>
      </c>
      <c r="E55" s="245" t="s">
        <v>165</v>
      </c>
      <c r="F55" s="245" t="s">
        <v>132</v>
      </c>
      <c r="G55" s="249">
        <v>3350</v>
      </c>
      <c r="H55" s="204">
        <f t="shared" si="2"/>
        <v>6</v>
      </c>
    </row>
    <row r="56" spans="1:8" x14ac:dyDescent="0.35">
      <c r="A56" s="244">
        <v>2300</v>
      </c>
      <c r="B56" s="245" t="s">
        <v>360</v>
      </c>
      <c r="C56" s="245" t="s">
        <v>361</v>
      </c>
      <c r="D56" s="245" t="s">
        <v>290</v>
      </c>
      <c r="E56" s="245" t="s">
        <v>165</v>
      </c>
      <c r="F56" s="245" t="s">
        <v>132</v>
      </c>
      <c r="G56" s="249">
        <v>3350</v>
      </c>
      <c r="H56" s="204">
        <f t="shared" si="2"/>
        <v>7</v>
      </c>
    </row>
    <row r="57" spans="1:8" x14ac:dyDescent="0.35">
      <c r="A57" s="244">
        <v>2300</v>
      </c>
      <c r="B57" s="245" t="s">
        <v>360</v>
      </c>
      <c r="C57" s="245" t="s">
        <v>361</v>
      </c>
      <c r="D57" s="245" t="s">
        <v>291</v>
      </c>
      <c r="E57" s="245" t="s">
        <v>165</v>
      </c>
      <c r="F57" s="245" t="s">
        <v>132</v>
      </c>
      <c r="G57" s="249">
        <v>3350</v>
      </c>
      <c r="H57" s="204">
        <f t="shared" si="2"/>
        <v>8</v>
      </c>
    </row>
    <row r="58" spans="1:8" x14ac:dyDescent="0.35">
      <c r="A58" s="244">
        <v>2300</v>
      </c>
      <c r="B58" s="245" t="s">
        <v>360</v>
      </c>
      <c r="C58" s="245" t="s">
        <v>361</v>
      </c>
      <c r="D58" s="245" t="s">
        <v>292</v>
      </c>
      <c r="E58" s="245" t="s">
        <v>165</v>
      </c>
      <c r="F58" s="245" t="s">
        <v>132</v>
      </c>
      <c r="G58" s="249">
        <v>3350</v>
      </c>
      <c r="H58" s="204">
        <f t="shared" si="2"/>
        <v>9</v>
      </c>
    </row>
    <row r="59" spans="1:8" x14ac:dyDescent="0.35">
      <c r="A59" s="244">
        <v>2300</v>
      </c>
      <c r="B59" s="245" t="s">
        <v>360</v>
      </c>
      <c r="C59" s="245" t="s">
        <v>361</v>
      </c>
      <c r="D59" s="245" t="s">
        <v>293</v>
      </c>
      <c r="E59" s="245" t="s">
        <v>165</v>
      </c>
      <c r="F59" s="245" t="s">
        <v>132</v>
      </c>
      <c r="G59" s="249">
        <v>3350</v>
      </c>
      <c r="H59" s="204">
        <f t="shared" si="2"/>
        <v>10</v>
      </c>
    </row>
    <row r="60" spans="1:8" x14ac:dyDescent="0.35">
      <c r="A60" s="244">
        <v>2300</v>
      </c>
      <c r="B60" s="245" t="s">
        <v>360</v>
      </c>
      <c r="C60" s="245" t="s">
        <v>361</v>
      </c>
      <c r="D60" s="245" t="s">
        <v>294</v>
      </c>
      <c r="E60" s="245" t="s">
        <v>165</v>
      </c>
      <c r="F60" s="245" t="s">
        <v>132</v>
      </c>
      <c r="G60" s="249">
        <v>3350</v>
      </c>
      <c r="H60" s="204">
        <f t="shared" si="0"/>
        <v>11</v>
      </c>
    </row>
    <row r="61" spans="1:8" x14ac:dyDescent="0.35">
      <c r="A61" s="244">
        <v>2300</v>
      </c>
      <c r="B61" s="245" t="s">
        <v>360</v>
      </c>
      <c r="C61" s="245" t="s">
        <v>361</v>
      </c>
      <c r="D61" s="245" t="s">
        <v>295</v>
      </c>
      <c r="E61" s="245" t="s">
        <v>165</v>
      </c>
      <c r="F61" s="245" t="s">
        <v>132</v>
      </c>
      <c r="G61" s="249">
        <v>3350</v>
      </c>
      <c r="H61" s="204">
        <f t="shared" si="0"/>
        <v>12</v>
      </c>
    </row>
    <row r="62" spans="1:8" x14ac:dyDescent="0.35">
      <c r="A62" s="244">
        <v>2300</v>
      </c>
      <c r="B62" s="245" t="s">
        <v>362</v>
      </c>
      <c r="C62" s="245" t="s">
        <v>363</v>
      </c>
      <c r="D62" s="245" t="s">
        <v>284</v>
      </c>
      <c r="E62" s="245" t="s">
        <v>165</v>
      </c>
      <c r="F62" s="245" t="s">
        <v>132</v>
      </c>
      <c r="G62" s="249">
        <v>8000</v>
      </c>
      <c r="H62" s="204">
        <f t="shared" si="0"/>
        <v>1</v>
      </c>
    </row>
    <row r="63" spans="1:8" x14ac:dyDescent="0.35">
      <c r="A63" s="244">
        <v>2300</v>
      </c>
      <c r="B63" s="245" t="s">
        <v>362</v>
      </c>
      <c r="C63" s="245" t="s">
        <v>363</v>
      </c>
      <c r="D63" s="245" t="s">
        <v>285</v>
      </c>
      <c r="E63" s="245" t="s">
        <v>165</v>
      </c>
      <c r="F63" s="245" t="s">
        <v>132</v>
      </c>
      <c r="G63" s="249">
        <v>8000</v>
      </c>
      <c r="H63" s="204">
        <f t="shared" si="0"/>
        <v>2</v>
      </c>
    </row>
    <row r="64" spans="1:8" x14ac:dyDescent="0.35">
      <c r="A64" s="244">
        <v>2300</v>
      </c>
      <c r="B64" s="245" t="s">
        <v>362</v>
      </c>
      <c r="C64" s="245" t="s">
        <v>363</v>
      </c>
      <c r="D64" s="245" t="s">
        <v>286</v>
      </c>
      <c r="E64" s="245" t="s">
        <v>165</v>
      </c>
      <c r="F64" s="245" t="s">
        <v>132</v>
      </c>
      <c r="G64" s="249">
        <v>8000</v>
      </c>
      <c r="H64" s="204">
        <f t="shared" si="0"/>
        <v>3</v>
      </c>
    </row>
    <row r="65" spans="1:8" x14ac:dyDescent="0.35">
      <c r="A65" s="244">
        <v>2300</v>
      </c>
      <c r="B65" s="245" t="s">
        <v>362</v>
      </c>
      <c r="C65" s="245" t="s">
        <v>363</v>
      </c>
      <c r="D65" s="245" t="s">
        <v>287</v>
      </c>
      <c r="E65" s="245" t="s">
        <v>165</v>
      </c>
      <c r="F65" s="245" t="s">
        <v>132</v>
      </c>
      <c r="G65" s="249">
        <v>8000</v>
      </c>
      <c r="H65" s="204">
        <f t="shared" si="0"/>
        <v>4</v>
      </c>
    </row>
    <row r="66" spans="1:8" x14ac:dyDescent="0.35">
      <c r="A66" s="244">
        <v>2300</v>
      </c>
      <c r="B66" s="245" t="s">
        <v>362</v>
      </c>
      <c r="C66" s="245" t="s">
        <v>363</v>
      </c>
      <c r="D66" s="245" t="s">
        <v>288</v>
      </c>
      <c r="E66" s="245" t="s">
        <v>165</v>
      </c>
      <c r="F66" s="245" t="s">
        <v>132</v>
      </c>
      <c r="G66" s="249">
        <v>8000</v>
      </c>
      <c r="H66" s="204">
        <f t="shared" si="0"/>
        <v>5</v>
      </c>
    </row>
    <row r="67" spans="1:8" x14ac:dyDescent="0.35">
      <c r="A67" s="244">
        <v>2300</v>
      </c>
      <c r="B67" s="245" t="s">
        <v>362</v>
      </c>
      <c r="C67" s="245" t="s">
        <v>363</v>
      </c>
      <c r="D67" s="245" t="s">
        <v>289</v>
      </c>
      <c r="E67" s="245" t="s">
        <v>165</v>
      </c>
      <c r="F67" s="245" t="s">
        <v>132</v>
      </c>
      <c r="G67" s="249">
        <v>8000</v>
      </c>
      <c r="H67" s="204">
        <f t="shared" si="0"/>
        <v>6</v>
      </c>
    </row>
    <row r="68" spans="1:8" x14ac:dyDescent="0.35">
      <c r="A68" s="244">
        <v>2300</v>
      </c>
      <c r="B68" s="245" t="s">
        <v>362</v>
      </c>
      <c r="C68" s="245" t="s">
        <v>363</v>
      </c>
      <c r="D68" s="245" t="s">
        <v>290</v>
      </c>
      <c r="E68" s="245" t="s">
        <v>165</v>
      </c>
      <c r="F68" s="245" t="s">
        <v>132</v>
      </c>
      <c r="G68" s="249">
        <v>8000</v>
      </c>
      <c r="H68" s="204">
        <f t="shared" si="0"/>
        <v>7</v>
      </c>
    </row>
    <row r="69" spans="1:8" x14ac:dyDescent="0.35">
      <c r="A69" s="244">
        <v>2300</v>
      </c>
      <c r="B69" s="245" t="s">
        <v>362</v>
      </c>
      <c r="C69" s="245" t="s">
        <v>363</v>
      </c>
      <c r="D69" s="245" t="s">
        <v>291</v>
      </c>
      <c r="E69" s="245" t="s">
        <v>165</v>
      </c>
      <c r="F69" s="245" t="s">
        <v>132</v>
      </c>
      <c r="G69" s="249">
        <v>8000</v>
      </c>
      <c r="H69" s="204">
        <f t="shared" si="0"/>
        <v>8</v>
      </c>
    </row>
    <row r="70" spans="1:8" x14ac:dyDescent="0.35">
      <c r="A70" s="244">
        <v>2300</v>
      </c>
      <c r="B70" s="245" t="s">
        <v>362</v>
      </c>
      <c r="C70" s="245" t="s">
        <v>363</v>
      </c>
      <c r="D70" s="245" t="s">
        <v>292</v>
      </c>
      <c r="E70" s="245" t="s">
        <v>165</v>
      </c>
      <c r="F70" s="245" t="s">
        <v>132</v>
      </c>
      <c r="G70" s="249">
        <v>8000</v>
      </c>
      <c r="H70" s="204">
        <f t="shared" si="0"/>
        <v>9</v>
      </c>
    </row>
    <row r="71" spans="1:8" x14ac:dyDescent="0.35">
      <c r="A71" s="244">
        <v>2300</v>
      </c>
      <c r="B71" s="245" t="s">
        <v>362</v>
      </c>
      <c r="C71" s="245" t="s">
        <v>363</v>
      </c>
      <c r="D71" s="245" t="s">
        <v>293</v>
      </c>
      <c r="E71" s="245" t="s">
        <v>165</v>
      </c>
      <c r="F71" s="245" t="s">
        <v>132</v>
      </c>
      <c r="G71" s="249">
        <v>8000</v>
      </c>
      <c r="H71" s="204">
        <f t="shared" si="0"/>
        <v>10</v>
      </c>
    </row>
    <row r="72" spans="1:8" x14ac:dyDescent="0.35">
      <c r="A72" s="244">
        <v>2300</v>
      </c>
      <c r="B72" s="245" t="s">
        <v>362</v>
      </c>
      <c r="C72" s="245" t="s">
        <v>363</v>
      </c>
      <c r="D72" s="245" t="s">
        <v>294</v>
      </c>
      <c r="E72" s="245" t="s">
        <v>165</v>
      </c>
      <c r="F72" s="245" t="s">
        <v>132</v>
      </c>
      <c r="G72" s="249">
        <v>8000</v>
      </c>
      <c r="H72" s="204">
        <f t="shared" si="0"/>
        <v>11</v>
      </c>
    </row>
    <row r="73" spans="1:8" x14ac:dyDescent="0.35">
      <c r="A73" s="244">
        <v>2300</v>
      </c>
      <c r="B73" s="245" t="s">
        <v>362</v>
      </c>
      <c r="C73" s="245" t="s">
        <v>363</v>
      </c>
      <c r="D73" s="245" t="s">
        <v>295</v>
      </c>
      <c r="E73" s="245" t="s">
        <v>165</v>
      </c>
      <c r="F73" s="245" t="s">
        <v>132</v>
      </c>
      <c r="G73" s="249">
        <v>8000</v>
      </c>
      <c r="H73" s="204">
        <f t="shared" si="0"/>
        <v>12</v>
      </c>
    </row>
    <row r="74" spans="1:8" x14ac:dyDescent="0.35">
      <c r="A74" s="244">
        <v>2300</v>
      </c>
      <c r="B74" s="245" t="s">
        <v>364</v>
      </c>
      <c r="C74" s="245" t="s">
        <v>365</v>
      </c>
      <c r="D74" s="245" t="s">
        <v>284</v>
      </c>
      <c r="E74" s="245" t="s">
        <v>165</v>
      </c>
      <c r="F74" s="245" t="s">
        <v>132</v>
      </c>
      <c r="G74" s="249">
        <v>3666.67</v>
      </c>
      <c r="H74" s="204">
        <f t="shared" si="0"/>
        <v>1</v>
      </c>
    </row>
    <row r="75" spans="1:8" x14ac:dyDescent="0.35">
      <c r="A75" s="244">
        <v>2300</v>
      </c>
      <c r="B75" s="245" t="s">
        <v>364</v>
      </c>
      <c r="C75" s="245" t="s">
        <v>365</v>
      </c>
      <c r="D75" s="245" t="s">
        <v>285</v>
      </c>
      <c r="E75" s="245" t="s">
        <v>165</v>
      </c>
      <c r="F75" s="245" t="s">
        <v>132</v>
      </c>
      <c r="G75" s="251">
        <v>3666.67</v>
      </c>
      <c r="H75" s="204">
        <f t="shared" si="0"/>
        <v>2</v>
      </c>
    </row>
    <row r="76" spans="1:8" x14ac:dyDescent="0.35">
      <c r="A76" s="244">
        <v>2300</v>
      </c>
      <c r="B76" s="245" t="s">
        <v>364</v>
      </c>
      <c r="C76" s="245" t="s">
        <v>365</v>
      </c>
      <c r="D76" s="245" t="s">
        <v>286</v>
      </c>
      <c r="E76" s="245" t="s">
        <v>165</v>
      </c>
      <c r="F76" s="245" t="s">
        <v>132</v>
      </c>
      <c r="G76" s="251">
        <v>3666.67</v>
      </c>
      <c r="H76" s="204">
        <f t="shared" si="0"/>
        <v>3</v>
      </c>
    </row>
    <row r="77" spans="1:8" x14ac:dyDescent="0.35">
      <c r="A77" s="244">
        <v>2300</v>
      </c>
      <c r="B77" s="245" t="s">
        <v>364</v>
      </c>
      <c r="C77" s="245" t="s">
        <v>365</v>
      </c>
      <c r="D77" s="245" t="s">
        <v>287</v>
      </c>
      <c r="E77" s="245" t="s">
        <v>165</v>
      </c>
      <c r="F77" s="245" t="s">
        <v>132</v>
      </c>
      <c r="G77" s="251">
        <v>3666.67</v>
      </c>
      <c r="H77" s="204">
        <f t="shared" si="0"/>
        <v>4</v>
      </c>
    </row>
    <row r="78" spans="1:8" x14ac:dyDescent="0.35">
      <c r="A78" s="244">
        <v>2300</v>
      </c>
      <c r="B78" s="245" t="s">
        <v>364</v>
      </c>
      <c r="C78" s="245" t="s">
        <v>365</v>
      </c>
      <c r="D78" s="245" t="s">
        <v>288</v>
      </c>
      <c r="E78" s="245" t="s">
        <v>165</v>
      </c>
      <c r="F78" s="245" t="s">
        <v>132</v>
      </c>
      <c r="G78" s="251">
        <v>3666.67</v>
      </c>
      <c r="H78" s="204">
        <f t="shared" si="0"/>
        <v>5</v>
      </c>
    </row>
    <row r="79" spans="1:8" x14ac:dyDescent="0.35">
      <c r="A79" s="244">
        <v>2300</v>
      </c>
      <c r="B79" s="245" t="s">
        <v>364</v>
      </c>
      <c r="C79" s="245" t="s">
        <v>365</v>
      </c>
      <c r="D79" s="245" t="s">
        <v>289</v>
      </c>
      <c r="E79" s="245" t="s">
        <v>165</v>
      </c>
      <c r="F79" s="245" t="s">
        <v>132</v>
      </c>
      <c r="G79" s="251">
        <v>3666.67</v>
      </c>
      <c r="H79" s="204">
        <f t="shared" si="0"/>
        <v>6</v>
      </c>
    </row>
    <row r="80" spans="1:8" x14ac:dyDescent="0.35">
      <c r="A80" s="244">
        <v>2300</v>
      </c>
      <c r="B80" s="245" t="s">
        <v>364</v>
      </c>
      <c r="C80" s="245" t="s">
        <v>365</v>
      </c>
      <c r="D80" s="245" t="s">
        <v>290</v>
      </c>
      <c r="E80" s="245" t="s">
        <v>165</v>
      </c>
      <c r="F80" s="245" t="s">
        <v>132</v>
      </c>
      <c r="G80" s="251">
        <v>3666.67</v>
      </c>
      <c r="H80" s="204">
        <f t="shared" si="0"/>
        <v>7</v>
      </c>
    </row>
    <row r="81" spans="1:8" x14ac:dyDescent="0.35">
      <c r="A81" s="244">
        <v>2300</v>
      </c>
      <c r="B81" s="245" t="s">
        <v>364</v>
      </c>
      <c r="C81" s="245" t="s">
        <v>365</v>
      </c>
      <c r="D81" s="245" t="s">
        <v>291</v>
      </c>
      <c r="E81" s="245" t="s">
        <v>165</v>
      </c>
      <c r="F81" s="245" t="s">
        <v>132</v>
      </c>
      <c r="G81" s="251">
        <v>3666.67</v>
      </c>
      <c r="H81" s="204">
        <f t="shared" si="0"/>
        <v>8</v>
      </c>
    </row>
    <row r="82" spans="1:8" x14ac:dyDescent="0.35">
      <c r="A82" s="244">
        <v>2300</v>
      </c>
      <c r="B82" s="245" t="s">
        <v>364</v>
      </c>
      <c r="C82" s="245" t="s">
        <v>365</v>
      </c>
      <c r="D82" s="245" t="s">
        <v>292</v>
      </c>
      <c r="E82" s="245" t="s">
        <v>165</v>
      </c>
      <c r="F82" s="245" t="s">
        <v>132</v>
      </c>
      <c r="G82" s="251">
        <v>3666.67</v>
      </c>
      <c r="H82" s="204">
        <f t="shared" si="0"/>
        <v>9</v>
      </c>
    </row>
    <row r="83" spans="1:8" x14ac:dyDescent="0.35">
      <c r="A83" s="244">
        <v>2300</v>
      </c>
      <c r="B83" s="245" t="s">
        <v>364</v>
      </c>
      <c r="C83" s="245" t="s">
        <v>365</v>
      </c>
      <c r="D83" s="245" t="s">
        <v>293</v>
      </c>
      <c r="E83" s="245" t="s">
        <v>165</v>
      </c>
      <c r="F83" s="245" t="s">
        <v>132</v>
      </c>
      <c r="G83" s="251">
        <v>3666.67</v>
      </c>
      <c r="H83" s="204">
        <f t="shared" si="0"/>
        <v>10</v>
      </c>
    </row>
    <row r="84" spans="1:8" s="82" customFormat="1" x14ac:dyDescent="0.35">
      <c r="A84" s="244">
        <v>2300</v>
      </c>
      <c r="B84" s="245" t="s">
        <v>364</v>
      </c>
      <c r="C84" s="245" t="s">
        <v>365</v>
      </c>
      <c r="D84" s="245" t="s">
        <v>294</v>
      </c>
      <c r="E84" s="245" t="s">
        <v>165</v>
      </c>
      <c r="F84" s="245" t="s">
        <v>132</v>
      </c>
      <c r="G84" s="251">
        <v>3666.67</v>
      </c>
      <c r="H84" s="204">
        <f t="shared" ref="H84:H91" si="3">IF(D84="",0,MONTH(D84))</f>
        <v>11</v>
      </c>
    </row>
    <row r="85" spans="1:8" s="82" customFormat="1" x14ac:dyDescent="0.35">
      <c r="A85" s="244">
        <v>2300</v>
      </c>
      <c r="B85" s="245" t="s">
        <v>364</v>
      </c>
      <c r="C85" s="245" t="s">
        <v>365</v>
      </c>
      <c r="D85" s="245" t="s">
        <v>295</v>
      </c>
      <c r="E85" s="245" t="s">
        <v>165</v>
      </c>
      <c r="F85" s="245" t="s">
        <v>132</v>
      </c>
      <c r="G85" s="251">
        <v>3666.67</v>
      </c>
      <c r="H85" s="204">
        <f t="shared" si="3"/>
        <v>12</v>
      </c>
    </row>
    <row r="86" spans="1:8" s="82" customFormat="1" x14ac:dyDescent="0.35">
      <c r="A86" s="244">
        <v>2300</v>
      </c>
      <c r="B86" s="245" t="s">
        <v>366</v>
      </c>
      <c r="C86" s="245" t="s">
        <v>367</v>
      </c>
      <c r="D86" s="245" t="s">
        <v>284</v>
      </c>
      <c r="E86" s="245" t="s">
        <v>165</v>
      </c>
      <c r="F86" s="245" t="s">
        <v>132</v>
      </c>
      <c r="G86" s="251">
        <v>4000</v>
      </c>
      <c r="H86" s="204">
        <f t="shared" si="3"/>
        <v>1</v>
      </c>
    </row>
    <row r="87" spans="1:8" s="82" customFormat="1" x14ac:dyDescent="0.35">
      <c r="A87" s="244">
        <v>2300</v>
      </c>
      <c r="B87" s="245" t="s">
        <v>366</v>
      </c>
      <c r="C87" s="245" t="s">
        <v>367</v>
      </c>
      <c r="D87" s="245" t="s">
        <v>285</v>
      </c>
      <c r="E87" s="245" t="s">
        <v>165</v>
      </c>
      <c r="F87" s="245" t="s">
        <v>132</v>
      </c>
      <c r="G87" s="249">
        <v>4000</v>
      </c>
      <c r="H87" s="204">
        <f t="shared" si="3"/>
        <v>2</v>
      </c>
    </row>
    <row r="88" spans="1:8" s="82" customFormat="1" x14ac:dyDescent="0.35">
      <c r="A88" s="244">
        <v>2300</v>
      </c>
      <c r="B88" s="245" t="s">
        <v>366</v>
      </c>
      <c r="C88" s="245" t="s">
        <v>367</v>
      </c>
      <c r="D88" s="245" t="s">
        <v>286</v>
      </c>
      <c r="E88" s="245" t="s">
        <v>165</v>
      </c>
      <c r="F88" s="245" t="s">
        <v>132</v>
      </c>
      <c r="G88" s="249">
        <v>4200</v>
      </c>
      <c r="H88" s="204">
        <f t="shared" si="3"/>
        <v>3</v>
      </c>
    </row>
    <row r="89" spans="1:8" s="82" customFormat="1" x14ac:dyDescent="0.35">
      <c r="A89" s="244">
        <v>2300</v>
      </c>
      <c r="B89" s="245" t="s">
        <v>366</v>
      </c>
      <c r="C89" s="245" t="s">
        <v>367</v>
      </c>
      <c r="D89" s="245" t="s">
        <v>287</v>
      </c>
      <c r="E89" s="245" t="s">
        <v>165</v>
      </c>
      <c r="F89" s="245" t="s">
        <v>132</v>
      </c>
      <c r="G89" s="249">
        <v>4200</v>
      </c>
      <c r="H89" s="204">
        <f t="shared" si="3"/>
        <v>4</v>
      </c>
    </row>
    <row r="90" spans="1:8" s="82" customFormat="1" x14ac:dyDescent="0.35">
      <c r="A90" s="244">
        <v>2300</v>
      </c>
      <c r="B90" s="245" t="s">
        <v>366</v>
      </c>
      <c r="C90" s="245" t="s">
        <v>367</v>
      </c>
      <c r="D90" s="245" t="s">
        <v>288</v>
      </c>
      <c r="E90" s="245" t="s">
        <v>165</v>
      </c>
      <c r="F90" s="245" t="s">
        <v>132</v>
      </c>
      <c r="G90" s="249">
        <v>4200</v>
      </c>
      <c r="H90" s="204">
        <f t="shared" si="3"/>
        <v>5</v>
      </c>
    </row>
    <row r="91" spans="1:8" s="82" customFormat="1" x14ac:dyDescent="0.35">
      <c r="A91" s="244">
        <v>2300</v>
      </c>
      <c r="B91" s="245" t="s">
        <v>366</v>
      </c>
      <c r="C91" s="245" t="s">
        <v>367</v>
      </c>
      <c r="D91" s="245" t="s">
        <v>289</v>
      </c>
      <c r="E91" s="245" t="s">
        <v>165</v>
      </c>
      <c r="F91" s="245" t="s">
        <v>132</v>
      </c>
      <c r="G91" s="249">
        <v>4200</v>
      </c>
      <c r="H91" s="204">
        <f t="shared" si="3"/>
        <v>6</v>
      </c>
    </row>
    <row r="92" spans="1:8" x14ac:dyDescent="0.35">
      <c r="A92" s="244">
        <v>2300</v>
      </c>
      <c r="B92" s="245" t="s">
        <v>366</v>
      </c>
      <c r="C92" s="245" t="s">
        <v>367</v>
      </c>
      <c r="D92" s="245" t="s">
        <v>290</v>
      </c>
      <c r="E92" s="245" t="s">
        <v>165</v>
      </c>
      <c r="F92" s="245" t="s">
        <v>132</v>
      </c>
      <c r="G92" s="249">
        <v>4200</v>
      </c>
      <c r="H92" s="204">
        <f t="shared" ref="H92:H106" si="4">IF(D92="",0,MONTH(D92))</f>
        <v>7</v>
      </c>
    </row>
    <row r="93" spans="1:8" x14ac:dyDescent="0.35">
      <c r="A93" s="244">
        <v>2300</v>
      </c>
      <c r="B93" s="245" t="s">
        <v>366</v>
      </c>
      <c r="C93" s="245" t="s">
        <v>367</v>
      </c>
      <c r="D93" s="245" t="s">
        <v>291</v>
      </c>
      <c r="E93" s="245" t="s">
        <v>165</v>
      </c>
      <c r="F93" s="245" t="s">
        <v>132</v>
      </c>
      <c r="G93" s="249">
        <v>4200</v>
      </c>
      <c r="H93" s="204">
        <f t="shared" si="4"/>
        <v>8</v>
      </c>
    </row>
    <row r="94" spans="1:8" x14ac:dyDescent="0.35">
      <c r="A94" s="244">
        <v>2300</v>
      </c>
      <c r="B94" s="245" t="s">
        <v>366</v>
      </c>
      <c r="C94" s="245" t="s">
        <v>367</v>
      </c>
      <c r="D94" s="245" t="s">
        <v>292</v>
      </c>
      <c r="E94" s="245" t="s">
        <v>165</v>
      </c>
      <c r="F94" s="245" t="s">
        <v>132</v>
      </c>
      <c r="G94" s="249">
        <v>4200</v>
      </c>
      <c r="H94" s="204">
        <f t="shared" si="4"/>
        <v>9</v>
      </c>
    </row>
    <row r="95" spans="1:8" s="82" customFormat="1" x14ac:dyDescent="0.35">
      <c r="A95" s="244">
        <v>2300</v>
      </c>
      <c r="B95" s="245" t="s">
        <v>366</v>
      </c>
      <c r="C95" s="245" t="s">
        <v>367</v>
      </c>
      <c r="D95" s="245" t="s">
        <v>293</v>
      </c>
      <c r="E95" s="245" t="s">
        <v>165</v>
      </c>
      <c r="F95" s="245" t="s">
        <v>132</v>
      </c>
      <c r="G95" s="249">
        <v>4200</v>
      </c>
      <c r="H95" s="204">
        <f t="shared" si="4"/>
        <v>10</v>
      </c>
    </row>
    <row r="96" spans="1:8" s="82" customFormat="1" x14ac:dyDescent="0.35">
      <c r="A96" s="244">
        <v>2300</v>
      </c>
      <c r="B96" s="245" t="s">
        <v>366</v>
      </c>
      <c r="C96" s="245" t="s">
        <v>367</v>
      </c>
      <c r="D96" s="245" t="s">
        <v>294</v>
      </c>
      <c r="E96" s="245" t="s">
        <v>165</v>
      </c>
      <c r="F96" s="245" t="s">
        <v>132</v>
      </c>
      <c r="G96" s="249">
        <v>4200</v>
      </c>
      <c r="H96" s="204">
        <f t="shared" si="4"/>
        <v>11</v>
      </c>
    </row>
    <row r="97" spans="1:8" s="82" customFormat="1" x14ac:dyDescent="0.35">
      <c r="A97" s="244">
        <v>2300</v>
      </c>
      <c r="B97" s="245" t="s">
        <v>366</v>
      </c>
      <c r="C97" s="245" t="s">
        <v>367</v>
      </c>
      <c r="D97" s="245" t="s">
        <v>295</v>
      </c>
      <c r="E97" s="245" t="s">
        <v>165</v>
      </c>
      <c r="F97" s="245" t="s">
        <v>132</v>
      </c>
      <c r="G97" s="249">
        <v>4200</v>
      </c>
      <c r="H97" s="204">
        <f t="shared" si="4"/>
        <v>12</v>
      </c>
    </row>
    <row r="98" spans="1:8" s="82" customFormat="1" x14ac:dyDescent="0.35">
      <c r="A98" s="244">
        <v>2300</v>
      </c>
      <c r="B98" s="245" t="s">
        <v>368</v>
      </c>
      <c r="C98" s="245" t="s">
        <v>369</v>
      </c>
      <c r="D98" s="245" t="s">
        <v>284</v>
      </c>
      <c r="E98" s="245" t="s">
        <v>165</v>
      </c>
      <c r="F98" s="245" t="s">
        <v>132</v>
      </c>
      <c r="G98" s="249">
        <v>3200</v>
      </c>
      <c r="H98" s="204">
        <f t="shared" si="4"/>
        <v>1</v>
      </c>
    </row>
    <row r="99" spans="1:8" s="82" customFormat="1" x14ac:dyDescent="0.35">
      <c r="A99" s="244">
        <v>2300</v>
      </c>
      <c r="B99" s="245" t="s">
        <v>368</v>
      </c>
      <c r="C99" s="245" t="s">
        <v>369</v>
      </c>
      <c r="D99" s="245" t="s">
        <v>285</v>
      </c>
      <c r="E99" s="245" t="s">
        <v>165</v>
      </c>
      <c r="F99" s="245" t="s">
        <v>132</v>
      </c>
      <c r="G99" s="249">
        <v>3200</v>
      </c>
      <c r="H99" s="204">
        <f t="shared" si="4"/>
        <v>2</v>
      </c>
    </row>
    <row r="100" spans="1:8" s="82" customFormat="1" x14ac:dyDescent="0.35">
      <c r="A100" s="244">
        <v>2300</v>
      </c>
      <c r="B100" s="245" t="s">
        <v>368</v>
      </c>
      <c r="C100" s="245" t="s">
        <v>369</v>
      </c>
      <c r="D100" s="245" t="s">
        <v>286</v>
      </c>
      <c r="E100" s="245" t="s">
        <v>165</v>
      </c>
      <c r="F100" s="245" t="s">
        <v>132</v>
      </c>
      <c r="G100" s="249">
        <v>3200</v>
      </c>
      <c r="H100" s="204">
        <f t="shared" si="4"/>
        <v>3</v>
      </c>
    </row>
    <row r="101" spans="1:8" s="82" customFormat="1" x14ac:dyDescent="0.35">
      <c r="A101" s="244">
        <v>2300</v>
      </c>
      <c r="B101" s="245" t="s">
        <v>368</v>
      </c>
      <c r="C101" s="245" t="s">
        <v>369</v>
      </c>
      <c r="D101" s="245" t="s">
        <v>287</v>
      </c>
      <c r="E101" s="245" t="s">
        <v>165</v>
      </c>
      <c r="F101" s="245" t="s">
        <v>132</v>
      </c>
      <c r="G101" s="249">
        <v>3200</v>
      </c>
      <c r="H101" s="204">
        <f t="shared" si="4"/>
        <v>4</v>
      </c>
    </row>
    <row r="102" spans="1:8" s="82" customFormat="1" x14ac:dyDescent="0.35">
      <c r="A102" s="244">
        <v>2300</v>
      </c>
      <c r="B102" s="245" t="s">
        <v>368</v>
      </c>
      <c r="C102" s="245" t="s">
        <v>369</v>
      </c>
      <c r="D102" s="245" t="s">
        <v>288</v>
      </c>
      <c r="E102" s="245" t="s">
        <v>165</v>
      </c>
      <c r="F102" s="245" t="s">
        <v>132</v>
      </c>
      <c r="G102" s="249">
        <v>3200</v>
      </c>
      <c r="H102" s="204">
        <f t="shared" si="4"/>
        <v>5</v>
      </c>
    </row>
    <row r="103" spans="1:8" s="82" customFormat="1" x14ac:dyDescent="0.35">
      <c r="A103" s="244">
        <v>2300</v>
      </c>
      <c r="B103" s="245" t="s">
        <v>368</v>
      </c>
      <c r="C103" s="245" t="s">
        <v>369</v>
      </c>
      <c r="D103" s="245" t="s">
        <v>289</v>
      </c>
      <c r="E103" s="245" t="s">
        <v>165</v>
      </c>
      <c r="F103" s="245" t="s">
        <v>132</v>
      </c>
      <c r="G103" s="249">
        <v>3333.33</v>
      </c>
      <c r="H103" s="204">
        <f t="shared" si="4"/>
        <v>6</v>
      </c>
    </row>
    <row r="104" spans="1:8" s="82" customFormat="1" x14ac:dyDescent="0.35">
      <c r="A104" s="244">
        <v>2300</v>
      </c>
      <c r="B104" s="245" t="s">
        <v>368</v>
      </c>
      <c r="C104" s="245" t="s">
        <v>369</v>
      </c>
      <c r="D104" s="245" t="s">
        <v>290</v>
      </c>
      <c r="E104" s="245" t="s">
        <v>165</v>
      </c>
      <c r="F104" s="245" t="s">
        <v>132</v>
      </c>
      <c r="G104" s="249">
        <v>3333.33</v>
      </c>
      <c r="H104" s="204">
        <f t="shared" si="4"/>
        <v>7</v>
      </c>
    </row>
    <row r="105" spans="1:8" s="82" customFormat="1" x14ac:dyDescent="0.35">
      <c r="A105" s="244">
        <v>2300</v>
      </c>
      <c r="B105" s="245" t="s">
        <v>368</v>
      </c>
      <c r="C105" s="245" t="s">
        <v>369</v>
      </c>
      <c r="D105" s="245" t="s">
        <v>291</v>
      </c>
      <c r="E105" s="245" t="s">
        <v>165</v>
      </c>
      <c r="F105" s="245" t="s">
        <v>132</v>
      </c>
      <c r="G105" s="249">
        <v>3333.33</v>
      </c>
      <c r="H105" s="204">
        <f t="shared" si="4"/>
        <v>8</v>
      </c>
    </row>
    <row r="106" spans="1:8" s="82" customFormat="1" x14ac:dyDescent="0.35">
      <c r="A106" s="244">
        <v>2300</v>
      </c>
      <c r="B106" s="245" t="s">
        <v>368</v>
      </c>
      <c r="C106" s="245" t="s">
        <v>369</v>
      </c>
      <c r="D106" s="245" t="s">
        <v>292</v>
      </c>
      <c r="E106" s="245" t="s">
        <v>165</v>
      </c>
      <c r="F106" s="245" t="s">
        <v>132</v>
      </c>
      <c r="G106" s="249">
        <v>3333.33</v>
      </c>
      <c r="H106" s="204">
        <f t="shared" si="4"/>
        <v>9</v>
      </c>
    </row>
    <row r="107" spans="1:8" s="82" customFormat="1" x14ac:dyDescent="0.35">
      <c r="A107" s="244">
        <v>2300</v>
      </c>
      <c r="B107" s="245" t="s">
        <v>368</v>
      </c>
      <c r="C107" s="245" t="s">
        <v>369</v>
      </c>
      <c r="D107" s="245" t="s">
        <v>293</v>
      </c>
      <c r="E107" s="245" t="s">
        <v>165</v>
      </c>
      <c r="F107" s="245" t="s">
        <v>132</v>
      </c>
      <c r="G107" s="249">
        <v>3333.33</v>
      </c>
      <c r="H107" s="204">
        <f t="shared" si="0"/>
        <v>10</v>
      </c>
    </row>
    <row r="108" spans="1:8" s="82" customFormat="1" x14ac:dyDescent="0.35">
      <c r="A108" s="244">
        <v>2300</v>
      </c>
      <c r="B108" s="245" t="s">
        <v>368</v>
      </c>
      <c r="C108" s="245" t="s">
        <v>369</v>
      </c>
      <c r="D108" s="245" t="s">
        <v>294</v>
      </c>
      <c r="E108" s="245" t="s">
        <v>165</v>
      </c>
      <c r="F108" s="245" t="s">
        <v>132</v>
      </c>
      <c r="G108" s="249">
        <v>3333.33</v>
      </c>
      <c r="H108" s="204">
        <f t="shared" si="0"/>
        <v>11</v>
      </c>
    </row>
    <row r="109" spans="1:8" s="82" customFormat="1" x14ac:dyDescent="0.35">
      <c r="A109" s="244">
        <v>2300</v>
      </c>
      <c r="B109" s="245" t="s">
        <v>368</v>
      </c>
      <c r="C109" s="245" t="s">
        <v>369</v>
      </c>
      <c r="D109" s="245" t="s">
        <v>295</v>
      </c>
      <c r="E109" s="245" t="s">
        <v>165</v>
      </c>
      <c r="F109" s="245" t="s">
        <v>132</v>
      </c>
      <c r="G109" s="249">
        <v>3333.33</v>
      </c>
      <c r="H109" s="204">
        <f t="shared" si="0"/>
        <v>12</v>
      </c>
    </row>
    <row r="110" spans="1:8" s="82" customFormat="1" x14ac:dyDescent="0.35">
      <c r="A110" s="244">
        <v>2300</v>
      </c>
      <c r="B110" s="245" t="s">
        <v>370</v>
      </c>
      <c r="C110" s="245" t="s">
        <v>371</v>
      </c>
      <c r="D110" s="245" t="s">
        <v>284</v>
      </c>
      <c r="E110" s="245" t="s">
        <v>165</v>
      </c>
      <c r="F110" s="245" t="s">
        <v>132</v>
      </c>
      <c r="G110" s="249">
        <v>3093.33</v>
      </c>
      <c r="H110" s="204">
        <f t="shared" si="0"/>
        <v>1</v>
      </c>
    </row>
    <row r="111" spans="1:8" s="82" customFormat="1" x14ac:dyDescent="0.35">
      <c r="A111" s="244">
        <v>2300</v>
      </c>
      <c r="B111" s="245" t="s">
        <v>370</v>
      </c>
      <c r="C111" s="245" t="s">
        <v>371</v>
      </c>
      <c r="D111" s="245" t="s">
        <v>285</v>
      </c>
      <c r="E111" s="245" t="s">
        <v>165</v>
      </c>
      <c r="F111" s="245" t="s">
        <v>132</v>
      </c>
      <c r="G111" s="249">
        <v>3093.33</v>
      </c>
      <c r="H111" s="204">
        <f t="shared" si="0"/>
        <v>2</v>
      </c>
    </row>
    <row r="112" spans="1:8" s="82" customFormat="1" x14ac:dyDescent="0.35">
      <c r="A112" s="244">
        <v>2300</v>
      </c>
      <c r="B112" s="245" t="s">
        <v>370</v>
      </c>
      <c r="C112" s="245" t="s">
        <v>371</v>
      </c>
      <c r="D112" s="245" t="s">
        <v>286</v>
      </c>
      <c r="E112" s="245" t="s">
        <v>165</v>
      </c>
      <c r="F112" s="245" t="s">
        <v>132</v>
      </c>
      <c r="G112" s="249">
        <v>3093.33</v>
      </c>
      <c r="H112" s="204">
        <f t="shared" si="0"/>
        <v>3</v>
      </c>
    </row>
    <row r="113" spans="1:8" s="82" customFormat="1" x14ac:dyDescent="0.35">
      <c r="A113" s="244">
        <v>2300</v>
      </c>
      <c r="B113" s="245" t="s">
        <v>370</v>
      </c>
      <c r="C113" s="245" t="s">
        <v>371</v>
      </c>
      <c r="D113" s="245" t="s">
        <v>287</v>
      </c>
      <c r="E113" s="245" t="s">
        <v>165</v>
      </c>
      <c r="F113" s="245" t="s">
        <v>132</v>
      </c>
      <c r="G113" s="249">
        <v>3093.33</v>
      </c>
      <c r="H113" s="204">
        <f t="shared" ref="H113:H186" si="5">IF(D113="",0,MONTH(D113))</f>
        <v>4</v>
      </c>
    </row>
    <row r="114" spans="1:8" s="82" customFormat="1" x14ac:dyDescent="0.35">
      <c r="A114" s="244">
        <v>2300</v>
      </c>
      <c r="B114" s="245" t="s">
        <v>370</v>
      </c>
      <c r="C114" s="245" t="s">
        <v>371</v>
      </c>
      <c r="D114" s="245" t="s">
        <v>288</v>
      </c>
      <c r="E114" s="245" t="s">
        <v>165</v>
      </c>
      <c r="F114" s="245" t="s">
        <v>132</v>
      </c>
      <c r="G114" s="249">
        <v>3093.33</v>
      </c>
      <c r="H114" s="204">
        <f t="shared" si="5"/>
        <v>5</v>
      </c>
    </row>
    <row r="115" spans="1:8" s="82" customFormat="1" x14ac:dyDescent="0.35">
      <c r="A115" s="244">
        <v>2300</v>
      </c>
      <c r="B115" s="245" t="s">
        <v>370</v>
      </c>
      <c r="C115" s="245" t="s">
        <v>371</v>
      </c>
      <c r="D115" s="245" t="s">
        <v>289</v>
      </c>
      <c r="E115" s="245" t="s">
        <v>165</v>
      </c>
      <c r="F115" s="245" t="s">
        <v>132</v>
      </c>
      <c r="G115" s="249">
        <v>3093.33</v>
      </c>
      <c r="H115" s="204">
        <f t="shared" si="5"/>
        <v>6</v>
      </c>
    </row>
    <row r="116" spans="1:8" s="82" customFormat="1" x14ac:dyDescent="0.35">
      <c r="A116" s="244">
        <v>2300</v>
      </c>
      <c r="B116" s="245" t="s">
        <v>372</v>
      </c>
      <c r="C116" s="245" t="s">
        <v>373</v>
      </c>
      <c r="D116" s="245" t="s">
        <v>284</v>
      </c>
      <c r="E116" s="245" t="s">
        <v>165</v>
      </c>
      <c r="F116" s="245" t="s">
        <v>132</v>
      </c>
      <c r="G116" s="249">
        <v>9166.67</v>
      </c>
      <c r="H116" s="204">
        <f t="shared" si="5"/>
        <v>1</v>
      </c>
    </row>
    <row r="117" spans="1:8" s="82" customFormat="1" x14ac:dyDescent="0.35">
      <c r="A117" s="244">
        <v>2300</v>
      </c>
      <c r="B117" s="245" t="s">
        <v>372</v>
      </c>
      <c r="C117" s="245" t="s">
        <v>373</v>
      </c>
      <c r="D117" s="245" t="s">
        <v>285</v>
      </c>
      <c r="E117" s="245" t="s">
        <v>165</v>
      </c>
      <c r="F117" s="245" t="s">
        <v>132</v>
      </c>
      <c r="G117" s="249">
        <v>9166.67</v>
      </c>
      <c r="H117" s="204">
        <f t="shared" si="5"/>
        <v>2</v>
      </c>
    </row>
    <row r="118" spans="1:8" s="82" customFormat="1" x14ac:dyDescent="0.35">
      <c r="A118" s="244">
        <v>2300</v>
      </c>
      <c r="B118" s="245" t="s">
        <v>372</v>
      </c>
      <c r="C118" s="245" t="s">
        <v>373</v>
      </c>
      <c r="D118" s="245" t="s">
        <v>286</v>
      </c>
      <c r="E118" s="245" t="s">
        <v>165</v>
      </c>
      <c r="F118" s="245" t="s">
        <v>132</v>
      </c>
      <c r="G118" s="249">
        <v>9166.67</v>
      </c>
      <c r="H118" s="204">
        <f t="shared" si="5"/>
        <v>3</v>
      </c>
    </row>
    <row r="119" spans="1:8" s="82" customFormat="1" x14ac:dyDescent="0.35">
      <c r="A119" s="244">
        <v>2300</v>
      </c>
      <c r="B119" s="245" t="s">
        <v>372</v>
      </c>
      <c r="C119" s="245" t="s">
        <v>373</v>
      </c>
      <c r="D119" s="245" t="s">
        <v>287</v>
      </c>
      <c r="E119" s="245" t="s">
        <v>165</v>
      </c>
      <c r="F119" s="245" t="s">
        <v>132</v>
      </c>
      <c r="G119" s="249">
        <v>9166.67</v>
      </c>
      <c r="H119" s="204">
        <f t="shared" ref="H119:H136" si="6">IF(D119="",0,MONTH(D119))</f>
        <v>4</v>
      </c>
    </row>
    <row r="120" spans="1:8" s="82" customFormat="1" x14ac:dyDescent="0.35">
      <c r="A120" s="244">
        <v>2300</v>
      </c>
      <c r="B120" s="245" t="s">
        <v>372</v>
      </c>
      <c r="C120" s="245" t="s">
        <v>373</v>
      </c>
      <c r="D120" s="245" t="s">
        <v>288</v>
      </c>
      <c r="E120" s="245" t="s">
        <v>165</v>
      </c>
      <c r="F120" s="245" t="s">
        <v>132</v>
      </c>
      <c r="G120" s="249">
        <v>9166.67</v>
      </c>
      <c r="H120" s="204">
        <f t="shared" si="6"/>
        <v>5</v>
      </c>
    </row>
    <row r="121" spans="1:8" s="82" customFormat="1" x14ac:dyDescent="0.35">
      <c r="A121" s="244">
        <v>2300</v>
      </c>
      <c r="B121" s="245" t="s">
        <v>372</v>
      </c>
      <c r="C121" s="245" t="s">
        <v>373</v>
      </c>
      <c r="D121" s="245" t="s">
        <v>289</v>
      </c>
      <c r="E121" s="245" t="s">
        <v>165</v>
      </c>
      <c r="F121" s="245" t="s">
        <v>132</v>
      </c>
      <c r="G121" s="249">
        <v>9166.67</v>
      </c>
      <c r="H121" s="204">
        <f t="shared" si="6"/>
        <v>6</v>
      </c>
    </row>
    <row r="122" spans="1:8" s="82" customFormat="1" x14ac:dyDescent="0.35">
      <c r="A122" s="244">
        <v>2300</v>
      </c>
      <c r="B122" s="245" t="s">
        <v>372</v>
      </c>
      <c r="C122" s="245" t="s">
        <v>373</v>
      </c>
      <c r="D122" s="245" t="s">
        <v>290</v>
      </c>
      <c r="E122" s="245" t="s">
        <v>165</v>
      </c>
      <c r="F122" s="245" t="s">
        <v>132</v>
      </c>
      <c r="G122" s="249">
        <v>9166.67</v>
      </c>
      <c r="H122" s="204">
        <f t="shared" si="6"/>
        <v>7</v>
      </c>
    </row>
    <row r="123" spans="1:8" s="82" customFormat="1" x14ac:dyDescent="0.35">
      <c r="A123" s="244">
        <v>2300</v>
      </c>
      <c r="B123" s="245" t="s">
        <v>372</v>
      </c>
      <c r="C123" s="245" t="s">
        <v>373</v>
      </c>
      <c r="D123" s="245" t="s">
        <v>291</v>
      </c>
      <c r="E123" s="245" t="s">
        <v>165</v>
      </c>
      <c r="F123" s="245" t="s">
        <v>132</v>
      </c>
      <c r="G123" s="249">
        <v>9166.67</v>
      </c>
      <c r="H123" s="204">
        <f t="shared" si="6"/>
        <v>8</v>
      </c>
    </row>
    <row r="124" spans="1:8" s="82" customFormat="1" x14ac:dyDescent="0.35">
      <c r="A124" s="244">
        <v>2300</v>
      </c>
      <c r="B124" s="245" t="s">
        <v>372</v>
      </c>
      <c r="C124" s="245" t="s">
        <v>373</v>
      </c>
      <c r="D124" s="245" t="s">
        <v>292</v>
      </c>
      <c r="E124" s="245" t="s">
        <v>165</v>
      </c>
      <c r="F124" s="245" t="s">
        <v>132</v>
      </c>
      <c r="G124" s="249">
        <v>9166.67</v>
      </c>
      <c r="H124" s="204">
        <f t="shared" si="6"/>
        <v>9</v>
      </c>
    </row>
    <row r="125" spans="1:8" x14ac:dyDescent="0.35">
      <c r="A125" s="244">
        <v>2300</v>
      </c>
      <c r="B125" s="245" t="s">
        <v>372</v>
      </c>
      <c r="C125" s="245" t="s">
        <v>373</v>
      </c>
      <c r="D125" s="245" t="s">
        <v>293</v>
      </c>
      <c r="E125" s="245" t="s">
        <v>165</v>
      </c>
      <c r="F125" s="245" t="s">
        <v>132</v>
      </c>
      <c r="G125" s="249">
        <v>9166.67</v>
      </c>
      <c r="H125" s="204">
        <f t="shared" si="6"/>
        <v>10</v>
      </c>
    </row>
    <row r="126" spans="1:8" x14ac:dyDescent="0.35">
      <c r="A126" s="244">
        <v>2300</v>
      </c>
      <c r="B126" s="245" t="s">
        <v>372</v>
      </c>
      <c r="C126" s="245" t="s">
        <v>373</v>
      </c>
      <c r="D126" s="245" t="s">
        <v>294</v>
      </c>
      <c r="E126" s="245" t="s">
        <v>165</v>
      </c>
      <c r="F126" s="245" t="s">
        <v>132</v>
      </c>
      <c r="G126" s="249">
        <v>9166.67</v>
      </c>
      <c r="H126" s="204">
        <f t="shared" si="6"/>
        <v>11</v>
      </c>
    </row>
    <row r="127" spans="1:8" x14ac:dyDescent="0.35">
      <c r="A127" s="244">
        <v>2300</v>
      </c>
      <c r="B127" s="245" t="s">
        <v>372</v>
      </c>
      <c r="C127" s="245" t="s">
        <v>373</v>
      </c>
      <c r="D127" s="245" t="s">
        <v>295</v>
      </c>
      <c r="E127" s="245" t="s">
        <v>165</v>
      </c>
      <c r="F127" s="245" t="s">
        <v>132</v>
      </c>
      <c r="G127" s="249">
        <v>9166.67</v>
      </c>
      <c r="H127" s="204">
        <f t="shared" si="6"/>
        <v>12</v>
      </c>
    </row>
    <row r="128" spans="1:8" x14ac:dyDescent="0.35">
      <c r="A128" s="244">
        <v>2300</v>
      </c>
      <c r="B128" s="245" t="s">
        <v>374</v>
      </c>
      <c r="C128" s="245" t="s">
        <v>375</v>
      </c>
      <c r="D128" s="245" t="s">
        <v>284</v>
      </c>
      <c r="E128" s="245" t="s">
        <v>165</v>
      </c>
      <c r="F128" s="245" t="s">
        <v>132</v>
      </c>
      <c r="G128" s="249">
        <v>8016.33</v>
      </c>
      <c r="H128" s="204">
        <f t="shared" si="6"/>
        <v>1</v>
      </c>
    </row>
    <row r="129" spans="1:8" x14ac:dyDescent="0.35">
      <c r="A129" s="244">
        <v>2300</v>
      </c>
      <c r="B129" s="245" t="s">
        <v>374</v>
      </c>
      <c r="C129" s="245" t="s">
        <v>375</v>
      </c>
      <c r="D129" s="245" t="s">
        <v>285</v>
      </c>
      <c r="E129" s="245" t="s">
        <v>165</v>
      </c>
      <c r="F129" s="245" t="s">
        <v>132</v>
      </c>
      <c r="G129" s="249">
        <v>8016.33</v>
      </c>
      <c r="H129" s="204">
        <f t="shared" si="6"/>
        <v>2</v>
      </c>
    </row>
    <row r="130" spans="1:8" x14ac:dyDescent="0.35">
      <c r="A130" s="244">
        <v>2300</v>
      </c>
      <c r="B130" s="245" t="s">
        <v>374</v>
      </c>
      <c r="C130" s="245" t="s">
        <v>375</v>
      </c>
      <c r="D130" s="245" t="s">
        <v>286</v>
      </c>
      <c r="E130" s="245" t="s">
        <v>165</v>
      </c>
      <c r="F130" s="245" t="s">
        <v>132</v>
      </c>
      <c r="G130" s="249">
        <v>8016.33</v>
      </c>
      <c r="H130" s="204">
        <f t="shared" si="6"/>
        <v>3</v>
      </c>
    </row>
    <row r="131" spans="1:8" x14ac:dyDescent="0.35">
      <c r="A131" s="244">
        <v>2300</v>
      </c>
      <c r="B131" s="245" t="s">
        <v>374</v>
      </c>
      <c r="C131" s="245" t="s">
        <v>375</v>
      </c>
      <c r="D131" s="245" t="s">
        <v>287</v>
      </c>
      <c r="E131" s="245" t="s">
        <v>165</v>
      </c>
      <c r="F131" s="245" t="s">
        <v>132</v>
      </c>
      <c r="G131" s="249">
        <v>8016.33</v>
      </c>
      <c r="H131" s="204">
        <f t="shared" si="6"/>
        <v>4</v>
      </c>
    </row>
    <row r="132" spans="1:8" x14ac:dyDescent="0.35">
      <c r="A132" s="244">
        <v>2300</v>
      </c>
      <c r="B132" s="245" t="s">
        <v>374</v>
      </c>
      <c r="C132" s="245" t="s">
        <v>375</v>
      </c>
      <c r="D132" s="245" t="s">
        <v>288</v>
      </c>
      <c r="E132" s="245" t="s">
        <v>165</v>
      </c>
      <c r="F132" s="245" t="s">
        <v>132</v>
      </c>
      <c r="G132" s="249">
        <v>8016.33</v>
      </c>
      <c r="H132" s="204">
        <f t="shared" si="6"/>
        <v>5</v>
      </c>
    </row>
    <row r="133" spans="1:8" x14ac:dyDescent="0.35">
      <c r="A133" s="244">
        <v>2300</v>
      </c>
      <c r="B133" s="245" t="s">
        <v>374</v>
      </c>
      <c r="C133" s="245" t="s">
        <v>375</v>
      </c>
      <c r="D133" s="245" t="s">
        <v>289</v>
      </c>
      <c r="E133" s="245" t="s">
        <v>165</v>
      </c>
      <c r="F133" s="245" t="s">
        <v>132</v>
      </c>
      <c r="G133" s="249">
        <v>8016.33</v>
      </c>
      <c r="H133" s="204">
        <f t="shared" si="6"/>
        <v>6</v>
      </c>
    </row>
    <row r="134" spans="1:8" x14ac:dyDescent="0.35">
      <c r="A134" s="244">
        <v>2300</v>
      </c>
      <c r="B134" s="245" t="s">
        <v>374</v>
      </c>
      <c r="C134" s="245" t="s">
        <v>375</v>
      </c>
      <c r="D134" s="245" t="s">
        <v>290</v>
      </c>
      <c r="E134" s="245" t="s">
        <v>165</v>
      </c>
      <c r="F134" s="245" t="s">
        <v>132</v>
      </c>
      <c r="G134" s="249">
        <v>8016.33</v>
      </c>
      <c r="H134" s="204">
        <f t="shared" si="6"/>
        <v>7</v>
      </c>
    </row>
    <row r="135" spans="1:8" x14ac:dyDescent="0.35">
      <c r="A135" s="244">
        <v>2300</v>
      </c>
      <c r="B135" s="245" t="s">
        <v>374</v>
      </c>
      <c r="C135" s="245" t="s">
        <v>375</v>
      </c>
      <c r="D135" s="245" t="s">
        <v>291</v>
      </c>
      <c r="E135" s="245" t="s">
        <v>165</v>
      </c>
      <c r="F135" s="245" t="s">
        <v>132</v>
      </c>
      <c r="G135" s="249">
        <v>8016.33</v>
      </c>
      <c r="H135" s="204">
        <f t="shared" si="6"/>
        <v>8</v>
      </c>
    </row>
    <row r="136" spans="1:8" x14ac:dyDescent="0.35">
      <c r="A136" s="244">
        <v>2300</v>
      </c>
      <c r="B136" s="245" t="s">
        <v>374</v>
      </c>
      <c r="C136" s="245" t="s">
        <v>375</v>
      </c>
      <c r="D136" s="245" t="s">
        <v>292</v>
      </c>
      <c r="E136" s="245" t="s">
        <v>165</v>
      </c>
      <c r="F136" s="245" t="s">
        <v>132</v>
      </c>
      <c r="G136" s="249">
        <v>8016.33</v>
      </c>
      <c r="H136" s="204">
        <f t="shared" si="6"/>
        <v>9</v>
      </c>
    </row>
    <row r="137" spans="1:8" x14ac:dyDescent="0.35">
      <c r="A137" s="244">
        <v>2300</v>
      </c>
      <c r="B137" s="245" t="s">
        <v>374</v>
      </c>
      <c r="C137" s="245" t="s">
        <v>375</v>
      </c>
      <c r="D137" s="245" t="s">
        <v>293</v>
      </c>
      <c r="E137" s="245" t="s">
        <v>165</v>
      </c>
      <c r="F137" s="245" t="s">
        <v>132</v>
      </c>
      <c r="G137" s="249">
        <v>8016.33</v>
      </c>
      <c r="H137" s="204">
        <f t="shared" si="5"/>
        <v>10</v>
      </c>
    </row>
    <row r="138" spans="1:8" x14ac:dyDescent="0.35">
      <c r="A138" s="244">
        <v>2300</v>
      </c>
      <c r="B138" s="245" t="s">
        <v>374</v>
      </c>
      <c r="C138" s="245" t="s">
        <v>375</v>
      </c>
      <c r="D138" s="245" t="s">
        <v>294</v>
      </c>
      <c r="E138" s="245" t="s">
        <v>165</v>
      </c>
      <c r="F138" s="245" t="s">
        <v>132</v>
      </c>
      <c r="G138" s="249">
        <v>8016.33</v>
      </c>
      <c r="H138" s="204">
        <f t="shared" si="5"/>
        <v>11</v>
      </c>
    </row>
    <row r="139" spans="1:8" x14ac:dyDescent="0.35">
      <c r="A139" s="244">
        <v>2300</v>
      </c>
      <c r="B139" s="245" t="s">
        <v>374</v>
      </c>
      <c r="C139" s="245" t="s">
        <v>375</v>
      </c>
      <c r="D139" s="245" t="s">
        <v>295</v>
      </c>
      <c r="E139" s="245" t="s">
        <v>165</v>
      </c>
      <c r="F139" s="245" t="s">
        <v>132</v>
      </c>
      <c r="G139" s="249">
        <v>8016.33</v>
      </c>
      <c r="H139" s="204">
        <f t="shared" si="5"/>
        <v>12</v>
      </c>
    </row>
    <row r="140" spans="1:8" x14ac:dyDescent="0.35">
      <c r="A140" s="244">
        <v>2300</v>
      </c>
      <c r="B140" s="245" t="s">
        <v>376</v>
      </c>
      <c r="C140" s="245" t="s">
        <v>377</v>
      </c>
      <c r="D140" s="245" t="s">
        <v>284</v>
      </c>
      <c r="E140" s="245" t="s">
        <v>165</v>
      </c>
      <c r="F140" s="245" t="s">
        <v>132</v>
      </c>
      <c r="G140" s="249">
        <v>5000</v>
      </c>
      <c r="H140" s="204">
        <f t="shared" si="5"/>
        <v>1</v>
      </c>
    </row>
    <row r="141" spans="1:8" x14ac:dyDescent="0.35">
      <c r="A141" s="244">
        <v>2300</v>
      </c>
      <c r="B141" s="245" t="s">
        <v>376</v>
      </c>
      <c r="C141" s="245" t="s">
        <v>377</v>
      </c>
      <c r="D141" s="245" t="s">
        <v>285</v>
      </c>
      <c r="E141" s="245" t="s">
        <v>165</v>
      </c>
      <c r="F141" s="245" t="s">
        <v>132</v>
      </c>
      <c r="G141" s="249">
        <v>5000</v>
      </c>
      <c r="H141" s="204">
        <f t="shared" si="5"/>
        <v>2</v>
      </c>
    </row>
    <row r="142" spans="1:8" x14ac:dyDescent="0.35">
      <c r="A142" s="244">
        <v>2300</v>
      </c>
      <c r="B142" s="245" t="s">
        <v>376</v>
      </c>
      <c r="C142" s="245" t="s">
        <v>377</v>
      </c>
      <c r="D142" s="245" t="s">
        <v>286</v>
      </c>
      <c r="E142" s="245" t="s">
        <v>165</v>
      </c>
      <c r="F142" s="245" t="s">
        <v>132</v>
      </c>
      <c r="G142" s="249">
        <v>5000</v>
      </c>
      <c r="H142" s="204">
        <f t="shared" si="5"/>
        <v>3</v>
      </c>
    </row>
    <row r="143" spans="1:8" x14ac:dyDescent="0.35">
      <c r="A143" s="244">
        <v>2300</v>
      </c>
      <c r="B143" s="245" t="s">
        <v>376</v>
      </c>
      <c r="C143" s="245" t="s">
        <v>377</v>
      </c>
      <c r="D143" s="245" t="s">
        <v>287</v>
      </c>
      <c r="E143" s="245" t="s">
        <v>165</v>
      </c>
      <c r="F143" s="245" t="s">
        <v>132</v>
      </c>
      <c r="G143" s="249">
        <v>5000</v>
      </c>
      <c r="H143" s="204">
        <f t="shared" si="5"/>
        <v>4</v>
      </c>
    </row>
    <row r="144" spans="1:8" x14ac:dyDescent="0.35">
      <c r="A144" s="244">
        <v>2300</v>
      </c>
      <c r="B144" s="245" t="s">
        <v>376</v>
      </c>
      <c r="C144" s="245" t="s">
        <v>377</v>
      </c>
      <c r="D144" s="245" t="s">
        <v>288</v>
      </c>
      <c r="E144" s="245" t="s">
        <v>165</v>
      </c>
      <c r="F144" s="245" t="s">
        <v>132</v>
      </c>
      <c r="G144" s="249">
        <v>5000</v>
      </c>
      <c r="H144" s="204">
        <f t="shared" si="5"/>
        <v>5</v>
      </c>
    </row>
    <row r="145" spans="1:8" x14ac:dyDescent="0.35">
      <c r="A145" s="244">
        <v>2300</v>
      </c>
      <c r="B145" s="245" t="s">
        <v>376</v>
      </c>
      <c r="C145" s="245" t="s">
        <v>377</v>
      </c>
      <c r="D145" s="245" t="s">
        <v>289</v>
      </c>
      <c r="E145" s="245" t="s">
        <v>165</v>
      </c>
      <c r="F145" s="245" t="s">
        <v>132</v>
      </c>
      <c r="G145" s="249">
        <v>5000</v>
      </c>
      <c r="H145" s="204">
        <f t="shared" si="5"/>
        <v>6</v>
      </c>
    </row>
    <row r="146" spans="1:8" x14ac:dyDescent="0.35">
      <c r="A146" s="244">
        <v>2300</v>
      </c>
      <c r="B146" s="245" t="s">
        <v>376</v>
      </c>
      <c r="C146" s="245" t="s">
        <v>377</v>
      </c>
      <c r="D146" s="245" t="s">
        <v>290</v>
      </c>
      <c r="E146" s="245" t="s">
        <v>165</v>
      </c>
      <c r="F146" s="245" t="s">
        <v>132</v>
      </c>
      <c r="G146" s="249">
        <v>5000</v>
      </c>
      <c r="H146" s="204">
        <f t="shared" si="5"/>
        <v>7</v>
      </c>
    </row>
    <row r="147" spans="1:8" x14ac:dyDescent="0.35">
      <c r="A147" s="244">
        <v>2300</v>
      </c>
      <c r="B147" s="245" t="s">
        <v>376</v>
      </c>
      <c r="C147" s="245" t="s">
        <v>377</v>
      </c>
      <c r="D147" s="245" t="s">
        <v>291</v>
      </c>
      <c r="E147" s="245" t="s">
        <v>165</v>
      </c>
      <c r="F147" s="245" t="s">
        <v>132</v>
      </c>
      <c r="G147" s="249">
        <v>5000</v>
      </c>
      <c r="H147" s="204">
        <f t="shared" si="5"/>
        <v>8</v>
      </c>
    </row>
    <row r="148" spans="1:8" x14ac:dyDescent="0.35">
      <c r="A148" s="244">
        <v>2300</v>
      </c>
      <c r="B148" s="245" t="s">
        <v>376</v>
      </c>
      <c r="C148" s="245" t="s">
        <v>377</v>
      </c>
      <c r="D148" s="245" t="s">
        <v>292</v>
      </c>
      <c r="E148" s="245" t="s">
        <v>165</v>
      </c>
      <c r="F148" s="245" t="s">
        <v>132</v>
      </c>
      <c r="G148" s="249">
        <v>5000</v>
      </c>
      <c r="H148" s="204">
        <f t="shared" si="5"/>
        <v>9</v>
      </c>
    </row>
    <row r="149" spans="1:8" x14ac:dyDescent="0.35">
      <c r="A149" s="244">
        <v>2300</v>
      </c>
      <c r="B149" s="245" t="s">
        <v>376</v>
      </c>
      <c r="C149" s="245" t="s">
        <v>377</v>
      </c>
      <c r="D149" s="245" t="s">
        <v>293</v>
      </c>
      <c r="E149" s="245" t="s">
        <v>165</v>
      </c>
      <c r="F149" s="245" t="s">
        <v>132</v>
      </c>
      <c r="G149" s="249">
        <v>5000</v>
      </c>
      <c r="H149" s="204">
        <f t="shared" si="5"/>
        <v>10</v>
      </c>
    </row>
    <row r="150" spans="1:8" x14ac:dyDescent="0.35">
      <c r="A150" s="244">
        <v>2300</v>
      </c>
      <c r="B150" s="245" t="s">
        <v>376</v>
      </c>
      <c r="C150" s="245" t="s">
        <v>377</v>
      </c>
      <c r="D150" s="245" t="s">
        <v>294</v>
      </c>
      <c r="E150" s="245" t="s">
        <v>165</v>
      </c>
      <c r="F150" s="245" t="s">
        <v>132</v>
      </c>
      <c r="G150" s="249">
        <v>5000</v>
      </c>
      <c r="H150" s="204">
        <f t="shared" si="5"/>
        <v>11</v>
      </c>
    </row>
    <row r="151" spans="1:8" x14ac:dyDescent="0.35">
      <c r="A151" s="244">
        <v>2300</v>
      </c>
      <c r="B151" s="245" t="s">
        <v>376</v>
      </c>
      <c r="C151" s="245" t="s">
        <v>377</v>
      </c>
      <c r="D151" s="245" t="s">
        <v>295</v>
      </c>
      <c r="E151" s="245" t="s">
        <v>165</v>
      </c>
      <c r="F151" s="245" t="s">
        <v>132</v>
      </c>
      <c r="G151" s="249">
        <v>5000</v>
      </c>
      <c r="H151" s="204">
        <f t="shared" si="5"/>
        <v>12</v>
      </c>
    </row>
    <row r="152" spans="1:8" x14ac:dyDescent="0.35">
      <c r="A152" s="244">
        <v>4500</v>
      </c>
      <c r="B152" s="245" t="s">
        <v>378</v>
      </c>
      <c r="C152" s="245" t="s">
        <v>379</v>
      </c>
      <c r="D152" s="245" t="s">
        <v>284</v>
      </c>
      <c r="E152" s="245" t="s">
        <v>165</v>
      </c>
      <c r="F152" s="245" t="s">
        <v>132</v>
      </c>
      <c r="G152" s="249">
        <v>6666.67</v>
      </c>
      <c r="H152" s="204">
        <f t="shared" si="5"/>
        <v>1</v>
      </c>
    </row>
    <row r="153" spans="1:8" x14ac:dyDescent="0.35">
      <c r="A153" s="244">
        <v>4500</v>
      </c>
      <c r="B153" s="245" t="s">
        <v>378</v>
      </c>
      <c r="C153" s="245" t="s">
        <v>379</v>
      </c>
      <c r="D153" s="245" t="s">
        <v>285</v>
      </c>
      <c r="E153" s="245" t="s">
        <v>165</v>
      </c>
      <c r="F153" s="245" t="s">
        <v>132</v>
      </c>
      <c r="G153" s="249">
        <v>6666.67</v>
      </c>
      <c r="H153" s="204">
        <f t="shared" si="5"/>
        <v>2</v>
      </c>
    </row>
    <row r="154" spans="1:8" x14ac:dyDescent="0.35">
      <c r="A154" s="244">
        <v>4500</v>
      </c>
      <c r="B154" s="245" t="s">
        <v>378</v>
      </c>
      <c r="C154" s="245" t="s">
        <v>379</v>
      </c>
      <c r="D154" s="245" t="s">
        <v>286</v>
      </c>
      <c r="E154" s="245" t="s">
        <v>165</v>
      </c>
      <c r="F154" s="245" t="s">
        <v>132</v>
      </c>
      <c r="G154" s="249">
        <v>6666.67</v>
      </c>
      <c r="H154" s="204">
        <f t="shared" si="5"/>
        <v>3</v>
      </c>
    </row>
    <row r="155" spans="1:8" x14ac:dyDescent="0.35">
      <c r="A155" s="244">
        <v>4500</v>
      </c>
      <c r="B155" s="245" t="s">
        <v>378</v>
      </c>
      <c r="C155" s="245" t="s">
        <v>379</v>
      </c>
      <c r="D155" s="245" t="s">
        <v>287</v>
      </c>
      <c r="E155" s="245" t="s">
        <v>165</v>
      </c>
      <c r="F155" s="245" t="s">
        <v>132</v>
      </c>
      <c r="G155" s="249">
        <v>6666.67</v>
      </c>
      <c r="H155" s="204">
        <f t="shared" si="5"/>
        <v>4</v>
      </c>
    </row>
    <row r="156" spans="1:8" x14ac:dyDescent="0.35">
      <c r="A156" s="244">
        <v>4500</v>
      </c>
      <c r="B156" s="245" t="s">
        <v>378</v>
      </c>
      <c r="C156" s="245" t="s">
        <v>379</v>
      </c>
      <c r="D156" s="245" t="s">
        <v>288</v>
      </c>
      <c r="E156" s="245" t="s">
        <v>165</v>
      </c>
      <c r="F156" s="245" t="s">
        <v>132</v>
      </c>
      <c r="G156" s="249">
        <v>6666.67</v>
      </c>
      <c r="H156" s="204">
        <f t="shared" si="5"/>
        <v>5</v>
      </c>
    </row>
    <row r="157" spans="1:8" x14ac:dyDescent="0.35">
      <c r="A157" s="244">
        <v>4500</v>
      </c>
      <c r="B157" s="245" t="s">
        <v>378</v>
      </c>
      <c r="C157" s="245" t="s">
        <v>379</v>
      </c>
      <c r="D157" s="245" t="s">
        <v>289</v>
      </c>
      <c r="E157" s="245" t="s">
        <v>165</v>
      </c>
      <c r="F157" s="245" t="s">
        <v>132</v>
      </c>
      <c r="G157" s="249">
        <v>6666.67</v>
      </c>
      <c r="H157" s="204">
        <f t="shared" si="5"/>
        <v>6</v>
      </c>
    </row>
    <row r="158" spans="1:8" x14ac:dyDescent="0.35">
      <c r="A158" s="244">
        <v>4500</v>
      </c>
      <c r="B158" s="245" t="s">
        <v>378</v>
      </c>
      <c r="C158" s="245" t="s">
        <v>379</v>
      </c>
      <c r="D158" s="245" t="s">
        <v>290</v>
      </c>
      <c r="E158" s="245" t="s">
        <v>165</v>
      </c>
      <c r="F158" s="245" t="s">
        <v>132</v>
      </c>
      <c r="G158" s="249">
        <v>6666.67</v>
      </c>
      <c r="H158" s="204">
        <f t="shared" si="5"/>
        <v>7</v>
      </c>
    </row>
    <row r="159" spans="1:8" x14ac:dyDescent="0.35">
      <c r="A159" s="244">
        <v>4500</v>
      </c>
      <c r="B159" s="245" t="s">
        <v>378</v>
      </c>
      <c r="C159" s="245" t="s">
        <v>379</v>
      </c>
      <c r="D159" s="245" t="s">
        <v>291</v>
      </c>
      <c r="E159" s="245" t="s">
        <v>165</v>
      </c>
      <c r="F159" s="245" t="s">
        <v>132</v>
      </c>
      <c r="G159" s="249">
        <v>6666.67</v>
      </c>
      <c r="H159" s="204">
        <f t="shared" si="5"/>
        <v>8</v>
      </c>
    </row>
    <row r="160" spans="1:8" x14ac:dyDescent="0.35">
      <c r="A160" s="244">
        <v>4500</v>
      </c>
      <c r="B160" s="245" t="s">
        <v>378</v>
      </c>
      <c r="C160" s="245" t="s">
        <v>379</v>
      </c>
      <c r="D160" s="245" t="s">
        <v>292</v>
      </c>
      <c r="E160" s="245" t="s">
        <v>165</v>
      </c>
      <c r="F160" s="245" t="s">
        <v>132</v>
      </c>
      <c r="G160" s="249">
        <v>6666.67</v>
      </c>
      <c r="H160" s="204">
        <f t="shared" si="5"/>
        <v>9</v>
      </c>
    </row>
    <row r="161" spans="1:8" x14ac:dyDescent="0.35">
      <c r="A161" s="244">
        <v>4500</v>
      </c>
      <c r="B161" s="245" t="s">
        <v>378</v>
      </c>
      <c r="C161" s="245" t="s">
        <v>379</v>
      </c>
      <c r="D161" s="245" t="s">
        <v>293</v>
      </c>
      <c r="E161" s="245" t="s">
        <v>165</v>
      </c>
      <c r="F161" s="245" t="s">
        <v>132</v>
      </c>
      <c r="G161" s="249">
        <v>6666.67</v>
      </c>
      <c r="H161" s="204">
        <f t="shared" si="5"/>
        <v>10</v>
      </c>
    </row>
    <row r="162" spans="1:8" x14ac:dyDescent="0.35">
      <c r="A162" s="244">
        <v>4500</v>
      </c>
      <c r="B162" s="245" t="s">
        <v>378</v>
      </c>
      <c r="C162" s="245" t="s">
        <v>379</v>
      </c>
      <c r="D162" s="245" t="s">
        <v>294</v>
      </c>
      <c r="E162" s="245" t="s">
        <v>165</v>
      </c>
      <c r="F162" s="245" t="s">
        <v>132</v>
      </c>
      <c r="G162" s="249">
        <v>6666.67</v>
      </c>
      <c r="H162" s="204">
        <f t="shared" si="5"/>
        <v>11</v>
      </c>
    </row>
    <row r="163" spans="1:8" x14ac:dyDescent="0.35">
      <c r="A163" s="244">
        <v>4500</v>
      </c>
      <c r="B163" s="245" t="s">
        <v>378</v>
      </c>
      <c r="C163" s="245" t="s">
        <v>379</v>
      </c>
      <c r="D163" s="245" t="s">
        <v>295</v>
      </c>
      <c r="E163" s="245" t="s">
        <v>165</v>
      </c>
      <c r="F163" s="245" t="s">
        <v>132</v>
      </c>
      <c r="G163" s="249">
        <v>6666.67</v>
      </c>
      <c r="H163" s="204">
        <f t="shared" si="5"/>
        <v>12</v>
      </c>
    </row>
    <row r="164" spans="1:8" x14ac:dyDescent="0.35">
      <c r="A164" s="244">
        <v>4500</v>
      </c>
      <c r="B164" s="245" t="s">
        <v>380</v>
      </c>
      <c r="C164" s="245" t="s">
        <v>381</v>
      </c>
      <c r="D164" s="245" t="s">
        <v>284</v>
      </c>
      <c r="E164" s="245" t="s">
        <v>165</v>
      </c>
      <c r="F164" s="245" t="s">
        <v>132</v>
      </c>
      <c r="G164" s="249">
        <v>7458</v>
      </c>
      <c r="H164" s="204">
        <f t="shared" si="5"/>
        <v>1</v>
      </c>
    </row>
    <row r="165" spans="1:8" x14ac:dyDescent="0.35">
      <c r="A165" s="244">
        <v>4500</v>
      </c>
      <c r="B165" s="245" t="s">
        <v>380</v>
      </c>
      <c r="C165" s="245" t="s">
        <v>381</v>
      </c>
      <c r="D165" s="245" t="s">
        <v>285</v>
      </c>
      <c r="E165" s="245" t="s">
        <v>165</v>
      </c>
      <c r="F165" s="245" t="s">
        <v>132</v>
      </c>
      <c r="G165" s="249">
        <v>7458</v>
      </c>
      <c r="H165" s="204">
        <f t="shared" si="5"/>
        <v>2</v>
      </c>
    </row>
    <row r="166" spans="1:8" x14ac:dyDescent="0.35">
      <c r="A166" s="244">
        <v>4500</v>
      </c>
      <c r="B166" s="245" t="s">
        <v>380</v>
      </c>
      <c r="C166" s="245" t="s">
        <v>381</v>
      </c>
      <c r="D166" s="245" t="s">
        <v>286</v>
      </c>
      <c r="E166" s="245" t="s">
        <v>165</v>
      </c>
      <c r="F166" s="245" t="s">
        <v>132</v>
      </c>
      <c r="G166" s="249">
        <v>7458</v>
      </c>
      <c r="H166" s="204">
        <f t="shared" si="5"/>
        <v>3</v>
      </c>
    </row>
    <row r="167" spans="1:8" x14ac:dyDescent="0.35">
      <c r="A167" s="244">
        <v>4500</v>
      </c>
      <c r="B167" s="245" t="s">
        <v>380</v>
      </c>
      <c r="C167" s="245" t="s">
        <v>381</v>
      </c>
      <c r="D167" s="245" t="s">
        <v>287</v>
      </c>
      <c r="E167" s="245" t="s">
        <v>165</v>
      </c>
      <c r="F167" s="245" t="s">
        <v>132</v>
      </c>
      <c r="G167" s="249">
        <v>7458</v>
      </c>
      <c r="H167" s="204">
        <f t="shared" si="5"/>
        <v>4</v>
      </c>
    </row>
    <row r="168" spans="1:8" x14ac:dyDescent="0.35">
      <c r="A168" s="244">
        <v>4500</v>
      </c>
      <c r="B168" s="245" t="s">
        <v>380</v>
      </c>
      <c r="C168" s="245" t="s">
        <v>381</v>
      </c>
      <c r="D168" s="245" t="s">
        <v>288</v>
      </c>
      <c r="E168" s="245" t="s">
        <v>165</v>
      </c>
      <c r="F168" s="245" t="s">
        <v>132</v>
      </c>
      <c r="G168" s="249">
        <v>7458</v>
      </c>
      <c r="H168" s="204">
        <f t="shared" si="5"/>
        <v>5</v>
      </c>
    </row>
    <row r="169" spans="1:8" x14ac:dyDescent="0.35">
      <c r="A169" s="244">
        <v>4500</v>
      </c>
      <c r="B169" s="245" t="s">
        <v>380</v>
      </c>
      <c r="C169" s="245" t="s">
        <v>381</v>
      </c>
      <c r="D169" s="245" t="s">
        <v>289</v>
      </c>
      <c r="E169" s="245" t="s">
        <v>165</v>
      </c>
      <c r="F169" s="245" t="s">
        <v>132</v>
      </c>
      <c r="G169" s="249">
        <v>7458</v>
      </c>
      <c r="H169" s="204">
        <f t="shared" si="5"/>
        <v>6</v>
      </c>
    </row>
    <row r="170" spans="1:8" x14ac:dyDescent="0.35">
      <c r="A170" s="244">
        <v>4500</v>
      </c>
      <c r="B170" s="245" t="s">
        <v>380</v>
      </c>
      <c r="C170" s="245" t="s">
        <v>381</v>
      </c>
      <c r="D170" s="245" t="s">
        <v>290</v>
      </c>
      <c r="E170" s="245" t="s">
        <v>165</v>
      </c>
      <c r="F170" s="245" t="s">
        <v>132</v>
      </c>
      <c r="G170" s="249">
        <v>7458</v>
      </c>
      <c r="H170" s="204">
        <f t="shared" si="5"/>
        <v>7</v>
      </c>
    </row>
    <row r="171" spans="1:8" x14ac:dyDescent="0.35">
      <c r="A171" s="244">
        <v>4500</v>
      </c>
      <c r="B171" s="245" t="s">
        <v>380</v>
      </c>
      <c r="C171" s="245" t="s">
        <v>381</v>
      </c>
      <c r="D171" s="245" t="s">
        <v>291</v>
      </c>
      <c r="E171" s="245" t="s">
        <v>165</v>
      </c>
      <c r="F171" s="245" t="s">
        <v>132</v>
      </c>
      <c r="G171" s="249">
        <v>7458</v>
      </c>
      <c r="H171" s="204">
        <f t="shared" si="5"/>
        <v>8</v>
      </c>
    </row>
    <row r="172" spans="1:8" x14ac:dyDescent="0.35">
      <c r="A172" s="244">
        <v>4500</v>
      </c>
      <c r="B172" s="245" t="s">
        <v>380</v>
      </c>
      <c r="C172" s="245" t="s">
        <v>381</v>
      </c>
      <c r="D172" s="245" t="s">
        <v>292</v>
      </c>
      <c r="E172" s="245" t="s">
        <v>165</v>
      </c>
      <c r="F172" s="245" t="s">
        <v>132</v>
      </c>
      <c r="G172" s="249">
        <v>7458</v>
      </c>
      <c r="H172" s="204">
        <f t="shared" si="5"/>
        <v>9</v>
      </c>
    </row>
    <row r="173" spans="1:8" x14ac:dyDescent="0.35">
      <c r="A173" s="244">
        <v>4500</v>
      </c>
      <c r="B173" s="245" t="s">
        <v>380</v>
      </c>
      <c r="C173" s="245" t="s">
        <v>381</v>
      </c>
      <c r="D173" s="245" t="s">
        <v>293</v>
      </c>
      <c r="E173" s="245" t="s">
        <v>165</v>
      </c>
      <c r="F173" s="245" t="s">
        <v>132</v>
      </c>
      <c r="G173" s="249">
        <v>7458</v>
      </c>
      <c r="H173" s="204">
        <f t="shared" si="5"/>
        <v>10</v>
      </c>
    </row>
    <row r="174" spans="1:8" x14ac:dyDescent="0.35">
      <c r="A174" s="244">
        <v>4500</v>
      </c>
      <c r="B174" s="245" t="s">
        <v>380</v>
      </c>
      <c r="C174" s="245" t="s">
        <v>381</v>
      </c>
      <c r="D174" s="245" t="s">
        <v>294</v>
      </c>
      <c r="E174" s="245" t="s">
        <v>165</v>
      </c>
      <c r="F174" s="245" t="s">
        <v>132</v>
      </c>
      <c r="G174" s="249">
        <v>7458</v>
      </c>
      <c r="H174" s="204">
        <f t="shared" si="5"/>
        <v>11</v>
      </c>
    </row>
    <row r="175" spans="1:8" x14ac:dyDescent="0.35">
      <c r="A175" s="244">
        <v>4500</v>
      </c>
      <c r="B175" s="245" t="s">
        <v>380</v>
      </c>
      <c r="C175" s="245" t="s">
        <v>381</v>
      </c>
      <c r="D175" s="245" t="s">
        <v>295</v>
      </c>
      <c r="E175" s="245" t="s">
        <v>165</v>
      </c>
      <c r="F175" s="245" t="s">
        <v>132</v>
      </c>
      <c r="G175" s="249">
        <v>7458</v>
      </c>
      <c r="H175" s="204">
        <f t="shared" si="5"/>
        <v>12</v>
      </c>
    </row>
    <row r="176" spans="1:8" x14ac:dyDescent="0.35">
      <c r="A176" s="244">
        <v>4500</v>
      </c>
      <c r="B176" s="245" t="s">
        <v>382</v>
      </c>
      <c r="C176" s="245" t="s">
        <v>383</v>
      </c>
      <c r="D176" s="245" t="s">
        <v>284</v>
      </c>
      <c r="E176" s="245" t="s">
        <v>165</v>
      </c>
      <c r="F176" s="245" t="s">
        <v>132</v>
      </c>
      <c r="G176" s="249">
        <v>3600</v>
      </c>
      <c r="H176" s="204">
        <f t="shared" si="5"/>
        <v>1</v>
      </c>
    </row>
    <row r="177" spans="1:8" x14ac:dyDescent="0.35">
      <c r="A177" s="244">
        <v>4500</v>
      </c>
      <c r="B177" s="245" t="s">
        <v>382</v>
      </c>
      <c r="C177" s="245" t="s">
        <v>383</v>
      </c>
      <c r="D177" s="245" t="s">
        <v>285</v>
      </c>
      <c r="E177" s="245" t="s">
        <v>165</v>
      </c>
      <c r="F177" s="245" t="s">
        <v>132</v>
      </c>
      <c r="G177" s="249">
        <v>3600</v>
      </c>
      <c r="H177" s="204">
        <f t="shared" si="5"/>
        <v>2</v>
      </c>
    </row>
    <row r="178" spans="1:8" x14ac:dyDescent="0.35">
      <c r="A178" s="244">
        <v>4500</v>
      </c>
      <c r="B178" s="245" t="s">
        <v>382</v>
      </c>
      <c r="C178" s="245" t="s">
        <v>383</v>
      </c>
      <c r="D178" s="245" t="s">
        <v>286</v>
      </c>
      <c r="E178" s="245" t="s">
        <v>165</v>
      </c>
      <c r="F178" s="245" t="s">
        <v>132</v>
      </c>
      <c r="G178" s="249">
        <v>3600</v>
      </c>
      <c r="H178" s="204">
        <f t="shared" si="5"/>
        <v>3</v>
      </c>
    </row>
    <row r="179" spans="1:8" x14ac:dyDescent="0.35">
      <c r="A179" s="244">
        <v>4500</v>
      </c>
      <c r="B179" s="245" t="s">
        <v>382</v>
      </c>
      <c r="C179" s="245" t="s">
        <v>383</v>
      </c>
      <c r="D179" s="245" t="s">
        <v>287</v>
      </c>
      <c r="E179" s="245" t="s">
        <v>165</v>
      </c>
      <c r="F179" s="245" t="s">
        <v>132</v>
      </c>
      <c r="G179" s="249">
        <v>3600</v>
      </c>
      <c r="H179" s="204">
        <f t="shared" si="5"/>
        <v>4</v>
      </c>
    </row>
    <row r="180" spans="1:8" x14ac:dyDescent="0.35">
      <c r="A180" s="244">
        <v>4500</v>
      </c>
      <c r="B180" s="245" t="s">
        <v>382</v>
      </c>
      <c r="C180" s="245" t="s">
        <v>383</v>
      </c>
      <c r="D180" s="245" t="s">
        <v>288</v>
      </c>
      <c r="E180" s="245" t="s">
        <v>165</v>
      </c>
      <c r="F180" s="245" t="s">
        <v>132</v>
      </c>
      <c r="G180" s="249">
        <v>3600</v>
      </c>
      <c r="H180" s="204">
        <f t="shared" si="5"/>
        <v>5</v>
      </c>
    </row>
    <row r="181" spans="1:8" x14ac:dyDescent="0.35">
      <c r="A181" s="244">
        <v>4500</v>
      </c>
      <c r="B181" s="245" t="s">
        <v>382</v>
      </c>
      <c r="C181" s="245" t="s">
        <v>383</v>
      </c>
      <c r="D181" s="245" t="s">
        <v>289</v>
      </c>
      <c r="E181" s="245" t="s">
        <v>165</v>
      </c>
      <c r="F181" s="245" t="s">
        <v>132</v>
      </c>
      <c r="G181" s="249">
        <v>3600</v>
      </c>
      <c r="H181" s="204">
        <f t="shared" si="5"/>
        <v>6</v>
      </c>
    </row>
    <row r="182" spans="1:8" x14ac:dyDescent="0.35">
      <c r="A182" s="244">
        <v>4500</v>
      </c>
      <c r="B182" s="245" t="s">
        <v>382</v>
      </c>
      <c r="C182" s="245" t="s">
        <v>383</v>
      </c>
      <c r="D182" s="245" t="s">
        <v>290</v>
      </c>
      <c r="E182" s="245" t="s">
        <v>165</v>
      </c>
      <c r="F182" s="245" t="s">
        <v>132</v>
      </c>
      <c r="G182" s="249">
        <v>3600</v>
      </c>
      <c r="H182" s="204">
        <f t="shared" si="5"/>
        <v>7</v>
      </c>
    </row>
    <row r="183" spans="1:8" x14ac:dyDescent="0.35">
      <c r="A183" s="244">
        <v>4500</v>
      </c>
      <c r="B183" s="245" t="s">
        <v>382</v>
      </c>
      <c r="C183" s="245" t="s">
        <v>383</v>
      </c>
      <c r="D183" s="245" t="s">
        <v>291</v>
      </c>
      <c r="E183" s="245" t="s">
        <v>165</v>
      </c>
      <c r="F183" s="245" t="s">
        <v>132</v>
      </c>
      <c r="G183" s="249">
        <v>3600</v>
      </c>
      <c r="H183" s="204">
        <f t="shared" si="5"/>
        <v>8</v>
      </c>
    </row>
    <row r="184" spans="1:8" x14ac:dyDescent="0.35">
      <c r="A184" s="244">
        <v>4500</v>
      </c>
      <c r="B184" s="245" t="s">
        <v>382</v>
      </c>
      <c r="C184" s="245" t="s">
        <v>383</v>
      </c>
      <c r="D184" s="245" t="s">
        <v>292</v>
      </c>
      <c r="E184" s="245" t="s">
        <v>165</v>
      </c>
      <c r="F184" s="245" t="s">
        <v>132</v>
      </c>
      <c r="G184" s="249">
        <v>3600</v>
      </c>
      <c r="H184" s="204">
        <f t="shared" si="5"/>
        <v>9</v>
      </c>
    </row>
    <row r="185" spans="1:8" x14ac:dyDescent="0.35">
      <c r="A185" s="244">
        <v>4500</v>
      </c>
      <c r="B185" s="245" t="s">
        <v>382</v>
      </c>
      <c r="C185" s="245" t="s">
        <v>383</v>
      </c>
      <c r="D185" s="245" t="s">
        <v>293</v>
      </c>
      <c r="E185" s="245" t="s">
        <v>165</v>
      </c>
      <c r="F185" s="245" t="s">
        <v>132</v>
      </c>
      <c r="G185" s="249">
        <v>3600</v>
      </c>
      <c r="H185" s="204">
        <f t="shared" si="5"/>
        <v>10</v>
      </c>
    </row>
    <row r="186" spans="1:8" x14ac:dyDescent="0.35">
      <c r="A186" s="244">
        <v>4500</v>
      </c>
      <c r="B186" s="245" t="s">
        <v>382</v>
      </c>
      <c r="C186" s="245" t="s">
        <v>383</v>
      </c>
      <c r="D186" s="245" t="s">
        <v>294</v>
      </c>
      <c r="E186" s="245" t="s">
        <v>165</v>
      </c>
      <c r="F186" s="245" t="s">
        <v>132</v>
      </c>
      <c r="G186" s="249">
        <v>3600</v>
      </c>
      <c r="H186" s="204">
        <f t="shared" si="5"/>
        <v>11</v>
      </c>
    </row>
    <row r="187" spans="1:8" x14ac:dyDescent="0.35">
      <c r="A187" s="244">
        <v>4500</v>
      </c>
      <c r="B187" s="245" t="s">
        <v>382</v>
      </c>
      <c r="C187" s="245" t="s">
        <v>383</v>
      </c>
      <c r="D187" s="245" t="s">
        <v>295</v>
      </c>
      <c r="E187" s="245" t="s">
        <v>165</v>
      </c>
      <c r="F187" s="245" t="s">
        <v>132</v>
      </c>
      <c r="G187" s="249">
        <v>3600</v>
      </c>
      <c r="H187" s="204">
        <v>12</v>
      </c>
    </row>
    <row r="188" spans="1:8" x14ac:dyDescent="0.35">
      <c r="A188" s="244">
        <v>4500</v>
      </c>
      <c r="B188" s="245" t="s">
        <v>384</v>
      </c>
      <c r="C188" s="245" t="s">
        <v>385</v>
      </c>
      <c r="D188" s="245" t="s">
        <v>284</v>
      </c>
      <c r="E188" s="245" t="s">
        <v>165</v>
      </c>
      <c r="F188" s="245" t="s">
        <v>132</v>
      </c>
      <c r="G188" s="249">
        <v>3400</v>
      </c>
      <c r="H188" s="204">
        <v>1</v>
      </c>
    </row>
    <row r="189" spans="1:8" x14ac:dyDescent="0.35">
      <c r="A189" s="244">
        <v>4500</v>
      </c>
      <c r="B189" s="245" t="s">
        <v>384</v>
      </c>
      <c r="C189" s="245" t="s">
        <v>385</v>
      </c>
      <c r="D189" s="245" t="s">
        <v>285</v>
      </c>
      <c r="E189" s="245" t="s">
        <v>165</v>
      </c>
      <c r="F189" s="245" t="s">
        <v>132</v>
      </c>
      <c r="G189" s="249">
        <v>3400</v>
      </c>
      <c r="H189" s="204">
        <v>2</v>
      </c>
    </row>
    <row r="190" spans="1:8" x14ac:dyDescent="0.35">
      <c r="A190" s="244">
        <v>4500</v>
      </c>
      <c r="B190" s="245" t="s">
        <v>384</v>
      </c>
      <c r="C190" s="245" t="s">
        <v>385</v>
      </c>
      <c r="D190" s="245" t="s">
        <v>286</v>
      </c>
      <c r="E190" s="245" t="s">
        <v>165</v>
      </c>
      <c r="F190" s="245" t="s">
        <v>132</v>
      </c>
      <c r="G190" s="249">
        <v>3400</v>
      </c>
      <c r="H190" s="204">
        <v>3</v>
      </c>
    </row>
    <row r="191" spans="1:8" x14ac:dyDescent="0.35">
      <c r="A191" s="244">
        <v>4500</v>
      </c>
      <c r="B191" s="245" t="s">
        <v>384</v>
      </c>
      <c r="C191" s="245" t="s">
        <v>385</v>
      </c>
      <c r="D191" s="245" t="s">
        <v>287</v>
      </c>
      <c r="E191" s="245" t="s">
        <v>165</v>
      </c>
      <c r="F191" s="245" t="s">
        <v>132</v>
      </c>
      <c r="G191" s="249">
        <v>3400</v>
      </c>
      <c r="H191" s="204">
        <v>4</v>
      </c>
    </row>
    <row r="192" spans="1:8" x14ac:dyDescent="0.35">
      <c r="A192" s="244">
        <v>4500</v>
      </c>
      <c r="B192" s="245" t="s">
        <v>384</v>
      </c>
      <c r="C192" s="245" t="s">
        <v>385</v>
      </c>
      <c r="D192" s="245" t="s">
        <v>288</v>
      </c>
      <c r="E192" s="245" t="s">
        <v>165</v>
      </c>
      <c r="F192" s="245" t="s">
        <v>132</v>
      </c>
      <c r="G192" s="249">
        <v>3400</v>
      </c>
      <c r="H192" s="204">
        <v>5</v>
      </c>
    </row>
    <row r="193" spans="1:8" x14ac:dyDescent="0.35">
      <c r="A193" s="244">
        <v>4500</v>
      </c>
      <c r="B193" s="245" t="s">
        <v>384</v>
      </c>
      <c r="C193" s="245" t="s">
        <v>385</v>
      </c>
      <c r="D193" s="245" t="s">
        <v>289</v>
      </c>
      <c r="E193" s="245" t="s">
        <v>165</v>
      </c>
      <c r="F193" s="245" t="s">
        <v>132</v>
      </c>
      <c r="G193" s="249">
        <v>3400</v>
      </c>
      <c r="H193" s="204">
        <v>6</v>
      </c>
    </row>
    <row r="194" spans="1:8" x14ac:dyDescent="0.35">
      <c r="A194" s="244">
        <v>4500</v>
      </c>
      <c r="B194" s="245" t="s">
        <v>384</v>
      </c>
      <c r="C194" s="245" t="s">
        <v>385</v>
      </c>
      <c r="D194" s="245" t="s">
        <v>290</v>
      </c>
      <c r="E194" s="245" t="s">
        <v>165</v>
      </c>
      <c r="F194" s="245" t="s">
        <v>132</v>
      </c>
      <c r="G194" s="249">
        <v>3400</v>
      </c>
      <c r="H194" s="204">
        <v>7</v>
      </c>
    </row>
    <row r="195" spans="1:8" x14ac:dyDescent="0.35">
      <c r="A195" s="244">
        <v>4500</v>
      </c>
      <c r="B195" s="245" t="s">
        <v>384</v>
      </c>
      <c r="C195" s="245" t="s">
        <v>385</v>
      </c>
      <c r="D195" s="245" t="s">
        <v>291</v>
      </c>
      <c r="E195" s="245" t="s">
        <v>165</v>
      </c>
      <c r="F195" s="245" t="s">
        <v>132</v>
      </c>
      <c r="G195" s="249">
        <v>3400</v>
      </c>
      <c r="H195" s="204">
        <v>8</v>
      </c>
    </row>
    <row r="196" spans="1:8" x14ac:dyDescent="0.35">
      <c r="A196" s="244">
        <v>4500</v>
      </c>
      <c r="B196" s="245" t="s">
        <v>384</v>
      </c>
      <c r="C196" s="245" t="s">
        <v>385</v>
      </c>
      <c r="D196" s="245" t="s">
        <v>292</v>
      </c>
      <c r="E196" s="245" t="s">
        <v>165</v>
      </c>
      <c r="F196" s="245" t="s">
        <v>132</v>
      </c>
      <c r="G196" s="249">
        <v>3400</v>
      </c>
      <c r="H196" s="204">
        <v>9</v>
      </c>
    </row>
    <row r="197" spans="1:8" x14ac:dyDescent="0.35">
      <c r="A197" s="244">
        <v>4500</v>
      </c>
      <c r="B197" s="245" t="s">
        <v>384</v>
      </c>
      <c r="C197" s="245" t="s">
        <v>385</v>
      </c>
      <c r="D197" s="245" t="s">
        <v>293</v>
      </c>
      <c r="E197" s="245" t="s">
        <v>165</v>
      </c>
      <c r="F197" s="245" t="s">
        <v>132</v>
      </c>
      <c r="G197" s="249">
        <v>3400</v>
      </c>
      <c r="H197" s="204">
        <v>10</v>
      </c>
    </row>
    <row r="198" spans="1:8" x14ac:dyDescent="0.35">
      <c r="A198" s="244">
        <v>4500</v>
      </c>
      <c r="B198" s="245" t="s">
        <v>384</v>
      </c>
      <c r="C198" s="245" t="s">
        <v>385</v>
      </c>
      <c r="D198" s="245" t="s">
        <v>294</v>
      </c>
      <c r="E198" s="245" t="s">
        <v>165</v>
      </c>
      <c r="F198" s="245" t="s">
        <v>132</v>
      </c>
      <c r="G198" s="249">
        <v>3400</v>
      </c>
      <c r="H198" s="204">
        <v>11</v>
      </c>
    </row>
    <row r="199" spans="1:8" x14ac:dyDescent="0.35">
      <c r="A199" s="244">
        <v>4500</v>
      </c>
      <c r="B199" s="245" t="s">
        <v>384</v>
      </c>
      <c r="C199" s="245" t="s">
        <v>385</v>
      </c>
      <c r="D199" s="245" t="s">
        <v>295</v>
      </c>
      <c r="E199" s="245" t="s">
        <v>165</v>
      </c>
      <c r="F199" s="245" t="s">
        <v>132</v>
      </c>
      <c r="G199" s="249">
        <v>3400</v>
      </c>
      <c r="H199" s="204">
        <v>12</v>
      </c>
    </row>
    <row r="200" spans="1:8" x14ac:dyDescent="0.35">
      <c r="A200" s="244">
        <v>4500</v>
      </c>
      <c r="B200" s="245" t="s">
        <v>386</v>
      </c>
      <c r="C200" s="245" t="s">
        <v>387</v>
      </c>
      <c r="D200" s="245" t="s">
        <v>284</v>
      </c>
      <c r="E200" s="245" t="s">
        <v>165</v>
      </c>
      <c r="F200" s="245" t="s">
        <v>132</v>
      </c>
      <c r="G200" s="249">
        <v>3450</v>
      </c>
      <c r="H200" s="204">
        <v>1</v>
      </c>
    </row>
    <row r="201" spans="1:8" x14ac:dyDescent="0.35">
      <c r="A201" s="244">
        <v>4500</v>
      </c>
      <c r="B201" s="245" t="s">
        <v>386</v>
      </c>
      <c r="C201" s="245" t="s">
        <v>387</v>
      </c>
      <c r="D201" s="245" t="s">
        <v>285</v>
      </c>
      <c r="E201" s="245" t="s">
        <v>165</v>
      </c>
      <c r="F201" s="245" t="s">
        <v>132</v>
      </c>
      <c r="G201" s="249">
        <v>3450</v>
      </c>
      <c r="H201" s="204">
        <v>2</v>
      </c>
    </row>
    <row r="202" spans="1:8" x14ac:dyDescent="0.35">
      <c r="A202" s="244">
        <v>4500</v>
      </c>
      <c r="B202" s="245" t="s">
        <v>386</v>
      </c>
      <c r="C202" s="245" t="s">
        <v>387</v>
      </c>
      <c r="D202" s="245" t="s">
        <v>286</v>
      </c>
      <c r="E202" s="245" t="s">
        <v>165</v>
      </c>
      <c r="F202" s="245" t="s">
        <v>132</v>
      </c>
      <c r="G202" s="249">
        <v>3450</v>
      </c>
      <c r="H202" s="204">
        <v>3</v>
      </c>
    </row>
    <row r="203" spans="1:8" x14ac:dyDescent="0.35">
      <c r="A203" s="244">
        <v>4500</v>
      </c>
      <c r="B203" s="245" t="s">
        <v>386</v>
      </c>
      <c r="C203" s="245" t="s">
        <v>387</v>
      </c>
      <c r="D203" s="245" t="s">
        <v>287</v>
      </c>
      <c r="E203" s="245" t="s">
        <v>165</v>
      </c>
      <c r="F203" s="245" t="s">
        <v>132</v>
      </c>
      <c r="G203" s="249">
        <v>3450</v>
      </c>
      <c r="H203" s="204">
        <f t="shared" ref="H203:H283" si="7">IF(D203="",0,MONTH(D203))</f>
        <v>4</v>
      </c>
    </row>
    <row r="204" spans="1:8" x14ac:dyDescent="0.35">
      <c r="A204" s="244">
        <v>4500</v>
      </c>
      <c r="B204" s="245" t="s">
        <v>386</v>
      </c>
      <c r="C204" s="245" t="s">
        <v>387</v>
      </c>
      <c r="D204" s="245" t="s">
        <v>288</v>
      </c>
      <c r="E204" s="245" t="s">
        <v>165</v>
      </c>
      <c r="F204" s="245" t="s">
        <v>132</v>
      </c>
      <c r="G204" s="249">
        <v>3450</v>
      </c>
      <c r="H204" s="204">
        <f t="shared" si="7"/>
        <v>5</v>
      </c>
    </row>
    <row r="205" spans="1:8" x14ac:dyDescent="0.35">
      <c r="A205" s="244">
        <v>4500</v>
      </c>
      <c r="B205" s="245" t="s">
        <v>386</v>
      </c>
      <c r="C205" s="245" t="s">
        <v>387</v>
      </c>
      <c r="D205" s="245" t="s">
        <v>289</v>
      </c>
      <c r="E205" s="245" t="s">
        <v>165</v>
      </c>
      <c r="F205" s="245" t="s">
        <v>132</v>
      </c>
      <c r="G205" s="249">
        <v>3450</v>
      </c>
      <c r="H205" s="204">
        <f t="shared" si="7"/>
        <v>6</v>
      </c>
    </row>
    <row r="206" spans="1:8" x14ac:dyDescent="0.35">
      <c r="A206" s="244">
        <v>4500</v>
      </c>
      <c r="B206" s="245" t="s">
        <v>386</v>
      </c>
      <c r="C206" s="245" t="s">
        <v>387</v>
      </c>
      <c r="D206" s="245" t="s">
        <v>290</v>
      </c>
      <c r="E206" s="245" t="s">
        <v>165</v>
      </c>
      <c r="F206" s="245" t="s">
        <v>132</v>
      </c>
      <c r="G206" s="249">
        <v>3450</v>
      </c>
      <c r="H206" s="204">
        <f t="shared" si="7"/>
        <v>7</v>
      </c>
    </row>
    <row r="207" spans="1:8" x14ac:dyDescent="0.35">
      <c r="A207" s="244">
        <v>4500</v>
      </c>
      <c r="B207" s="245" t="s">
        <v>386</v>
      </c>
      <c r="C207" s="245" t="s">
        <v>387</v>
      </c>
      <c r="D207" s="245" t="s">
        <v>291</v>
      </c>
      <c r="E207" s="245" t="s">
        <v>165</v>
      </c>
      <c r="F207" s="245" t="s">
        <v>132</v>
      </c>
      <c r="G207" s="249">
        <v>3450</v>
      </c>
      <c r="H207" s="204">
        <f t="shared" si="7"/>
        <v>8</v>
      </c>
    </row>
    <row r="208" spans="1:8" x14ac:dyDescent="0.35">
      <c r="A208" s="244">
        <v>4500</v>
      </c>
      <c r="B208" s="245" t="s">
        <v>386</v>
      </c>
      <c r="C208" s="245" t="s">
        <v>387</v>
      </c>
      <c r="D208" s="245" t="s">
        <v>292</v>
      </c>
      <c r="E208" s="245" t="s">
        <v>165</v>
      </c>
      <c r="F208" s="245" t="s">
        <v>132</v>
      </c>
      <c r="G208" s="249">
        <v>3450</v>
      </c>
      <c r="H208" s="204">
        <f t="shared" si="7"/>
        <v>9</v>
      </c>
    </row>
    <row r="209" spans="1:8" x14ac:dyDescent="0.35">
      <c r="A209" s="244">
        <v>4500</v>
      </c>
      <c r="B209" s="245" t="s">
        <v>386</v>
      </c>
      <c r="C209" s="245" t="s">
        <v>387</v>
      </c>
      <c r="D209" s="245" t="s">
        <v>293</v>
      </c>
      <c r="E209" s="245" t="s">
        <v>165</v>
      </c>
      <c r="F209" s="245" t="s">
        <v>132</v>
      </c>
      <c r="G209" s="249">
        <v>3450</v>
      </c>
      <c r="H209" s="204">
        <f t="shared" si="7"/>
        <v>10</v>
      </c>
    </row>
    <row r="210" spans="1:8" x14ac:dyDescent="0.35">
      <c r="A210" s="244">
        <v>4500</v>
      </c>
      <c r="B210" s="245" t="s">
        <v>386</v>
      </c>
      <c r="C210" s="245" t="s">
        <v>387</v>
      </c>
      <c r="D210" s="245" t="s">
        <v>294</v>
      </c>
      <c r="E210" s="245" t="s">
        <v>165</v>
      </c>
      <c r="F210" s="245" t="s">
        <v>132</v>
      </c>
      <c r="G210" s="249">
        <v>3450</v>
      </c>
      <c r="H210" s="204">
        <v>11</v>
      </c>
    </row>
    <row r="211" spans="1:8" x14ac:dyDescent="0.35">
      <c r="A211" s="244">
        <v>4500</v>
      </c>
      <c r="B211" s="245" t="s">
        <v>386</v>
      </c>
      <c r="C211" s="245" t="s">
        <v>387</v>
      </c>
      <c r="D211" s="245" t="s">
        <v>295</v>
      </c>
      <c r="E211" s="245" t="s">
        <v>165</v>
      </c>
      <c r="F211" s="245" t="s">
        <v>132</v>
      </c>
      <c r="G211" s="249">
        <v>3450</v>
      </c>
      <c r="H211" s="204">
        <f t="shared" si="7"/>
        <v>12</v>
      </c>
    </row>
    <row r="212" spans="1:8" x14ac:dyDescent="0.35">
      <c r="A212" s="244">
        <v>4500</v>
      </c>
      <c r="B212" s="245" t="s">
        <v>388</v>
      </c>
      <c r="C212" s="245" t="s">
        <v>389</v>
      </c>
      <c r="D212" s="245" t="s">
        <v>284</v>
      </c>
      <c r="E212" s="245" t="s">
        <v>165</v>
      </c>
      <c r="F212" s="245" t="s">
        <v>132</v>
      </c>
      <c r="G212" s="249">
        <v>6933.33</v>
      </c>
      <c r="H212" s="204">
        <f t="shared" si="7"/>
        <v>1</v>
      </c>
    </row>
    <row r="213" spans="1:8" x14ac:dyDescent="0.35">
      <c r="A213" s="244">
        <v>4500</v>
      </c>
      <c r="B213" s="245" t="s">
        <v>388</v>
      </c>
      <c r="C213" s="245" t="s">
        <v>389</v>
      </c>
      <c r="D213" s="245" t="s">
        <v>285</v>
      </c>
      <c r="E213" s="245" t="s">
        <v>165</v>
      </c>
      <c r="F213" s="245" t="s">
        <v>132</v>
      </c>
      <c r="G213" s="249">
        <v>6933.33</v>
      </c>
      <c r="H213" s="204">
        <f t="shared" si="7"/>
        <v>2</v>
      </c>
    </row>
    <row r="214" spans="1:8" x14ac:dyDescent="0.35">
      <c r="A214" s="244">
        <v>4500</v>
      </c>
      <c r="B214" s="245" t="s">
        <v>388</v>
      </c>
      <c r="C214" s="245" t="s">
        <v>389</v>
      </c>
      <c r="D214" s="245" t="s">
        <v>286</v>
      </c>
      <c r="E214" s="245" t="s">
        <v>165</v>
      </c>
      <c r="F214" s="245" t="s">
        <v>132</v>
      </c>
      <c r="G214" s="249">
        <v>6933.33</v>
      </c>
      <c r="H214" s="204">
        <f t="shared" si="7"/>
        <v>3</v>
      </c>
    </row>
    <row r="215" spans="1:8" x14ac:dyDescent="0.35">
      <c r="A215" s="244">
        <v>4500</v>
      </c>
      <c r="B215" s="245" t="s">
        <v>388</v>
      </c>
      <c r="C215" s="245" t="s">
        <v>389</v>
      </c>
      <c r="D215" s="245" t="s">
        <v>287</v>
      </c>
      <c r="E215" s="245" t="s">
        <v>165</v>
      </c>
      <c r="F215" s="245" t="s">
        <v>132</v>
      </c>
      <c r="G215" s="249">
        <v>6933.33</v>
      </c>
      <c r="H215" s="204">
        <f t="shared" si="7"/>
        <v>4</v>
      </c>
    </row>
    <row r="216" spans="1:8" x14ac:dyDescent="0.35">
      <c r="A216" s="244">
        <v>4500</v>
      </c>
      <c r="B216" s="245" t="s">
        <v>388</v>
      </c>
      <c r="C216" s="245" t="s">
        <v>389</v>
      </c>
      <c r="D216" s="245" t="s">
        <v>288</v>
      </c>
      <c r="E216" s="245" t="s">
        <v>165</v>
      </c>
      <c r="F216" s="245" t="s">
        <v>132</v>
      </c>
      <c r="G216" s="249">
        <v>6933.33</v>
      </c>
      <c r="H216" s="204">
        <f t="shared" si="7"/>
        <v>5</v>
      </c>
    </row>
    <row r="217" spans="1:8" x14ac:dyDescent="0.35">
      <c r="A217" s="244">
        <v>4500</v>
      </c>
      <c r="B217" s="245" t="s">
        <v>388</v>
      </c>
      <c r="C217" s="245" t="s">
        <v>389</v>
      </c>
      <c r="D217" s="245" t="s">
        <v>289</v>
      </c>
      <c r="E217" s="245" t="s">
        <v>165</v>
      </c>
      <c r="F217" s="245" t="s">
        <v>132</v>
      </c>
      <c r="G217" s="249">
        <v>6933.33</v>
      </c>
      <c r="H217" s="204">
        <f t="shared" si="7"/>
        <v>6</v>
      </c>
    </row>
    <row r="218" spans="1:8" x14ac:dyDescent="0.35">
      <c r="A218" s="244">
        <v>4500</v>
      </c>
      <c r="B218" s="245" t="s">
        <v>388</v>
      </c>
      <c r="C218" s="245" t="s">
        <v>389</v>
      </c>
      <c r="D218" s="245" t="s">
        <v>290</v>
      </c>
      <c r="E218" s="245" t="s">
        <v>165</v>
      </c>
      <c r="F218" s="245" t="s">
        <v>132</v>
      </c>
      <c r="G218" s="249">
        <v>6933.33</v>
      </c>
      <c r="H218" s="204">
        <f t="shared" si="7"/>
        <v>7</v>
      </c>
    </row>
    <row r="219" spans="1:8" x14ac:dyDescent="0.35">
      <c r="A219" s="244">
        <v>4500</v>
      </c>
      <c r="B219" s="245" t="s">
        <v>388</v>
      </c>
      <c r="C219" s="245" t="s">
        <v>389</v>
      </c>
      <c r="D219" s="245" t="s">
        <v>291</v>
      </c>
      <c r="E219" s="245" t="s">
        <v>165</v>
      </c>
      <c r="F219" s="245" t="s">
        <v>132</v>
      </c>
      <c r="G219" s="249">
        <v>6933.33</v>
      </c>
      <c r="H219" s="204">
        <f t="shared" si="7"/>
        <v>8</v>
      </c>
    </row>
    <row r="220" spans="1:8" x14ac:dyDescent="0.35">
      <c r="A220" s="244">
        <v>4500</v>
      </c>
      <c r="B220" s="245" t="s">
        <v>388</v>
      </c>
      <c r="C220" s="245" t="s">
        <v>389</v>
      </c>
      <c r="D220" s="245" t="s">
        <v>292</v>
      </c>
      <c r="E220" s="245" t="s">
        <v>165</v>
      </c>
      <c r="F220" s="245" t="s">
        <v>132</v>
      </c>
      <c r="G220" s="249">
        <v>6933.33</v>
      </c>
      <c r="H220" s="204">
        <f t="shared" si="7"/>
        <v>9</v>
      </c>
    </row>
    <row r="221" spans="1:8" x14ac:dyDescent="0.35">
      <c r="A221" s="244">
        <v>4500</v>
      </c>
      <c r="B221" s="245" t="s">
        <v>388</v>
      </c>
      <c r="C221" s="245" t="s">
        <v>389</v>
      </c>
      <c r="D221" s="245" t="s">
        <v>293</v>
      </c>
      <c r="E221" s="245" t="s">
        <v>165</v>
      </c>
      <c r="F221" s="245" t="s">
        <v>132</v>
      </c>
      <c r="G221" s="249">
        <v>6933.33</v>
      </c>
      <c r="H221" s="204">
        <f t="shared" si="7"/>
        <v>10</v>
      </c>
    </row>
    <row r="222" spans="1:8" x14ac:dyDescent="0.35">
      <c r="A222" s="244">
        <v>4500</v>
      </c>
      <c r="B222" s="245" t="s">
        <v>388</v>
      </c>
      <c r="C222" s="245" t="s">
        <v>389</v>
      </c>
      <c r="D222" s="245" t="s">
        <v>294</v>
      </c>
      <c r="E222" s="245" t="s">
        <v>165</v>
      </c>
      <c r="F222" s="245" t="s">
        <v>132</v>
      </c>
      <c r="G222" s="249">
        <v>6933.33</v>
      </c>
      <c r="H222" s="204">
        <f t="shared" si="7"/>
        <v>11</v>
      </c>
    </row>
    <row r="223" spans="1:8" x14ac:dyDescent="0.35">
      <c r="A223" s="244">
        <v>4500</v>
      </c>
      <c r="B223" s="245" t="s">
        <v>388</v>
      </c>
      <c r="C223" s="245" t="s">
        <v>389</v>
      </c>
      <c r="D223" s="245" t="s">
        <v>295</v>
      </c>
      <c r="E223" s="245" t="s">
        <v>165</v>
      </c>
      <c r="F223" s="245" t="s">
        <v>132</v>
      </c>
      <c r="G223" s="249">
        <v>6933.33</v>
      </c>
      <c r="H223" s="204">
        <f t="shared" si="7"/>
        <v>12</v>
      </c>
    </row>
    <row r="224" spans="1:8" x14ac:dyDescent="0.35">
      <c r="A224" s="244">
        <v>4500</v>
      </c>
      <c r="B224" s="245" t="s">
        <v>390</v>
      </c>
      <c r="C224" s="245" t="s">
        <v>391</v>
      </c>
      <c r="D224" s="245" t="s">
        <v>284</v>
      </c>
      <c r="E224" s="245" t="s">
        <v>165</v>
      </c>
      <c r="F224" s="245" t="s">
        <v>132</v>
      </c>
      <c r="G224" s="249">
        <v>4666.67</v>
      </c>
      <c r="H224" s="204">
        <f t="shared" si="7"/>
        <v>1</v>
      </c>
    </row>
    <row r="225" spans="1:8" x14ac:dyDescent="0.35">
      <c r="A225" s="244">
        <v>4500</v>
      </c>
      <c r="B225" s="245" t="s">
        <v>390</v>
      </c>
      <c r="C225" s="245" t="s">
        <v>391</v>
      </c>
      <c r="D225" s="245" t="s">
        <v>285</v>
      </c>
      <c r="E225" s="245" t="s">
        <v>165</v>
      </c>
      <c r="F225" s="245" t="s">
        <v>132</v>
      </c>
      <c r="G225" s="249">
        <v>4666.67</v>
      </c>
      <c r="H225" s="204">
        <f t="shared" si="7"/>
        <v>2</v>
      </c>
    </row>
    <row r="226" spans="1:8" x14ac:dyDescent="0.35">
      <c r="A226" s="244">
        <v>4500</v>
      </c>
      <c r="B226" s="245" t="s">
        <v>390</v>
      </c>
      <c r="C226" s="245" t="s">
        <v>391</v>
      </c>
      <c r="D226" s="245" t="s">
        <v>286</v>
      </c>
      <c r="E226" s="245" t="s">
        <v>165</v>
      </c>
      <c r="F226" s="245" t="s">
        <v>132</v>
      </c>
      <c r="G226" s="249">
        <v>4666.67</v>
      </c>
      <c r="H226" s="204">
        <f t="shared" si="7"/>
        <v>3</v>
      </c>
    </row>
    <row r="227" spans="1:8" x14ac:dyDescent="0.35">
      <c r="A227" s="244">
        <v>4500</v>
      </c>
      <c r="B227" s="245" t="s">
        <v>390</v>
      </c>
      <c r="C227" s="245" t="s">
        <v>391</v>
      </c>
      <c r="D227" s="245" t="s">
        <v>287</v>
      </c>
      <c r="E227" s="245" t="s">
        <v>165</v>
      </c>
      <c r="F227" s="245" t="s">
        <v>132</v>
      </c>
      <c r="G227" s="249">
        <v>4666.67</v>
      </c>
      <c r="H227" s="204">
        <f t="shared" si="7"/>
        <v>4</v>
      </c>
    </row>
    <row r="228" spans="1:8" x14ac:dyDescent="0.35">
      <c r="A228" s="244">
        <v>4500</v>
      </c>
      <c r="B228" s="245" t="s">
        <v>390</v>
      </c>
      <c r="C228" s="245" t="s">
        <v>391</v>
      </c>
      <c r="D228" s="245" t="s">
        <v>288</v>
      </c>
      <c r="E228" s="245" t="s">
        <v>165</v>
      </c>
      <c r="F228" s="245" t="s">
        <v>132</v>
      </c>
      <c r="G228" s="249">
        <v>4666.67</v>
      </c>
      <c r="H228" s="204">
        <f t="shared" si="7"/>
        <v>5</v>
      </c>
    </row>
    <row r="229" spans="1:8" x14ac:dyDescent="0.35">
      <c r="A229" s="244">
        <v>4500</v>
      </c>
      <c r="B229" s="245" t="s">
        <v>390</v>
      </c>
      <c r="C229" s="245" t="s">
        <v>391</v>
      </c>
      <c r="D229" s="245" t="s">
        <v>289</v>
      </c>
      <c r="E229" s="245" t="s">
        <v>165</v>
      </c>
      <c r="F229" s="245" t="s">
        <v>132</v>
      </c>
      <c r="G229" s="249">
        <v>4666.67</v>
      </c>
      <c r="H229" s="204">
        <f t="shared" si="7"/>
        <v>6</v>
      </c>
    </row>
    <row r="230" spans="1:8" x14ac:dyDescent="0.35">
      <c r="A230" s="244">
        <v>4500</v>
      </c>
      <c r="B230" s="245" t="s">
        <v>390</v>
      </c>
      <c r="C230" s="245" t="s">
        <v>391</v>
      </c>
      <c r="D230" s="245" t="s">
        <v>290</v>
      </c>
      <c r="E230" s="245" t="s">
        <v>165</v>
      </c>
      <c r="F230" s="245" t="s">
        <v>132</v>
      </c>
      <c r="G230" s="249">
        <v>4666.67</v>
      </c>
      <c r="H230" s="204">
        <f t="shared" si="7"/>
        <v>7</v>
      </c>
    </row>
    <row r="231" spans="1:8" x14ac:dyDescent="0.35">
      <c r="A231" s="244">
        <v>4500</v>
      </c>
      <c r="B231" s="245" t="s">
        <v>390</v>
      </c>
      <c r="C231" s="245" t="s">
        <v>391</v>
      </c>
      <c r="D231" s="245" t="s">
        <v>291</v>
      </c>
      <c r="E231" s="245" t="s">
        <v>165</v>
      </c>
      <c r="F231" s="245" t="s">
        <v>132</v>
      </c>
      <c r="G231" s="249">
        <v>4666.67</v>
      </c>
      <c r="H231" s="204">
        <f t="shared" si="7"/>
        <v>8</v>
      </c>
    </row>
    <row r="232" spans="1:8" x14ac:dyDescent="0.35">
      <c r="A232" s="244">
        <v>4500</v>
      </c>
      <c r="B232" s="245" t="s">
        <v>390</v>
      </c>
      <c r="C232" s="245" t="s">
        <v>391</v>
      </c>
      <c r="D232" s="245" t="s">
        <v>292</v>
      </c>
      <c r="E232" s="245" t="s">
        <v>165</v>
      </c>
      <c r="F232" s="245" t="s">
        <v>132</v>
      </c>
      <c r="G232" s="249">
        <v>4666.67</v>
      </c>
      <c r="H232" s="204">
        <f t="shared" si="7"/>
        <v>9</v>
      </c>
    </row>
    <row r="233" spans="1:8" x14ac:dyDescent="0.35">
      <c r="A233" s="244">
        <v>4500</v>
      </c>
      <c r="B233" s="245" t="s">
        <v>390</v>
      </c>
      <c r="C233" s="245" t="s">
        <v>391</v>
      </c>
      <c r="D233" s="245" t="s">
        <v>293</v>
      </c>
      <c r="E233" s="245" t="s">
        <v>165</v>
      </c>
      <c r="F233" s="245" t="s">
        <v>132</v>
      </c>
      <c r="G233" s="249">
        <v>4666.67</v>
      </c>
      <c r="H233" s="204">
        <f t="shared" si="7"/>
        <v>10</v>
      </c>
    </row>
    <row r="234" spans="1:8" x14ac:dyDescent="0.35">
      <c r="A234" s="244">
        <v>4500</v>
      </c>
      <c r="B234" s="245" t="s">
        <v>390</v>
      </c>
      <c r="C234" s="245" t="s">
        <v>391</v>
      </c>
      <c r="D234" s="245" t="s">
        <v>294</v>
      </c>
      <c r="E234" s="245" t="s">
        <v>165</v>
      </c>
      <c r="F234" s="245" t="s">
        <v>132</v>
      </c>
      <c r="G234" s="249">
        <v>4666.67</v>
      </c>
      <c r="H234" s="204">
        <f t="shared" si="7"/>
        <v>11</v>
      </c>
    </row>
    <row r="235" spans="1:8" x14ac:dyDescent="0.35">
      <c r="A235" s="244">
        <v>4500</v>
      </c>
      <c r="B235" s="245" t="s">
        <v>390</v>
      </c>
      <c r="C235" s="245" t="s">
        <v>391</v>
      </c>
      <c r="D235" s="245" t="s">
        <v>295</v>
      </c>
      <c r="E235" s="245" t="s">
        <v>165</v>
      </c>
      <c r="F235" s="245" t="s">
        <v>132</v>
      </c>
      <c r="G235" s="249">
        <v>4666.67</v>
      </c>
      <c r="H235" s="204">
        <f t="shared" si="7"/>
        <v>12</v>
      </c>
    </row>
    <row r="236" spans="1:8" x14ac:dyDescent="0.35">
      <c r="A236" s="244">
        <v>4500</v>
      </c>
      <c r="B236" s="245" t="s">
        <v>392</v>
      </c>
      <c r="C236" s="245" t="s">
        <v>393</v>
      </c>
      <c r="D236" s="245" t="s">
        <v>284</v>
      </c>
      <c r="E236" s="245" t="s">
        <v>165</v>
      </c>
      <c r="F236" s="245" t="s">
        <v>132</v>
      </c>
      <c r="G236" s="249">
        <v>26056.67</v>
      </c>
      <c r="H236" s="204">
        <f t="shared" si="7"/>
        <v>1</v>
      </c>
    </row>
    <row r="237" spans="1:8" x14ac:dyDescent="0.35">
      <c r="A237" s="244">
        <v>4500</v>
      </c>
      <c r="B237" s="245" t="s">
        <v>392</v>
      </c>
      <c r="C237" s="245" t="s">
        <v>393</v>
      </c>
      <c r="D237" s="245" t="s">
        <v>285</v>
      </c>
      <c r="E237" s="245" t="s">
        <v>165</v>
      </c>
      <c r="F237" s="245" t="s">
        <v>132</v>
      </c>
      <c r="G237" s="249">
        <v>26056.67</v>
      </c>
      <c r="H237" s="204">
        <f t="shared" si="7"/>
        <v>2</v>
      </c>
    </row>
    <row r="238" spans="1:8" s="82" customFormat="1" x14ac:dyDescent="0.35">
      <c r="A238" s="244">
        <v>4500</v>
      </c>
      <c r="B238" s="245" t="s">
        <v>392</v>
      </c>
      <c r="C238" s="245" t="s">
        <v>393</v>
      </c>
      <c r="D238" s="245" t="s">
        <v>286</v>
      </c>
      <c r="E238" s="245" t="s">
        <v>165</v>
      </c>
      <c r="F238" s="245" t="s">
        <v>132</v>
      </c>
      <c r="G238" s="249">
        <v>26056.67</v>
      </c>
      <c r="H238" s="204">
        <f t="shared" ref="H238:H261" si="8">IF(D238="",0,MONTH(D238))</f>
        <v>3</v>
      </c>
    </row>
    <row r="239" spans="1:8" s="82" customFormat="1" x14ac:dyDescent="0.35">
      <c r="A239" s="244">
        <v>4500</v>
      </c>
      <c r="B239" s="245" t="s">
        <v>392</v>
      </c>
      <c r="C239" s="245" t="s">
        <v>393</v>
      </c>
      <c r="D239" s="245" t="s">
        <v>287</v>
      </c>
      <c r="E239" s="245" t="s">
        <v>165</v>
      </c>
      <c r="F239" s="245" t="s">
        <v>132</v>
      </c>
      <c r="G239" s="249">
        <v>26056.67</v>
      </c>
      <c r="H239" s="204">
        <f t="shared" si="8"/>
        <v>4</v>
      </c>
    </row>
    <row r="240" spans="1:8" s="82" customFormat="1" x14ac:dyDescent="0.35">
      <c r="A240" s="244">
        <v>4500</v>
      </c>
      <c r="B240" s="245" t="s">
        <v>392</v>
      </c>
      <c r="C240" s="245" t="s">
        <v>393</v>
      </c>
      <c r="D240" s="245" t="s">
        <v>288</v>
      </c>
      <c r="E240" s="245" t="s">
        <v>165</v>
      </c>
      <c r="F240" s="245" t="s">
        <v>132</v>
      </c>
      <c r="G240" s="249">
        <v>26056.67</v>
      </c>
      <c r="H240" s="204">
        <f t="shared" si="8"/>
        <v>5</v>
      </c>
    </row>
    <row r="241" spans="1:8" s="82" customFormat="1" x14ac:dyDescent="0.35">
      <c r="A241" s="244">
        <v>4500</v>
      </c>
      <c r="B241" s="245" t="s">
        <v>392</v>
      </c>
      <c r="C241" s="245" t="s">
        <v>393</v>
      </c>
      <c r="D241" s="245" t="s">
        <v>289</v>
      </c>
      <c r="E241" s="245" t="s">
        <v>165</v>
      </c>
      <c r="F241" s="245" t="s">
        <v>132</v>
      </c>
      <c r="G241" s="249">
        <v>26056.67</v>
      </c>
      <c r="H241" s="204">
        <f t="shared" si="8"/>
        <v>6</v>
      </c>
    </row>
    <row r="242" spans="1:8" s="82" customFormat="1" x14ac:dyDescent="0.35">
      <c r="A242" s="244">
        <v>4500</v>
      </c>
      <c r="B242" s="245" t="s">
        <v>392</v>
      </c>
      <c r="C242" s="245" t="s">
        <v>393</v>
      </c>
      <c r="D242" s="245" t="s">
        <v>290</v>
      </c>
      <c r="E242" s="245" t="s">
        <v>165</v>
      </c>
      <c r="F242" s="245" t="s">
        <v>132</v>
      </c>
      <c r="G242" s="249">
        <v>26056.67</v>
      </c>
      <c r="H242" s="204">
        <f t="shared" si="8"/>
        <v>7</v>
      </c>
    </row>
    <row r="243" spans="1:8" s="82" customFormat="1" x14ac:dyDescent="0.35">
      <c r="A243" s="244">
        <v>4500</v>
      </c>
      <c r="B243" s="245" t="s">
        <v>392</v>
      </c>
      <c r="C243" s="245" t="s">
        <v>393</v>
      </c>
      <c r="D243" s="245" t="s">
        <v>291</v>
      </c>
      <c r="E243" s="245" t="s">
        <v>165</v>
      </c>
      <c r="F243" s="245" t="s">
        <v>132</v>
      </c>
      <c r="G243" s="249">
        <v>26056.67</v>
      </c>
      <c r="H243" s="204">
        <f t="shared" si="8"/>
        <v>8</v>
      </c>
    </row>
    <row r="244" spans="1:8" s="82" customFormat="1" x14ac:dyDescent="0.35">
      <c r="A244" s="244">
        <v>4500</v>
      </c>
      <c r="B244" s="245" t="s">
        <v>392</v>
      </c>
      <c r="C244" s="245" t="s">
        <v>393</v>
      </c>
      <c r="D244" s="245" t="s">
        <v>292</v>
      </c>
      <c r="E244" s="245" t="s">
        <v>165</v>
      </c>
      <c r="F244" s="245" t="s">
        <v>132</v>
      </c>
      <c r="G244" s="249">
        <v>26056.67</v>
      </c>
      <c r="H244" s="204">
        <f t="shared" si="8"/>
        <v>9</v>
      </c>
    </row>
    <row r="245" spans="1:8" s="82" customFormat="1" x14ac:dyDescent="0.35">
      <c r="A245" s="244">
        <v>4500</v>
      </c>
      <c r="B245" s="245" t="s">
        <v>392</v>
      </c>
      <c r="C245" s="245" t="s">
        <v>393</v>
      </c>
      <c r="D245" s="245" t="s">
        <v>293</v>
      </c>
      <c r="E245" s="245" t="s">
        <v>165</v>
      </c>
      <c r="F245" s="245" t="s">
        <v>132</v>
      </c>
      <c r="G245" s="249">
        <v>26056.67</v>
      </c>
      <c r="H245" s="204">
        <f t="shared" si="8"/>
        <v>10</v>
      </c>
    </row>
    <row r="246" spans="1:8" s="82" customFormat="1" x14ac:dyDescent="0.35">
      <c r="A246" s="244">
        <v>4500</v>
      </c>
      <c r="B246" s="245" t="s">
        <v>392</v>
      </c>
      <c r="C246" s="245" t="s">
        <v>393</v>
      </c>
      <c r="D246" s="245" t="s">
        <v>294</v>
      </c>
      <c r="E246" s="245" t="s">
        <v>165</v>
      </c>
      <c r="F246" s="245" t="s">
        <v>132</v>
      </c>
      <c r="G246" s="249">
        <v>28662.33</v>
      </c>
      <c r="H246" s="204">
        <f t="shared" si="8"/>
        <v>11</v>
      </c>
    </row>
    <row r="247" spans="1:8" s="82" customFormat="1" x14ac:dyDescent="0.35">
      <c r="A247" s="244">
        <v>4500</v>
      </c>
      <c r="B247" s="245" t="s">
        <v>392</v>
      </c>
      <c r="C247" s="245" t="s">
        <v>393</v>
      </c>
      <c r="D247" s="245" t="s">
        <v>295</v>
      </c>
      <c r="E247" s="245" t="s">
        <v>165</v>
      </c>
      <c r="F247" s="245" t="s">
        <v>132</v>
      </c>
      <c r="G247" s="249">
        <v>28662.33</v>
      </c>
      <c r="H247" s="204">
        <f t="shared" si="8"/>
        <v>12</v>
      </c>
    </row>
    <row r="248" spans="1:8" s="82" customFormat="1" x14ac:dyDescent="0.35">
      <c r="A248" s="244">
        <v>4500</v>
      </c>
      <c r="B248" s="245" t="s">
        <v>394</v>
      </c>
      <c r="C248" s="245" t="s">
        <v>395</v>
      </c>
      <c r="D248" s="245" t="s">
        <v>284</v>
      </c>
      <c r="E248" s="245" t="s">
        <v>165</v>
      </c>
      <c r="F248" s="245" t="s">
        <v>132</v>
      </c>
      <c r="G248" s="249">
        <v>61368.67</v>
      </c>
      <c r="H248" s="204">
        <f t="shared" si="8"/>
        <v>1</v>
      </c>
    </row>
    <row r="249" spans="1:8" s="82" customFormat="1" x14ac:dyDescent="0.35">
      <c r="A249" s="244">
        <v>4500</v>
      </c>
      <c r="B249" s="245" t="s">
        <v>394</v>
      </c>
      <c r="C249" s="245" t="s">
        <v>395</v>
      </c>
      <c r="D249" s="245" t="s">
        <v>285</v>
      </c>
      <c r="E249" s="245" t="s">
        <v>165</v>
      </c>
      <c r="F249" s="245" t="s">
        <v>132</v>
      </c>
      <c r="G249" s="249">
        <v>61368.67</v>
      </c>
      <c r="H249" s="204">
        <f t="shared" si="8"/>
        <v>2</v>
      </c>
    </row>
    <row r="250" spans="1:8" s="82" customFormat="1" x14ac:dyDescent="0.35">
      <c r="A250" s="244">
        <v>4500</v>
      </c>
      <c r="B250" s="245" t="s">
        <v>394</v>
      </c>
      <c r="C250" s="245" t="s">
        <v>395</v>
      </c>
      <c r="D250" s="245" t="s">
        <v>286</v>
      </c>
      <c r="E250" s="245" t="s">
        <v>165</v>
      </c>
      <c r="F250" s="245" t="s">
        <v>132</v>
      </c>
      <c r="G250" s="249">
        <v>61368.67</v>
      </c>
      <c r="H250" s="204">
        <f t="shared" si="8"/>
        <v>3</v>
      </c>
    </row>
    <row r="251" spans="1:8" s="82" customFormat="1" x14ac:dyDescent="0.35">
      <c r="A251" s="244">
        <v>4500</v>
      </c>
      <c r="B251" s="245" t="s">
        <v>394</v>
      </c>
      <c r="C251" s="245" t="s">
        <v>395</v>
      </c>
      <c r="D251" s="245" t="s">
        <v>287</v>
      </c>
      <c r="E251" s="245" t="s">
        <v>165</v>
      </c>
      <c r="F251" s="245" t="s">
        <v>132</v>
      </c>
      <c r="G251" s="249">
        <v>61368.67</v>
      </c>
      <c r="H251" s="204">
        <f t="shared" si="8"/>
        <v>4</v>
      </c>
    </row>
    <row r="252" spans="1:8" s="82" customFormat="1" x14ac:dyDescent="0.35">
      <c r="A252" s="244">
        <v>4500</v>
      </c>
      <c r="B252" s="245" t="s">
        <v>394</v>
      </c>
      <c r="C252" s="245" t="s">
        <v>395</v>
      </c>
      <c r="D252" s="245" t="s">
        <v>288</v>
      </c>
      <c r="E252" s="245" t="s">
        <v>165</v>
      </c>
      <c r="F252" s="245" t="s">
        <v>132</v>
      </c>
      <c r="G252" s="249">
        <v>61368.67</v>
      </c>
      <c r="H252" s="204">
        <f t="shared" si="8"/>
        <v>5</v>
      </c>
    </row>
    <row r="253" spans="1:8" s="82" customFormat="1" x14ac:dyDescent="0.35">
      <c r="A253" s="244">
        <v>4500</v>
      </c>
      <c r="B253" s="245" t="s">
        <v>394</v>
      </c>
      <c r="C253" s="245" t="s">
        <v>395</v>
      </c>
      <c r="D253" s="245" t="s">
        <v>289</v>
      </c>
      <c r="E253" s="245" t="s">
        <v>165</v>
      </c>
      <c r="F253" s="245" t="s">
        <v>132</v>
      </c>
      <c r="G253" s="249">
        <v>61368.67</v>
      </c>
      <c r="H253" s="204">
        <f t="shared" si="8"/>
        <v>6</v>
      </c>
    </row>
    <row r="254" spans="1:8" s="82" customFormat="1" x14ac:dyDescent="0.35">
      <c r="A254" s="244">
        <v>4500</v>
      </c>
      <c r="B254" s="245" t="s">
        <v>394</v>
      </c>
      <c r="C254" s="245" t="s">
        <v>395</v>
      </c>
      <c r="D254" s="245" t="s">
        <v>290</v>
      </c>
      <c r="E254" s="245" t="s">
        <v>165</v>
      </c>
      <c r="F254" s="245" t="s">
        <v>132</v>
      </c>
      <c r="G254" s="249">
        <v>61368.67</v>
      </c>
      <c r="H254" s="204">
        <f t="shared" si="8"/>
        <v>7</v>
      </c>
    </row>
    <row r="255" spans="1:8" s="82" customFormat="1" x14ac:dyDescent="0.35">
      <c r="A255" s="244">
        <v>4500</v>
      </c>
      <c r="B255" s="245" t="s">
        <v>394</v>
      </c>
      <c r="C255" s="245" t="s">
        <v>395</v>
      </c>
      <c r="D255" s="245" t="s">
        <v>291</v>
      </c>
      <c r="E255" s="245" t="s">
        <v>165</v>
      </c>
      <c r="F255" s="245" t="s">
        <v>132</v>
      </c>
      <c r="G255" s="249">
        <v>61368.67</v>
      </c>
      <c r="H255" s="204">
        <f t="shared" si="8"/>
        <v>8</v>
      </c>
    </row>
    <row r="256" spans="1:8" s="82" customFormat="1" x14ac:dyDescent="0.35">
      <c r="A256" s="244">
        <v>4500</v>
      </c>
      <c r="B256" s="245" t="s">
        <v>394</v>
      </c>
      <c r="C256" s="245" t="s">
        <v>395</v>
      </c>
      <c r="D256" s="245" t="s">
        <v>292</v>
      </c>
      <c r="E256" s="245" t="s">
        <v>165</v>
      </c>
      <c r="F256" s="245" t="s">
        <v>132</v>
      </c>
      <c r="G256" s="249">
        <v>61368.67</v>
      </c>
      <c r="H256" s="204">
        <f t="shared" si="8"/>
        <v>9</v>
      </c>
    </row>
    <row r="257" spans="1:8" s="82" customFormat="1" x14ac:dyDescent="0.35">
      <c r="A257" s="244">
        <v>4500</v>
      </c>
      <c r="B257" s="245" t="s">
        <v>394</v>
      </c>
      <c r="C257" s="245" t="s">
        <v>395</v>
      </c>
      <c r="D257" s="245" t="s">
        <v>293</v>
      </c>
      <c r="E257" s="245" t="s">
        <v>165</v>
      </c>
      <c r="F257" s="245" t="s">
        <v>132</v>
      </c>
      <c r="G257" s="249">
        <v>61368.67</v>
      </c>
      <c r="H257" s="204">
        <f t="shared" si="8"/>
        <v>10</v>
      </c>
    </row>
    <row r="258" spans="1:8" s="82" customFormat="1" x14ac:dyDescent="0.35">
      <c r="A258" s="244">
        <v>4500</v>
      </c>
      <c r="B258" s="245" t="s">
        <v>394</v>
      </c>
      <c r="C258" s="245" t="s">
        <v>395</v>
      </c>
      <c r="D258" s="245" t="s">
        <v>294</v>
      </c>
      <c r="E258" s="245" t="s">
        <v>165</v>
      </c>
      <c r="F258" s="245" t="s">
        <v>132</v>
      </c>
      <c r="G258" s="249">
        <v>68449.67</v>
      </c>
      <c r="H258" s="204">
        <f t="shared" si="8"/>
        <v>11</v>
      </c>
    </row>
    <row r="259" spans="1:8" s="82" customFormat="1" x14ac:dyDescent="0.35">
      <c r="A259" s="244">
        <v>4500</v>
      </c>
      <c r="B259" s="245" t="s">
        <v>394</v>
      </c>
      <c r="C259" s="245" t="s">
        <v>395</v>
      </c>
      <c r="D259" s="245" t="s">
        <v>295</v>
      </c>
      <c r="E259" s="245" t="s">
        <v>165</v>
      </c>
      <c r="F259" s="245" t="s">
        <v>132</v>
      </c>
      <c r="G259" s="249">
        <v>68449.67</v>
      </c>
      <c r="H259" s="204">
        <f t="shared" si="8"/>
        <v>12</v>
      </c>
    </row>
    <row r="260" spans="1:8" s="82" customFormat="1" x14ac:dyDescent="0.35">
      <c r="A260" s="244">
        <v>5600</v>
      </c>
      <c r="B260" s="245" t="s">
        <v>396</v>
      </c>
      <c r="C260" s="245" t="s">
        <v>397</v>
      </c>
      <c r="D260" s="245" t="s">
        <v>284</v>
      </c>
      <c r="E260" s="245" t="s">
        <v>165</v>
      </c>
      <c r="F260" s="245" t="s">
        <v>132</v>
      </c>
      <c r="G260" s="249">
        <v>2082.92</v>
      </c>
      <c r="H260" s="204">
        <f t="shared" si="8"/>
        <v>1</v>
      </c>
    </row>
    <row r="261" spans="1:8" s="82" customFormat="1" x14ac:dyDescent="0.35">
      <c r="A261" s="244">
        <v>5600</v>
      </c>
      <c r="B261" s="245" t="s">
        <v>396</v>
      </c>
      <c r="C261" s="245" t="s">
        <v>397</v>
      </c>
      <c r="D261" s="245" t="s">
        <v>285</v>
      </c>
      <c r="E261" s="245" t="s">
        <v>165</v>
      </c>
      <c r="F261" s="245" t="s">
        <v>132</v>
      </c>
      <c r="G261" s="249">
        <v>2082.92</v>
      </c>
      <c r="H261" s="204">
        <f t="shared" si="8"/>
        <v>2</v>
      </c>
    </row>
    <row r="262" spans="1:8" x14ac:dyDescent="0.35">
      <c r="A262" s="244">
        <v>5600</v>
      </c>
      <c r="B262" s="245" t="s">
        <v>396</v>
      </c>
      <c r="C262" s="245" t="s">
        <v>397</v>
      </c>
      <c r="D262" s="245" t="s">
        <v>286</v>
      </c>
      <c r="E262" s="245" t="s">
        <v>165</v>
      </c>
      <c r="F262" s="245" t="s">
        <v>132</v>
      </c>
      <c r="G262" s="249">
        <v>2082.92</v>
      </c>
      <c r="H262" s="204">
        <f t="shared" si="7"/>
        <v>3</v>
      </c>
    </row>
    <row r="263" spans="1:8" x14ac:dyDescent="0.35">
      <c r="A263" s="244">
        <v>5600</v>
      </c>
      <c r="B263" s="245" t="s">
        <v>396</v>
      </c>
      <c r="C263" s="245" t="s">
        <v>397</v>
      </c>
      <c r="D263" s="245" t="s">
        <v>287</v>
      </c>
      <c r="E263" s="245" t="s">
        <v>165</v>
      </c>
      <c r="F263" s="245" t="s">
        <v>132</v>
      </c>
      <c r="G263" s="249">
        <v>2082.92</v>
      </c>
      <c r="H263" s="204">
        <f t="shared" si="7"/>
        <v>4</v>
      </c>
    </row>
    <row r="264" spans="1:8" x14ac:dyDescent="0.35">
      <c r="A264" s="244">
        <v>5600</v>
      </c>
      <c r="B264" s="245" t="s">
        <v>396</v>
      </c>
      <c r="C264" s="245" t="s">
        <v>397</v>
      </c>
      <c r="D264" s="245" t="s">
        <v>288</v>
      </c>
      <c r="E264" s="245" t="s">
        <v>165</v>
      </c>
      <c r="F264" s="245" t="s">
        <v>132</v>
      </c>
      <c r="G264" s="249">
        <v>2082.92</v>
      </c>
      <c r="H264" s="204">
        <f t="shared" si="7"/>
        <v>5</v>
      </c>
    </row>
    <row r="265" spans="1:8" x14ac:dyDescent="0.35">
      <c r="A265" s="244">
        <v>5600</v>
      </c>
      <c r="B265" s="245" t="s">
        <v>396</v>
      </c>
      <c r="C265" s="245" t="s">
        <v>397</v>
      </c>
      <c r="D265" s="245" t="s">
        <v>289</v>
      </c>
      <c r="E265" s="245" t="s">
        <v>165</v>
      </c>
      <c r="F265" s="245" t="s">
        <v>132</v>
      </c>
      <c r="G265" s="249">
        <v>2082.92</v>
      </c>
      <c r="H265" s="204">
        <f t="shared" si="7"/>
        <v>6</v>
      </c>
    </row>
    <row r="266" spans="1:8" x14ac:dyDescent="0.35">
      <c r="A266" s="244">
        <v>5600</v>
      </c>
      <c r="B266" s="245" t="s">
        <v>396</v>
      </c>
      <c r="C266" s="245" t="s">
        <v>397</v>
      </c>
      <c r="D266" s="245" t="s">
        <v>290</v>
      </c>
      <c r="E266" s="245" t="s">
        <v>165</v>
      </c>
      <c r="F266" s="245" t="s">
        <v>132</v>
      </c>
      <c r="G266" s="249">
        <v>2082.92</v>
      </c>
      <c r="H266" s="204">
        <f t="shared" si="7"/>
        <v>7</v>
      </c>
    </row>
    <row r="267" spans="1:8" x14ac:dyDescent="0.35">
      <c r="A267" s="244">
        <v>5600</v>
      </c>
      <c r="B267" s="245" t="s">
        <v>396</v>
      </c>
      <c r="C267" s="245" t="s">
        <v>397</v>
      </c>
      <c r="D267" s="245" t="s">
        <v>291</v>
      </c>
      <c r="E267" s="245" t="s">
        <v>165</v>
      </c>
      <c r="F267" s="245" t="s">
        <v>132</v>
      </c>
      <c r="G267" s="249">
        <v>2082.92</v>
      </c>
      <c r="H267" s="204">
        <f t="shared" si="7"/>
        <v>8</v>
      </c>
    </row>
    <row r="268" spans="1:8" x14ac:dyDescent="0.35">
      <c r="A268" s="244">
        <v>5600</v>
      </c>
      <c r="B268" s="245" t="s">
        <v>396</v>
      </c>
      <c r="C268" s="245" t="s">
        <v>397</v>
      </c>
      <c r="D268" s="245" t="s">
        <v>292</v>
      </c>
      <c r="E268" s="245" t="s">
        <v>165</v>
      </c>
      <c r="F268" s="245" t="s">
        <v>132</v>
      </c>
      <c r="G268" s="249">
        <v>2082.92</v>
      </c>
      <c r="H268" s="204">
        <f t="shared" si="7"/>
        <v>9</v>
      </c>
    </row>
    <row r="269" spans="1:8" x14ac:dyDescent="0.35">
      <c r="A269" s="244">
        <v>5600</v>
      </c>
      <c r="B269" s="245" t="s">
        <v>396</v>
      </c>
      <c r="C269" s="245" t="s">
        <v>397</v>
      </c>
      <c r="D269" s="245" t="s">
        <v>293</v>
      </c>
      <c r="E269" s="245" t="s">
        <v>165</v>
      </c>
      <c r="F269" s="245" t="s">
        <v>132</v>
      </c>
      <c r="G269" s="249">
        <v>2082.92</v>
      </c>
      <c r="H269" s="204">
        <f t="shared" si="7"/>
        <v>10</v>
      </c>
    </row>
    <row r="270" spans="1:8" x14ac:dyDescent="0.35">
      <c r="A270" s="244">
        <v>5600</v>
      </c>
      <c r="B270" s="245" t="s">
        <v>396</v>
      </c>
      <c r="C270" s="245" t="s">
        <v>397</v>
      </c>
      <c r="D270" s="245" t="s">
        <v>294</v>
      </c>
      <c r="E270" s="245" t="s">
        <v>165</v>
      </c>
      <c r="F270" s="245" t="s">
        <v>132</v>
      </c>
      <c r="G270" s="249">
        <v>2082.92</v>
      </c>
      <c r="H270" s="204">
        <f t="shared" si="7"/>
        <v>11</v>
      </c>
    </row>
    <row r="271" spans="1:8" x14ac:dyDescent="0.35">
      <c r="A271" s="244">
        <v>5600</v>
      </c>
      <c r="B271" s="245" t="s">
        <v>396</v>
      </c>
      <c r="C271" s="245" t="s">
        <v>397</v>
      </c>
      <c r="D271" s="245" t="s">
        <v>295</v>
      </c>
      <c r="E271" s="245" t="s">
        <v>165</v>
      </c>
      <c r="F271" s="245" t="s">
        <v>132</v>
      </c>
      <c r="G271" s="249">
        <v>2082.92</v>
      </c>
      <c r="H271" s="204">
        <f t="shared" si="7"/>
        <v>12</v>
      </c>
    </row>
    <row r="272" spans="1:8" x14ac:dyDescent="0.35">
      <c r="A272" s="244">
        <v>7010</v>
      </c>
      <c r="B272" s="245" t="s">
        <v>398</v>
      </c>
      <c r="C272" s="245" t="s">
        <v>330</v>
      </c>
      <c r="D272" s="245" t="s">
        <v>284</v>
      </c>
      <c r="E272" s="245" t="s">
        <v>165</v>
      </c>
      <c r="F272" s="245" t="s">
        <v>132</v>
      </c>
      <c r="G272" s="249">
        <v>5125</v>
      </c>
      <c r="H272" s="204">
        <f t="shared" si="7"/>
        <v>1</v>
      </c>
    </row>
    <row r="273" spans="1:8" x14ac:dyDescent="0.35">
      <c r="A273" s="244">
        <v>7010</v>
      </c>
      <c r="B273" s="245" t="s">
        <v>398</v>
      </c>
      <c r="C273" s="245" t="s">
        <v>330</v>
      </c>
      <c r="D273" s="245" t="s">
        <v>285</v>
      </c>
      <c r="E273" s="245" t="s">
        <v>165</v>
      </c>
      <c r="F273" s="245" t="s">
        <v>132</v>
      </c>
      <c r="G273" s="249">
        <v>5125</v>
      </c>
      <c r="H273" s="204">
        <f t="shared" si="7"/>
        <v>2</v>
      </c>
    </row>
    <row r="274" spans="1:8" x14ac:dyDescent="0.35">
      <c r="A274" s="244">
        <v>7010</v>
      </c>
      <c r="B274" s="245" t="s">
        <v>398</v>
      </c>
      <c r="C274" s="245" t="s">
        <v>330</v>
      </c>
      <c r="D274" s="245" t="s">
        <v>286</v>
      </c>
      <c r="E274" s="245" t="s">
        <v>165</v>
      </c>
      <c r="F274" s="245" t="s">
        <v>132</v>
      </c>
      <c r="G274" s="249">
        <v>5125</v>
      </c>
      <c r="H274" s="204">
        <f t="shared" si="7"/>
        <v>3</v>
      </c>
    </row>
    <row r="275" spans="1:8" x14ac:dyDescent="0.35">
      <c r="A275" s="244">
        <v>7010</v>
      </c>
      <c r="B275" s="245" t="s">
        <v>398</v>
      </c>
      <c r="C275" s="245" t="s">
        <v>330</v>
      </c>
      <c r="D275" s="245" t="s">
        <v>287</v>
      </c>
      <c r="E275" s="245" t="s">
        <v>165</v>
      </c>
      <c r="F275" s="245" t="s">
        <v>132</v>
      </c>
      <c r="G275" s="249">
        <v>5125</v>
      </c>
      <c r="H275" s="204">
        <f t="shared" si="7"/>
        <v>4</v>
      </c>
    </row>
    <row r="276" spans="1:8" x14ac:dyDescent="0.35">
      <c r="A276" s="244">
        <v>7010</v>
      </c>
      <c r="B276" s="245" t="s">
        <v>398</v>
      </c>
      <c r="C276" s="245" t="s">
        <v>330</v>
      </c>
      <c r="D276" s="245" t="s">
        <v>288</v>
      </c>
      <c r="E276" s="245" t="s">
        <v>165</v>
      </c>
      <c r="F276" s="245" t="s">
        <v>132</v>
      </c>
      <c r="G276" s="249">
        <v>5125</v>
      </c>
      <c r="H276" s="204">
        <f t="shared" si="7"/>
        <v>5</v>
      </c>
    </row>
    <row r="277" spans="1:8" x14ac:dyDescent="0.35">
      <c r="A277" s="244">
        <v>7010</v>
      </c>
      <c r="B277" s="245" t="s">
        <v>398</v>
      </c>
      <c r="C277" s="245" t="s">
        <v>330</v>
      </c>
      <c r="D277" s="245" t="s">
        <v>289</v>
      </c>
      <c r="E277" s="245" t="s">
        <v>165</v>
      </c>
      <c r="F277" s="245" t="s">
        <v>132</v>
      </c>
      <c r="G277" s="249">
        <v>5125</v>
      </c>
      <c r="H277" s="204">
        <f t="shared" si="7"/>
        <v>6</v>
      </c>
    </row>
    <row r="278" spans="1:8" x14ac:dyDescent="0.35">
      <c r="A278" s="244">
        <v>7010</v>
      </c>
      <c r="B278" s="245" t="s">
        <v>399</v>
      </c>
      <c r="C278" s="245" t="s">
        <v>400</v>
      </c>
      <c r="D278" s="245" t="s">
        <v>284</v>
      </c>
      <c r="E278" s="245" t="s">
        <v>165</v>
      </c>
      <c r="F278" s="245" t="s">
        <v>132</v>
      </c>
      <c r="G278" s="249">
        <v>3977.98</v>
      </c>
      <c r="H278" s="204">
        <f t="shared" si="7"/>
        <v>1</v>
      </c>
    </row>
    <row r="279" spans="1:8" x14ac:dyDescent="0.35">
      <c r="A279" s="244">
        <v>7010</v>
      </c>
      <c r="B279" s="245" t="s">
        <v>399</v>
      </c>
      <c r="C279" s="245" t="s">
        <v>400</v>
      </c>
      <c r="D279" s="245" t="s">
        <v>285</v>
      </c>
      <c r="E279" s="245" t="s">
        <v>165</v>
      </c>
      <c r="F279" s="245" t="s">
        <v>132</v>
      </c>
      <c r="G279" s="249">
        <v>3977.98</v>
      </c>
      <c r="H279" s="204">
        <f t="shared" si="7"/>
        <v>2</v>
      </c>
    </row>
    <row r="280" spans="1:8" x14ac:dyDescent="0.35">
      <c r="A280" s="244">
        <v>7010</v>
      </c>
      <c r="B280" s="245" t="s">
        <v>399</v>
      </c>
      <c r="C280" s="245" t="s">
        <v>400</v>
      </c>
      <c r="D280" s="245" t="s">
        <v>286</v>
      </c>
      <c r="E280" s="245" t="s">
        <v>165</v>
      </c>
      <c r="F280" s="245" t="s">
        <v>132</v>
      </c>
      <c r="G280" s="249">
        <v>3977.98</v>
      </c>
      <c r="H280" s="204">
        <f t="shared" si="7"/>
        <v>3</v>
      </c>
    </row>
    <row r="281" spans="1:8" x14ac:dyDescent="0.35">
      <c r="A281" s="244">
        <v>7010</v>
      </c>
      <c r="B281" s="245" t="s">
        <v>399</v>
      </c>
      <c r="C281" s="245" t="s">
        <v>400</v>
      </c>
      <c r="D281" s="245" t="s">
        <v>287</v>
      </c>
      <c r="E281" s="245" t="s">
        <v>165</v>
      </c>
      <c r="F281" s="245" t="s">
        <v>132</v>
      </c>
      <c r="G281" s="249">
        <v>3977.98</v>
      </c>
      <c r="H281" s="204">
        <f t="shared" si="7"/>
        <v>4</v>
      </c>
    </row>
    <row r="282" spans="1:8" x14ac:dyDescent="0.35">
      <c r="A282" s="244">
        <v>7010</v>
      </c>
      <c r="B282" s="245" t="s">
        <v>399</v>
      </c>
      <c r="C282" s="245" t="s">
        <v>400</v>
      </c>
      <c r="D282" s="245" t="s">
        <v>288</v>
      </c>
      <c r="E282" s="245" t="s">
        <v>165</v>
      </c>
      <c r="F282" s="245" t="s">
        <v>132</v>
      </c>
      <c r="G282" s="249">
        <v>3977.98</v>
      </c>
      <c r="H282" s="204">
        <f t="shared" si="7"/>
        <v>5</v>
      </c>
    </row>
    <row r="283" spans="1:8" x14ac:dyDescent="0.35">
      <c r="A283" s="244">
        <v>7010</v>
      </c>
      <c r="B283" s="245" t="s">
        <v>399</v>
      </c>
      <c r="C283" s="245" t="s">
        <v>400</v>
      </c>
      <c r="D283" s="245" t="s">
        <v>289</v>
      </c>
      <c r="E283" s="245" t="s">
        <v>165</v>
      </c>
      <c r="F283" s="245" t="s">
        <v>132</v>
      </c>
      <c r="G283" s="249">
        <v>3977.98</v>
      </c>
      <c r="H283" s="204">
        <f t="shared" si="7"/>
        <v>6</v>
      </c>
    </row>
    <row r="284" spans="1:8" x14ac:dyDescent="0.35">
      <c r="A284" s="244">
        <v>7010</v>
      </c>
      <c r="B284" s="245" t="s">
        <v>399</v>
      </c>
      <c r="C284" s="245" t="s">
        <v>400</v>
      </c>
      <c r="D284" s="245" t="s">
        <v>290</v>
      </c>
      <c r="E284" s="245" t="s">
        <v>165</v>
      </c>
      <c r="F284" s="245" t="s">
        <v>132</v>
      </c>
      <c r="G284" s="249">
        <v>3977.98</v>
      </c>
      <c r="H284" s="204">
        <f t="shared" ref="H284:H348" si="9">IF(D284="",0,MONTH(D284))</f>
        <v>7</v>
      </c>
    </row>
    <row r="285" spans="1:8" x14ac:dyDescent="0.35">
      <c r="A285" s="244">
        <v>7010</v>
      </c>
      <c r="B285" s="245" t="s">
        <v>399</v>
      </c>
      <c r="C285" s="245" t="s">
        <v>400</v>
      </c>
      <c r="D285" s="245" t="s">
        <v>291</v>
      </c>
      <c r="E285" s="245" t="s">
        <v>165</v>
      </c>
      <c r="F285" s="245" t="s">
        <v>132</v>
      </c>
      <c r="G285" s="249">
        <v>3977.98</v>
      </c>
      <c r="H285" s="204">
        <f t="shared" si="9"/>
        <v>8</v>
      </c>
    </row>
    <row r="286" spans="1:8" x14ac:dyDescent="0.35">
      <c r="A286" s="244">
        <v>7010</v>
      </c>
      <c r="B286" s="245" t="s">
        <v>399</v>
      </c>
      <c r="C286" s="245" t="s">
        <v>400</v>
      </c>
      <c r="D286" s="245" t="s">
        <v>292</v>
      </c>
      <c r="E286" s="245" t="s">
        <v>165</v>
      </c>
      <c r="F286" s="245" t="s">
        <v>132</v>
      </c>
      <c r="G286" s="249">
        <v>3977.98</v>
      </c>
      <c r="H286" s="204">
        <f t="shared" si="9"/>
        <v>9</v>
      </c>
    </row>
    <row r="287" spans="1:8" x14ac:dyDescent="0.35">
      <c r="A287" s="244">
        <v>7010</v>
      </c>
      <c r="B287" s="245" t="s">
        <v>401</v>
      </c>
      <c r="C287" s="245" t="s">
        <v>402</v>
      </c>
      <c r="D287" s="245" t="s">
        <v>284</v>
      </c>
      <c r="E287" s="245" t="s">
        <v>165</v>
      </c>
      <c r="F287" s="245" t="s">
        <v>132</v>
      </c>
      <c r="G287" s="249">
        <v>9347.5</v>
      </c>
      <c r="H287" s="204">
        <f t="shared" si="9"/>
        <v>1</v>
      </c>
    </row>
    <row r="288" spans="1:8" x14ac:dyDescent="0.35">
      <c r="A288" s="244">
        <v>7010</v>
      </c>
      <c r="B288" s="245" t="s">
        <v>401</v>
      </c>
      <c r="C288" s="245" t="s">
        <v>402</v>
      </c>
      <c r="D288" s="245" t="s">
        <v>285</v>
      </c>
      <c r="E288" s="245" t="s">
        <v>165</v>
      </c>
      <c r="F288" s="245" t="s">
        <v>132</v>
      </c>
      <c r="G288" s="249">
        <v>9347.5</v>
      </c>
      <c r="H288" s="204">
        <f t="shared" si="9"/>
        <v>2</v>
      </c>
    </row>
    <row r="289" spans="1:8" x14ac:dyDescent="0.35">
      <c r="A289" s="244">
        <v>7010</v>
      </c>
      <c r="B289" s="245" t="s">
        <v>401</v>
      </c>
      <c r="C289" s="245" t="s">
        <v>402</v>
      </c>
      <c r="D289" s="245" t="s">
        <v>286</v>
      </c>
      <c r="E289" s="245" t="s">
        <v>165</v>
      </c>
      <c r="F289" s="245" t="s">
        <v>132</v>
      </c>
      <c r="G289" s="249">
        <v>9347.5</v>
      </c>
      <c r="H289" s="204">
        <f t="shared" si="9"/>
        <v>3</v>
      </c>
    </row>
    <row r="290" spans="1:8" x14ac:dyDescent="0.35">
      <c r="A290" s="244">
        <v>7010</v>
      </c>
      <c r="B290" s="245" t="s">
        <v>401</v>
      </c>
      <c r="C290" s="245" t="s">
        <v>402</v>
      </c>
      <c r="D290" s="245" t="s">
        <v>287</v>
      </c>
      <c r="E290" s="245" t="s">
        <v>165</v>
      </c>
      <c r="F290" s="245" t="s">
        <v>132</v>
      </c>
      <c r="G290" s="249">
        <v>9347.5</v>
      </c>
      <c r="H290" s="204">
        <f t="shared" si="9"/>
        <v>4</v>
      </c>
    </row>
    <row r="291" spans="1:8" x14ac:dyDescent="0.35">
      <c r="A291" s="244">
        <v>7010</v>
      </c>
      <c r="B291" s="245" t="s">
        <v>401</v>
      </c>
      <c r="C291" s="245" t="s">
        <v>402</v>
      </c>
      <c r="D291" s="245" t="s">
        <v>288</v>
      </c>
      <c r="E291" s="245" t="s">
        <v>165</v>
      </c>
      <c r="F291" s="245" t="s">
        <v>132</v>
      </c>
      <c r="G291" s="249">
        <v>9347.5</v>
      </c>
      <c r="H291" s="204">
        <f t="shared" si="9"/>
        <v>5</v>
      </c>
    </row>
    <row r="292" spans="1:8" x14ac:dyDescent="0.35">
      <c r="A292" s="244">
        <v>7010</v>
      </c>
      <c r="B292" s="245" t="s">
        <v>401</v>
      </c>
      <c r="C292" s="245" t="s">
        <v>402</v>
      </c>
      <c r="D292" s="245" t="s">
        <v>289</v>
      </c>
      <c r="E292" s="245" t="s">
        <v>165</v>
      </c>
      <c r="F292" s="245" t="s">
        <v>132</v>
      </c>
      <c r="G292" s="249">
        <v>9347.5</v>
      </c>
      <c r="H292" s="204">
        <f t="shared" si="9"/>
        <v>6</v>
      </c>
    </row>
    <row r="293" spans="1:8" x14ac:dyDescent="0.35">
      <c r="A293" s="244">
        <v>7010</v>
      </c>
      <c r="B293" s="245" t="s">
        <v>401</v>
      </c>
      <c r="C293" s="245" t="s">
        <v>402</v>
      </c>
      <c r="D293" s="245" t="s">
        <v>290</v>
      </c>
      <c r="E293" s="245" t="s">
        <v>165</v>
      </c>
      <c r="F293" s="245" t="s">
        <v>132</v>
      </c>
      <c r="G293" s="249">
        <v>9347.5</v>
      </c>
      <c r="H293" s="204">
        <f t="shared" si="9"/>
        <v>7</v>
      </c>
    </row>
    <row r="294" spans="1:8" x14ac:dyDescent="0.35">
      <c r="A294" s="244">
        <v>7010</v>
      </c>
      <c r="B294" s="245" t="s">
        <v>401</v>
      </c>
      <c r="C294" s="245" t="s">
        <v>402</v>
      </c>
      <c r="D294" s="245" t="s">
        <v>291</v>
      </c>
      <c r="E294" s="245" t="s">
        <v>165</v>
      </c>
      <c r="F294" s="245" t="s">
        <v>132</v>
      </c>
      <c r="G294" s="249">
        <v>9347.5</v>
      </c>
      <c r="H294" s="204">
        <f t="shared" si="9"/>
        <v>8</v>
      </c>
    </row>
    <row r="295" spans="1:8" x14ac:dyDescent="0.35">
      <c r="A295" s="244">
        <v>7010</v>
      </c>
      <c r="B295" s="245" t="s">
        <v>403</v>
      </c>
      <c r="C295" s="245" t="s">
        <v>404</v>
      </c>
      <c r="D295" s="245" t="s">
        <v>284</v>
      </c>
      <c r="E295" s="245" t="s">
        <v>165</v>
      </c>
      <c r="F295" s="245" t="s">
        <v>132</v>
      </c>
      <c r="G295" s="332"/>
      <c r="H295" s="204">
        <f t="shared" si="9"/>
        <v>1</v>
      </c>
    </row>
    <row r="296" spans="1:8" x14ac:dyDescent="0.35">
      <c r="A296" s="244">
        <v>7010</v>
      </c>
      <c r="B296" s="245" t="s">
        <v>403</v>
      </c>
      <c r="C296" s="245" t="s">
        <v>404</v>
      </c>
      <c r="D296" s="245" t="s">
        <v>285</v>
      </c>
      <c r="E296" s="245" t="s">
        <v>165</v>
      </c>
      <c r="F296" s="245" t="s">
        <v>132</v>
      </c>
      <c r="G296" s="332"/>
      <c r="H296" s="204">
        <f t="shared" si="9"/>
        <v>2</v>
      </c>
    </row>
    <row r="297" spans="1:8" x14ac:dyDescent="0.35">
      <c r="A297" s="244">
        <v>7010</v>
      </c>
      <c r="B297" s="245" t="s">
        <v>403</v>
      </c>
      <c r="C297" s="245" t="s">
        <v>404</v>
      </c>
      <c r="D297" s="245" t="s">
        <v>286</v>
      </c>
      <c r="E297" s="245" t="s">
        <v>165</v>
      </c>
      <c r="F297" s="245" t="s">
        <v>132</v>
      </c>
      <c r="G297" s="332"/>
      <c r="H297" s="204">
        <f t="shared" si="9"/>
        <v>3</v>
      </c>
    </row>
    <row r="298" spans="1:8" x14ac:dyDescent="0.35">
      <c r="A298" s="244">
        <v>7010</v>
      </c>
      <c r="B298" s="245" t="s">
        <v>403</v>
      </c>
      <c r="C298" s="245" t="s">
        <v>404</v>
      </c>
      <c r="D298" s="245" t="s">
        <v>287</v>
      </c>
      <c r="E298" s="245" t="s">
        <v>165</v>
      </c>
      <c r="F298" s="245" t="s">
        <v>132</v>
      </c>
      <c r="G298" s="332"/>
      <c r="H298" s="204">
        <f t="shared" si="9"/>
        <v>4</v>
      </c>
    </row>
    <row r="299" spans="1:8" x14ac:dyDescent="0.35">
      <c r="A299" s="244">
        <v>7010</v>
      </c>
      <c r="B299" s="245" t="s">
        <v>403</v>
      </c>
      <c r="C299" s="245" t="s">
        <v>404</v>
      </c>
      <c r="D299" s="245" t="s">
        <v>288</v>
      </c>
      <c r="E299" s="245" t="s">
        <v>165</v>
      </c>
      <c r="F299" s="245" t="s">
        <v>132</v>
      </c>
      <c r="G299" s="332"/>
      <c r="H299" s="204">
        <f t="shared" si="9"/>
        <v>5</v>
      </c>
    </row>
    <row r="300" spans="1:8" x14ac:dyDescent="0.35">
      <c r="A300" s="244">
        <v>7010</v>
      </c>
      <c r="B300" s="245" t="s">
        <v>403</v>
      </c>
      <c r="C300" s="245" t="s">
        <v>404</v>
      </c>
      <c r="D300" s="245" t="s">
        <v>289</v>
      </c>
      <c r="E300" s="245" t="s">
        <v>165</v>
      </c>
      <c r="F300" s="245" t="s">
        <v>132</v>
      </c>
      <c r="G300" s="332"/>
      <c r="H300" s="204">
        <f t="shared" si="9"/>
        <v>6</v>
      </c>
    </row>
    <row r="301" spans="1:8" x14ac:dyDescent="0.35">
      <c r="A301" s="244">
        <v>7010</v>
      </c>
      <c r="B301" s="245" t="s">
        <v>403</v>
      </c>
      <c r="C301" s="245" t="s">
        <v>404</v>
      </c>
      <c r="D301" s="245" t="s">
        <v>290</v>
      </c>
      <c r="E301" s="245" t="s">
        <v>165</v>
      </c>
      <c r="F301" s="245" t="s">
        <v>132</v>
      </c>
      <c r="G301" s="332"/>
      <c r="H301" s="204">
        <f t="shared" si="9"/>
        <v>7</v>
      </c>
    </row>
    <row r="302" spans="1:8" x14ac:dyDescent="0.35">
      <c r="A302" s="244">
        <v>7010</v>
      </c>
      <c r="B302" s="245" t="s">
        <v>403</v>
      </c>
      <c r="C302" s="245" t="s">
        <v>404</v>
      </c>
      <c r="D302" s="245" t="s">
        <v>291</v>
      </c>
      <c r="E302" s="245" t="s">
        <v>165</v>
      </c>
      <c r="F302" s="245" t="s">
        <v>132</v>
      </c>
      <c r="G302" s="332"/>
      <c r="H302" s="204">
        <f t="shared" si="9"/>
        <v>8</v>
      </c>
    </row>
    <row r="303" spans="1:8" x14ac:dyDescent="0.35">
      <c r="A303" s="244">
        <v>7010</v>
      </c>
      <c r="B303" s="245" t="s">
        <v>403</v>
      </c>
      <c r="C303" s="245" t="s">
        <v>404</v>
      </c>
      <c r="D303" s="245" t="s">
        <v>292</v>
      </c>
      <c r="E303" s="245" t="s">
        <v>165</v>
      </c>
      <c r="F303" s="245" t="s">
        <v>132</v>
      </c>
      <c r="G303" s="332"/>
      <c r="H303" s="204">
        <f t="shared" si="9"/>
        <v>9</v>
      </c>
    </row>
    <row r="304" spans="1:8" x14ac:dyDescent="0.35">
      <c r="A304" s="244">
        <v>7010</v>
      </c>
      <c r="B304" s="245" t="s">
        <v>403</v>
      </c>
      <c r="C304" s="245" t="s">
        <v>404</v>
      </c>
      <c r="D304" s="245" t="s">
        <v>293</v>
      </c>
      <c r="E304" s="245" t="s">
        <v>165</v>
      </c>
      <c r="F304" s="245" t="s">
        <v>132</v>
      </c>
      <c r="G304" s="332"/>
      <c r="H304" s="204">
        <f t="shared" si="9"/>
        <v>10</v>
      </c>
    </row>
    <row r="305" spans="1:8" x14ac:dyDescent="0.35">
      <c r="A305" s="244">
        <v>7010</v>
      </c>
      <c r="B305" s="245" t="s">
        <v>403</v>
      </c>
      <c r="C305" s="245" t="s">
        <v>404</v>
      </c>
      <c r="D305" s="245" t="s">
        <v>294</v>
      </c>
      <c r="E305" s="245" t="s">
        <v>165</v>
      </c>
      <c r="F305" s="245" t="s">
        <v>132</v>
      </c>
      <c r="G305" s="332"/>
      <c r="H305" s="204">
        <f t="shared" si="9"/>
        <v>11</v>
      </c>
    </row>
    <row r="306" spans="1:8" x14ac:dyDescent="0.35">
      <c r="A306" s="244">
        <v>7010</v>
      </c>
      <c r="B306" s="245" t="s">
        <v>403</v>
      </c>
      <c r="C306" s="245" t="s">
        <v>404</v>
      </c>
      <c r="D306" s="245" t="s">
        <v>295</v>
      </c>
      <c r="E306" s="245" t="s">
        <v>165</v>
      </c>
      <c r="F306" s="245" t="s">
        <v>132</v>
      </c>
      <c r="G306" s="332"/>
      <c r="H306" s="204">
        <f t="shared" si="9"/>
        <v>12</v>
      </c>
    </row>
    <row r="307" spans="1:8" x14ac:dyDescent="0.35">
      <c r="A307" s="244">
        <v>7010</v>
      </c>
      <c r="B307" s="245" t="s">
        <v>405</v>
      </c>
      <c r="C307" s="245" t="s">
        <v>406</v>
      </c>
      <c r="D307" s="245" t="s">
        <v>284</v>
      </c>
      <c r="E307" s="245" t="s">
        <v>165</v>
      </c>
      <c r="F307" s="245" t="s">
        <v>132</v>
      </c>
      <c r="G307" s="249">
        <v>6400</v>
      </c>
      <c r="H307" s="204">
        <f t="shared" si="9"/>
        <v>1</v>
      </c>
    </row>
    <row r="308" spans="1:8" x14ac:dyDescent="0.35">
      <c r="A308" s="244">
        <v>7010</v>
      </c>
      <c r="B308" s="245" t="s">
        <v>405</v>
      </c>
      <c r="C308" s="245" t="s">
        <v>406</v>
      </c>
      <c r="D308" s="245" t="s">
        <v>285</v>
      </c>
      <c r="E308" s="245" t="s">
        <v>165</v>
      </c>
      <c r="F308" s="245" t="s">
        <v>132</v>
      </c>
      <c r="G308" s="249">
        <v>6400</v>
      </c>
      <c r="H308" s="204">
        <f t="shared" si="9"/>
        <v>2</v>
      </c>
    </row>
    <row r="309" spans="1:8" x14ac:dyDescent="0.35">
      <c r="A309" s="244">
        <v>7010</v>
      </c>
      <c r="B309" s="245" t="s">
        <v>405</v>
      </c>
      <c r="C309" s="245" t="s">
        <v>406</v>
      </c>
      <c r="D309" s="245" t="s">
        <v>286</v>
      </c>
      <c r="E309" s="245" t="s">
        <v>165</v>
      </c>
      <c r="F309" s="245" t="s">
        <v>132</v>
      </c>
      <c r="G309" s="249">
        <v>6400</v>
      </c>
      <c r="H309" s="204">
        <f t="shared" si="9"/>
        <v>3</v>
      </c>
    </row>
    <row r="310" spans="1:8" x14ac:dyDescent="0.35">
      <c r="A310" s="244">
        <v>7010</v>
      </c>
      <c r="B310" s="245" t="s">
        <v>405</v>
      </c>
      <c r="C310" s="245" t="s">
        <v>406</v>
      </c>
      <c r="D310" s="245" t="s">
        <v>287</v>
      </c>
      <c r="E310" s="245" t="s">
        <v>165</v>
      </c>
      <c r="F310" s="245" t="s">
        <v>132</v>
      </c>
      <c r="G310" s="249">
        <v>6400</v>
      </c>
      <c r="H310" s="204">
        <f t="shared" si="9"/>
        <v>4</v>
      </c>
    </row>
    <row r="311" spans="1:8" x14ac:dyDescent="0.35">
      <c r="A311" s="244">
        <v>7010</v>
      </c>
      <c r="B311" s="245" t="s">
        <v>405</v>
      </c>
      <c r="C311" s="245" t="s">
        <v>406</v>
      </c>
      <c r="D311" s="245" t="s">
        <v>288</v>
      </c>
      <c r="E311" s="245" t="s">
        <v>165</v>
      </c>
      <c r="F311" s="245" t="s">
        <v>132</v>
      </c>
      <c r="G311" s="249">
        <v>6400</v>
      </c>
      <c r="H311" s="204">
        <f t="shared" si="9"/>
        <v>5</v>
      </c>
    </row>
    <row r="312" spans="1:8" x14ac:dyDescent="0.35">
      <c r="A312" s="244">
        <v>7010</v>
      </c>
      <c r="B312" s="245" t="s">
        <v>405</v>
      </c>
      <c r="C312" s="245" t="s">
        <v>406</v>
      </c>
      <c r="D312" s="245" t="s">
        <v>289</v>
      </c>
      <c r="E312" s="245" t="s">
        <v>165</v>
      </c>
      <c r="F312" s="245" t="s">
        <v>132</v>
      </c>
      <c r="G312" s="249">
        <v>6400</v>
      </c>
      <c r="H312" s="204">
        <f t="shared" si="9"/>
        <v>6</v>
      </c>
    </row>
    <row r="313" spans="1:8" x14ac:dyDescent="0.35">
      <c r="A313" s="244">
        <v>7010</v>
      </c>
      <c r="B313" s="245" t="s">
        <v>405</v>
      </c>
      <c r="C313" s="245" t="s">
        <v>406</v>
      </c>
      <c r="D313" s="245" t="s">
        <v>290</v>
      </c>
      <c r="E313" s="245" t="s">
        <v>165</v>
      </c>
      <c r="F313" s="245" t="s">
        <v>132</v>
      </c>
      <c r="G313" s="249">
        <v>6400</v>
      </c>
      <c r="H313" s="204">
        <f t="shared" si="9"/>
        <v>7</v>
      </c>
    </row>
    <row r="314" spans="1:8" x14ac:dyDescent="0.35">
      <c r="A314" s="244">
        <v>7010</v>
      </c>
      <c r="B314" s="245" t="s">
        <v>405</v>
      </c>
      <c r="C314" s="245" t="s">
        <v>406</v>
      </c>
      <c r="D314" s="245" t="s">
        <v>291</v>
      </c>
      <c r="E314" s="245" t="s">
        <v>165</v>
      </c>
      <c r="F314" s="245" t="s">
        <v>132</v>
      </c>
      <c r="G314" s="249">
        <v>6400</v>
      </c>
      <c r="H314" s="204">
        <f t="shared" si="9"/>
        <v>8</v>
      </c>
    </row>
    <row r="315" spans="1:8" x14ac:dyDescent="0.35">
      <c r="A315" s="244">
        <v>7010</v>
      </c>
      <c r="B315" s="245" t="s">
        <v>405</v>
      </c>
      <c r="C315" s="245" t="s">
        <v>406</v>
      </c>
      <c r="D315" s="245" t="s">
        <v>292</v>
      </c>
      <c r="E315" s="245" t="s">
        <v>165</v>
      </c>
      <c r="F315" s="245" t="s">
        <v>132</v>
      </c>
      <c r="G315" s="249">
        <v>6400</v>
      </c>
      <c r="H315" s="204">
        <f t="shared" si="9"/>
        <v>9</v>
      </c>
    </row>
    <row r="316" spans="1:8" x14ac:dyDescent="0.35">
      <c r="A316" s="244">
        <v>7010</v>
      </c>
      <c r="B316" s="245" t="s">
        <v>405</v>
      </c>
      <c r="C316" s="245" t="s">
        <v>406</v>
      </c>
      <c r="D316" s="245" t="s">
        <v>293</v>
      </c>
      <c r="E316" s="245" t="s">
        <v>165</v>
      </c>
      <c r="F316" s="245" t="s">
        <v>132</v>
      </c>
      <c r="G316" s="249">
        <v>6400</v>
      </c>
      <c r="H316" s="204">
        <f t="shared" si="9"/>
        <v>10</v>
      </c>
    </row>
    <row r="317" spans="1:8" x14ac:dyDescent="0.35">
      <c r="A317" s="244">
        <v>7010</v>
      </c>
      <c r="B317" s="245" t="s">
        <v>405</v>
      </c>
      <c r="C317" s="245" t="s">
        <v>406</v>
      </c>
      <c r="D317" s="245" t="s">
        <v>294</v>
      </c>
      <c r="E317" s="245" t="s">
        <v>165</v>
      </c>
      <c r="F317" s="245" t="s">
        <v>132</v>
      </c>
      <c r="G317" s="249">
        <v>6400</v>
      </c>
      <c r="H317" s="204">
        <f>IF(D317="",0,MONTH(D317))</f>
        <v>11</v>
      </c>
    </row>
    <row r="318" spans="1:8" x14ac:dyDescent="0.35">
      <c r="A318" s="244">
        <v>7010</v>
      </c>
      <c r="B318" s="245" t="s">
        <v>405</v>
      </c>
      <c r="C318" s="245" t="s">
        <v>406</v>
      </c>
      <c r="D318" s="245" t="s">
        <v>295</v>
      </c>
      <c r="E318" s="245" t="s">
        <v>165</v>
      </c>
      <c r="F318" s="245" t="s">
        <v>132</v>
      </c>
      <c r="G318" s="249">
        <v>6400</v>
      </c>
      <c r="H318" s="204">
        <f t="shared" si="9"/>
        <v>12</v>
      </c>
    </row>
    <row r="319" spans="1:8" x14ac:dyDescent="0.35">
      <c r="A319" s="244">
        <v>7010</v>
      </c>
      <c r="B319" s="245" t="s">
        <v>407</v>
      </c>
      <c r="C319" s="245" t="s">
        <v>408</v>
      </c>
      <c r="D319" s="245" t="s">
        <v>284</v>
      </c>
      <c r="E319" s="245" t="s">
        <v>165</v>
      </c>
      <c r="F319" s="245" t="s">
        <v>132</v>
      </c>
      <c r="G319" s="249">
        <v>7866.13</v>
      </c>
      <c r="H319" s="204">
        <f t="shared" si="9"/>
        <v>1</v>
      </c>
    </row>
    <row r="320" spans="1:8" x14ac:dyDescent="0.35">
      <c r="A320" s="244">
        <v>7010</v>
      </c>
      <c r="B320" s="245" t="s">
        <v>407</v>
      </c>
      <c r="C320" s="245" t="s">
        <v>408</v>
      </c>
      <c r="D320" s="245" t="s">
        <v>285</v>
      </c>
      <c r="E320" s="245" t="s">
        <v>165</v>
      </c>
      <c r="F320" s="245" t="s">
        <v>132</v>
      </c>
      <c r="G320" s="249">
        <v>7866.13</v>
      </c>
      <c r="H320" s="204">
        <f t="shared" si="9"/>
        <v>2</v>
      </c>
    </row>
    <row r="321" spans="1:8" x14ac:dyDescent="0.35">
      <c r="A321" s="244">
        <v>7010</v>
      </c>
      <c r="B321" s="245" t="s">
        <v>407</v>
      </c>
      <c r="C321" s="245" t="s">
        <v>408</v>
      </c>
      <c r="D321" s="245" t="s">
        <v>286</v>
      </c>
      <c r="E321" s="245" t="s">
        <v>165</v>
      </c>
      <c r="F321" s="245" t="s">
        <v>132</v>
      </c>
      <c r="G321" s="249">
        <v>7866.13</v>
      </c>
      <c r="H321" s="204">
        <f t="shared" si="9"/>
        <v>3</v>
      </c>
    </row>
    <row r="322" spans="1:8" x14ac:dyDescent="0.35">
      <c r="A322" s="244">
        <v>7010</v>
      </c>
      <c r="B322" s="245" t="s">
        <v>407</v>
      </c>
      <c r="C322" s="245" t="s">
        <v>408</v>
      </c>
      <c r="D322" s="245" t="s">
        <v>287</v>
      </c>
      <c r="E322" s="245" t="s">
        <v>165</v>
      </c>
      <c r="F322" s="245" t="s">
        <v>132</v>
      </c>
      <c r="G322" s="249">
        <v>7866.13</v>
      </c>
      <c r="H322" s="204">
        <f t="shared" si="9"/>
        <v>4</v>
      </c>
    </row>
    <row r="323" spans="1:8" x14ac:dyDescent="0.35">
      <c r="A323" s="244">
        <v>7010</v>
      </c>
      <c r="B323" s="245" t="s">
        <v>407</v>
      </c>
      <c r="C323" s="245" t="s">
        <v>408</v>
      </c>
      <c r="D323" s="245" t="s">
        <v>288</v>
      </c>
      <c r="E323" s="245" t="s">
        <v>165</v>
      </c>
      <c r="F323" s="245" t="s">
        <v>132</v>
      </c>
      <c r="G323" s="249">
        <v>7866.13</v>
      </c>
      <c r="H323" s="204">
        <f t="shared" si="9"/>
        <v>5</v>
      </c>
    </row>
    <row r="324" spans="1:8" x14ac:dyDescent="0.35">
      <c r="A324" s="244">
        <v>7010</v>
      </c>
      <c r="B324" s="245" t="s">
        <v>407</v>
      </c>
      <c r="C324" s="245" t="s">
        <v>408</v>
      </c>
      <c r="D324" s="245" t="s">
        <v>289</v>
      </c>
      <c r="E324" s="245" t="s">
        <v>165</v>
      </c>
      <c r="F324" s="245" t="s">
        <v>132</v>
      </c>
      <c r="G324" s="249">
        <v>7866.13</v>
      </c>
      <c r="H324" s="204">
        <f t="shared" si="9"/>
        <v>6</v>
      </c>
    </row>
    <row r="325" spans="1:8" x14ac:dyDescent="0.35">
      <c r="A325" s="244">
        <v>7010</v>
      </c>
      <c r="B325" s="245" t="s">
        <v>407</v>
      </c>
      <c r="C325" s="245" t="s">
        <v>408</v>
      </c>
      <c r="D325" s="245" t="s">
        <v>290</v>
      </c>
      <c r="E325" s="245" t="s">
        <v>165</v>
      </c>
      <c r="F325" s="245" t="s">
        <v>132</v>
      </c>
      <c r="G325" s="249">
        <v>8680</v>
      </c>
      <c r="H325" s="204">
        <f t="shared" si="9"/>
        <v>7</v>
      </c>
    </row>
    <row r="326" spans="1:8" x14ac:dyDescent="0.35">
      <c r="A326" s="244">
        <v>7010</v>
      </c>
      <c r="B326" s="245" t="s">
        <v>407</v>
      </c>
      <c r="C326" s="245" t="s">
        <v>408</v>
      </c>
      <c r="D326" s="245" t="s">
        <v>291</v>
      </c>
      <c r="E326" s="245" t="s">
        <v>165</v>
      </c>
      <c r="F326" s="245" t="s">
        <v>132</v>
      </c>
      <c r="G326" s="249">
        <v>8680</v>
      </c>
      <c r="H326" s="204">
        <f t="shared" si="9"/>
        <v>8</v>
      </c>
    </row>
    <row r="327" spans="1:8" x14ac:dyDescent="0.35">
      <c r="A327" s="244">
        <v>7010</v>
      </c>
      <c r="B327" s="245" t="s">
        <v>407</v>
      </c>
      <c r="C327" s="245" t="s">
        <v>408</v>
      </c>
      <c r="D327" s="245" t="s">
        <v>292</v>
      </c>
      <c r="E327" s="245" t="s">
        <v>165</v>
      </c>
      <c r="F327" s="245" t="s">
        <v>132</v>
      </c>
      <c r="G327" s="249">
        <v>8680</v>
      </c>
      <c r="H327" s="204">
        <f t="shared" si="9"/>
        <v>9</v>
      </c>
    </row>
    <row r="328" spans="1:8" x14ac:dyDescent="0.35">
      <c r="A328" s="244">
        <v>7010</v>
      </c>
      <c r="B328" s="245" t="s">
        <v>407</v>
      </c>
      <c r="C328" s="245" t="s">
        <v>408</v>
      </c>
      <c r="D328" s="245" t="s">
        <v>293</v>
      </c>
      <c r="E328" s="245" t="s">
        <v>165</v>
      </c>
      <c r="F328" s="245" t="s">
        <v>132</v>
      </c>
      <c r="G328" s="249">
        <v>8680</v>
      </c>
      <c r="H328" s="204">
        <f t="shared" si="9"/>
        <v>10</v>
      </c>
    </row>
    <row r="329" spans="1:8" x14ac:dyDescent="0.35">
      <c r="A329" s="244">
        <v>7010</v>
      </c>
      <c r="B329" s="245" t="s">
        <v>407</v>
      </c>
      <c r="C329" s="245" t="s">
        <v>408</v>
      </c>
      <c r="D329" s="245" t="s">
        <v>294</v>
      </c>
      <c r="E329" s="245" t="s">
        <v>165</v>
      </c>
      <c r="F329" s="245" t="s">
        <v>132</v>
      </c>
      <c r="G329" s="249">
        <v>8680</v>
      </c>
      <c r="H329" s="204">
        <f t="shared" si="9"/>
        <v>11</v>
      </c>
    </row>
    <row r="330" spans="1:8" x14ac:dyDescent="0.35">
      <c r="A330" s="244">
        <v>7010</v>
      </c>
      <c r="B330" s="245" t="s">
        <v>407</v>
      </c>
      <c r="C330" s="245" t="s">
        <v>408</v>
      </c>
      <c r="D330" s="245" t="s">
        <v>295</v>
      </c>
      <c r="E330" s="245" t="s">
        <v>165</v>
      </c>
      <c r="F330" s="245" t="s">
        <v>132</v>
      </c>
      <c r="G330" s="249">
        <v>8680</v>
      </c>
      <c r="H330" s="204">
        <f t="shared" si="9"/>
        <v>12</v>
      </c>
    </row>
    <row r="331" spans="1:8" x14ac:dyDescent="0.35">
      <c r="A331" s="244">
        <v>7010</v>
      </c>
      <c r="B331" s="245" t="s">
        <v>409</v>
      </c>
      <c r="C331" s="245" t="s">
        <v>410</v>
      </c>
      <c r="D331" s="245" t="s">
        <v>284</v>
      </c>
      <c r="E331" s="245" t="s">
        <v>165</v>
      </c>
      <c r="F331" s="245" t="s">
        <v>132</v>
      </c>
      <c r="G331" s="249">
        <v>2300</v>
      </c>
      <c r="H331" s="204">
        <f t="shared" si="9"/>
        <v>1</v>
      </c>
    </row>
    <row r="332" spans="1:8" x14ac:dyDescent="0.35">
      <c r="A332" s="244">
        <v>7010</v>
      </c>
      <c r="B332" s="245" t="s">
        <v>409</v>
      </c>
      <c r="C332" s="245" t="s">
        <v>410</v>
      </c>
      <c r="D332" s="245" t="s">
        <v>285</v>
      </c>
      <c r="E332" s="245" t="s">
        <v>165</v>
      </c>
      <c r="F332" s="245" t="s">
        <v>132</v>
      </c>
      <c r="G332" s="249">
        <v>2300</v>
      </c>
      <c r="H332" s="204">
        <f t="shared" si="9"/>
        <v>2</v>
      </c>
    </row>
    <row r="333" spans="1:8" x14ac:dyDescent="0.35">
      <c r="A333" s="244">
        <v>7010</v>
      </c>
      <c r="B333" s="245" t="s">
        <v>409</v>
      </c>
      <c r="C333" s="245" t="s">
        <v>410</v>
      </c>
      <c r="D333" s="245" t="s">
        <v>286</v>
      </c>
      <c r="E333" s="245" t="s">
        <v>165</v>
      </c>
      <c r="F333" s="245" t="s">
        <v>132</v>
      </c>
      <c r="G333" s="249">
        <v>2300</v>
      </c>
      <c r="H333" s="204">
        <f t="shared" si="9"/>
        <v>3</v>
      </c>
    </row>
    <row r="334" spans="1:8" x14ac:dyDescent="0.35">
      <c r="A334" s="244">
        <v>7010</v>
      </c>
      <c r="B334" s="245" t="s">
        <v>409</v>
      </c>
      <c r="C334" s="245" t="s">
        <v>410</v>
      </c>
      <c r="D334" s="245" t="s">
        <v>287</v>
      </c>
      <c r="E334" s="245" t="s">
        <v>165</v>
      </c>
      <c r="F334" s="245" t="s">
        <v>132</v>
      </c>
      <c r="G334" s="249">
        <v>2300</v>
      </c>
      <c r="H334" s="204">
        <f t="shared" si="9"/>
        <v>4</v>
      </c>
    </row>
    <row r="335" spans="1:8" x14ac:dyDescent="0.35">
      <c r="A335" s="244">
        <v>7010</v>
      </c>
      <c r="B335" s="245" t="s">
        <v>409</v>
      </c>
      <c r="C335" s="245" t="s">
        <v>410</v>
      </c>
      <c r="D335" s="245" t="s">
        <v>288</v>
      </c>
      <c r="E335" s="245" t="s">
        <v>165</v>
      </c>
      <c r="F335" s="245" t="s">
        <v>132</v>
      </c>
      <c r="G335" s="249">
        <v>2300</v>
      </c>
      <c r="H335" s="204">
        <f t="shared" si="9"/>
        <v>5</v>
      </c>
    </row>
    <row r="336" spans="1:8" x14ac:dyDescent="0.35">
      <c r="A336" s="244">
        <v>7010</v>
      </c>
      <c r="B336" s="245" t="s">
        <v>409</v>
      </c>
      <c r="C336" s="245" t="s">
        <v>410</v>
      </c>
      <c r="D336" s="245" t="s">
        <v>289</v>
      </c>
      <c r="E336" s="245" t="s">
        <v>165</v>
      </c>
      <c r="F336" s="245" t="s">
        <v>132</v>
      </c>
      <c r="G336" s="249">
        <v>2300</v>
      </c>
      <c r="H336" s="204">
        <f t="shared" si="9"/>
        <v>6</v>
      </c>
    </row>
    <row r="337" spans="1:8" x14ac:dyDescent="0.35">
      <c r="A337" s="244">
        <v>7010</v>
      </c>
      <c r="B337" s="245" t="s">
        <v>409</v>
      </c>
      <c r="C337" s="245" t="s">
        <v>410</v>
      </c>
      <c r="D337" s="245" t="s">
        <v>290</v>
      </c>
      <c r="E337" s="245" t="s">
        <v>165</v>
      </c>
      <c r="F337" s="245" t="s">
        <v>132</v>
      </c>
      <c r="G337" s="249">
        <v>2300</v>
      </c>
      <c r="H337" s="204">
        <f t="shared" si="9"/>
        <v>7</v>
      </c>
    </row>
    <row r="338" spans="1:8" x14ac:dyDescent="0.35">
      <c r="A338" s="244">
        <v>7010</v>
      </c>
      <c r="B338" s="245" t="s">
        <v>409</v>
      </c>
      <c r="C338" s="245" t="s">
        <v>410</v>
      </c>
      <c r="D338" s="245" t="s">
        <v>291</v>
      </c>
      <c r="E338" s="245" t="s">
        <v>165</v>
      </c>
      <c r="F338" s="245" t="s">
        <v>132</v>
      </c>
      <c r="G338" s="249">
        <v>2300</v>
      </c>
      <c r="H338" s="204">
        <f t="shared" si="9"/>
        <v>8</v>
      </c>
    </row>
    <row r="339" spans="1:8" x14ac:dyDescent="0.35">
      <c r="A339" s="244">
        <v>7010</v>
      </c>
      <c r="B339" s="245" t="s">
        <v>409</v>
      </c>
      <c r="C339" s="245" t="s">
        <v>410</v>
      </c>
      <c r="D339" s="245" t="s">
        <v>292</v>
      </c>
      <c r="E339" s="245" t="s">
        <v>165</v>
      </c>
      <c r="F339" s="245" t="s">
        <v>132</v>
      </c>
      <c r="G339" s="249">
        <v>2300</v>
      </c>
      <c r="H339" s="204">
        <f t="shared" si="9"/>
        <v>9</v>
      </c>
    </row>
    <row r="340" spans="1:8" x14ac:dyDescent="0.35">
      <c r="A340" s="244">
        <v>7010</v>
      </c>
      <c r="B340" s="245" t="s">
        <v>409</v>
      </c>
      <c r="C340" s="245" t="s">
        <v>410</v>
      </c>
      <c r="D340" s="245" t="s">
        <v>293</v>
      </c>
      <c r="E340" s="245" t="s">
        <v>165</v>
      </c>
      <c r="F340" s="245" t="s">
        <v>132</v>
      </c>
      <c r="G340" s="249">
        <v>2300</v>
      </c>
      <c r="H340" s="204">
        <f t="shared" si="9"/>
        <v>10</v>
      </c>
    </row>
    <row r="341" spans="1:8" x14ac:dyDescent="0.35">
      <c r="A341" s="244">
        <v>7010</v>
      </c>
      <c r="B341" s="245" t="s">
        <v>409</v>
      </c>
      <c r="C341" s="245" t="s">
        <v>410</v>
      </c>
      <c r="D341" s="245" t="s">
        <v>294</v>
      </c>
      <c r="E341" s="245" t="s">
        <v>165</v>
      </c>
      <c r="F341" s="245" t="s">
        <v>132</v>
      </c>
      <c r="G341" s="249">
        <v>2300</v>
      </c>
      <c r="H341" s="204">
        <f t="shared" si="9"/>
        <v>11</v>
      </c>
    </row>
    <row r="342" spans="1:8" x14ac:dyDescent="0.35">
      <c r="A342" s="244">
        <v>7010</v>
      </c>
      <c r="B342" s="245" t="s">
        <v>409</v>
      </c>
      <c r="C342" s="245" t="s">
        <v>410</v>
      </c>
      <c r="D342" s="245" t="s">
        <v>295</v>
      </c>
      <c r="E342" s="245" t="s">
        <v>165</v>
      </c>
      <c r="F342" s="245" t="s">
        <v>132</v>
      </c>
      <c r="G342" s="249">
        <v>2300</v>
      </c>
      <c r="H342" s="204">
        <f t="shared" si="9"/>
        <v>12</v>
      </c>
    </row>
    <row r="343" spans="1:8" x14ac:dyDescent="0.35">
      <c r="A343" s="244">
        <v>7010</v>
      </c>
      <c r="B343" s="245" t="s">
        <v>411</v>
      </c>
      <c r="C343" s="245" t="s">
        <v>412</v>
      </c>
      <c r="D343" s="245" t="s">
        <v>284</v>
      </c>
      <c r="E343" s="245" t="s">
        <v>165</v>
      </c>
      <c r="F343" s="245" t="s">
        <v>132</v>
      </c>
      <c r="G343" s="249">
        <v>2645.33</v>
      </c>
      <c r="H343" s="204">
        <f t="shared" si="9"/>
        <v>1</v>
      </c>
    </row>
    <row r="344" spans="1:8" x14ac:dyDescent="0.35">
      <c r="A344" s="244">
        <v>7010</v>
      </c>
      <c r="B344" s="245" t="s">
        <v>411</v>
      </c>
      <c r="C344" s="245" t="s">
        <v>412</v>
      </c>
      <c r="D344" s="245" t="s">
        <v>285</v>
      </c>
      <c r="E344" s="245" t="s">
        <v>165</v>
      </c>
      <c r="F344" s="245" t="s">
        <v>132</v>
      </c>
      <c r="G344" s="249">
        <v>2645.33</v>
      </c>
      <c r="H344" s="204">
        <f t="shared" si="9"/>
        <v>2</v>
      </c>
    </row>
    <row r="345" spans="1:8" x14ac:dyDescent="0.35">
      <c r="A345" s="244">
        <v>7010</v>
      </c>
      <c r="B345" s="245" t="s">
        <v>411</v>
      </c>
      <c r="C345" s="245" t="s">
        <v>412</v>
      </c>
      <c r="D345" s="245" t="s">
        <v>286</v>
      </c>
      <c r="E345" s="245" t="s">
        <v>165</v>
      </c>
      <c r="F345" s="245" t="s">
        <v>132</v>
      </c>
      <c r="G345" s="249">
        <v>2645.33</v>
      </c>
      <c r="H345" s="204">
        <f t="shared" si="9"/>
        <v>3</v>
      </c>
    </row>
    <row r="346" spans="1:8" x14ac:dyDescent="0.35">
      <c r="A346" s="244">
        <v>7010</v>
      </c>
      <c r="B346" s="245" t="s">
        <v>411</v>
      </c>
      <c r="C346" s="245" t="s">
        <v>412</v>
      </c>
      <c r="D346" s="245" t="s">
        <v>287</v>
      </c>
      <c r="E346" s="245" t="s">
        <v>165</v>
      </c>
      <c r="F346" s="245" t="s">
        <v>132</v>
      </c>
      <c r="G346" s="249">
        <v>2645.33</v>
      </c>
      <c r="H346" s="204">
        <f t="shared" si="9"/>
        <v>4</v>
      </c>
    </row>
    <row r="347" spans="1:8" x14ac:dyDescent="0.35">
      <c r="A347" s="244">
        <v>7010</v>
      </c>
      <c r="B347" s="245" t="s">
        <v>411</v>
      </c>
      <c r="C347" s="245" t="s">
        <v>412</v>
      </c>
      <c r="D347" s="245" t="s">
        <v>288</v>
      </c>
      <c r="E347" s="245" t="s">
        <v>165</v>
      </c>
      <c r="F347" s="245" t="s">
        <v>132</v>
      </c>
      <c r="G347" s="249">
        <v>2645.33</v>
      </c>
      <c r="H347" s="204">
        <f t="shared" si="9"/>
        <v>5</v>
      </c>
    </row>
    <row r="348" spans="1:8" x14ac:dyDescent="0.35">
      <c r="A348" s="244">
        <v>7010</v>
      </c>
      <c r="B348" s="245" t="s">
        <v>411</v>
      </c>
      <c r="C348" s="245" t="s">
        <v>412</v>
      </c>
      <c r="D348" s="245" t="s">
        <v>289</v>
      </c>
      <c r="E348" s="245" t="s">
        <v>165</v>
      </c>
      <c r="F348" s="245" t="s">
        <v>132</v>
      </c>
      <c r="G348" s="249">
        <v>2645.33</v>
      </c>
      <c r="H348" s="204">
        <f t="shared" si="9"/>
        <v>6</v>
      </c>
    </row>
    <row r="349" spans="1:8" x14ac:dyDescent="0.35">
      <c r="A349" s="244">
        <v>7010</v>
      </c>
      <c r="B349" s="245" t="s">
        <v>411</v>
      </c>
      <c r="C349" s="245" t="s">
        <v>412</v>
      </c>
      <c r="D349" s="245" t="s">
        <v>290</v>
      </c>
      <c r="E349" s="245" t="s">
        <v>165</v>
      </c>
      <c r="F349" s="245" t="s">
        <v>132</v>
      </c>
      <c r="G349" s="249">
        <v>2645.33</v>
      </c>
      <c r="H349" s="204">
        <f t="shared" ref="H349:H441" si="10">IF(D349="",0,MONTH(D349))</f>
        <v>7</v>
      </c>
    </row>
    <row r="350" spans="1:8" x14ac:dyDescent="0.35">
      <c r="A350" s="244">
        <v>7010</v>
      </c>
      <c r="B350" s="245" t="s">
        <v>411</v>
      </c>
      <c r="C350" s="245" t="s">
        <v>412</v>
      </c>
      <c r="D350" s="245" t="s">
        <v>291</v>
      </c>
      <c r="E350" s="245" t="s">
        <v>165</v>
      </c>
      <c r="F350" s="245" t="s">
        <v>132</v>
      </c>
      <c r="G350" s="249">
        <v>2645.33</v>
      </c>
      <c r="H350" s="204">
        <f t="shared" si="10"/>
        <v>8</v>
      </c>
    </row>
    <row r="351" spans="1:8" x14ac:dyDescent="0.35">
      <c r="A351" s="244">
        <v>7010</v>
      </c>
      <c r="B351" s="245" t="s">
        <v>411</v>
      </c>
      <c r="C351" s="245" t="s">
        <v>412</v>
      </c>
      <c r="D351" s="245" t="s">
        <v>292</v>
      </c>
      <c r="E351" s="245" t="s">
        <v>165</v>
      </c>
      <c r="F351" s="245" t="s">
        <v>132</v>
      </c>
      <c r="G351" s="249">
        <v>2645.33</v>
      </c>
      <c r="H351" s="204">
        <f t="shared" si="10"/>
        <v>9</v>
      </c>
    </row>
    <row r="352" spans="1:8" x14ac:dyDescent="0.35">
      <c r="A352" s="244">
        <v>7010</v>
      </c>
      <c r="B352" s="245" t="s">
        <v>411</v>
      </c>
      <c r="C352" s="245" t="s">
        <v>412</v>
      </c>
      <c r="D352" s="245" t="s">
        <v>293</v>
      </c>
      <c r="E352" s="245" t="s">
        <v>165</v>
      </c>
      <c r="F352" s="245" t="s">
        <v>132</v>
      </c>
      <c r="G352" s="249">
        <v>2645.33</v>
      </c>
      <c r="H352" s="204">
        <f t="shared" si="10"/>
        <v>10</v>
      </c>
    </row>
    <row r="353" spans="1:8" x14ac:dyDescent="0.35">
      <c r="A353" s="244">
        <v>7010</v>
      </c>
      <c r="B353" s="245" t="s">
        <v>411</v>
      </c>
      <c r="C353" s="245" t="s">
        <v>412</v>
      </c>
      <c r="D353" s="245" t="s">
        <v>294</v>
      </c>
      <c r="E353" s="245" t="s">
        <v>165</v>
      </c>
      <c r="F353" s="245" t="s">
        <v>132</v>
      </c>
      <c r="G353" s="249">
        <v>2645.33</v>
      </c>
      <c r="H353" s="204">
        <f t="shared" si="10"/>
        <v>11</v>
      </c>
    </row>
    <row r="354" spans="1:8" x14ac:dyDescent="0.35">
      <c r="A354" s="244">
        <v>7010</v>
      </c>
      <c r="B354" s="245" t="s">
        <v>411</v>
      </c>
      <c r="C354" s="245" t="s">
        <v>412</v>
      </c>
      <c r="D354" s="245" t="s">
        <v>295</v>
      </c>
      <c r="E354" s="245" t="s">
        <v>165</v>
      </c>
      <c r="F354" s="245" t="s">
        <v>132</v>
      </c>
      <c r="G354" s="249">
        <v>2645.33</v>
      </c>
      <c r="H354" s="204">
        <f t="shared" si="10"/>
        <v>12</v>
      </c>
    </row>
    <row r="355" spans="1:8" x14ac:dyDescent="0.35">
      <c r="A355" s="244">
        <v>7010</v>
      </c>
      <c r="B355" s="245" t="s">
        <v>413</v>
      </c>
      <c r="C355" s="245" t="s">
        <v>414</v>
      </c>
      <c r="D355" s="245" t="s">
        <v>284</v>
      </c>
      <c r="E355" s="245" t="s">
        <v>165</v>
      </c>
      <c r="F355" s="245" t="s">
        <v>132</v>
      </c>
      <c r="G355" s="249">
        <v>2400</v>
      </c>
      <c r="H355" s="204">
        <f t="shared" si="10"/>
        <v>1</v>
      </c>
    </row>
    <row r="356" spans="1:8" x14ac:dyDescent="0.35">
      <c r="A356" s="244">
        <v>7010</v>
      </c>
      <c r="B356" s="245" t="s">
        <v>413</v>
      </c>
      <c r="C356" s="245" t="s">
        <v>414</v>
      </c>
      <c r="D356" s="245" t="s">
        <v>285</v>
      </c>
      <c r="E356" s="245" t="s">
        <v>165</v>
      </c>
      <c r="F356" s="245" t="s">
        <v>132</v>
      </c>
      <c r="G356" s="249">
        <v>2400</v>
      </c>
      <c r="H356" s="204">
        <f t="shared" si="10"/>
        <v>2</v>
      </c>
    </row>
    <row r="357" spans="1:8" x14ac:dyDescent="0.35">
      <c r="A357" s="244">
        <v>7010</v>
      </c>
      <c r="B357" s="245" t="s">
        <v>413</v>
      </c>
      <c r="C357" s="245" t="s">
        <v>414</v>
      </c>
      <c r="D357" s="245" t="s">
        <v>286</v>
      </c>
      <c r="E357" s="245" t="s">
        <v>165</v>
      </c>
      <c r="F357" s="245" t="s">
        <v>132</v>
      </c>
      <c r="G357" s="249">
        <v>2400</v>
      </c>
      <c r="H357" s="204">
        <f t="shared" si="10"/>
        <v>3</v>
      </c>
    </row>
    <row r="358" spans="1:8" x14ac:dyDescent="0.35">
      <c r="A358" s="244">
        <v>7010</v>
      </c>
      <c r="B358" s="245" t="s">
        <v>413</v>
      </c>
      <c r="C358" s="245" t="s">
        <v>414</v>
      </c>
      <c r="D358" s="245" t="s">
        <v>287</v>
      </c>
      <c r="E358" s="245" t="s">
        <v>165</v>
      </c>
      <c r="F358" s="245" t="s">
        <v>132</v>
      </c>
      <c r="G358" s="249">
        <v>2400</v>
      </c>
      <c r="H358" s="204">
        <f t="shared" si="10"/>
        <v>4</v>
      </c>
    </row>
    <row r="359" spans="1:8" x14ac:dyDescent="0.35">
      <c r="A359" s="244">
        <v>7010</v>
      </c>
      <c r="B359" s="245" t="s">
        <v>413</v>
      </c>
      <c r="C359" s="245" t="s">
        <v>414</v>
      </c>
      <c r="D359" s="245" t="s">
        <v>288</v>
      </c>
      <c r="E359" s="245" t="s">
        <v>165</v>
      </c>
      <c r="F359" s="245" t="s">
        <v>132</v>
      </c>
      <c r="G359" s="249">
        <v>2400</v>
      </c>
      <c r="H359" s="204">
        <f t="shared" si="10"/>
        <v>5</v>
      </c>
    </row>
    <row r="360" spans="1:8" x14ac:dyDescent="0.35">
      <c r="A360" s="244">
        <v>7010</v>
      </c>
      <c r="B360" s="245" t="s">
        <v>413</v>
      </c>
      <c r="C360" s="245" t="s">
        <v>414</v>
      </c>
      <c r="D360" s="245" t="s">
        <v>289</v>
      </c>
      <c r="E360" s="245" t="s">
        <v>165</v>
      </c>
      <c r="F360" s="245" t="s">
        <v>132</v>
      </c>
      <c r="G360" s="249">
        <v>2400</v>
      </c>
      <c r="H360" s="204">
        <f t="shared" si="10"/>
        <v>6</v>
      </c>
    </row>
    <row r="361" spans="1:8" x14ac:dyDescent="0.35">
      <c r="A361" s="244">
        <v>7010</v>
      </c>
      <c r="B361" s="245" t="s">
        <v>413</v>
      </c>
      <c r="C361" s="245" t="s">
        <v>414</v>
      </c>
      <c r="D361" s="245" t="s">
        <v>290</v>
      </c>
      <c r="E361" s="245" t="s">
        <v>165</v>
      </c>
      <c r="F361" s="245" t="s">
        <v>132</v>
      </c>
      <c r="G361" s="249">
        <v>2400</v>
      </c>
      <c r="H361" s="204">
        <f t="shared" si="10"/>
        <v>7</v>
      </c>
    </row>
    <row r="362" spans="1:8" x14ac:dyDescent="0.35">
      <c r="A362" s="244">
        <v>7010</v>
      </c>
      <c r="B362" s="245" t="s">
        <v>413</v>
      </c>
      <c r="C362" s="245" t="s">
        <v>414</v>
      </c>
      <c r="D362" s="245" t="s">
        <v>291</v>
      </c>
      <c r="E362" s="245" t="s">
        <v>165</v>
      </c>
      <c r="F362" s="245" t="s">
        <v>132</v>
      </c>
      <c r="G362" s="249">
        <v>2400</v>
      </c>
      <c r="H362" s="204">
        <f t="shared" si="10"/>
        <v>8</v>
      </c>
    </row>
    <row r="363" spans="1:8" x14ac:dyDescent="0.35">
      <c r="A363" s="244">
        <v>7010</v>
      </c>
      <c r="B363" s="245" t="s">
        <v>413</v>
      </c>
      <c r="C363" s="245" t="s">
        <v>414</v>
      </c>
      <c r="D363" s="245" t="s">
        <v>292</v>
      </c>
      <c r="E363" s="245" t="s">
        <v>165</v>
      </c>
      <c r="F363" s="245" t="s">
        <v>132</v>
      </c>
      <c r="G363" s="251">
        <v>2400</v>
      </c>
      <c r="H363" s="204">
        <f t="shared" si="10"/>
        <v>9</v>
      </c>
    </row>
    <row r="364" spans="1:8" x14ac:dyDescent="0.35">
      <c r="A364" s="244">
        <v>7010</v>
      </c>
      <c r="B364" s="245" t="s">
        <v>413</v>
      </c>
      <c r="C364" s="245" t="s">
        <v>414</v>
      </c>
      <c r="D364" s="245" t="s">
        <v>293</v>
      </c>
      <c r="E364" s="245" t="s">
        <v>165</v>
      </c>
      <c r="F364" s="245" t="s">
        <v>132</v>
      </c>
      <c r="G364" s="249">
        <v>2400</v>
      </c>
      <c r="H364" s="204">
        <f t="shared" si="10"/>
        <v>10</v>
      </c>
    </row>
    <row r="365" spans="1:8" x14ac:dyDescent="0.35">
      <c r="A365" s="244">
        <v>7010</v>
      </c>
      <c r="B365" s="245" t="s">
        <v>413</v>
      </c>
      <c r="C365" s="245" t="s">
        <v>414</v>
      </c>
      <c r="D365" s="245" t="s">
        <v>294</v>
      </c>
      <c r="E365" s="245" t="s">
        <v>165</v>
      </c>
      <c r="F365" s="245" t="s">
        <v>132</v>
      </c>
      <c r="G365" s="251">
        <v>2400</v>
      </c>
      <c r="H365" s="204">
        <f t="shared" si="10"/>
        <v>11</v>
      </c>
    </row>
    <row r="366" spans="1:8" x14ac:dyDescent="0.35">
      <c r="A366" s="244">
        <v>7010</v>
      </c>
      <c r="B366" s="245" t="s">
        <v>413</v>
      </c>
      <c r="C366" s="245" t="s">
        <v>414</v>
      </c>
      <c r="D366" s="245" t="s">
        <v>295</v>
      </c>
      <c r="E366" s="245" t="s">
        <v>165</v>
      </c>
      <c r="F366" s="245" t="s">
        <v>132</v>
      </c>
      <c r="G366" s="249">
        <v>2400</v>
      </c>
      <c r="H366" s="204">
        <f>IF(D366="",0,MONTH(D366))</f>
        <v>12</v>
      </c>
    </row>
    <row r="367" spans="1:8" x14ac:dyDescent="0.35">
      <c r="A367" s="244">
        <v>7010</v>
      </c>
      <c r="B367" s="245" t="s">
        <v>415</v>
      </c>
      <c r="C367" s="245" t="s">
        <v>416</v>
      </c>
      <c r="D367" s="245" t="s">
        <v>284</v>
      </c>
      <c r="E367" s="245" t="s">
        <v>165</v>
      </c>
      <c r="F367" s="245" t="s">
        <v>132</v>
      </c>
      <c r="G367" s="251">
        <v>2730</v>
      </c>
      <c r="H367" s="204">
        <f>IF(D367="",0,MONTH(D367))</f>
        <v>1</v>
      </c>
    </row>
    <row r="368" spans="1:8" x14ac:dyDescent="0.35">
      <c r="A368" s="244">
        <v>7010</v>
      </c>
      <c r="B368" s="245" t="s">
        <v>415</v>
      </c>
      <c r="C368" s="245" t="s">
        <v>416</v>
      </c>
      <c r="D368" s="245" t="s">
        <v>285</v>
      </c>
      <c r="E368" s="245" t="s">
        <v>165</v>
      </c>
      <c r="F368" s="245" t="s">
        <v>132</v>
      </c>
      <c r="G368" s="249">
        <v>2760</v>
      </c>
      <c r="H368" s="204">
        <f>IF(D368="",0,MONTH(D368))</f>
        <v>2</v>
      </c>
    </row>
    <row r="369" spans="1:8" x14ac:dyDescent="0.35">
      <c r="A369" s="244">
        <v>7010</v>
      </c>
      <c r="B369" s="245" t="s">
        <v>415</v>
      </c>
      <c r="C369" s="245" t="s">
        <v>416</v>
      </c>
      <c r="D369" s="245" t="s">
        <v>286</v>
      </c>
      <c r="E369" s="245" t="s">
        <v>165</v>
      </c>
      <c r="F369" s="245" t="s">
        <v>132</v>
      </c>
      <c r="G369" s="251">
        <v>2760</v>
      </c>
      <c r="H369" s="204">
        <f>IF(D369="",0,MONTH(D369))</f>
        <v>3</v>
      </c>
    </row>
    <row r="370" spans="1:8" s="82" customFormat="1" x14ac:dyDescent="0.35">
      <c r="A370" s="244">
        <v>7010</v>
      </c>
      <c r="B370" s="245" t="s">
        <v>415</v>
      </c>
      <c r="C370" s="245" t="s">
        <v>416</v>
      </c>
      <c r="D370" s="245" t="s">
        <v>287</v>
      </c>
      <c r="E370" s="245" t="s">
        <v>165</v>
      </c>
      <c r="F370" s="245" t="s">
        <v>132</v>
      </c>
      <c r="G370" s="249">
        <v>2760</v>
      </c>
      <c r="H370" s="204">
        <f t="shared" ref="H370:H381" si="11">IF(D370="",0,MONTH(D370))</f>
        <v>4</v>
      </c>
    </row>
    <row r="371" spans="1:8" s="82" customFormat="1" x14ac:dyDescent="0.35">
      <c r="A371" s="244">
        <v>7010</v>
      </c>
      <c r="B371" s="245" t="s">
        <v>415</v>
      </c>
      <c r="C371" s="245" t="s">
        <v>416</v>
      </c>
      <c r="D371" s="245" t="s">
        <v>288</v>
      </c>
      <c r="E371" s="245" t="s">
        <v>165</v>
      </c>
      <c r="F371" s="245" t="s">
        <v>132</v>
      </c>
      <c r="G371" s="251">
        <v>2760</v>
      </c>
      <c r="H371" s="204">
        <f t="shared" si="11"/>
        <v>5</v>
      </c>
    </row>
    <row r="372" spans="1:8" s="82" customFormat="1" x14ac:dyDescent="0.35">
      <c r="A372" s="244">
        <v>7010</v>
      </c>
      <c r="B372" s="245" t="s">
        <v>415</v>
      </c>
      <c r="C372" s="245" t="s">
        <v>416</v>
      </c>
      <c r="D372" s="245" t="s">
        <v>289</v>
      </c>
      <c r="E372" s="245" t="s">
        <v>165</v>
      </c>
      <c r="F372" s="245" t="s">
        <v>132</v>
      </c>
      <c r="G372" s="249">
        <v>2760</v>
      </c>
      <c r="H372" s="204">
        <f t="shared" si="11"/>
        <v>6</v>
      </c>
    </row>
    <row r="373" spans="1:8" s="82" customFormat="1" x14ac:dyDescent="0.35">
      <c r="A373" s="244">
        <v>7010</v>
      </c>
      <c r="B373" s="245" t="s">
        <v>415</v>
      </c>
      <c r="C373" s="245" t="s">
        <v>416</v>
      </c>
      <c r="D373" s="245" t="s">
        <v>290</v>
      </c>
      <c r="E373" s="245" t="s">
        <v>165</v>
      </c>
      <c r="F373" s="245" t="s">
        <v>132</v>
      </c>
      <c r="G373" s="251">
        <v>2760</v>
      </c>
      <c r="H373" s="204">
        <f t="shared" si="11"/>
        <v>7</v>
      </c>
    </row>
    <row r="374" spans="1:8" s="82" customFormat="1" x14ac:dyDescent="0.35">
      <c r="A374" s="244">
        <v>7010</v>
      </c>
      <c r="B374" s="245" t="s">
        <v>415</v>
      </c>
      <c r="C374" s="245" t="s">
        <v>416</v>
      </c>
      <c r="D374" s="245" t="s">
        <v>291</v>
      </c>
      <c r="E374" s="245" t="s">
        <v>165</v>
      </c>
      <c r="F374" s="245" t="s">
        <v>132</v>
      </c>
      <c r="G374" s="249">
        <v>2760</v>
      </c>
      <c r="H374" s="204">
        <f t="shared" si="11"/>
        <v>8</v>
      </c>
    </row>
    <row r="375" spans="1:8" s="82" customFormat="1" x14ac:dyDescent="0.35">
      <c r="A375" s="244">
        <v>7010</v>
      </c>
      <c r="B375" s="245" t="s">
        <v>415</v>
      </c>
      <c r="C375" s="245" t="s">
        <v>416</v>
      </c>
      <c r="D375" s="245" t="s">
        <v>292</v>
      </c>
      <c r="E375" s="245" t="s">
        <v>165</v>
      </c>
      <c r="F375" s="245" t="s">
        <v>132</v>
      </c>
      <c r="G375" s="251">
        <v>2760</v>
      </c>
      <c r="H375" s="204">
        <f t="shared" si="11"/>
        <v>9</v>
      </c>
    </row>
    <row r="376" spans="1:8" s="82" customFormat="1" x14ac:dyDescent="0.35">
      <c r="A376" s="244">
        <v>7010</v>
      </c>
      <c r="B376" s="245" t="s">
        <v>415</v>
      </c>
      <c r="C376" s="245" t="s">
        <v>416</v>
      </c>
      <c r="D376" s="245" t="s">
        <v>293</v>
      </c>
      <c r="E376" s="245" t="s">
        <v>165</v>
      </c>
      <c r="F376" s="245" t="s">
        <v>132</v>
      </c>
      <c r="G376" s="249">
        <v>2760</v>
      </c>
      <c r="H376" s="204">
        <f t="shared" si="11"/>
        <v>10</v>
      </c>
    </row>
    <row r="377" spans="1:8" s="82" customFormat="1" x14ac:dyDescent="0.35">
      <c r="A377" s="244">
        <v>7010</v>
      </c>
      <c r="B377" s="245" t="s">
        <v>415</v>
      </c>
      <c r="C377" s="245" t="s">
        <v>416</v>
      </c>
      <c r="D377" s="245" t="s">
        <v>294</v>
      </c>
      <c r="E377" s="245" t="s">
        <v>165</v>
      </c>
      <c r="F377" s="245" t="s">
        <v>132</v>
      </c>
      <c r="G377" s="251">
        <v>2760</v>
      </c>
      <c r="H377" s="204">
        <f t="shared" si="11"/>
        <v>11</v>
      </c>
    </row>
    <row r="378" spans="1:8" s="82" customFormat="1" x14ac:dyDescent="0.35">
      <c r="A378" s="244">
        <v>7010</v>
      </c>
      <c r="B378" s="245" t="s">
        <v>415</v>
      </c>
      <c r="C378" s="245" t="s">
        <v>416</v>
      </c>
      <c r="D378" s="245" t="s">
        <v>295</v>
      </c>
      <c r="E378" s="245" t="s">
        <v>165</v>
      </c>
      <c r="F378" s="245" t="s">
        <v>132</v>
      </c>
      <c r="G378" s="249">
        <v>2760</v>
      </c>
      <c r="H378" s="204">
        <f t="shared" si="11"/>
        <v>12</v>
      </c>
    </row>
    <row r="379" spans="1:8" s="82" customFormat="1" x14ac:dyDescent="0.35">
      <c r="A379" s="244">
        <v>7010</v>
      </c>
      <c r="B379" s="245" t="s">
        <v>417</v>
      </c>
      <c r="C379" s="245" t="s">
        <v>418</v>
      </c>
      <c r="D379" s="245" t="s">
        <v>284</v>
      </c>
      <c r="E379" s="245" t="s">
        <v>165</v>
      </c>
      <c r="F379" s="245" t="s">
        <v>132</v>
      </c>
      <c r="G379" s="251">
        <v>3200</v>
      </c>
      <c r="H379" s="204">
        <f t="shared" si="11"/>
        <v>1</v>
      </c>
    </row>
    <row r="380" spans="1:8" s="82" customFormat="1" x14ac:dyDescent="0.35">
      <c r="A380" s="244">
        <v>7010</v>
      </c>
      <c r="B380" s="245" t="s">
        <v>417</v>
      </c>
      <c r="C380" s="245" t="s">
        <v>418</v>
      </c>
      <c r="D380" s="245" t="s">
        <v>285</v>
      </c>
      <c r="E380" s="245" t="s">
        <v>165</v>
      </c>
      <c r="F380" s="245" t="s">
        <v>132</v>
      </c>
      <c r="G380" s="249">
        <v>3200</v>
      </c>
      <c r="H380" s="204">
        <f t="shared" si="11"/>
        <v>2</v>
      </c>
    </row>
    <row r="381" spans="1:8" s="82" customFormat="1" x14ac:dyDescent="0.35">
      <c r="A381" s="244">
        <v>7010</v>
      </c>
      <c r="B381" s="245" t="s">
        <v>417</v>
      </c>
      <c r="C381" s="245" t="s">
        <v>418</v>
      </c>
      <c r="D381" s="245" t="s">
        <v>286</v>
      </c>
      <c r="E381" s="245" t="s">
        <v>165</v>
      </c>
      <c r="F381" s="245" t="s">
        <v>132</v>
      </c>
      <c r="G381" s="249">
        <v>3200</v>
      </c>
      <c r="H381" s="204">
        <f t="shared" si="11"/>
        <v>3</v>
      </c>
    </row>
    <row r="382" spans="1:8" x14ac:dyDescent="0.35">
      <c r="A382" s="244">
        <v>7010</v>
      </c>
      <c r="B382" s="245" t="s">
        <v>417</v>
      </c>
      <c r="C382" s="245" t="s">
        <v>418</v>
      </c>
      <c r="D382" s="245" t="s">
        <v>287</v>
      </c>
      <c r="E382" s="245" t="s">
        <v>165</v>
      </c>
      <c r="F382" s="245" t="s">
        <v>132</v>
      </c>
      <c r="G382" s="249">
        <v>3200</v>
      </c>
      <c r="H382" s="204">
        <f>IF(D382="",0,MONTH(D382))</f>
        <v>4</v>
      </c>
    </row>
    <row r="383" spans="1:8" x14ac:dyDescent="0.35">
      <c r="A383" s="244">
        <v>7010</v>
      </c>
      <c r="B383" s="245" t="s">
        <v>417</v>
      </c>
      <c r="C383" s="245" t="s">
        <v>418</v>
      </c>
      <c r="D383" s="245" t="s">
        <v>288</v>
      </c>
      <c r="E383" s="245" t="s">
        <v>165</v>
      </c>
      <c r="F383" s="245" t="s">
        <v>132</v>
      </c>
      <c r="G383" s="249">
        <v>3200</v>
      </c>
      <c r="H383" s="204">
        <f t="shared" si="10"/>
        <v>5</v>
      </c>
    </row>
    <row r="384" spans="1:8" x14ac:dyDescent="0.35">
      <c r="A384" s="244">
        <v>7010</v>
      </c>
      <c r="B384" s="245" t="s">
        <v>417</v>
      </c>
      <c r="C384" s="245" t="s">
        <v>418</v>
      </c>
      <c r="D384" s="245" t="s">
        <v>289</v>
      </c>
      <c r="E384" s="245" t="s">
        <v>165</v>
      </c>
      <c r="F384" s="245" t="s">
        <v>132</v>
      </c>
      <c r="G384" s="249">
        <v>3200</v>
      </c>
      <c r="H384" s="204">
        <f t="shared" si="10"/>
        <v>6</v>
      </c>
    </row>
    <row r="385" spans="1:8" x14ac:dyDescent="0.35">
      <c r="A385" s="244">
        <v>7010</v>
      </c>
      <c r="B385" s="245" t="s">
        <v>417</v>
      </c>
      <c r="C385" s="245" t="s">
        <v>418</v>
      </c>
      <c r="D385" s="245" t="s">
        <v>290</v>
      </c>
      <c r="E385" s="245" t="s">
        <v>165</v>
      </c>
      <c r="F385" s="245" t="s">
        <v>132</v>
      </c>
      <c r="G385" s="249">
        <v>3200</v>
      </c>
      <c r="H385" s="204">
        <f t="shared" si="10"/>
        <v>7</v>
      </c>
    </row>
    <row r="386" spans="1:8" x14ac:dyDescent="0.35">
      <c r="A386" s="244">
        <v>7010</v>
      </c>
      <c r="B386" s="245" t="s">
        <v>417</v>
      </c>
      <c r="C386" s="245" t="s">
        <v>418</v>
      </c>
      <c r="D386" s="245" t="s">
        <v>291</v>
      </c>
      <c r="E386" s="245" t="s">
        <v>165</v>
      </c>
      <c r="F386" s="245" t="s">
        <v>132</v>
      </c>
      <c r="G386" s="249">
        <v>3200</v>
      </c>
      <c r="H386" s="204">
        <f t="shared" si="10"/>
        <v>8</v>
      </c>
    </row>
    <row r="387" spans="1:8" x14ac:dyDescent="0.35">
      <c r="A387" s="244">
        <v>7010</v>
      </c>
      <c r="B387" s="245" t="s">
        <v>417</v>
      </c>
      <c r="C387" s="245" t="s">
        <v>418</v>
      </c>
      <c r="D387" s="245" t="s">
        <v>292</v>
      </c>
      <c r="E387" s="245" t="s">
        <v>165</v>
      </c>
      <c r="F387" s="245" t="s">
        <v>132</v>
      </c>
      <c r="G387" s="249">
        <v>3200</v>
      </c>
      <c r="H387" s="204">
        <f t="shared" si="10"/>
        <v>9</v>
      </c>
    </row>
    <row r="388" spans="1:8" x14ac:dyDescent="0.35">
      <c r="A388" s="244">
        <v>7010</v>
      </c>
      <c r="B388" s="245" t="s">
        <v>417</v>
      </c>
      <c r="C388" s="245" t="s">
        <v>418</v>
      </c>
      <c r="D388" s="245" t="s">
        <v>293</v>
      </c>
      <c r="E388" s="245" t="s">
        <v>165</v>
      </c>
      <c r="F388" s="245" t="s">
        <v>132</v>
      </c>
      <c r="G388" s="249">
        <v>3200</v>
      </c>
      <c r="H388" s="204">
        <f t="shared" si="10"/>
        <v>10</v>
      </c>
    </row>
    <row r="389" spans="1:8" x14ac:dyDescent="0.35">
      <c r="A389" s="244">
        <v>7010</v>
      </c>
      <c r="B389" s="245" t="s">
        <v>417</v>
      </c>
      <c r="C389" s="245" t="s">
        <v>418</v>
      </c>
      <c r="D389" s="245" t="s">
        <v>294</v>
      </c>
      <c r="E389" s="245" t="s">
        <v>165</v>
      </c>
      <c r="F389" s="245" t="s">
        <v>132</v>
      </c>
      <c r="G389" s="249">
        <v>3200</v>
      </c>
      <c r="H389" s="204">
        <f t="shared" si="10"/>
        <v>11</v>
      </c>
    </row>
    <row r="390" spans="1:8" x14ac:dyDescent="0.35">
      <c r="A390" s="244">
        <v>7010</v>
      </c>
      <c r="B390" s="245" t="s">
        <v>417</v>
      </c>
      <c r="C390" s="245" t="s">
        <v>418</v>
      </c>
      <c r="D390" s="245" t="s">
        <v>295</v>
      </c>
      <c r="E390" s="245" t="s">
        <v>165</v>
      </c>
      <c r="F390" s="245" t="s">
        <v>132</v>
      </c>
      <c r="G390" s="249">
        <v>3200</v>
      </c>
      <c r="H390" s="204">
        <f t="shared" si="10"/>
        <v>12</v>
      </c>
    </row>
    <row r="391" spans="1:8" x14ac:dyDescent="0.35">
      <c r="A391" s="244">
        <v>7010</v>
      </c>
      <c r="B391" s="245" t="s">
        <v>419</v>
      </c>
      <c r="C391" s="245" t="s">
        <v>420</v>
      </c>
      <c r="D391" s="245" t="s">
        <v>284</v>
      </c>
      <c r="E391" s="245" t="s">
        <v>165</v>
      </c>
      <c r="F391" s="245" t="s">
        <v>132</v>
      </c>
      <c r="G391" s="249">
        <v>2096.67</v>
      </c>
      <c r="H391" s="204">
        <f t="shared" si="10"/>
        <v>1</v>
      </c>
    </row>
    <row r="392" spans="1:8" x14ac:dyDescent="0.35">
      <c r="A392" s="244">
        <v>7010</v>
      </c>
      <c r="B392" s="245" t="s">
        <v>419</v>
      </c>
      <c r="C392" s="245" t="s">
        <v>420</v>
      </c>
      <c r="D392" s="245" t="s">
        <v>285</v>
      </c>
      <c r="E392" s="245" t="s">
        <v>165</v>
      </c>
      <c r="F392" s="245" t="s">
        <v>132</v>
      </c>
      <c r="G392" s="249">
        <v>2096.67</v>
      </c>
      <c r="H392" s="204">
        <f t="shared" si="10"/>
        <v>2</v>
      </c>
    </row>
    <row r="393" spans="1:8" x14ac:dyDescent="0.35">
      <c r="A393" s="244">
        <v>7010</v>
      </c>
      <c r="B393" s="245" t="s">
        <v>419</v>
      </c>
      <c r="C393" s="245" t="s">
        <v>420</v>
      </c>
      <c r="D393" s="245" t="s">
        <v>286</v>
      </c>
      <c r="E393" s="245" t="s">
        <v>165</v>
      </c>
      <c r="F393" s="245" t="s">
        <v>132</v>
      </c>
      <c r="G393" s="249">
        <v>2096.67</v>
      </c>
      <c r="H393" s="204">
        <f t="shared" si="10"/>
        <v>3</v>
      </c>
    </row>
    <row r="394" spans="1:8" x14ac:dyDescent="0.35">
      <c r="A394" s="244">
        <v>7010</v>
      </c>
      <c r="B394" s="245" t="s">
        <v>419</v>
      </c>
      <c r="C394" s="245" t="s">
        <v>420</v>
      </c>
      <c r="D394" s="245" t="s">
        <v>287</v>
      </c>
      <c r="E394" s="245" t="s">
        <v>165</v>
      </c>
      <c r="F394" s="245" t="s">
        <v>132</v>
      </c>
      <c r="G394" s="249">
        <v>2096.67</v>
      </c>
      <c r="H394" s="204">
        <f t="shared" si="10"/>
        <v>4</v>
      </c>
    </row>
    <row r="395" spans="1:8" x14ac:dyDescent="0.35">
      <c r="A395" s="244">
        <v>7010</v>
      </c>
      <c r="B395" s="245" t="s">
        <v>419</v>
      </c>
      <c r="C395" s="245" t="s">
        <v>420</v>
      </c>
      <c r="D395" s="245" t="s">
        <v>288</v>
      </c>
      <c r="E395" s="245" t="s">
        <v>165</v>
      </c>
      <c r="F395" s="245" t="s">
        <v>132</v>
      </c>
      <c r="G395" s="249">
        <v>2096.67</v>
      </c>
      <c r="H395" s="204">
        <f t="shared" si="10"/>
        <v>5</v>
      </c>
    </row>
    <row r="396" spans="1:8" x14ac:dyDescent="0.35">
      <c r="A396" s="244">
        <v>7010</v>
      </c>
      <c r="B396" s="245" t="s">
        <v>419</v>
      </c>
      <c r="C396" s="245" t="s">
        <v>420</v>
      </c>
      <c r="D396" s="245" t="s">
        <v>289</v>
      </c>
      <c r="E396" s="245" t="s">
        <v>165</v>
      </c>
      <c r="F396" s="245" t="s">
        <v>132</v>
      </c>
      <c r="G396" s="249">
        <v>2096.67</v>
      </c>
      <c r="H396" s="204">
        <f t="shared" si="10"/>
        <v>6</v>
      </c>
    </row>
    <row r="397" spans="1:8" x14ac:dyDescent="0.35">
      <c r="A397" s="244">
        <v>7010</v>
      </c>
      <c r="B397" s="245" t="s">
        <v>419</v>
      </c>
      <c r="C397" s="245" t="s">
        <v>420</v>
      </c>
      <c r="D397" s="245" t="s">
        <v>290</v>
      </c>
      <c r="E397" s="245" t="s">
        <v>165</v>
      </c>
      <c r="F397" s="245" t="s">
        <v>132</v>
      </c>
      <c r="G397" s="249">
        <v>2096.67</v>
      </c>
      <c r="H397" s="204">
        <f t="shared" si="10"/>
        <v>7</v>
      </c>
    </row>
    <row r="398" spans="1:8" x14ac:dyDescent="0.35">
      <c r="A398" s="244">
        <v>7010</v>
      </c>
      <c r="B398" s="245" t="s">
        <v>419</v>
      </c>
      <c r="C398" s="245" t="s">
        <v>420</v>
      </c>
      <c r="D398" s="245" t="s">
        <v>291</v>
      </c>
      <c r="E398" s="245" t="s">
        <v>165</v>
      </c>
      <c r="F398" s="245" t="s">
        <v>132</v>
      </c>
      <c r="G398" s="249">
        <v>2096.67</v>
      </c>
      <c r="H398" s="204">
        <f t="shared" si="10"/>
        <v>8</v>
      </c>
    </row>
    <row r="399" spans="1:8" x14ac:dyDescent="0.35">
      <c r="A399" s="244">
        <v>7010</v>
      </c>
      <c r="B399" s="245" t="s">
        <v>419</v>
      </c>
      <c r="C399" s="245" t="s">
        <v>420</v>
      </c>
      <c r="D399" s="245" t="s">
        <v>292</v>
      </c>
      <c r="E399" s="245" t="s">
        <v>165</v>
      </c>
      <c r="F399" s="245" t="s">
        <v>132</v>
      </c>
      <c r="G399" s="249">
        <v>2096.67</v>
      </c>
      <c r="H399" s="204">
        <f t="shared" si="10"/>
        <v>9</v>
      </c>
    </row>
    <row r="400" spans="1:8" x14ac:dyDescent="0.35">
      <c r="A400" s="244">
        <v>7010</v>
      </c>
      <c r="B400" s="245" t="s">
        <v>419</v>
      </c>
      <c r="C400" s="245" t="s">
        <v>420</v>
      </c>
      <c r="D400" s="245" t="s">
        <v>293</v>
      </c>
      <c r="E400" s="245" t="s">
        <v>165</v>
      </c>
      <c r="F400" s="245" t="s">
        <v>132</v>
      </c>
      <c r="G400" s="249">
        <v>2096.67</v>
      </c>
      <c r="H400" s="204">
        <f t="shared" si="10"/>
        <v>10</v>
      </c>
    </row>
    <row r="401" spans="1:8" x14ac:dyDescent="0.35">
      <c r="A401" s="244">
        <v>7010</v>
      </c>
      <c r="B401" s="245" t="s">
        <v>419</v>
      </c>
      <c r="C401" s="245" t="s">
        <v>420</v>
      </c>
      <c r="D401" s="245" t="s">
        <v>294</v>
      </c>
      <c r="E401" s="245" t="s">
        <v>165</v>
      </c>
      <c r="F401" s="245" t="s">
        <v>132</v>
      </c>
      <c r="G401" s="249">
        <v>2096.67</v>
      </c>
      <c r="H401" s="204">
        <f t="shared" si="10"/>
        <v>11</v>
      </c>
    </row>
    <row r="402" spans="1:8" x14ac:dyDescent="0.35">
      <c r="A402" s="244">
        <v>7010</v>
      </c>
      <c r="B402" s="245" t="s">
        <v>419</v>
      </c>
      <c r="C402" s="245" t="s">
        <v>420</v>
      </c>
      <c r="D402" s="245" t="s">
        <v>295</v>
      </c>
      <c r="E402" s="245" t="s">
        <v>165</v>
      </c>
      <c r="F402" s="245" t="s">
        <v>132</v>
      </c>
      <c r="G402" s="249">
        <v>2096.67</v>
      </c>
      <c r="H402" s="204">
        <f t="shared" si="10"/>
        <v>12</v>
      </c>
    </row>
    <row r="403" spans="1:8" x14ac:dyDescent="0.35">
      <c r="A403" s="244">
        <v>7010</v>
      </c>
      <c r="B403" s="245" t="s">
        <v>421</v>
      </c>
      <c r="C403" s="245" t="s">
        <v>334</v>
      </c>
      <c r="D403" s="245" t="s">
        <v>284</v>
      </c>
      <c r="E403" s="245" t="s">
        <v>165</v>
      </c>
      <c r="F403" s="245" t="s">
        <v>132</v>
      </c>
      <c r="G403" s="249">
        <v>2096.67</v>
      </c>
      <c r="H403" s="204">
        <f t="shared" si="10"/>
        <v>1</v>
      </c>
    </row>
    <row r="404" spans="1:8" x14ac:dyDescent="0.35">
      <c r="A404" s="244">
        <v>7010</v>
      </c>
      <c r="B404" s="245" t="s">
        <v>421</v>
      </c>
      <c r="C404" s="245" t="s">
        <v>334</v>
      </c>
      <c r="D404" s="245" t="s">
        <v>285</v>
      </c>
      <c r="E404" s="245" t="s">
        <v>165</v>
      </c>
      <c r="F404" s="245" t="s">
        <v>132</v>
      </c>
      <c r="G404" s="249">
        <v>2096.67</v>
      </c>
      <c r="H404" s="204">
        <f t="shared" si="10"/>
        <v>2</v>
      </c>
    </row>
    <row r="405" spans="1:8" x14ac:dyDescent="0.35">
      <c r="A405" s="244">
        <v>7010</v>
      </c>
      <c r="B405" s="245" t="s">
        <v>421</v>
      </c>
      <c r="C405" s="245" t="s">
        <v>334</v>
      </c>
      <c r="D405" s="245" t="s">
        <v>286</v>
      </c>
      <c r="E405" s="245" t="s">
        <v>165</v>
      </c>
      <c r="F405" s="245" t="s">
        <v>132</v>
      </c>
      <c r="G405" s="249">
        <v>2096.67</v>
      </c>
      <c r="H405" s="204">
        <f t="shared" si="10"/>
        <v>3</v>
      </c>
    </row>
    <row r="406" spans="1:8" x14ac:dyDescent="0.35">
      <c r="A406" s="244">
        <v>7010</v>
      </c>
      <c r="B406" s="245" t="s">
        <v>421</v>
      </c>
      <c r="C406" s="245" t="s">
        <v>334</v>
      </c>
      <c r="D406" s="245" t="s">
        <v>287</v>
      </c>
      <c r="E406" s="245" t="s">
        <v>165</v>
      </c>
      <c r="F406" s="245" t="s">
        <v>132</v>
      </c>
      <c r="G406" s="249">
        <v>2096.67</v>
      </c>
      <c r="H406" s="204">
        <f t="shared" si="10"/>
        <v>4</v>
      </c>
    </row>
    <row r="407" spans="1:8" x14ac:dyDescent="0.35">
      <c r="A407" s="244">
        <v>7010</v>
      </c>
      <c r="B407" s="245" t="s">
        <v>421</v>
      </c>
      <c r="C407" s="245" t="s">
        <v>334</v>
      </c>
      <c r="D407" s="245" t="s">
        <v>288</v>
      </c>
      <c r="E407" s="245" t="s">
        <v>165</v>
      </c>
      <c r="F407" s="245" t="s">
        <v>132</v>
      </c>
      <c r="G407" s="249">
        <v>2096.67</v>
      </c>
      <c r="H407" s="204">
        <f t="shared" si="10"/>
        <v>5</v>
      </c>
    </row>
    <row r="408" spans="1:8" x14ac:dyDescent="0.35">
      <c r="A408" s="244">
        <v>7010</v>
      </c>
      <c r="B408" s="245" t="s">
        <v>421</v>
      </c>
      <c r="C408" s="245" t="s">
        <v>334</v>
      </c>
      <c r="D408" s="245" t="s">
        <v>289</v>
      </c>
      <c r="E408" s="245" t="s">
        <v>165</v>
      </c>
      <c r="F408" s="245" t="s">
        <v>132</v>
      </c>
      <c r="G408" s="249">
        <v>2096.67</v>
      </c>
      <c r="H408" s="204">
        <f t="shared" si="10"/>
        <v>6</v>
      </c>
    </row>
    <row r="409" spans="1:8" x14ac:dyDescent="0.35">
      <c r="A409" s="244">
        <v>7010</v>
      </c>
      <c r="B409" s="245" t="s">
        <v>421</v>
      </c>
      <c r="C409" s="245" t="s">
        <v>334</v>
      </c>
      <c r="D409" s="245" t="s">
        <v>290</v>
      </c>
      <c r="E409" s="245" t="s">
        <v>165</v>
      </c>
      <c r="F409" s="245" t="s">
        <v>132</v>
      </c>
      <c r="G409" s="249">
        <v>2096.67</v>
      </c>
      <c r="H409" s="204">
        <f t="shared" si="10"/>
        <v>7</v>
      </c>
    </row>
    <row r="410" spans="1:8" x14ac:dyDescent="0.35">
      <c r="A410" s="244">
        <v>7010</v>
      </c>
      <c r="B410" s="245" t="s">
        <v>421</v>
      </c>
      <c r="C410" s="245" t="s">
        <v>334</v>
      </c>
      <c r="D410" s="245" t="s">
        <v>291</v>
      </c>
      <c r="E410" s="245" t="s">
        <v>165</v>
      </c>
      <c r="F410" s="245" t="s">
        <v>132</v>
      </c>
      <c r="G410" s="249">
        <v>2096.67</v>
      </c>
      <c r="H410" s="204">
        <f t="shared" si="10"/>
        <v>8</v>
      </c>
    </row>
    <row r="411" spans="1:8" x14ac:dyDescent="0.35">
      <c r="A411" s="244">
        <v>7010</v>
      </c>
      <c r="B411" s="245" t="s">
        <v>421</v>
      </c>
      <c r="C411" s="245" t="s">
        <v>334</v>
      </c>
      <c r="D411" s="245" t="s">
        <v>292</v>
      </c>
      <c r="E411" s="245" t="s">
        <v>165</v>
      </c>
      <c r="F411" s="245" t="s">
        <v>132</v>
      </c>
      <c r="G411" s="249">
        <v>2096.67</v>
      </c>
      <c r="H411" s="204">
        <f t="shared" si="10"/>
        <v>9</v>
      </c>
    </row>
    <row r="412" spans="1:8" x14ac:dyDescent="0.35">
      <c r="A412" s="244">
        <v>7010</v>
      </c>
      <c r="B412" s="245" t="s">
        <v>422</v>
      </c>
      <c r="C412" s="245" t="s">
        <v>423</v>
      </c>
      <c r="D412" s="245" t="s">
        <v>284</v>
      </c>
      <c r="E412" s="245" t="s">
        <v>165</v>
      </c>
      <c r="F412" s="245" t="s">
        <v>132</v>
      </c>
      <c r="G412" s="249">
        <v>2400</v>
      </c>
      <c r="H412" s="204">
        <f t="shared" si="10"/>
        <v>1</v>
      </c>
    </row>
    <row r="413" spans="1:8" x14ac:dyDescent="0.35">
      <c r="A413" s="244">
        <v>7010</v>
      </c>
      <c r="B413" s="245" t="s">
        <v>422</v>
      </c>
      <c r="C413" s="245" t="s">
        <v>423</v>
      </c>
      <c r="D413" s="245" t="s">
        <v>285</v>
      </c>
      <c r="E413" s="245" t="s">
        <v>165</v>
      </c>
      <c r="F413" s="245" t="s">
        <v>132</v>
      </c>
      <c r="G413" s="249">
        <v>2400</v>
      </c>
      <c r="H413" s="204">
        <f t="shared" si="10"/>
        <v>2</v>
      </c>
    </row>
    <row r="414" spans="1:8" x14ac:dyDescent="0.35">
      <c r="A414" s="244">
        <v>7010</v>
      </c>
      <c r="B414" s="245" t="s">
        <v>422</v>
      </c>
      <c r="C414" s="245" t="s">
        <v>423</v>
      </c>
      <c r="D414" s="245" t="s">
        <v>286</v>
      </c>
      <c r="E414" s="245" t="s">
        <v>165</v>
      </c>
      <c r="F414" s="245" t="s">
        <v>132</v>
      </c>
      <c r="G414" s="249">
        <v>2400</v>
      </c>
      <c r="H414" s="204">
        <f t="shared" si="10"/>
        <v>3</v>
      </c>
    </row>
    <row r="415" spans="1:8" x14ac:dyDescent="0.35">
      <c r="A415" s="244">
        <v>7010</v>
      </c>
      <c r="B415" s="245" t="s">
        <v>422</v>
      </c>
      <c r="C415" s="245" t="s">
        <v>423</v>
      </c>
      <c r="D415" s="245" t="s">
        <v>287</v>
      </c>
      <c r="E415" s="245" t="s">
        <v>165</v>
      </c>
      <c r="F415" s="245" t="s">
        <v>132</v>
      </c>
      <c r="G415" s="249">
        <v>2400</v>
      </c>
      <c r="H415" s="204">
        <f t="shared" si="10"/>
        <v>4</v>
      </c>
    </row>
    <row r="416" spans="1:8" x14ac:dyDescent="0.35">
      <c r="A416" s="244">
        <v>7010</v>
      </c>
      <c r="B416" s="245" t="s">
        <v>422</v>
      </c>
      <c r="C416" s="245" t="s">
        <v>423</v>
      </c>
      <c r="D416" s="245" t="s">
        <v>288</v>
      </c>
      <c r="E416" s="245" t="s">
        <v>165</v>
      </c>
      <c r="F416" s="245" t="s">
        <v>132</v>
      </c>
      <c r="G416" s="249">
        <v>2400</v>
      </c>
      <c r="H416" s="204">
        <f t="shared" si="10"/>
        <v>5</v>
      </c>
    </row>
    <row r="417" spans="1:8" x14ac:dyDescent="0.35">
      <c r="A417" s="244">
        <v>7010</v>
      </c>
      <c r="B417" s="245" t="s">
        <v>422</v>
      </c>
      <c r="C417" s="245" t="s">
        <v>423</v>
      </c>
      <c r="D417" s="245" t="s">
        <v>289</v>
      </c>
      <c r="E417" s="245" t="s">
        <v>165</v>
      </c>
      <c r="F417" s="245" t="s">
        <v>132</v>
      </c>
      <c r="G417" s="249">
        <v>2400</v>
      </c>
      <c r="H417" s="204">
        <f t="shared" si="10"/>
        <v>6</v>
      </c>
    </row>
    <row r="418" spans="1:8" s="82" customFormat="1" x14ac:dyDescent="0.35">
      <c r="A418" s="244">
        <v>7010</v>
      </c>
      <c r="B418" s="245" t="s">
        <v>422</v>
      </c>
      <c r="C418" s="245" t="s">
        <v>423</v>
      </c>
      <c r="D418" s="245" t="s">
        <v>290</v>
      </c>
      <c r="E418" s="245" t="s">
        <v>165</v>
      </c>
      <c r="F418" s="245" t="s">
        <v>132</v>
      </c>
      <c r="G418" s="249">
        <v>2400</v>
      </c>
      <c r="H418" s="204">
        <f t="shared" ref="H418:H429" si="12">IF(D418="",0,MONTH(D418))</f>
        <v>7</v>
      </c>
    </row>
    <row r="419" spans="1:8" s="82" customFormat="1" x14ac:dyDescent="0.35">
      <c r="A419" s="244">
        <v>7010</v>
      </c>
      <c r="B419" s="245" t="s">
        <v>422</v>
      </c>
      <c r="C419" s="245" t="s">
        <v>423</v>
      </c>
      <c r="D419" s="245" t="s">
        <v>291</v>
      </c>
      <c r="E419" s="245" t="s">
        <v>165</v>
      </c>
      <c r="F419" s="245" t="s">
        <v>132</v>
      </c>
      <c r="G419" s="249">
        <v>2400</v>
      </c>
      <c r="H419" s="204">
        <f t="shared" si="12"/>
        <v>8</v>
      </c>
    </row>
    <row r="420" spans="1:8" s="82" customFormat="1" x14ac:dyDescent="0.35">
      <c r="A420" s="244">
        <v>7010</v>
      </c>
      <c r="B420" s="245" t="s">
        <v>424</v>
      </c>
      <c r="C420" s="245" t="s">
        <v>425</v>
      </c>
      <c r="D420" s="245" t="s">
        <v>284</v>
      </c>
      <c r="E420" s="245" t="s">
        <v>165</v>
      </c>
      <c r="F420" s="245" t="s">
        <v>132</v>
      </c>
      <c r="G420" s="249">
        <v>2520</v>
      </c>
      <c r="H420" s="204">
        <f t="shared" si="12"/>
        <v>1</v>
      </c>
    </row>
    <row r="421" spans="1:8" s="82" customFormat="1" x14ac:dyDescent="0.35">
      <c r="A421" s="244">
        <v>7010</v>
      </c>
      <c r="B421" s="245" t="s">
        <v>424</v>
      </c>
      <c r="C421" s="245" t="s">
        <v>425</v>
      </c>
      <c r="D421" s="245" t="s">
        <v>285</v>
      </c>
      <c r="E421" s="245" t="s">
        <v>165</v>
      </c>
      <c r="F421" s="245" t="s">
        <v>132</v>
      </c>
      <c r="G421" s="249">
        <v>2520</v>
      </c>
      <c r="H421" s="204">
        <f t="shared" si="12"/>
        <v>2</v>
      </c>
    </row>
    <row r="422" spans="1:8" s="82" customFormat="1" x14ac:dyDescent="0.35">
      <c r="A422" s="244">
        <v>7010</v>
      </c>
      <c r="B422" s="245" t="s">
        <v>424</v>
      </c>
      <c r="C422" s="245" t="s">
        <v>425</v>
      </c>
      <c r="D422" s="245" t="s">
        <v>286</v>
      </c>
      <c r="E422" s="245" t="s">
        <v>165</v>
      </c>
      <c r="F422" s="245" t="s">
        <v>132</v>
      </c>
      <c r="G422" s="249">
        <v>2520</v>
      </c>
      <c r="H422" s="204">
        <f t="shared" si="12"/>
        <v>3</v>
      </c>
    </row>
    <row r="423" spans="1:8" s="82" customFormat="1" x14ac:dyDescent="0.35">
      <c r="A423" s="244">
        <v>7010</v>
      </c>
      <c r="B423" s="245" t="s">
        <v>424</v>
      </c>
      <c r="C423" s="245" t="s">
        <v>425</v>
      </c>
      <c r="D423" s="245" t="s">
        <v>287</v>
      </c>
      <c r="E423" s="245" t="s">
        <v>165</v>
      </c>
      <c r="F423" s="245" t="s">
        <v>132</v>
      </c>
      <c r="G423" s="249">
        <v>2520</v>
      </c>
      <c r="H423" s="204">
        <f t="shared" si="12"/>
        <v>4</v>
      </c>
    </row>
    <row r="424" spans="1:8" s="82" customFormat="1" x14ac:dyDescent="0.35">
      <c r="A424" s="244">
        <v>7010</v>
      </c>
      <c r="B424" s="245" t="s">
        <v>424</v>
      </c>
      <c r="C424" s="245" t="s">
        <v>425</v>
      </c>
      <c r="D424" s="245" t="s">
        <v>288</v>
      </c>
      <c r="E424" s="245" t="s">
        <v>165</v>
      </c>
      <c r="F424" s="245" t="s">
        <v>132</v>
      </c>
      <c r="G424" s="249">
        <v>2520</v>
      </c>
      <c r="H424" s="204">
        <f t="shared" si="12"/>
        <v>5</v>
      </c>
    </row>
    <row r="425" spans="1:8" s="82" customFormat="1" x14ac:dyDescent="0.35">
      <c r="A425" s="244">
        <v>7010</v>
      </c>
      <c r="B425" s="245" t="s">
        <v>424</v>
      </c>
      <c r="C425" s="245" t="s">
        <v>425</v>
      </c>
      <c r="D425" s="245" t="s">
        <v>289</v>
      </c>
      <c r="E425" s="245" t="s">
        <v>165</v>
      </c>
      <c r="F425" s="245" t="s">
        <v>132</v>
      </c>
      <c r="G425" s="249">
        <v>2520</v>
      </c>
      <c r="H425" s="204">
        <f t="shared" si="12"/>
        <v>6</v>
      </c>
    </row>
    <row r="426" spans="1:8" s="82" customFormat="1" x14ac:dyDescent="0.35">
      <c r="A426" s="244">
        <v>7010</v>
      </c>
      <c r="B426" s="245" t="s">
        <v>424</v>
      </c>
      <c r="C426" s="245" t="s">
        <v>425</v>
      </c>
      <c r="D426" s="245" t="s">
        <v>290</v>
      </c>
      <c r="E426" s="245" t="s">
        <v>165</v>
      </c>
      <c r="F426" s="245" t="s">
        <v>132</v>
      </c>
      <c r="G426" s="249">
        <v>2760</v>
      </c>
      <c r="H426" s="204">
        <f t="shared" si="12"/>
        <v>7</v>
      </c>
    </row>
    <row r="427" spans="1:8" s="82" customFormat="1" x14ac:dyDescent="0.35">
      <c r="A427" s="244">
        <v>7010</v>
      </c>
      <c r="B427" s="245" t="s">
        <v>424</v>
      </c>
      <c r="C427" s="245" t="s">
        <v>425</v>
      </c>
      <c r="D427" s="245" t="s">
        <v>291</v>
      </c>
      <c r="E427" s="245" t="s">
        <v>165</v>
      </c>
      <c r="F427" s="245" t="s">
        <v>132</v>
      </c>
      <c r="G427" s="249">
        <v>2760</v>
      </c>
      <c r="H427" s="204">
        <f t="shared" si="12"/>
        <v>8</v>
      </c>
    </row>
    <row r="428" spans="1:8" s="82" customFormat="1" x14ac:dyDescent="0.35">
      <c r="A428" s="244">
        <v>7010</v>
      </c>
      <c r="B428" s="245" t="s">
        <v>424</v>
      </c>
      <c r="C428" s="245" t="s">
        <v>425</v>
      </c>
      <c r="D428" s="245" t="s">
        <v>292</v>
      </c>
      <c r="E428" s="245" t="s">
        <v>165</v>
      </c>
      <c r="F428" s="245" t="s">
        <v>132</v>
      </c>
      <c r="G428" s="249">
        <v>2760</v>
      </c>
      <c r="H428" s="204">
        <f t="shared" si="12"/>
        <v>9</v>
      </c>
    </row>
    <row r="429" spans="1:8" s="82" customFormat="1" x14ac:dyDescent="0.35">
      <c r="A429" s="244">
        <v>7010</v>
      </c>
      <c r="B429" s="245" t="s">
        <v>424</v>
      </c>
      <c r="C429" s="245" t="s">
        <v>425</v>
      </c>
      <c r="D429" s="245" t="s">
        <v>293</v>
      </c>
      <c r="E429" s="245" t="s">
        <v>165</v>
      </c>
      <c r="F429" s="245" t="s">
        <v>132</v>
      </c>
      <c r="G429" s="249">
        <v>2760</v>
      </c>
      <c r="H429" s="204">
        <f t="shared" si="12"/>
        <v>10</v>
      </c>
    </row>
    <row r="430" spans="1:8" x14ac:dyDescent="0.35">
      <c r="A430" s="244">
        <v>7010</v>
      </c>
      <c r="B430" s="245" t="s">
        <v>424</v>
      </c>
      <c r="C430" s="245" t="s">
        <v>425</v>
      </c>
      <c r="D430" s="245" t="s">
        <v>294</v>
      </c>
      <c r="E430" s="245" t="s">
        <v>165</v>
      </c>
      <c r="F430" s="245" t="s">
        <v>132</v>
      </c>
      <c r="G430" s="249">
        <v>2760</v>
      </c>
      <c r="H430" s="204">
        <f t="shared" si="10"/>
        <v>11</v>
      </c>
    </row>
    <row r="431" spans="1:8" x14ac:dyDescent="0.35">
      <c r="A431" s="244">
        <v>7010</v>
      </c>
      <c r="B431" s="245" t="s">
        <v>424</v>
      </c>
      <c r="C431" s="245" t="s">
        <v>425</v>
      </c>
      <c r="D431" s="245" t="s">
        <v>295</v>
      </c>
      <c r="E431" s="245" t="s">
        <v>165</v>
      </c>
      <c r="F431" s="245" t="s">
        <v>132</v>
      </c>
      <c r="G431" s="249">
        <v>2760</v>
      </c>
      <c r="H431" s="204">
        <f t="shared" si="10"/>
        <v>12</v>
      </c>
    </row>
    <row r="432" spans="1:8" x14ac:dyDescent="0.35">
      <c r="A432" s="244">
        <v>7010</v>
      </c>
      <c r="B432" s="245" t="s">
        <v>426</v>
      </c>
      <c r="C432" s="245" t="s">
        <v>427</v>
      </c>
      <c r="D432" s="245" t="s">
        <v>284</v>
      </c>
      <c r="E432" s="245" t="s">
        <v>165</v>
      </c>
      <c r="F432" s="245" t="s">
        <v>132</v>
      </c>
      <c r="G432" s="249">
        <v>6398.33</v>
      </c>
      <c r="H432" s="204">
        <f t="shared" si="10"/>
        <v>1</v>
      </c>
    </row>
    <row r="433" spans="1:8" x14ac:dyDescent="0.35">
      <c r="A433" s="244">
        <v>7010</v>
      </c>
      <c r="B433" s="245" t="s">
        <v>426</v>
      </c>
      <c r="C433" s="245" t="s">
        <v>427</v>
      </c>
      <c r="D433" s="245" t="s">
        <v>285</v>
      </c>
      <c r="E433" s="245" t="s">
        <v>165</v>
      </c>
      <c r="F433" s="245" t="s">
        <v>132</v>
      </c>
      <c r="G433" s="249">
        <v>6398.33</v>
      </c>
      <c r="H433" s="204">
        <f t="shared" si="10"/>
        <v>2</v>
      </c>
    </row>
    <row r="434" spans="1:8" x14ac:dyDescent="0.35">
      <c r="A434" s="244">
        <v>7010</v>
      </c>
      <c r="B434" s="245" t="s">
        <v>426</v>
      </c>
      <c r="C434" s="245" t="s">
        <v>427</v>
      </c>
      <c r="D434" s="245" t="s">
        <v>286</v>
      </c>
      <c r="E434" s="245" t="s">
        <v>165</v>
      </c>
      <c r="F434" s="245" t="s">
        <v>132</v>
      </c>
      <c r="G434" s="249">
        <v>6398.33</v>
      </c>
      <c r="H434" s="204">
        <f t="shared" si="10"/>
        <v>3</v>
      </c>
    </row>
    <row r="435" spans="1:8" x14ac:dyDescent="0.35">
      <c r="A435" s="244">
        <v>7010</v>
      </c>
      <c r="B435" s="245" t="s">
        <v>426</v>
      </c>
      <c r="C435" s="245" t="s">
        <v>427</v>
      </c>
      <c r="D435" s="245" t="s">
        <v>287</v>
      </c>
      <c r="E435" s="245" t="s">
        <v>165</v>
      </c>
      <c r="F435" s="245" t="s">
        <v>132</v>
      </c>
      <c r="G435" s="249">
        <v>6398.33</v>
      </c>
      <c r="H435" s="204">
        <f t="shared" si="10"/>
        <v>4</v>
      </c>
    </row>
    <row r="436" spans="1:8" x14ac:dyDescent="0.35">
      <c r="A436" s="244">
        <v>7010</v>
      </c>
      <c r="B436" s="245" t="s">
        <v>426</v>
      </c>
      <c r="C436" s="245" t="s">
        <v>427</v>
      </c>
      <c r="D436" s="245" t="s">
        <v>288</v>
      </c>
      <c r="E436" s="245" t="s">
        <v>165</v>
      </c>
      <c r="F436" s="245" t="s">
        <v>132</v>
      </c>
      <c r="G436" s="249">
        <v>6398.33</v>
      </c>
      <c r="H436" s="204">
        <f t="shared" si="10"/>
        <v>5</v>
      </c>
    </row>
    <row r="437" spans="1:8" x14ac:dyDescent="0.35">
      <c r="A437" s="244">
        <v>7010</v>
      </c>
      <c r="B437" s="245" t="s">
        <v>426</v>
      </c>
      <c r="C437" s="245" t="s">
        <v>427</v>
      </c>
      <c r="D437" s="245" t="s">
        <v>289</v>
      </c>
      <c r="E437" s="245" t="s">
        <v>165</v>
      </c>
      <c r="F437" s="245" t="s">
        <v>132</v>
      </c>
      <c r="G437" s="249">
        <v>6398.33</v>
      </c>
      <c r="H437" s="204">
        <f t="shared" si="10"/>
        <v>6</v>
      </c>
    </row>
    <row r="438" spans="1:8" x14ac:dyDescent="0.35">
      <c r="A438" s="244">
        <v>7010</v>
      </c>
      <c r="B438" s="245" t="s">
        <v>426</v>
      </c>
      <c r="C438" s="245" t="s">
        <v>427</v>
      </c>
      <c r="D438" s="245" t="s">
        <v>290</v>
      </c>
      <c r="E438" s="245" t="s">
        <v>165</v>
      </c>
      <c r="F438" s="245" t="s">
        <v>132</v>
      </c>
      <c r="G438" s="249">
        <v>6398.33</v>
      </c>
      <c r="H438" s="204">
        <f t="shared" si="10"/>
        <v>7</v>
      </c>
    </row>
    <row r="439" spans="1:8" x14ac:dyDescent="0.35">
      <c r="A439" s="244">
        <v>7010</v>
      </c>
      <c r="B439" s="245" t="s">
        <v>426</v>
      </c>
      <c r="C439" s="245" t="s">
        <v>427</v>
      </c>
      <c r="D439" s="245" t="s">
        <v>291</v>
      </c>
      <c r="E439" s="245" t="s">
        <v>165</v>
      </c>
      <c r="F439" s="245" t="s">
        <v>132</v>
      </c>
      <c r="G439" s="249">
        <v>6398.33</v>
      </c>
      <c r="H439" s="204">
        <f t="shared" si="10"/>
        <v>8</v>
      </c>
    </row>
    <row r="440" spans="1:8" x14ac:dyDescent="0.35">
      <c r="A440" s="244">
        <v>7010</v>
      </c>
      <c r="B440" s="245" t="s">
        <v>426</v>
      </c>
      <c r="C440" s="245" t="s">
        <v>427</v>
      </c>
      <c r="D440" s="245" t="s">
        <v>292</v>
      </c>
      <c r="E440" s="245" t="s">
        <v>165</v>
      </c>
      <c r="F440" s="245" t="s">
        <v>132</v>
      </c>
      <c r="G440" s="249">
        <v>6398.33</v>
      </c>
      <c r="H440" s="204">
        <f t="shared" si="10"/>
        <v>9</v>
      </c>
    </row>
    <row r="441" spans="1:8" x14ac:dyDescent="0.35">
      <c r="A441" s="244">
        <v>7010</v>
      </c>
      <c r="B441" s="245" t="s">
        <v>426</v>
      </c>
      <c r="C441" s="245" t="s">
        <v>427</v>
      </c>
      <c r="D441" s="245" t="s">
        <v>293</v>
      </c>
      <c r="E441" s="245" t="s">
        <v>165</v>
      </c>
      <c r="F441" s="245" t="s">
        <v>132</v>
      </c>
      <c r="G441" s="249">
        <v>6398.33</v>
      </c>
      <c r="H441" s="204">
        <f t="shared" si="10"/>
        <v>10</v>
      </c>
    </row>
    <row r="442" spans="1:8" x14ac:dyDescent="0.35">
      <c r="A442" s="244">
        <v>7010</v>
      </c>
      <c r="B442" s="245" t="s">
        <v>426</v>
      </c>
      <c r="C442" s="245" t="s">
        <v>427</v>
      </c>
      <c r="D442" s="245" t="s">
        <v>294</v>
      </c>
      <c r="E442" s="245" t="s">
        <v>165</v>
      </c>
      <c r="F442" s="245" t="s">
        <v>132</v>
      </c>
      <c r="G442" s="249">
        <v>6398.33</v>
      </c>
      <c r="H442" s="204">
        <f t="shared" ref="H442:H541" si="13">IF(D442="",0,MONTH(D442))</f>
        <v>11</v>
      </c>
    </row>
    <row r="443" spans="1:8" x14ac:dyDescent="0.35">
      <c r="A443" s="244">
        <v>7010</v>
      </c>
      <c r="B443" s="245" t="s">
        <v>426</v>
      </c>
      <c r="C443" s="245" t="s">
        <v>427</v>
      </c>
      <c r="D443" s="245" t="s">
        <v>295</v>
      </c>
      <c r="E443" s="245" t="s">
        <v>165</v>
      </c>
      <c r="F443" s="245" t="s">
        <v>132</v>
      </c>
      <c r="G443" s="249">
        <v>6398.33</v>
      </c>
      <c r="H443" s="204">
        <f t="shared" si="13"/>
        <v>12</v>
      </c>
    </row>
    <row r="444" spans="1:8" x14ac:dyDescent="0.35">
      <c r="A444" s="244">
        <v>7010</v>
      </c>
      <c r="B444" s="245" t="s">
        <v>428</v>
      </c>
      <c r="C444" s="245" t="s">
        <v>429</v>
      </c>
      <c r="D444" s="245" t="s">
        <v>284</v>
      </c>
      <c r="E444" s="245" t="s">
        <v>165</v>
      </c>
      <c r="F444" s="245" t="s">
        <v>132</v>
      </c>
      <c r="G444" s="249">
        <v>2799.04</v>
      </c>
      <c r="H444" s="204">
        <f t="shared" si="13"/>
        <v>1</v>
      </c>
    </row>
    <row r="445" spans="1:8" x14ac:dyDescent="0.35">
      <c r="A445" s="244">
        <v>7010</v>
      </c>
      <c r="B445" s="245" t="s">
        <v>428</v>
      </c>
      <c r="C445" s="245" t="s">
        <v>429</v>
      </c>
      <c r="D445" s="245" t="s">
        <v>285</v>
      </c>
      <c r="E445" s="245" t="s">
        <v>165</v>
      </c>
      <c r="F445" s="245" t="s">
        <v>132</v>
      </c>
      <c r="G445" s="249">
        <v>2799.04</v>
      </c>
      <c r="H445" s="204">
        <f t="shared" si="13"/>
        <v>2</v>
      </c>
    </row>
    <row r="446" spans="1:8" x14ac:dyDescent="0.35">
      <c r="A446" s="244">
        <v>7010</v>
      </c>
      <c r="B446" s="245" t="s">
        <v>428</v>
      </c>
      <c r="C446" s="245" t="s">
        <v>429</v>
      </c>
      <c r="D446" s="245" t="s">
        <v>286</v>
      </c>
      <c r="E446" s="245" t="s">
        <v>165</v>
      </c>
      <c r="F446" s="245" t="s">
        <v>132</v>
      </c>
      <c r="G446" s="249">
        <v>2799.04</v>
      </c>
      <c r="H446" s="204">
        <f t="shared" si="13"/>
        <v>3</v>
      </c>
    </row>
    <row r="447" spans="1:8" x14ac:dyDescent="0.35">
      <c r="A447" s="244">
        <v>7010</v>
      </c>
      <c r="B447" s="245" t="s">
        <v>428</v>
      </c>
      <c r="C447" s="245" t="s">
        <v>429</v>
      </c>
      <c r="D447" s="245" t="s">
        <v>287</v>
      </c>
      <c r="E447" s="245" t="s">
        <v>165</v>
      </c>
      <c r="F447" s="245" t="s">
        <v>132</v>
      </c>
      <c r="G447" s="249">
        <v>2799.04</v>
      </c>
      <c r="H447" s="204">
        <f t="shared" si="13"/>
        <v>4</v>
      </c>
    </row>
    <row r="448" spans="1:8" x14ac:dyDescent="0.35">
      <c r="A448" s="244">
        <v>7010</v>
      </c>
      <c r="B448" s="245" t="s">
        <v>428</v>
      </c>
      <c r="C448" s="245" t="s">
        <v>429</v>
      </c>
      <c r="D448" s="245" t="s">
        <v>288</v>
      </c>
      <c r="E448" s="245" t="s">
        <v>165</v>
      </c>
      <c r="F448" s="245" t="s">
        <v>132</v>
      </c>
      <c r="G448" s="249">
        <v>2799.04</v>
      </c>
      <c r="H448" s="204">
        <f t="shared" si="13"/>
        <v>5</v>
      </c>
    </row>
    <row r="449" spans="1:8" x14ac:dyDescent="0.35">
      <c r="A449" s="244">
        <v>7010</v>
      </c>
      <c r="B449" s="245" t="s">
        <v>428</v>
      </c>
      <c r="C449" s="245" t="s">
        <v>429</v>
      </c>
      <c r="D449" s="245" t="s">
        <v>289</v>
      </c>
      <c r="E449" s="245" t="s">
        <v>165</v>
      </c>
      <c r="F449" s="245" t="s">
        <v>132</v>
      </c>
      <c r="G449" s="249">
        <v>2799.04</v>
      </c>
      <c r="H449" s="204">
        <f t="shared" si="13"/>
        <v>6</v>
      </c>
    </row>
    <row r="450" spans="1:8" x14ac:dyDescent="0.35">
      <c r="A450" s="244">
        <v>7010</v>
      </c>
      <c r="B450" s="245" t="s">
        <v>428</v>
      </c>
      <c r="C450" s="245" t="s">
        <v>429</v>
      </c>
      <c r="D450" s="245" t="s">
        <v>290</v>
      </c>
      <c r="E450" s="245" t="s">
        <v>165</v>
      </c>
      <c r="F450" s="245" t="s">
        <v>132</v>
      </c>
      <c r="G450" s="249">
        <v>2799.04</v>
      </c>
      <c r="H450" s="204">
        <f t="shared" si="13"/>
        <v>7</v>
      </c>
    </row>
    <row r="451" spans="1:8" s="82" customFormat="1" x14ac:dyDescent="0.35">
      <c r="A451" s="244">
        <v>7010</v>
      </c>
      <c r="B451" s="245" t="s">
        <v>428</v>
      </c>
      <c r="C451" s="245" t="s">
        <v>429</v>
      </c>
      <c r="D451" s="245" t="s">
        <v>291</v>
      </c>
      <c r="E451" s="245" t="s">
        <v>165</v>
      </c>
      <c r="F451" s="245" t="s">
        <v>132</v>
      </c>
      <c r="G451" s="249">
        <v>2799.04</v>
      </c>
      <c r="H451" s="204">
        <f t="shared" ref="H451:H462" si="14">IF(D451="",0,MONTH(D451))</f>
        <v>8</v>
      </c>
    </row>
    <row r="452" spans="1:8" s="82" customFormat="1" x14ac:dyDescent="0.35">
      <c r="A452" s="244">
        <v>7010</v>
      </c>
      <c r="B452" s="245" t="s">
        <v>428</v>
      </c>
      <c r="C452" s="245" t="s">
        <v>429</v>
      </c>
      <c r="D452" s="245" t="s">
        <v>292</v>
      </c>
      <c r="E452" s="245" t="s">
        <v>165</v>
      </c>
      <c r="F452" s="245" t="s">
        <v>132</v>
      </c>
      <c r="G452" s="249">
        <v>2799.04</v>
      </c>
      <c r="H452" s="204">
        <f t="shared" si="14"/>
        <v>9</v>
      </c>
    </row>
    <row r="453" spans="1:8" s="82" customFormat="1" x14ac:dyDescent="0.35">
      <c r="A453" s="244">
        <v>7010</v>
      </c>
      <c r="B453" s="245" t="s">
        <v>428</v>
      </c>
      <c r="C453" s="245" t="s">
        <v>429</v>
      </c>
      <c r="D453" s="245" t="s">
        <v>293</v>
      </c>
      <c r="E453" s="245" t="s">
        <v>165</v>
      </c>
      <c r="F453" s="245" t="s">
        <v>132</v>
      </c>
      <c r="G453" s="249">
        <v>2799.04</v>
      </c>
      <c r="H453" s="204">
        <f t="shared" si="14"/>
        <v>10</v>
      </c>
    </row>
    <row r="454" spans="1:8" s="82" customFormat="1" x14ac:dyDescent="0.35">
      <c r="A454" s="244">
        <v>7010</v>
      </c>
      <c r="B454" s="245" t="s">
        <v>428</v>
      </c>
      <c r="C454" s="245" t="s">
        <v>429</v>
      </c>
      <c r="D454" s="245" t="s">
        <v>294</v>
      </c>
      <c r="E454" s="245" t="s">
        <v>165</v>
      </c>
      <c r="F454" s="245" t="s">
        <v>132</v>
      </c>
      <c r="G454" s="249">
        <v>2799.04</v>
      </c>
      <c r="H454" s="204">
        <f t="shared" si="14"/>
        <v>11</v>
      </c>
    </row>
    <row r="455" spans="1:8" s="82" customFormat="1" x14ac:dyDescent="0.35">
      <c r="A455" s="244">
        <v>7010</v>
      </c>
      <c r="B455" s="245" t="s">
        <v>428</v>
      </c>
      <c r="C455" s="245" t="s">
        <v>429</v>
      </c>
      <c r="D455" s="245" t="s">
        <v>295</v>
      </c>
      <c r="E455" s="245" t="s">
        <v>165</v>
      </c>
      <c r="F455" s="245" t="s">
        <v>132</v>
      </c>
      <c r="G455" s="249">
        <v>2799.04</v>
      </c>
      <c r="H455" s="204">
        <f t="shared" si="14"/>
        <v>12</v>
      </c>
    </row>
    <row r="456" spans="1:8" s="82" customFormat="1" x14ac:dyDescent="0.35">
      <c r="A456" s="244">
        <v>7010</v>
      </c>
      <c r="B456" s="245" t="s">
        <v>430</v>
      </c>
      <c r="C456" s="245" t="s">
        <v>337</v>
      </c>
      <c r="D456" s="245" t="s">
        <v>284</v>
      </c>
      <c r="E456" s="245" t="s">
        <v>165</v>
      </c>
      <c r="F456" s="245" t="s">
        <v>132</v>
      </c>
      <c r="G456" s="249">
        <v>4976.28</v>
      </c>
      <c r="H456" s="204">
        <f t="shared" si="14"/>
        <v>1</v>
      </c>
    </row>
    <row r="457" spans="1:8" s="82" customFormat="1" x14ac:dyDescent="0.35">
      <c r="A457" s="244">
        <v>7010</v>
      </c>
      <c r="B457" s="245" t="s">
        <v>430</v>
      </c>
      <c r="C457" s="245" t="s">
        <v>337</v>
      </c>
      <c r="D457" s="245" t="s">
        <v>285</v>
      </c>
      <c r="E457" s="245" t="s">
        <v>165</v>
      </c>
      <c r="F457" s="245" t="s">
        <v>132</v>
      </c>
      <c r="G457" s="249">
        <v>4976.28</v>
      </c>
      <c r="H457" s="204">
        <f t="shared" si="14"/>
        <v>2</v>
      </c>
    </row>
    <row r="458" spans="1:8" s="82" customFormat="1" x14ac:dyDescent="0.35">
      <c r="A458" s="244">
        <v>7010</v>
      </c>
      <c r="B458" s="245" t="s">
        <v>430</v>
      </c>
      <c r="C458" s="245" t="s">
        <v>337</v>
      </c>
      <c r="D458" s="245" t="s">
        <v>286</v>
      </c>
      <c r="E458" s="245" t="s">
        <v>165</v>
      </c>
      <c r="F458" s="245" t="s">
        <v>132</v>
      </c>
      <c r="G458" s="249">
        <v>4976.28</v>
      </c>
      <c r="H458" s="204">
        <f t="shared" si="14"/>
        <v>3</v>
      </c>
    </row>
    <row r="459" spans="1:8" s="82" customFormat="1" x14ac:dyDescent="0.35">
      <c r="A459" s="244">
        <v>7010</v>
      </c>
      <c r="B459" s="245" t="s">
        <v>430</v>
      </c>
      <c r="C459" s="245" t="s">
        <v>337</v>
      </c>
      <c r="D459" s="245" t="s">
        <v>287</v>
      </c>
      <c r="E459" s="245" t="s">
        <v>165</v>
      </c>
      <c r="F459" s="245" t="s">
        <v>132</v>
      </c>
      <c r="G459" s="249">
        <v>4976.28</v>
      </c>
      <c r="H459" s="204">
        <f t="shared" si="14"/>
        <v>4</v>
      </c>
    </row>
    <row r="460" spans="1:8" s="82" customFormat="1" x14ac:dyDescent="0.35">
      <c r="A460" s="244">
        <v>7010</v>
      </c>
      <c r="B460" s="245" t="s">
        <v>430</v>
      </c>
      <c r="C460" s="245" t="s">
        <v>337</v>
      </c>
      <c r="D460" s="245" t="s">
        <v>288</v>
      </c>
      <c r="E460" s="245" t="s">
        <v>165</v>
      </c>
      <c r="F460" s="245" t="s">
        <v>132</v>
      </c>
      <c r="G460" s="249">
        <v>4976.28</v>
      </c>
      <c r="H460" s="204">
        <f t="shared" si="14"/>
        <v>5</v>
      </c>
    </row>
    <row r="461" spans="1:8" s="82" customFormat="1" x14ac:dyDescent="0.35">
      <c r="A461" s="244">
        <v>7010</v>
      </c>
      <c r="B461" s="245" t="s">
        <v>430</v>
      </c>
      <c r="C461" s="245" t="s">
        <v>337</v>
      </c>
      <c r="D461" s="245" t="s">
        <v>289</v>
      </c>
      <c r="E461" s="245" t="s">
        <v>165</v>
      </c>
      <c r="F461" s="245" t="s">
        <v>132</v>
      </c>
      <c r="G461" s="249">
        <v>4976.28</v>
      </c>
      <c r="H461" s="204">
        <f t="shared" si="14"/>
        <v>6</v>
      </c>
    </row>
    <row r="462" spans="1:8" s="82" customFormat="1" x14ac:dyDescent="0.35">
      <c r="A462" s="244">
        <v>7010</v>
      </c>
      <c r="B462" s="245" t="s">
        <v>430</v>
      </c>
      <c r="C462" s="245" t="s">
        <v>337</v>
      </c>
      <c r="D462" s="245" t="s">
        <v>290</v>
      </c>
      <c r="E462" s="245" t="s">
        <v>165</v>
      </c>
      <c r="F462" s="245" t="s">
        <v>132</v>
      </c>
      <c r="G462" s="249">
        <v>4976.28</v>
      </c>
      <c r="H462" s="204">
        <f t="shared" si="14"/>
        <v>7</v>
      </c>
    </row>
    <row r="463" spans="1:8" x14ac:dyDescent="0.35">
      <c r="A463" s="244">
        <v>7010</v>
      </c>
      <c r="B463" s="245" t="s">
        <v>431</v>
      </c>
      <c r="C463" s="245" t="s">
        <v>432</v>
      </c>
      <c r="D463" s="245" t="s">
        <v>284</v>
      </c>
      <c r="E463" s="245" t="s">
        <v>165</v>
      </c>
      <c r="F463" s="245" t="s">
        <v>132</v>
      </c>
      <c r="G463" s="249">
        <v>5000</v>
      </c>
      <c r="H463" s="204">
        <f t="shared" si="13"/>
        <v>1</v>
      </c>
    </row>
    <row r="464" spans="1:8" x14ac:dyDescent="0.35">
      <c r="A464" s="244">
        <v>7010</v>
      </c>
      <c r="B464" s="245" t="s">
        <v>431</v>
      </c>
      <c r="C464" s="245" t="s">
        <v>432</v>
      </c>
      <c r="D464" s="245" t="s">
        <v>285</v>
      </c>
      <c r="E464" s="245" t="s">
        <v>165</v>
      </c>
      <c r="F464" s="245" t="s">
        <v>132</v>
      </c>
      <c r="G464" s="249">
        <v>5000</v>
      </c>
      <c r="H464" s="204">
        <f t="shared" si="13"/>
        <v>2</v>
      </c>
    </row>
    <row r="465" spans="1:8" x14ac:dyDescent="0.35">
      <c r="A465" s="244">
        <v>7010</v>
      </c>
      <c r="B465" s="245" t="s">
        <v>431</v>
      </c>
      <c r="C465" s="245" t="s">
        <v>432</v>
      </c>
      <c r="D465" s="245" t="s">
        <v>286</v>
      </c>
      <c r="E465" s="245" t="s">
        <v>165</v>
      </c>
      <c r="F465" s="245" t="s">
        <v>132</v>
      </c>
      <c r="G465" s="249">
        <v>5000</v>
      </c>
      <c r="H465" s="204">
        <f t="shared" si="13"/>
        <v>3</v>
      </c>
    </row>
    <row r="466" spans="1:8" x14ac:dyDescent="0.35">
      <c r="A466" s="244">
        <v>7010</v>
      </c>
      <c r="B466" s="245" t="s">
        <v>431</v>
      </c>
      <c r="C466" s="245" t="s">
        <v>432</v>
      </c>
      <c r="D466" s="245" t="s">
        <v>287</v>
      </c>
      <c r="E466" s="245" t="s">
        <v>165</v>
      </c>
      <c r="F466" s="245" t="s">
        <v>132</v>
      </c>
      <c r="G466" s="249">
        <v>5000</v>
      </c>
      <c r="H466" s="204">
        <f t="shared" si="13"/>
        <v>4</v>
      </c>
    </row>
    <row r="467" spans="1:8" x14ac:dyDescent="0.35">
      <c r="A467" s="244">
        <v>7010</v>
      </c>
      <c r="B467" s="245" t="s">
        <v>431</v>
      </c>
      <c r="C467" s="245" t="s">
        <v>432</v>
      </c>
      <c r="D467" s="245" t="s">
        <v>288</v>
      </c>
      <c r="E467" s="245" t="s">
        <v>165</v>
      </c>
      <c r="F467" s="245" t="s">
        <v>132</v>
      </c>
      <c r="G467" s="249">
        <v>5000</v>
      </c>
      <c r="H467" s="204">
        <f t="shared" si="13"/>
        <v>5</v>
      </c>
    </row>
    <row r="468" spans="1:8" x14ac:dyDescent="0.35">
      <c r="A468" s="244">
        <v>7010</v>
      </c>
      <c r="B468" s="245" t="s">
        <v>431</v>
      </c>
      <c r="C468" s="245" t="s">
        <v>432</v>
      </c>
      <c r="D468" s="245" t="s">
        <v>289</v>
      </c>
      <c r="E468" s="245" t="s">
        <v>165</v>
      </c>
      <c r="F468" s="245" t="s">
        <v>132</v>
      </c>
      <c r="G468" s="249">
        <v>5000</v>
      </c>
      <c r="H468" s="204">
        <f t="shared" si="13"/>
        <v>6</v>
      </c>
    </row>
    <row r="469" spans="1:8" x14ac:dyDescent="0.35">
      <c r="A469" s="244">
        <v>7010</v>
      </c>
      <c r="B469" s="245" t="s">
        <v>431</v>
      </c>
      <c r="C469" s="245" t="s">
        <v>432</v>
      </c>
      <c r="D469" s="245" t="s">
        <v>290</v>
      </c>
      <c r="E469" s="245" t="s">
        <v>165</v>
      </c>
      <c r="F469" s="245" t="s">
        <v>132</v>
      </c>
      <c r="G469" s="249">
        <v>5000</v>
      </c>
      <c r="H469" s="204">
        <f t="shared" si="13"/>
        <v>7</v>
      </c>
    </row>
    <row r="470" spans="1:8" x14ac:dyDescent="0.35">
      <c r="A470" s="244">
        <v>7010</v>
      </c>
      <c r="B470" s="245" t="s">
        <v>431</v>
      </c>
      <c r="C470" s="245" t="s">
        <v>432</v>
      </c>
      <c r="D470" s="245" t="s">
        <v>291</v>
      </c>
      <c r="E470" s="245" t="s">
        <v>165</v>
      </c>
      <c r="F470" s="245" t="s">
        <v>132</v>
      </c>
      <c r="G470" s="249">
        <v>5000</v>
      </c>
      <c r="H470" s="204">
        <f t="shared" si="13"/>
        <v>8</v>
      </c>
    </row>
    <row r="471" spans="1:8" x14ac:dyDescent="0.35">
      <c r="A471" s="244">
        <v>7010</v>
      </c>
      <c r="B471" s="245" t="s">
        <v>431</v>
      </c>
      <c r="C471" s="245" t="s">
        <v>432</v>
      </c>
      <c r="D471" s="245" t="s">
        <v>292</v>
      </c>
      <c r="E471" s="245" t="s">
        <v>165</v>
      </c>
      <c r="F471" s="245" t="s">
        <v>132</v>
      </c>
      <c r="G471" s="249">
        <v>5000</v>
      </c>
      <c r="H471" s="204">
        <f t="shared" si="13"/>
        <v>9</v>
      </c>
    </row>
    <row r="472" spans="1:8" x14ac:dyDescent="0.35">
      <c r="A472" s="244">
        <v>7010</v>
      </c>
      <c r="B472" s="245" t="s">
        <v>431</v>
      </c>
      <c r="C472" s="245" t="s">
        <v>432</v>
      </c>
      <c r="D472" s="245" t="s">
        <v>293</v>
      </c>
      <c r="E472" s="245" t="s">
        <v>165</v>
      </c>
      <c r="F472" s="245" t="s">
        <v>132</v>
      </c>
      <c r="G472" s="249">
        <v>5000</v>
      </c>
      <c r="H472" s="204">
        <f t="shared" si="13"/>
        <v>10</v>
      </c>
    </row>
    <row r="473" spans="1:8" x14ac:dyDescent="0.35">
      <c r="A473" s="244">
        <v>7010</v>
      </c>
      <c r="B473" s="245" t="s">
        <v>431</v>
      </c>
      <c r="C473" s="245" t="s">
        <v>432</v>
      </c>
      <c r="D473" s="245" t="s">
        <v>294</v>
      </c>
      <c r="E473" s="245" t="s">
        <v>165</v>
      </c>
      <c r="F473" s="245" t="s">
        <v>132</v>
      </c>
      <c r="G473" s="249">
        <v>5000</v>
      </c>
      <c r="H473" s="204">
        <f t="shared" si="13"/>
        <v>11</v>
      </c>
    </row>
    <row r="474" spans="1:8" x14ac:dyDescent="0.35">
      <c r="A474" s="244">
        <v>7010</v>
      </c>
      <c r="B474" s="245" t="s">
        <v>431</v>
      </c>
      <c r="C474" s="245" t="s">
        <v>432</v>
      </c>
      <c r="D474" s="245" t="s">
        <v>295</v>
      </c>
      <c r="E474" s="245" t="s">
        <v>165</v>
      </c>
      <c r="F474" s="245" t="s">
        <v>132</v>
      </c>
      <c r="G474" s="249">
        <v>5000</v>
      </c>
      <c r="H474" s="204">
        <f t="shared" si="13"/>
        <v>12</v>
      </c>
    </row>
    <row r="475" spans="1:8" x14ac:dyDescent="0.35">
      <c r="A475" s="244">
        <v>7010</v>
      </c>
      <c r="B475" s="245" t="s">
        <v>433</v>
      </c>
      <c r="C475" s="245" t="s">
        <v>434</v>
      </c>
      <c r="D475" s="245" t="s">
        <v>284</v>
      </c>
      <c r="E475" s="245" t="s">
        <v>165</v>
      </c>
      <c r="F475" s="245" t="s">
        <v>132</v>
      </c>
      <c r="G475" s="249">
        <v>3418.14</v>
      </c>
      <c r="H475" s="204">
        <f t="shared" si="13"/>
        <v>1</v>
      </c>
    </row>
    <row r="476" spans="1:8" x14ac:dyDescent="0.35">
      <c r="A476" s="244">
        <v>7010</v>
      </c>
      <c r="B476" s="245" t="s">
        <v>433</v>
      </c>
      <c r="C476" s="245" t="s">
        <v>434</v>
      </c>
      <c r="D476" s="245" t="s">
        <v>285</v>
      </c>
      <c r="E476" s="245" t="s">
        <v>165</v>
      </c>
      <c r="F476" s="245" t="s">
        <v>132</v>
      </c>
      <c r="G476" s="249">
        <v>3418.14</v>
      </c>
      <c r="H476" s="204">
        <f t="shared" ref="H476:H487" si="15">IF(D476="",0,MONTH(D476))</f>
        <v>2</v>
      </c>
    </row>
    <row r="477" spans="1:8" x14ac:dyDescent="0.35">
      <c r="A477" s="244">
        <v>7010</v>
      </c>
      <c r="B477" s="245" t="s">
        <v>433</v>
      </c>
      <c r="C477" s="245" t="s">
        <v>434</v>
      </c>
      <c r="D477" s="245" t="s">
        <v>286</v>
      </c>
      <c r="E477" s="245" t="s">
        <v>165</v>
      </c>
      <c r="F477" s="245" t="s">
        <v>132</v>
      </c>
      <c r="G477" s="249">
        <v>3418.14</v>
      </c>
      <c r="H477" s="204">
        <f t="shared" si="15"/>
        <v>3</v>
      </c>
    </row>
    <row r="478" spans="1:8" x14ac:dyDescent="0.35">
      <c r="A478" s="244">
        <v>7010</v>
      </c>
      <c r="B478" s="245" t="s">
        <v>433</v>
      </c>
      <c r="C478" s="245" t="s">
        <v>434</v>
      </c>
      <c r="D478" s="245" t="s">
        <v>287</v>
      </c>
      <c r="E478" s="245" t="s">
        <v>165</v>
      </c>
      <c r="F478" s="245" t="s">
        <v>132</v>
      </c>
      <c r="G478" s="249">
        <v>3418.14</v>
      </c>
      <c r="H478" s="204">
        <f t="shared" si="15"/>
        <v>4</v>
      </c>
    </row>
    <row r="479" spans="1:8" x14ac:dyDescent="0.35">
      <c r="A479" s="244">
        <v>7010</v>
      </c>
      <c r="B479" s="245" t="s">
        <v>433</v>
      </c>
      <c r="C479" s="245" t="s">
        <v>434</v>
      </c>
      <c r="D479" s="245" t="s">
        <v>288</v>
      </c>
      <c r="E479" s="245" t="s">
        <v>165</v>
      </c>
      <c r="F479" s="245" t="s">
        <v>132</v>
      </c>
      <c r="G479" s="249">
        <v>3418.14</v>
      </c>
      <c r="H479" s="204">
        <f t="shared" si="15"/>
        <v>5</v>
      </c>
    </row>
    <row r="480" spans="1:8" x14ac:dyDescent="0.35">
      <c r="A480" s="244">
        <v>7010</v>
      </c>
      <c r="B480" s="245" t="s">
        <v>433</v>
      </c>
      <c r="C480" s="245" t="s">
        <v>434</v>
      </c>
      <c r="D480" s="245" t="s">
        <v>289</v>
      </c>
      <c r="E480" s="245" t="s">
        <v>165</v>
      </c>
      <c r="F480" s="245" t="s">
        <v>132</v>
      </c>
      <c r="G480" s="249">
        <v>3418.14</v>
      </c>
      <c r="H480" s="204">
        <f t="shared" si="15"/>
        <v>6</v>
      </c>
    </row>
    <row r="481" spans="1:8" x14ac:dyDescent="0.35">
      <c r="A481" s="244">
        <v>7010</v>
      </c>
      <c r="B481" s="245" t="s">
        <v>433</v>
      </c>
      <c r="C481" s="245" t="s">
        <v>434</v>
      </c>
      <c r="D481" s="245" t="s">
        <v>290</v>
      </c>
      <c r="E481" s="245" t="s">
        <v>165</v>
      </c>
      <c r="F481" s="245" t="s">
        <v>132</v>
      </c>
      <c r="G481" s="249">
        <v>3418.14</v>
      </c>
      <c r="H481" s="204">
        <f t="shared" si="15"/>
        <v>7</v>
      </c>
    </row>
    <row r="482" spans="1:8" x14ac:dyDescent="0.35">
      <c r="A482" s="244">
        <v>7010</v>
      </c>
      <c r="B482" s="245" t="s">
        <v>433</v>
      </c>
      <c r="C482" s="245" t="s">
        <v>434</v>
      </c>
      <c r="D482" s="245" t="s">
        <v>291</v>
      </c>
      <c r="E482" s="245" t="s">
        <v>165</v>
      </c>
      <c r="F482" s="245" t="s">
        <v>132</v>
      </c>
      <c r="G482" s="249">
        <v>3418.14</v>
      </c>
      <c r="H482" s="204">
        <f t="shared" si="15"/>
        <v>8</v>
      </c>
    </row>
    <row r="483" spans="1:8" x14ac:dyDescent="0.35">
      <c r="A483" s="244">
        <v>7010</v>
      </c>
      <c r="B483" s="245" t="s">
        <v>433</v>
      </c>
      <c r="C483" s="245" t="s">
        <v>434</v>
      </c>
      <c r="D483" s="245" t="s">
        <v>292</v>
      </c>
      <c r="E483" s="245" t="s">
        <v>165</v>
      </c>
      <c r="F483" s="245" t="s">
        <v>132</v>
      </c>
      <c r="G483" s="249">
        <v>3418.14</v>
      </c>
      <c r="H483" s="204">
        <f t="shared" si="15"/>
        <v>9</v>
      </c>
    </row>
    <row r="484" spans="1:8" x14ac:dyDescent="0.35">
      <c r="A484" s="244">
        <v>7010</v>
      </c>
      <c r="B484" s="245" t="s">
        <v>433</v>
      </c>
      <c r="C484" s="245" t="s">
        <v>434</v>
      </c>
      <c r="D484" s="245" t="s">
        <v>293</v>
      </c>
      <c r="E484" s="245" t="s">
        <v>165</v>
      </c>
      <c r="F484" s="245" t="s">
        <v>132</v>
      </c>
      <c r="G484" s="249">
        <v>3418.14</v>
      </c>
      <c r="H484" s="204">
        <f t="shared" si="15"/>
        <v>10</v>
      </c>
    </row>
    <row r="485" spans="1:8" x14ac:dyDescent="0.35">
      <c r="A485" s="244">
        <v>7010</v>
      </c>
      <c r="B485" s="245" t="s">
        <v>433</v>
      </c>
      <c r="C485" s="245" t="s">
        <v>434</v>
      </c>
      <c r="D485" s="245" t="s">
        <v>294</v>
      </c>
      <c r="E485" s="245" t="s">
        <v>165</v>
      </c>
      <c r="F485" s="245" t="s">
        <v>132</v>
      </c>
      <c r="G485" s="249">
        <v>3418.14</v>
      </c>
      <c r="H485" s="204">
        <f t="shared" si="15"/>
        <v>11</v>
      </c>
    </row>
    <row r="486" spans="1:8" x14ac:dyDescent="0.35">
      <c r="A486" s="244">
        <v>7010</v>
      </c>
      <c r="B486" s="245" t="s">
        <v>433</v>
      </c>
      <c r="C486" s="245" t="s">
        <v>434</v>
      </c>
      <c r="D486" s="245" t="s">
        <v>295</v>
      </c>
      <c r="E486" s="245" t="s">
        <v>165</v>
      </c>
      <c r="F486" s="245" t="s">
        <v>132</v>
      </c>
      <c r="G486" s="249">
        <v>3418.14</v>
      </c>
      <c r="H486" s="204">
        <f t="shared" si="15"/>
        <v>12</v>
      </c>
    </row>
    <row r="487" spans="1:8" x14ac:dyDescent="0.35">
      <c r="A487" s="244">
        <v>7010</v>
      </c>
      <c r="B487" s="245" t="s">
        <v>435</v>
      </c>
      <c r="C487" s="245" t="s">
        <v>338</v>
      </c>
      <c r="D487" s="245" t="s">
        <v>284</v>
      </c>
      <c r="E487" s="245" t="s">
        <v>165</v>
      </c>
      <c r="F487" s="245" t="s">
        <v>132</v>
      </c>
      <c r="G487" s="249">
        <v>3313.33</v>
      </c>
      <c r="H487" s="204">
        <f t="shared" si="15"/>
        <v>1</v>
      </c>
    </row>
    <row r="488" spans="1:8" x14ac:dyDescent="0.35">
      <c r="A488" s="244">
        <v>7010</v>
      </c>
      <c r="B488" s="245" t="s">
        <v>435</v>
      </c>
      <c r="C488" s="245" t="s">
        <v>338</v>
      </c>
      <c r="D488" s="245" t="s">
        <v>285</v>
      </c>
      <c r="E488" s="245" t="s">
        <v>165</v>
      </c>
      <c r="F488" s="245" t="s">
        <v>132</v>
      </c>
      <c r="G488" s="249">
        <v>3313.33</v>
      </c>
      <c r="H488" s="204">
        <f t="shared" si="13"/>
        <v>2</v>
      </c>
    </row>
    <row r="489" spans="1:8" x14ac:dyDescent="0.35">
      <c r="A489" s="244">
        <v>7010</v>
      </c>
      <c r="B489" s="245" t="s">
        <v>435</v>
      </c>
      <c r="C489" s="245" t="s">
        <v>338</v>
      </c>
      <c r="D489" s="245" t="s">
        <v>286</v>
      </c>
      <c r="E489" s="245" t="s">
        <v>165</v>
      </c>
      <c r="F489" s="245" t="s">
        <v>132</v>
      </c>
      <c r="G489" s="249">
        <v>3313.33</v>
      </c>
      <c r="H489" s="204">
        <f t="shared" si="13"/>
        <v>3</v>
      </c>
    </row>
    <row r="490" spans="1:8" x14ac:dyDescent="0.35">
      <c r="A490" s="244">
        <v>7010</v>
      </c>
      <c r="B490" s="245" t="s">
        <v>436</v>
      </c>
      <c r="C490" s="245" t="s">
        <v>339</v>
      </c>
      <c r="D490" s="245" t="s">
        <v>284</v>
      </c>
      <c r="E490" s="245" t="s">
        <v>165</v>
      </c>
      <c r="F490" s="245" t="s">
        <v>132</v>
      </c>
      <c r="G490" s="249">
        <v>5166.67</v>
      </c>
      <c r="H490" s="204">
        <f t="shared" si="13"/>
        <v>1</v>
      </c>
    </row>
    <row r="491" spans="1:8" x14ac:dyDescent="0.35">
      <c r="A491" s="244">
        <v>7010</v>
      </c>
      <c r="B491" s="245" t="s">
        <v>436</v>
      </c>
      <c r="C491" s="245" t="s">
        <v>339</v>
      </c>
      <c r="D491" s="245" t="s">
        <v>285</v>
      </c>
      <c r="E491" s="245" t="s">
        <v>165</v>
      </c>
      <c r="F491" s="245" t="s">
        <v>132</v>
      </c>
      <c r="G491" s="249">
        <v>5166.67</v>
      </c>
      <c r="H491" s="204">
        <f t="shared" si="13"/>
        <v>2</v>
      </c>
    </row>
    <row r="492" spans="1:8" x14ac:dyDescent="0.35">
      <c r="A492" s="244">
        <v>7010</v>
      </c>
      <c r="B492" s="245" t="s">
        <v>436</v>
      </c>
      <c r="C492" s="245" t="s">
        <v>339</v>
      </c>
      <c r="D492" s="245" t="s">
        <v>286</v>
      </c>
      <c r="E492" s="245" t="s">
        <v>165</v>
      </c>
      <c r="F492" s="245" t="s">
        <v>132</v>
      </c>
      <c r="G492" s="249">
        <v>5166.67</v>
      </c>
      <c r="H492" s="204">
        <f t="shared" si="13"/>
        <v>3</v>
      </c>
    </row>
    <row r="493" spans="1:8" x14ac:dyDescent="0.35">
      <c r="A493" s="244">
        <v>7010</v>
      </c>
      <c r="B493" s="245" t="s">
        <v>436</v>
      </c>
      <c r="C493" s="245" t="s">
        <v>339</v>
      </c>
      <c r="D493" s="245" t="s">
        <v>287</v>
      </c>
      <c r="E493" s="245" t="s">
        <v>165</v>
      </c>
      <c r="F493" s="245" t="s">
        <v>132</v>
      </c>
      <c r="G493" s="249">
        <v>5166.67</v>
      </c>
      <c r="H493" s="204">
        <f t="shared" si="13"/>
        <v>4</v>
      </c>
    </row>
    <row r="494" spans="1:8" x14ac:dyDescent="0.35">
      <c r="A494" s="244">
        <v>7010</v>
      </c>
      <c r="B494" s="245" t="s">
        <v>436</v>
      </c>
      <c r="C494" s="245" t="s">
        <v>339</v>
      </c>
      <c r="D494" s="245" t="s">
        <v>288</v>
      </c>
      <c r="E494" s="245" t="s">
        <v>165</v>
      </c>
      <c r="F494" s="245" t="s">
        <v>132</v>
      </c>
      <c r="G494" s="249">
        <v>5166.67</v>
      </c>
      <c r="H494" s="204">
        <f t="shared" si="13"/>
        <v>5</v>
      </c>
    </row>
    <row r="495" spans="1:8" x14ac:dyDescent="0.35">
      <c r="A495" s="244">
        <v>7010</v>
      </c>
      <c r="B495" s="245" t="s">
        <v>436</v>
      </c>
      <c r="C495" s="245" t="s">
        <v>339</v>
      </c>
      <c r="D495" s="245" t="s">
        <v>289</v>
      </c>
      <c r="E495" s="245" t="s">
        <v>165</v>
      </c>
      <c r="F495" s="245" t="s">
        <v>132</v>
      </c>
      <c r="G495" s="249">
        <v>5166.67</v>
      </c>
      <c r="H495" s="204">
        <f t="shared" si="13"/>
        <v>6</v>
      </c>
    </row>
    <row r="496" spans="1:8" x14ac:dyDescent="0.35">
      <c r="A496" s="244">
        <v>7010</v>
      </c>
      <c r="B496" s="245" t="s">
        <v>436</v>
      </c>
      <c r="C496" s="245" t="s">
        <v>339</v>
      </c>
      <c r="D496" s="245" t="s">
        <v>290</v>
      </c>
      <c r="E496" s="245" t="s">
        <v>165</v>
      </c>
      <c r="F496" s="245" t="s">
        <v>132</v>
      </c>
      <c r="G496" s="249">
        <v>5166.67</v>
      </c>
      <c r="H496" s="204">
        <f t="shared" si="13"/>
        <v>7</v>
      </c>
    </row>
    <row r="497" spans="1:8" x14ac:dyDescent="0.35">
      <c r="A497" s="244">
        <v>7200</v>
      </c>
      <c r="B497" s="245" t="s">
        <v>437</v>
      </c>
      <c r="C497" s="245" t="s">
        <v>438</v>
      </c>
      <c r="D497" s="245" t="s">
        <v>284</v>
      </c>
      <c r="E497" s="245" t="s">
        <v>165</v>
      </c>
      <c r="F497" s="245" t="s">
        <v>132</v>
      </c>
      <c r="G497" s="249">
        <v>17992.04</v>
      </c>
      <c r="H497" s="204">
        <f t="shared" si="13"/>
        <v>1</v>
      </c>
    </row>
    <row r="498" spans="1:8" x14ac:dyDescent="0.35">
      <c r="A498" s="244">
        <v>7200</v>
      </c>
      <c r="B498" s="245" t="s">
        <v>437</v>
      </c>
      <c r="C498" s="245" t="s">
        <v>438</v>
      </c>
      <c r="D498" s="245" t="s">
        <v>285</v>
      </c>
      <c r="E498" s="245" t="s">
        <v>165</v>
      </c>
      <c r="F498" s="245" t="s">
        <v>132</v>
      </c>
      <c r="G498" s="249">
        <v>17992.04</v>
      </c>
      <c r="H498" s="204">
        <f t="shared" si="13"/>
        <v>2</v>
      </c>
    </row>
    <row r="499" spans="1:8" x14ac:dyDescent="0.35">
      <c r="A499" s="244">
        <v>7200</v>
      </c>
      <c r="B499" s="245" t="s">
        <v>437</v>
      </c>
      <c r="C499" s="245" t="s">
        <v>438</v>
      </c>
      <c r="D499" s="245" t="s">
        <v>286</v>
      </c>
      <c r="E499" s="245" t="s">
        <v>165</v>
      </c>
      <c r="F499" s="245" t="s">
        <v>132</v>
      </c>
      <c r="G499" s="249">
        <v>17992.04</v>
      </c>
      <c r="H499" s="204">
        <f t="shared" si="13"/>
        <v>3</v>
      </c>
    </row>
    <row r="500" spans="1:8" x14ac:dyDescent="0.35">
      <c r="A500" s="244">
        <v>7200</v>
      </c>
      <c r="B500" s="245" t="s">
        <v>437</v>
      </c>
      <c r="C500" s="245" t="s">
        <v>438</v>
      </c>
      <c r="D500" s="245" t="s">
        <v>287</v>
      </c>
      <c r="E500" s="245" t="s">
        <v>165</v>
      </c>
      <c r="F500" s="245" t="s">
        <v>132</v>
      </c>
      <c r="G500" s="249">
        <v>17992.04</v>
      </c>
      <c r="H500" s="204">
        <f t="shared" si="13"/>
        <v>4</v>
      </c>
    </row>
    <row r="501" spans="1:8" x14ac:dyDescent="0.35">
      <c r="A501" s="244">
        <v>7200</v>
      </c>
      <c r="B501" s="245" t="s">
        <v>437</v>
      </c>
      <c r="C501" s="245" t="s">
        <v>438</v>
      </c>
      <c r="D501" s="245" t="s">
        <v>288</v>
      </c>
      <c r="E501" s="245" t="s">
        <v>165</v>
      </c>
      <c r="F501" s="245" t="s">
        <v>132</v>
      </c>
      <c r="G501" s="249">
        <v>17992.04</v>
      </c>
      <c r="H501" s="204">
        <f t="shared" si="13"/>
        <v>5</v>
      </c>
    </row>
    <row r="502" spans="1:8" x14ac:dyDescent="0.35">
      <c r="A502" s="244">
        <v>7200</v>
      </c>
      <c r="B502" s="245" t="s">
        <v>437</v>
      </c>
      <c r="C502" s="245" t="s">
        <v>438</v>
      </c>
      <c r="D502" s="245" t="s">
        <v>289</v>
      </c>
      <c r="E502" s="245" t="s">
        <v>165</v>
      </c>
      <c r="F502" s="245" t="s">
        <v>132</v>
      </c>
      <c r="G502" s="249">
        <v>17992.04</v>
      </c>
      <c r="H502" s="204">
        <f t="shared" si="13"/>
        <v>6</v>
      </c>
    </row>
    <row r="503" spans="1:8" x14ac:dyDescent="0.35">
      <c r="A503" s="244">
        <v>7200</v>
      </c>
      <c r="B503" s="245" t="s">
        <v>437</v>
      </c>
      <c r="C503" s="245" t="s">
        <v>438</v>
      </c>
      <c r="D503" s="245" t="s">
        <v>290</v>
      </c>
      <c r="E503" s="245" t="s">
        <v>165</v>
      </c>
      <c r="F503" s="245" t="s">
        <v>132</v>
      </c>
      <c r="G503" s="249">
        <v>17992.04</v>
      </c>
      <c r="H503" s="204">
        <f t="shared" si="13"/>
        <v>7</v>
      </c>
    </row>
    <row r="504" spans="1:8" x14ac:dyDescent="0.35">
      <c r="A504" s="244">
        <v>7200</v>
      </c>
      <c r="B504" s="245" t="s">
        <v>437</v>
      </c>
      <c r="C504" s="245" t="s">
        <v>438</v>
      </c>
      <c r="D504" s="245" t="s">
        <v>291</v>
      </c>
      <c r="E504" s="245" t="s">
        <v>165</v>
      </c>
      <c r="F504" s="245" t="s">
        <v>132</v>
      </c>
      <c r="G504" s="249">
        <v>17992.04</v>
      </c>
      <c r="H504" s="204">
        <f t="shared" si="13"/>
        <v>8</v>
      </c>
    </row>
    <row r="505" spans="1:8" x14ac:dyDescent="0.35">
      <c r="A505" s="244">
        <v>7200</v>
      </c>
      <c r="B505" s="245" t="s">
        <v>437</v>
      </c>
      <c r="C505" s="245" t="s">
        <v>438</v>
      </c>
      <c r="D505" s="245" t="s">
        <v>292</v>
      </c>
      <c r="E505" s="245" t="s">
        <v>165</v>
      </c>
      <c r="F505" s="245" t="s">
        <v>132</v>
      </c>
      <c r="G505" s="249">
        <v>17992.04</v>
      </c>
      <c r="H505" s="204">
        <f t="shared" si="13"/>
        <v>9</v>
      </c>
    </row>
    <row r="506" spans="1:8" x14ac:dyDescent="0.35">
      <c r="A506" s="244">
        <v>7200</v>
      </c>
      <c r="B506" s="245" t="s">
        <v>437</v>
      </c>
      <c r="C506" s="245" t="s">
        <v>438</v>
      </c>
      <c r="D506" s="245" t="s">
        <v>293</v>
      </c>
      <c r="E506" s="245" t="s">
        <v>165</v>
      </c>
      <c r="F506" s="245" t="s">
        <v>132</v>
      </c>
      <c r="G506" s="249">
        <v>17992.04</v>
      </c>
      <c r="H506" s="204">
        <f t="shared" si="13"/>
        <v>10</v>
      </c>
    </row>
    <row r="507" spans="1:8" x14ac:dyDescent="0.35">
      <c r="A507" s="244">
        <v>7200</v>
      </c>
      <c r="B507" s="245" t="s">
        <v>437</v>
      </c>
      <c r="C507" s="245" t="s">
        <v>438</v>
      </c>
      <c r="D507" s="245" t="s">
        <v>294</v>
      </c>
      <c r="E507" s="245" t="s">
        <v>165</v>
      </c>
      <c r="F507" s="245" t="s">
        <v>132</v>
      </c>
      <c r="G507" s="249">
        <v>17992.04</v>
      </c>
      <c r="H507" s="204">
        <f t="shared" si="13"/>
        <v>11</v>
      </c>
    </row>
    <row r="508" spans="1:8" x14ac:dyDescent="0.35">
      <c r="A508" s="244">
        <v>7200</v>
      </c>
      <c r="B508" s="245" t="s">
        <v>437</v>
      </c>
      <c r="C508" s="245" t="s">
        <v>438</v>
      </c>
      <c r="D508" s="245" t="s">
        <v>295</v>
      </c>
      <c r="E508" s="245" t="s">
        <v>165</v>
      </c>
      <c r="F508" s="245" t="s">
        <v>132</v>
      </c>
      <c r="G508" s="249">
        <v>17992.04</v>
      </c>
      <c r="H508" s="204">
        <f t="shared" si="13"/>
        <v>12</v>
      </c>
    </row>
    <row r="509" spans="1:8" x14ac:dyDescent="0.35">
      <c r="A509" s="244">
        <v>7300</v>
      </c>
      <c r="B509" s="245" t="s">
        <v>439</v>
      </c>
      <c r="C509" s="245" t="s">
        <v>440</v>
      </c>
      <c r="D509" s="245" t="s">
        <v>284</v>
      </c>
      <c r="E509" s="245" t="s">
        <v>165</v>
      </c>
      <c r="F509" s="245" t="s">
        <v>132</v>
      </c>
      <c r="G509" s="249">
        <v>34687.5</v>
      </c>
      <c r="H509" s="204">
        <f t="shared" si="13"/>
        <v>1</v>
      </c>
    </row>
    <row r="510" spans="1:8" x14ac:dyDescent="0.35">
      <c r="A510" s="244">
        <v>7300</v>
      </c>
      <c r="B510" s="245" t="s">
        <v>439</v>
      </c>
      <c r="C510" s="245" t="s">
        <v>440</v>
      </c>
      <c r="D510" s="245" t="s">
        <v>285</v>
      </c>
      <c r="E510" s="245" t="s">
        <v>165</v>
      </c>
      <c r="F510" s="245" t="s">
        <v>132</v>
      </c>
      <c r="G510" s="249">
        <v>34687.5</v>
      </c>
      <c r="H510" s="204">
        <f t="shared" si="13"/>
        <v>2</v>
      </c>
    </row>
    <row r="511" spans="1:8" x14ac:dyDescent="0.35">
      <c r="A511" s="244">
        <v>7300</v>
      </c>
      <c r="B511" s="245" t="s">
        <v>439</v>
      </c>
      <c r="C511" s="245" t="s">
        <v>440</v>
      </c>
      <c r="D511" s="245" t="s">
        <v>286</v>
      </c>
      <c r="E511" s="245" t="s">
        <v>165</v>
      </c>
      <c r="F511" s="245" t="s">
        <v>132</v>
      </c>
      <c r="G511" s="249">
        <v>34687.5</v>
      </c>
      <c r="H511" s="204">
        <f t="shared" si="13"/>
        <v>3</v>
      </c>
    </row>
    <row r="512" spans="1:8" x14ac:dyDescent="0.35">
      <c r="A512" s="244">
        <v>7300</v>
      </c>
      <c r="B512" s="245" t="s">
        <v>439</v>
      </c>
      <c r="C512" s="245" t="s">
        <v>440</v>
      </c>
      <c r="D512" s="245" t="s">
        <v>287</v>
      </c>
      <c r="E512" s="245" t="s">
        <v>165</v>
      </c>
      <c r="F512" s="245" t="s">
        <v>132</v>
      </c>
      <c r="G512" s="249">
        <v>34687.5</v>
      </c>
      <c r="H512" s="204">
        <f t="shared" si="13"/>
        <v>4</v>
      </c>
    </row>
    <row r="513" spans="1:8" x14ac:dyDescent="0.35">
      <c r="A513" s="244">
        <v>7300</v>
      </c>
      <c r="B513" s="245" t="s">
        <v>439</v>
      </c>
      <c r="C513" s="245" t="s">
        <v>440</v>
      </c>
      <c r="D513" s="245" t="s">
        <v>288</v>
      </c>
      <c r="E513" s="245" t="s">
        <v>165</v>
      </c>
      <c r="F513" s="245" t="s">
        <v>132</v>
      </c>
      <c r="G513" s="249">
        <v>34687.5</v>
      </c>
      <c r="H513" s="204">
        <f t="shared" si="13"/>
        <v>5</v>
      </c>
    </row>
    <row r="514" spans="1:8" x14ac:dyDescent="0.35">
      <c r="A514" s="244">
        <v>7300</v>
      </c>
      <c r="B514" s="245" t="s">
        <v>439</v>
      </c>
      <c r="C514" s="245" t="s">
        <v>440</v>
      </c>
      <c r="D514" s="245" t="s">
        <v>289</v>
      </c>
      <c r="E514" s="245" t="s">
        <v>165</v>
      </c>
      <c r="F514" s="245" t="s">
        <v>132</v>
      </c>
      <c r="G514" s="249">
        <v>34687.5</v>
      </c>
      <c r="H514" s="204">
        <f t="shared" si="13"/>
        <v>6</v>
      </c>
    </row>
    <row r="515" spans="1:8" x14ac:dyDescent="0.35">
      <c r="A515" s="244">
        <v>7300</v>
      </c>
      <c r="B515" s="245" t="s">
        <v>439</v>
      </c>
      <c r="C515" s="245" t="s">
        <v>440</v>
      </c>
      <c r="D515" s="245" t="s">
        <v>290</v>
      </c>
      <c r="E515" s="245" t="s">
        <v>165</v>
      </c>
      <c r="F515" s="245" t="s">
        <v>132</v>
      </c>
      <c r="G515" s="249">
        <v>34687.5</v>
      </c>
      <c r="H515" s="204">
        <f t="shared" si="13"/>
        <v>7</v>
      </c>
    </row>
    <row r="516" spans="1:8" x14ac:dyDescent="0.35">
      <c r="A516" s="244">
        <v>7300</v>
      </c>
      <c r="B516" s="245" t="s">
        <v>439</v>
      </c>
      <c r="C516" s="245" t="s">
        <v>440</v>
      </c>
      <c r="D516" s="245" t="s">
        <v>291</v>
      </c>
      <c r="E516" s="245" t="s">
        <v>165</v>
      </c>
      <c r="F516" s="245" t="s">
        <v>132</v>
      </c>
      <c r="G516" s="249">
        <v>34687.5</v>
      </c>
      <c r="H516" s="204">
        <f t="shared" si="13"/>
        <v>8</v>
      </c>
    </row>
    <row r="517" spans="1:8" x14ac:dyDescent="0.35">
      <c r="A517" s="244">
        <v>7300</v>
      </c>
      <c r="B517" s="245" t="s">
        <v>439</v>
      </c>
      <c r="C517" s="245" t="s">
        <v>440</v>
      </c>
      <c r="D517" s="245" t="s">
        <v>292</v>
      </c>
      <c r="E517" s="245" t="s">
        <v>165</v>
      </c>
      <c r="F517" s="245" t="s">
        <v>132</v>
      </c>
      <c r="G517" s="249">
        <v>34687.5</v>
      </c>
      <c r="H517" s="204">
        <f t="shared" si="13"/>
        <v>9</v>
      </c>
    </row>
    <row r="518" spans="1:8" x14ac:dyDescent="0.35">
      <c r="A518" s="244">
        <v>7300</v>
      </c>
      <c r="B518" s="245" t="s">
        <v>439</v>
      </c>
      <c r="C518" s="245" t="s">
        <v>440</v>
      </c>
      <c r="D518" s="245" t="s">
        <v>293</v>
      </c>
      <c r="E518" s="245" t="s">
        <v>165</v>
      </c>
      <c r="F518" s="245" t="s">
        <v>132</v>
      </c>
      <c r="G518" s="249">
        <v>34687.5</v>
      </c>
      <c r="H518" s="204">
        <f t="shared" si="13"/>
        <v>10</v>
      </c>
    </row>
    <row r="519" spans="1:8" x14ac:dyDescent="0.35">
      <c r="A519" s="244">
        <v>7300</v>
      </c>
      <c r="B519" s="245" t="s">
        <v>439</v>
      </c>
      <c r="C519" s="245" t="s">
        <v>440</v>
      </c>
      <c r="D519" s="245" t="s">
        <v>294</v>
      </c>
      <c r="E519" s="245" t="s">
        <v>165</v>
      </c>
      <c r="F519" s="245" t="s">
        <v>132</v>
      </c>
      <c r="G519" s="249">
        <v>34687.5</v>
      </c>
      <c r="H519" s="204">
        <f t="shared" si="13"/>
        <v>11</v>
      </c>
    </row>
    <row r="520" spans="1:8" x14ac:dyDescent="0.35">
      <c r="A520" s="244">
        <v>7300</v>
      </c>
      <c r="B520" s="245" t="s">
        <v>439</v>
      </c>
      <c r="C520" s="245" t="s">
        <v>440</v>
      </c>
      <c r="D520" s="245" t="s">
        <v>295</v>
      </c>
      <c r="E520" s="245" t="s">
        <v>165</v>
      </c>
      <c r="F520" s="245" t="s">
        <v>132</v>
      </c>
      <c r="G520" s="249">
        <v>34687.5</v>
      </c>
      <c r="H520" s="204">
        <f t="shared" si="13"/>
        <v>12</v>
      </c>
    </row>
    <row r="521" spans="1:8" x14ac:dyDescent="0.35">
      <c r="A521" s="244">
        <v>8200</v>
      </c>
      <c r="B521" s="245" t="s">
        <v>441</v>
      </c>
      <c r="C521" s="245" t="s">
        <v>442</v>
      </c>
      <c r="D521" s="245" t="s">
        <v>284</v>
      </c>
      <c r="E521" s="245" t="s">
        <v>165</v>
      </c>
      <c r="F521" s="245" t="s">
        <v>132</v>
      </c>
      <c r="G521" s="249">
        <v>18000</v>
      </c>
      <c r="H521" s="204">
        <f t="shared" si="13"/>
        <v>1</v>
      </c>
    </row>
    <row r="522" spans="1:8" x14ac:dyDescent="0.35">
      <c r="A522" s="244">
        <v>8200</v>
      </c>
      <c r="B522" s="245" t="s">
        <v>441</v>
      </c>
      <c r="C522" s="245" t="s">
        <v>442</v>
      </c>
      <c r="D522" s="245" t="s">
        <v>285</v>
      </c>
      <c r="E522" s="245" t="s">
        <v>165</v>
      </c>
      <c r="F522" s="245" t="s">
        <v>132</v>
      </c>
      <c r="G522" s="249">
        <v>18000</v>
      </c>
      <c r="H522" s="204">
        <f t="shared" si="13"/>
        <v>2</v>
      </c>
    </row>
    <row r="523" spans="1:8" x14ac:dyDescent="0.35">
      <c r="A523" s="244">
        <v>8200</v>
      </c>
      <c r="B523" s="245" t="s">
        <v>441</v>
      </c>
      <c r="C523" s="245" t="s">
        <v>442</v>
      </c>
      <c r="D523" s="245" t="s">
        <v>286</v>
      </c>
      <c r="E523" s="245" t="s">
        <v>165</v>
      </c>
      <c r="F523" s="245" t="s">
        <v>132</v>
      </c>
      <c r="G523" s="249">
        <v>18000</v>
      </c>
      <c r="H523" s="204">
        <f t="shared" si="13"/>
        <v>3</v>
      </c>
    </row>
    <row r="524" spans="1:8" x14ac:dyDescent="0.35">
      <c r="A524" s="244">
        <v>8200</v>
      </c>
      <c r="B524" s="245" t="s">
        <v>441</v>
      </c>
      <c r="C524" s="245" t="s">
        <v>442</v>
      </c>
      <c r="D524" s="245" t="s">
        <v>287</v>
      </c>
      <c r="E524" s="245" t="s">
        <v>165</v>
      </c>
      <c r="F524" s="245" t="s">
        <v>132</v>
      </c>
      <c r="G524" s="249">
        <v>18000</v>
      </c>
      <c r="H524" s="204">
        <f t="shared" si="13"/>
        <v>4</v>
      </c>
    </row>
    <row r="525" spans="1:8" x14ac:dyDescent="0.35">
      <c r="A525" s="244">
        <v>8200</v>
      </c>
      <c r="B525" s="245" t="s">
        <v>441</v>
      </c>
      <c r="C525" s="245" t="s">
        <v>442</v>
      </c>
      <c r="D525" s="245" t="s">
        <v>288</v>
      </c>
      <c r="E525" s="245" t="s">
        <v>165</v>
      </c>
      <c r="F525" s="245" t="s">
        <v>132</v>
      </c>
      <c r="G525" s="249">
        <v>18000</v>
      </c>
      <c r="H525" s="204">
        <f t="shared" si="13"/>
        <v>5</v>
      </c>
    </row>
    <row r="526" spans="1:8" x14ac:dyDescent="0.35">
      <c r="A526" s="244">
        <v>8200</v>
      </c>
      <c r="B526" s="245" t="s">
        <v>441</v>
      </c>
      <c r="C526" s="245" t="s">
        <v>442</v>
      </c>
      <c r="D526" s="245" t="s">
        <v>289</v>
      </c>
      <c r="E526" s="245" t="s">
        <v>165</v>
      </c>
      <c r="F526" s="245" t="s">
        <v>132</v>
      </c>
      <c r="G526" s="249">
        <v>18000</v>
      </c>
      <c r="H526" s="204">
        <f t="shared" si="13"/>
        <v>6</v>
      </c>
    </row>
    <row r="527" spans="1:8" x14ac:dyDescent="0.35">
      <c r="A527" s="244">
        <v>8200</v>
      </c>
      <c r="B527" s="245" t="s">
        <v>441</v>
      </c>
      <c r="C527" s="245" t="s">
        <v>442</v>
      </c>
      <c r="D527" s="245" t="s">
        <v>290</v>
      </c>
      <c r="E527" s="245" t="s">
        <v>165</v>
      </c>
      <c r="F527" s="245" t="s">
        <v>132</v>
      </c>
      <c r="G527" s="249">
        <v>18000</v>
      </c>
      <c r="H527" s="204">
        <f t="shared" si="13"/>
        <v>7</v>
      </c>
    </row>
    <row r="528" spans="1:8" x14ac:dyDescent="0.35">
      <c r="A528" s="244">
        <v>8200</v>
      </c>
      <c r="B528" s="245" t="s">
        <v>441</v>
      </c>
      <c r="C528" s="245" t="s">
        <v>442</v>
      </c>
      <c r="D528" s="245" t="s">
        <v>291</v>
      </c>
      <c r="E528" s="245" t="s">
        <v>165</v>
      </c>
      <c r="F528" s="245" t="s">
        <v>132</v>
      </c>
      <c r="G528" s="249">
        <v>18000</v>
      </c>
      <c r="H528" s="204">
        <f t="shared" si="13"/>
        <v>8</v>
      </c>
    </row>
    <row r="529" spans="1:8" x14ac:dyDescent="0.35">
      <c r="A529" s="244">
        <v>8200</v>
      </c>
      <c r="B529" s="245" t="s">
        <v>441</v>
      </c>
      <c r="C529" s="245" t="s">
        <v>442</v>
      </c>
      <c r="D529" s="245" t="s">
        <v>292</v>
      </c>
      <c r="E529" s="245" t="s">
        <v>165</v>
      </c>
      <c r="F529" s="245" t="s">
        <v>132</v>
      </c>
      <c r="G529" s="249">
        <v>18000</v>
      </c>
      <c r="H529" s="204">
        <f t="shared" si="13"/>
        <v>9</v>
      </c>
    </row>
    <row r="530" spans="1:8" x14ac:dyDescent="0.35">
      <c r="A530" s="244">
        <v>8200</v>
      </c>
      <c r="B530" s="245" t="s">
        <v>441</v>
      </c>
      <c r="C530" s="245" t="s">
        <v>442</v>
      </c>
      <c r="D530" s="245" t="s">
        <v>293</v>
      </c>
      <c r="E530" s="245" t="s">
        <v>165</v>
      </c>
      <c r="F530" s="245" t="s">
        <v>132</v>
      </c>
      <c r="G530" s="249">
        <v>18000</v>
      </c>
      <c r="H530" s="204">
        <f t="shared" si="13"/>
        <v>10</v>
      </c>
    </row>
    <row r="531" spans="1:8" x14ac:dyDescent="0.35">
      <c r="A531" s="244">
        <v>8200</v>
      </c>
      <c r="B531" s="245" t="s">
        <v>441</v>
      </c>
      <c r="C531" s="245" t="s">
        <v>442</v>
      </c>
      <c r="D531" s="245" t="s">
        <v>294</v>
      </c>
      <c r="E531" s="245" t="s">
        <v>165</v>
      </c>
      <c r="F531" s="245" t="s">
        <v>132</v>
      </c>
      <c r="G531" s="249">
        <v>18000</v>
      </c>
      <c r="H531" s="204">
        <f t="shared" si="13"/>
        <v>11</v>
      </c>
    </row>
    <row r="532" spans="1:8" x14ac:dyDescent="0.35">
      <c r="A532" s="244">
        <v>8200</v>
      </c>
      <c r="B532" s="245" t="s">
        <v>441</v>
      </c>
      <c r="C532" s="245" t="s">
        <v>442</v>
      </c>
      <c r="D532" s="245" t="s">
        <v>295</v>
      </c>
      <c r="E532" s="245" t="s">
        <v>165</v>
      </c>
      <c r="F532" s="245" t="s">
        <v>132</v>
      </c>
      <c r="G532" s="249">
        <v>18000</v>
      </c>
      <c r="H532" s="204">
        <f t="shared" si="13"/>
        <v>12</v>
      </c>
    </row>
    <row r="533" spans="1:8" x14ac:dyDescent="0.35">
      <c r="A533" s="244">
        <v>8200</v>
      </c>
      <c r="B533" s="245" t="s">
        <v>443</v>
      </c>
      <c r="C533" s="245" t="s">
        <v>444</v>
      </c>
      <c r="D533" s="245" t="s">
        <v>284</v>
      </c>
      <c r="E533" s="245" t="s">
        <v>165</v>
      </c>
      <c r="F533" s="245" t="s">
        <v>132</v>
      </c>
      <c r="G533" s="249">
        <v>18750</v>
      </c>
      <c r="H533" s="204">
        <f t="shared" si="13"/>
        <v>1</v>
      </c>
    </row>
    <row r="534" spans="1:8" x14ac:dyDescent="0.35">
      <c r="A534" s="244">
        <v>8200</v>
      </c>
      <c r="B534" s="245" t="s">
        <v>443</v>
      </c>
      <c r="C534" s="245" t="s">
        <v>444</v>
      </c>
      <c r="D534" s="245" t="s">
        <v>285</v>
      </c>
      <c r="E534" s="245" t="s">
        <v>165</v>
      </c>
      <c r="F534" s="245" t="s">
        <v>132</v>
      </c>
      <c r="G534" s="250">
        <v>18750</v>
      </c>
      <c r="H534" s="204">
        <f t="shared" si="13"/>
        <v>2</v>
      </c>
    </row>
    <row r="535" spans="1:8" x14ac:dyDescent="0.35">
      <c r="A535" s="244">
        <v>8200</v>
      </c>
      <c r="B535" s="245" t="s">
        <v>443</v>
      </c>
      <c r="C535" s="245" t="s">
        <v>444</v>
      </c>
      <c r="D535" s="245" t="s">
        <v>286</v>
      </c>
      <c r="E535" s="245" t="s">
        <v>165</v>
      </c>
      <c r="F535" s="245" t="s">
        <v>132</v>
      </c>
      <c r="G535" s="250">
        <v>18750</v>
      </c>
      <c r="H535" s="204">
        <f t="shared" si="13"/>
        <v>3</v>
      </c>
    </row>
    <row r="536" spans="1:8" x14ac:dyDescent="0.35">
      <c r="A536" s="244">
        <v>8200</v>
      </c>
      <c r="B536" s="245" t="s">
        <v>443</v>
      </c>
      <c r="C536" s="245" t="s">
        <v>444</v>
      </c>
      <c r="D536" s="245" t="s">
        <v>287</v>
      </c>
      <c r="E536" s="245" t="s">
        <v>165</v>
      </c>
      <c r="F536" s="245" t="s">
        <v>132</v>
      </c>
      <c r="G536" s="250">
        <v>18750</v>
      </c>
      <c r="H536" s="204">
        <f t="shared" si="13"/>
        <v>4</v>
      </c>
    </row>
    <row r="537" spans="1:8" x14ac:dyDescent="0.35">
      <c r="A537" s="244">
        <v>8200</v>
      </c>
      <c r="B537" s="245" t="s">
        <v>443</v>
      </c>
      <c r="C537" s="245" t="s">
        <v>444</v>
      </c>
      <c r="D537" s="245" t="s">
        <v>288</v>
      </c>
      <c r="E537" s="245" t="s">
        <v>165</v>
      </c>
      <c r="F537" s="245" t="s">
        <v>132</v>
      </c>
      <c r="G537" s="250">
        <v>18750</v>
      </c>
      <c r="H537" s="204">
        <f t="shared" si="13"/>
        <v>5</v>
      </c>
    </row>
    <row r="538" spans="1:8" x14ac:dyDescent="0.35">
      <c r="A538" s="244">
        <v>8200</v>
      </c>
      <c r="B538" s="245" t="s">
        <v>443</v>
      </c>
      <c r="C538" s="245" t="s">
        <v>444</v>
      </c>
      <c r="D538" s="245" t="s">
        <v>289</v>
      </c>
      <c r="E538" s="245" t="s">
        <v>165</v>
      </c>
      <c r="F538" s="245" t="s">
        <v>132</v>
      </c>
      <c r="G538" s="250">
        <v>18750</v>
      </c>
      <c r="H538" s="204">
        <f t="shared" si="13"/>
        <v>6</v>
      </c>
    </row>
    <row r="539" spans="1:8" x14ac:dyDescent="0.35">
      <c r="A539" s="244">
        <v>8200</v>
      </c>
      <c r="B539" s="245" t="s">
        <v>443</v>
      </c>
      <c r="C539" s="245" t="s">
        <v>444</v>
      </c>
      <c r="D539" s="245" t="s">
        <v>290</v>
      </c>
      <c r="E539" s="245" t="s">
        <v>165</v>
      </c>
      <c r="F539" s="245" t="s">
        <v>132</v>
      </c>
      <c r="G539" s="250">
        <v>18750</v>
      </c>
      <c r="H539" s="204">
        <f t="shared" si="13"/>
        <v>7</v>
      </c>
    </row>
    <row r="540" spans="1:8" x14ac:dyDescent="0.35">
      <c r="A540" s="244">
        <v>8200</v>
      </c>
      <c r="B540" s="245" t="s">
        <v>443</v>
      </c>
      <c r="C540" s="245" t="s">
        <v>444</v>
      </c>
      <c r="D540" s="245" t="s">
        <v>291</v>
      </c>
      <c r="E540" s="245" t="s">
        <v>165</v>
      </c>
      <c r="F540" s="245" t="s">
        <v>132</v>
      </c>
      <c r="G540" s="250">
        <v>18750</v>
      </c>
      <c r="H540" s="204">
        <f t="shared" si="13"/>
        <v>8</v>
      </c>
    </row>
    <row r="541" spans="1:8" x14ac:dyDescent="0.35">
      <c r="A541" s="244">
        <v>8200</v>
      </c>
      <c r="B541" s="245" t="s">
        <v>443</v>
      </c>
      <c r="C541" s="245" t="s">
        <v>444</v>
      </c>
      <c r="D541" s="245" t="s">
        <v>292</v>
      </c>
      <c r="E541" s="245" t="s">
        <v>165</v>
      </c>
      <c r="F541" s="245" t="s">
        <v>132</v>
      </c>
      <c r="G541" s="250">
        <v>18750</v>
      </c>
      <c r="H541" s="204">
        <f t="shared" si="13"/>
        <v>9</v>
      </c>
    </row>
    <row r="542" spans="1:8" x14ac:dyDescent="0.35">
      <c r="A542" s="244">
        <v>8200</v>
      </c>
      <c r="B542" s="245" t="s">
        <v>443</v>
      </c>
      <c r="C542" s="245" t="s">
        <v>444</v>
      </c>
      <c r="D542" s="245" t="s">
        <v>293</v>
      </c>
      <c r="E542" s="245" t="s">
        <v>165</v>
      </c>
      <c r="F542" s="245" t="s">
        <v>132</v>
      </c>
      <c r="G542" s="250">
        <v>18750</v>
      </c>
      <c r="H542" s="204">
        <f t="shared" ref="H542:H613" si="16">IF(D542="",0,MONTH(D542))</f>
        <v>10</v>
      </c>
    </row>
    <row r="543" spans="1:8" x14ac:dyDescent="0.35">
      <c r="A543" s="244">
        <v>8200</v>
      </c>
      <c r="B543" s="245" t="s">
        <v>443</v>
      </c>
      <c r="C543" s="245" t="s">
        <v>444</v>
      </c>
      <c r="D543" s="245" t="s">
        <v>294</v>
      </c>
      <c r="E543" s="245" t="s">
        <v>165</v>
      </c>
      <c r="F543" s="245" t="s">
        <v>132</v>
      </c>
      <c r="G543" s="250">
        <v>18750</v>
      </c>
      <c r="H543" s="204">
        <f t="shared" si="16"/>
        <v>11</v>
      </c>
    </row>
    <row r="544" spans="1:8" x14ac:dyDescent="0.35">
      <c r="A544" s="244">
        <v>8200</v>
      </c>
      <c r="B544" s="245" t="s">
        <v>443</v>
      </c>
      <c r="C544" s="245" t="s">
        <v>444</v>
      </c>
      <c r="D544" s="245" t="s">
        <v>295</v>
      </c>
      <c r="E544" s="245" t="s">
        <v>165</v>
      </c>
      <c r="F544" s="245" t="s">
        <v>132</v>
      </c>
      <c r="G544" s="250">
        <v>18750</v>
      </c>
      <c r="H544" s="204">
        <f t="shared" si="16"/>
        <v>12</v>
      </c>
    </row>
    <row r="545" spans="1:8" x14ac:dyDescent="0.35">
      <c r="A545" s="244">
        <v>9510</v>
      </c>
      <c r="B545" s="245" t="s">
        <v>445</v>
      </c>
      <c r="C545" s="245" t="s">
        <v>446</v>
      </c>
      <c r="D545" s="245" t="s">
        <v>284</v>
      </c>
      <c r="E545" s="245" t="s">
        <v>165</v>
      </c>
      <c r="F545" s="245" t="s">
        <v>132</v>
      </c>
      <c r="G545" s="250">
        <v>7916.67</v>
      </c>
      <c r="H545" s="204">
        <f t="shared" si="16"/>
        <v>1</v>
      </c>
    </row>
    <row r="546" spans="1:8" x14ac:dyDescent="0.35">
      <c r="A546" s="244">
        <v>9510</v>
      </c>
      <c r="B546" s="245" t="s">
        <v>445</v>
      </c>
      <c r="C546" s="245" t="s">
        <v>446</v>
      </c>
      <c r="D546" s="245" t="s">
        <v>285</v>
      </c>
      <c r="E546" s="245" t="s">
        <v>165</v>
      </c>
      <c r="F546" s="245" t="s">
        <v>132</v>
      </c>
      <c r="G546" s="250">
        <v>7916.67</v>
      </c>
      <c r="H546" s="204">
        <f t="shared" si="16"/>
        <v>2</v>
      </c>
    </row>
    <row r="547" spans="1:8" x14ac:dyDescent="0.35">
      <c r="A547" s="244">
        <v>9510</v>
      </c>
      <c r="B547" s="245" t="s">
        <v>445</v>
      </c>
      <c r="C547" s="245" t="s">
        <v>446</v>
      </c>
      <c r="D547" s="245" t="s">
        <v>286</v>
      </c>
      <c r="E547" s="245" t="s">
        <v>165</v>
      </c>
      <c r="F547" s="245" t="s">
        <v>132</v>
      </c>
      <c r="G547" s="250">
        <v>7916.67</v>
      </c>
      <c r="H547" s="204">
        <f t="shared" si="16"/>
        <v>3</v>
      </c>
    </row>
    <row r="548" spans="1:8" x14ac:dyDescent="0.35">
      <c r="A548" s="244">
        <v>9510</v>
      </c>
      <c r="B548" s="245" t="s">
        <v>445</v>
      </c>
      <c r="C548" s="245" t="s">
        <v>446</v>
      </c>
      <c r="D548" s="245" t="s">
        <v>287</v>
      </c>
      <c r="E548" s="245" t="s">
        <v>165</v>
      </c>
      <c r="F548" s="245" t="s">
        <v>132</v>
      </c>
      <c r="G548" s="250">
        <v>7916.67</v>
      </c>
      <c r="H548" s="204">
        <f t="shared" si="16"/>
        <v>4</v>
      </c>
    </row>
    <row r="549" spans="1:8" x14ac:dyDescent="0.35">
      <c r="A549" s="244">
        <v>9510</v>
      </c>
      <c r="B549" s="245" t="s">
        <v>445</v>
      </c>
      <c r="C549" s="245" t="s">
        <v>446</v>
      </c>
      <c r="D549" s="245" t="s">
        <v>288</v>
      </c>
      <c r="E549" s="245" t="s">
        <v>165</v>
      </c>
      <c r="F549" s="245" t="s">
        <v>132</v>
      </c>
      <c r="G549" s="250">
        <v>7916.67</v>
      </c>
      <c r="H549" s="204">
        <f t="shared" si="16"/>
        <v>5</v>
      </c>
    </row>
    <row r="550" spans="1:8" x14ac:dyDescent="0.35">
      <c r="A550" s="244">
        <v>9510</v>
      </c>
      <c r="B550" s="245" t="s">
        <v>445</v>
      </c>
      <c r="C550" s="245" t="s">
        <v>446</v>
      </c>
      <c r="D550" s="245" t="s">
        <v>289</v>
      </c>
      <c r="E550" s="245" t="s">
        <v>165</v>
      </c>
      <c r="F550" s="245" t="s">
        <v>132</v>
      </c>
      <c r="G550" s="250">
        <v>7916.67</v>
      </c>
      <c r="H550" s="204">
        <f t="shared" si="16"/>
        <v>6</v>
      </c>
    </row>
    <row r="551" spans="1:8" x14ac:dyDescent="0.35">
      <c r="A551" s="244">
        <v>9510</v>
      </c>
      <c r="B551" s="245" t="s">
        <v>445</v>
      </c>
      <c r="C551" s="245" t="s">
        <v>446</v>
      </c>
      <c r="D551" s="245" t="s">
        <v>290</v>
      </c>
      <c r="E551" s="245" t="s">
        <v>165</v>
      </c>
      <c r="F551" s="245" t="s">
        <v>132</v>
      </c>
      <c r="G551" s="250">
        <v>7916.67</v>
      </c>
      <c r="H551" s="204">
        <f t="shared" si="16"/>
        <v>7</v>
      </c>
    </row>
    <row r="552" spans="1:8" s="82" customFormat="1" x14ac:dyDescent="0.35">
      <c r="A552" s="244">
        <v>9510</v>
      </c>
      <c r="B552" s="245" t="s">
        <v>445</v>
      </c>
      <c r="C552" s="245" t="s">
        <v>446</v>
      </c>
      <c r="D552" s="245" t="s">
        <v>291</v>
      </c>
      <c r="E552" s="245" t="s">
        <v>165</v>
      </c>
      <c r="F552" s="245" t="s">
        <v>132</v>
      </c>
      <c r="G552" s="250">
        <v>7916.67</v>
      </c>
      <c r="H552" s="204">
        <f t="shared" ref="H552:H570" si="17">IF(D552="",0,MONTH(D552))</f>
        <v>8</v>
      </c>
    </row>
    <row r="553" spans="1:8" s="82" customFormat="1" x14ac:dyDescent="0.35">
      <c r="A553" s="244">
        <v>9510</v>
      </c>
      <c r="B553" s="245" t="s">
        <v>445</v>
      </c>
      <c r="C553" s="245" t="s">
        <v>446</v>
      </c>
      <c r="D553" s="245" t="s">
        <v>292</v>
      </c>
      <c r="E553" s="245" t="s">
        <v>165</v>
      </c>
      <c r="F553" s="245" t="s">
        <v>132</v>
      </c>
      <c r="G553" s="250">
        <v>7916.67</v>
      </c>
      <c r="H553" s="204">
        <f t="shared" si="17"/>
        <v>9</v>
      </c>
    </row>
    <row r="554" spans="1:8" s="82" customFormat="1" x14ac:dyDescent="0.35">
      <c r="A554" s="244">
        <v>9510</v>
      </c>
      <c r="B554" s="245" t="s">
        <v>445</v>
      </c>
      <c r="C554" s="245" t="s">
        <v>446</v>
      </c>
      <c r="D554" s="245" t="s">
        <v>293</v>
      </c>
      <c r="E554" s="245" t="s">
        <v>165</v>
      </c>
      <c r="F554" s="245" t="s">
        <v>132</v>
      </c>
      <c r="G554" s="250">
        <v>7916.67</v>
      </c>
      <c r="H554" s="204">
        <f t="shared" si="17"/>
        <v>10</v>
      </c>
    </row>
    <row r="555" spans="1:8" s="82" customFormat="1" x14ac:dyDescent="0.35">
      <c r="A555" s="244">
        <v>9510</v>
      </c>
      <c r="B555" s="245" t="s">
        <v>445</v>
      </c>
      <c r="C555" s="245" t="s">
        <v>446</v>
      </c>
      <c r="D555" s="245" t="s">
        <v>294</v>
      </c>
      <c r="E555" s="245" t="s">
        <v>165</v>
      </c>
      <c r="F555" s="245" t="s">
        <v>132</v>
      </c>
      <c r="G555" s="250">
        <v>7916.67</v>
      </c>
      <c r="H555" s="204">
        <f t="shared" si="17"/>
        <v>11</v>
      </c>
    </row>
    <row r="556" spans="1:8" s="82" customFormat="1" x14ac:dyDescent="0.35">
      <c r="A556" s="244">
        <v>9510</v>
      </c>
      <c r="B556" s="245" t="s">
        <v>445</v>
      </c>
      <c r="C556" s="245" t="s">
        <v>446</v>
      </c>
      <c r="D556" s="245" t="s">
        <v>295</v>
      </c>
      <c r="E556" s="245" t="s">
        <v>165</v>
      </c>
      <c r="F556" s="245" t="s">
        <v>132</v>
      </c>
      <c r="G556" s="250">
        <v>7916.67</v>
      </c>
      <c r="H556" s="204">
        <f t="shared" si="17"/>
        <v>12</v>
      </c>
    </row>
    <row r="557" spans="1:8" s="82" customFormat="1" x14ac:dyDescent="0.35">
      <c r="A557" s="244" t="s">
        <v>529</v>
      </c>
      <c r="B557" s="245" t="s">
        <v>447</v>
      </c>
      <c r="C557" s="245" t="s">
        <v>340</v>
      </c>
      <c r="D557" s="245" t="s">
        <v>284</v>
      </c>
      <c r="E557" s="245" t="s">
        <v>165</v>
      </c>
      <c r="F557" s="245" t="s">
        <v>132</v>
      </c>
      <c r="G557" s="250">
        <v>2604.4</v>
      </c>
      <c r="H557" s="204">
        <f t="shared" si="17"/>
        <v>1</v>
      </c>
    </row>
    <row r="558" spans="1:8" s="82" customFormat="1" x14ac:dyDescent="0.35">
      <c r="A558" s="244" t="s">
        <v>529</v>
      </c>
      <c r="B558" s="245" t="s">
        <v>447</v>
      </c>
      <c r="C558" s="245" t="s">
        <v>340</v>
      </c>
      <c r="D558" s="245" t="s">
        <v>285</v>
      </c>
      <c r="E558" s="245" t="s">
        <v>165</v>
      </c>
      <c r="F558" s="245" t="s">
        <v>132</v>
      </c>
      <c r="G558" s="250">
        <v>2604.4</v>
      </c>
      <c r="H558" s="204">
        <f t="shared" si="17"/>
        <v>2</v>
      </c>
    </row>
    <row r="559" spans="1:8" s="82" customFormat="1" x14ac:dyDescent="0.35">
      <c r="A559" s="244" t="s">
        <v>529</v>
      </c>
      <c r="B559" s="245" t="s">
        <v>447</v>
      </c>
      <c r="C559" s="245" t="s">
        <v>340</v>
      </c>
      <c r="D559" s="245" t="s">
        <v>286</v>
      </c>
      <c r="E559" s="245" t="s">
        <v>165</v>
      </c>
      <c r="F559" s="245" t="s">
        <v>132</v>
      </c>
      <c r="G559" s="250">
        <v>2604.4</v>
      </c>
      <c r="H559" s="204">
        <f t="shared" si="17"/>
        <v>3</v>
      </c>
    </row>
    <row r="560" spans="1:8" s="82" customFormat="1" x14ac:dyDescent="0.35">
      <c r="A560" s="244" t="s">
        <v>529</v>
      </c>
      <c r="B560" s="245" t="s">
        <v>447</v>
      </c>
      <c r="C560" s="245" t="s">
        <v>340</v>
      </c>
      <c r="D560" s="245" t="s">
        <v>287</v>
      </c>
      <c r="E560" s="245" t="s">
        <v>165</v>
      </c>
      <c r="F560" s="245" t="s">
        <v>132</v>
      </c>
      <c r="G560" s="250">
        <v>2604.4</v>
      </c>
      <c r="H560" s="204">
        <f t="shared" si="17"/>
        <v>4</v>
      </c>
    </row>
    <row r="561" spans="1:8" s="82" customFormat="1" x14ac:dyDescent="0.35">
      <c r="A561" s="244" t="s">
        <v>529</v>
      </c>
      <c r="B561" s="245" t="s">
        <v>447</v>
      </c>
      <c r="C561" s="245" t="s">
        <v>340</v>
      </c>
      <c r="D561" s="245" t="s">
        <v>288</v>
      </c>
      <c r="E561" s="245" t="s">
        <v>165</v>
      </c>
      <c r="F561" s="245" t="s">
        <v>132</v>
      </c>
      <c r="G561" s="250">
        <v>2604.4</v>
      </c>
      <c r="H561" s="204">
        <f t="shared" si="17"/>
        <v>5</v>
      </c>
    </row>
    <row r="562" spans="1:8" s="82" customFormat="1" x14ac:dyDescent="0.35">
      <c r="A562" s="244" t="s">
        <v>529</v>
      </c>
      <c r="B562" s="245" t="s">
        <v>447</v>
      </c>
      <c r="C562" s="245" t="s">
        <v>340</v>
      </c>
      <c r="D562" s="245" t="s">
        <v>289</v>
      </c>
      <c r="E562" s="245" t="s">
        <v>165</v>
      </c>
      <c r="F562" s="245" t="s">
        <v>132</v>
      </c>
      <c r="G562" s="250">
        <v>2604.4</v>
      </c>
      <c r="H562" s="204">
        <f t="shared" si="17"/>
        <v>6</v>
      </c>
    </row>
    <row r="563" spans="1:8" s="82" customFormat="1" x14ac:dyDescent="0.35">
      <c r="A563" s="244" t="s">
        <v>529</v>
      </c>
      <c r="B563" s="245" t="s">
        <v>447</v>
      </c>
      <c r="C563" s="245" t="s">
        <v>340</v>
      </c>
      <c r="D563" s="245" t="s">
        <v>290</v>
      </c>
      <c r="E563" s="245" t="s">
        <v>165</v>
      </c>
      <c r="F563" s="245" t="s">
        <v>132</v>
      </c>
      <c r="G563" s="250">
        <v>2604.4</v>
      </c>
      <c r="H563" s="204">
        <f t="shared" si="17"/>
        <v>7</v>
      </c>
    </row>
    <row r="564" spans="1:8" s="82" customFormat="1" x14ac:dyDescent="0.35">
      <c r="A564" s="244" t="s">
        <v>529</v>
      </c>
      <c r="B564" s="245" t="s">
        <v>447</v>
      </c>
      <c r="C564" s="245" t="s">
        <v>340</v>
      </c>
      <c r="D564" s="245" t="s">
        <v>291</v>
      </c>
      <c r="E564" s="245" t="s">
        <v>165</v>
      </c>
      <c r="F564" s="245" t="s">
        <v>132</v>
      </c>
      <c r="G564" s="250">
        <v>2604.4</v>
      </c>
      <c r="H564" s="204">
        <f t="shared" si="17"/>
        <v>8</v>
      </c>
    </row>
    <row r="565" spans="1:8" s="82" customFormat="1" x14ac:dyDescent="0.35">
      <c r="A565" s="244" t="s">
        <v>529</v>
      </c>
      <c r="B565" s="245" t="s">
        <v>447</v>
      </c>
      <c r="C565" s="245" t="s">
        <v>340</v>
      </c>
      <c r="D565" s="245" t="s">
        <v>292</v>
      </c>
      <c r="E565" s="245" t="s">
        <v>165</v>
      </c>
      <c r="F565" s="245" t="s">
        <v>132</v>
      </c>
      <c r="G565" s="250">
        <v>2604.4</v>
      </c>
      <c r="H565" s="204">
        <f t="shared" si="17"/>
        <v>9</v>
      </c>
    </row>
    <row r="566" spans="1:8" s="82" customFormat="1" x14ac:dyDescent="0.35">
      <c r="A566" s="244" t="s">
        <v>529</v>
      </c>
      <c r="B566" s="245" t="s">
        <v>447</v>
      </c>
      <c r="C566" s="245" t="s">
        <v>340</v>
      </c>
      <c r="D566" s="245" t="s">
        <v>293</v>
      </c>
      <c r="E566" s="245" t="s">
        <v>165</v>
      </c>
      <c r="F566" s="245" t="s">
        <v>132</v>
      </c>
      <c r="G566" s="250">
        <v>2604.4</v>
      </c>
      <c r="H566" s="204">
        <f t="shared" si="17"/>
        <v>10</v>
      </c>
    </row>
    <row r="567" spans="1:8" s="82" customFormat="1" x14ac:dyDescent="0.35">
      <c r="A567" s="244" t="s">
        <v>529</v>
      </c>
      <c r="B567" s="245" t="s">
        <v>447</v>
      </c>
      <c r="C567" s="245" t="s">
        <v>340</v>
      </c>
      <c r="D567" s="245" t="s">
        <v>294</v>
      </c>
      <c r="E567" s="245" t="s">
        <v>165</v>
      </c>
      <c r="F567" s="245" t="s">
        <v>132</v>
      </c>
      <c r="G567" s="250">
        <v>2604.4</v>
      </c>
      <c r="H567" s="204">
        <f t="shared" si="17"/>
        <v>11</v>
      </c>
    </row>
    <row r="568" spans="1:8" s="82" customFormat="1" x14ac:dyDescent="0.35">
      <c r="A568" s="244" t="s">
        <v>529</v>
      </c>
      <c r="B568" s="245" t="s">
        <v>447</v>
      </c>
      <c r="C568" s="245" t="s">
        <v>340</v>
      </c>
      <c r="D568" s="245" t="s">
        <v>295</v>
      </c>
      <c r="E568" s="245" t="s">
        <v>165</v>
      </c>
      <c r="F568" s="245" t="s">
        <v>132</v>
      </c>
      <c r="G568" s="250">
        <v>2604.4</v>
      </c>
      <c r="H568" s="204">
        <f t="shared" si="17"/>
        <v>12</v>
      </c>
    </row>
    <row r="569" spans="1:8" s="82" customFormat="1" x14ac:dyDescent="0.35">
      <c r="A569" s="244">
        <v>9510</v>
      </c>
      <c r="B569" s="245" t="s">
        <v>448</v>
      </c>
      <c r="C569" s="245" t="s">
        <v>449</v>
      </c>
      <c r="D569" s="245" t="s">
        <v>284</v>
      </c>
      <c r="E569" s="245" t="s">
        <v>165</v>
      </c>
      <c r="F569" s="245" t="s">
        <v>132</v>
      </c>
      <c r="G569" s="250">
        <v>2393</v>
      </c>
      <c r="H569" s="204">
        <f t="shared" si="17"/>
        <v>1</v>
      </c>
    </row>
    <row r="570" spans="1:8" s="82" customFormat="1" x14ac:dyDescent="0.35">
      <c r="A570" s="244">
        <v>9510</v>
      </c>
      <c r="B570" s="245" t="s">
        <v>448</v>
      </c>
      <c r="C570" s="245" t="s">
        <v>449</v>
      </c>
      <c r="D570" s="245" t="s">
        <v>285</v>
      </c>
      <c r="E570" s="245" t="s">
        <v>165</v>
      </c>
      <c r="F570" s="245" t="s">
        <v>132</v>
      </c>
      <c r="G570" s="250">
        <v>2393</v>
      </c>
      <c r="H570" s="204">
        <f t="shared" si="17"/>
        <v>2</v>
      </c>
    </row>
    <row r="571" spans="1:8" x14ac:dyDescent="0.35">
      <c r="A571" s="244">
        <v>9510</v>
      </c>
      <c r="B571" s="245" t="s">
        <v>448</v>
      </c>
      <c r="C571" s="245" t="s">
        <v>449</v>
      </c>
      <c r="D571" s="245" t="s">
        <v>286</v>
      </c>
      <c r="E571" s="245" t="s">
        <v>165</v>
      </c>
      <c r="F571" s="245" t="s">
        <v>132</v>
      </c>
      <c r="G571" s="250">
        <v>2393</v>
      </c>
      <c r="H571" s="204">
        <f t="shared" si="16"/>
        <v>3</v>
      </c>
    </row>
    <row r="572" spans="1:8" x14ac:dyDescent="0.35">
      <c r="A572" s="244">
        <v>9510</v>
      </c>
      <c r="B572" s="245" t="s">
        <v>448</v>
      </c>
      <c r="C572" s="245" t="s">
        <v>449</v>
      </c>
      <c r="D572" s="245" t="s">
        <v>287</v>
      </c>
      <c r="E572" s="245" t="s">
        <v>165</v>
      </c>
      <c r="F572" s="245" t="s">
        <v>132</v>
      </c>
      <c r="G572" s="250">
        <v>2393</v>
      </c>
      <c r="H572" s="204">
        <f t="shared" si="16"/>
        <v>4</v>
      </c>
    </row>
    <row r="573" spans="1:8" x14ac:dyDescent="0.35">
      <c r="A573" s="244">
        <v>9510</v>
      </c>
      <c r="B573" s="245" t="s">
        <v>448</v>
      </c>
      <c r="C573" s="245" t="s">
        <v>449</v>
      </c>
      <c r="D573" s="245" t="s">
        <v>288</v>
      </c>
      <c r="E573" s="245" t="s">
        <v>165</v>
      </c>
      <c r="F573" s="245" t="s">
        <v>132</v>
      </c>
      <c r="G573" s="250">
        <v>2393</v>
      </c>
      <c r="H573" s="204">
        <f t="shared" si="16"/>
        <v>5</v>
      </c>
    </row>
    <row r="574" spans="1:8" x14ac:dyDescent="0.35">
      <c r="A574" s="244">
        <v>9510</v>
      </c>
      <c r="B574" s="245" t="s">
        <v>448</v>
      </c>
      <c r="C574" s="245" t="s">
        <v>449</v>
      </c>
      <c r="D574" s="245" t="s">
        <v>289</v>
      </c>
      <c r="E574" s="245" t="s">
        <v>165</v>
      </c>
      <c r="F574" s="245" t="s">
        <v>132</v>
      </c>
      <c r="G574" s="250">
        <v>2393</v>
      </c>
      <c r="H574" s="204">
        <f t="shared" si="16"/>
        <v>6</v>
      </c>
    </row>
    <row r="575" spans="1:8" x14ac:dyDescent="0.35">
      <c r="A575" s="244">
        <v>9510</v>
      </c>
      <c r="B575" s="245" t="s">
        <v>448</v>
      </c>
      <c r="C575" s="245" t="s">
        <v>449</v>
      </c>
      <c r="D575" s="245" t="s">
        <v>290</v>
      </c>
      <c r="E575" s="245" t="s">
        <v>165</v>
      </c>
      <c r="F575" s="245" t="s">
        <v>132</v>
      </c>
      <c r="G575" s="250">
        <v>2393</v>
      </c>
      <c r="H575" s="204">
        <f t="shared" si="16"/>
        <v>7</v>
      </c>
    </row>
    <row r="576" spans="1:8" x14ac:dyDescent="0.35">
      <c r="A576" s="244">
        <v>9510</v>
      </c>
      <c r="B576" s="245" t="s">
        <v>448</v>
      </c>
      <c r="C576" s="245" t="s">
        <v>449</v>
      </c>
      <c r="D576" s="245" t="s">
        <v>291</v>
      </c>
      <c r="E576" s="245" t="s">
        <v>165</v>
      </c>
      <c r="F576" s="245" t="s">
        <v>132</v>
      </c>
      <c r="G576" s="250">
        <v>2393</v>
      </c>
      <c r="H576" s="204">
        <f t="shared" si="16"/>
        <v>8</v>
      </c>
    </row>
    <row r="577" spans="1:8" x14ac:dyDescent="0.35">
      <c r="A577" s="244">
        <v>9510</v>
      </c>
      <c r="B577" s="245" t="s">
        <v>448</v>
      </c>
      <c r="C577" s="245" t="s">
        <v>449</v>
      </c>
      <c r="D577" s="245" t="s">
        <v>292</v>
      </c>
      <c r="E577" s="245" t="s">
        <v>165</v>
      </c>
      <c r="F577" s="245" t="s">
        <v>132</v>
      </c>
      <c r="G577" s="250">
        <v>2464.79</v>
      </c>
      <c r="H577" s="204">
        <f t="shared" si="16"/>
        <v>9</v>
      </c>
    </row>
    <row r="578" spans="1:8" x14ac:dyDescent="0.35">
      <c r="A578" s="244">
        <v>9510</v>
      </c>
      <c r="B578" s="245" t="s">
        <v>448</v>
      </c>
      <c r="C578" s="245" t="s">
        <v>449</v>
      </c>
      <c r="D578" s="245" t="s">
        <v>293</v>
      </c>
      <c r="E578" s="245" t="s">
        <v>165</v>
      </c>
      <c r="F578" s="245" t="s">
        <v>132</v>
      </c>
      <c r="G578" s="250">
        <v>2464.79</v>
      </c>
      <c r="H578" s="204">
        <f t="shared" si="16"/>
        <v>10</v>
      </c>
    </row>
    <row r="579" spans="1:8" x14ac:dyDescent="0.35">
      <c r="A579" s="244">
        <v>9510</v>
      </c>
      <c r="B579" s="245" t="s">
        <v>448</v>
      </c>
      <c r="C579" s="245" t="s">
        <v>449</v>
      </c>
      <c r="D579" s="245" t="s">
        <v>294</v>
      </c>
      <c r="E579" s="245" t="s">
        <v>165</v>
      </c>
      <c r="F579" s="245" t="s">
        <v>132</v>
      </c>
      <c r="G579" s="250">
        <v>2464.79</v>
      </c>
      <c r="H579" s="204">
        <f t="shared" si="16"/>
        <v>11</v>
      </c>
    </row>
    <row r="580" spans="1:8" x14ac:dyDescent="0.35">
      <c r="A580" s="244">
        <v>9510</v>
      </c>
      <c r="B580" s="245" t="s">
        <v>448</v>
      </c>
      <c r="C580" s="245" t="s">
        <v>449</v>
      </c>
      <c r="D580" s="245" t="s">
        <v>295</v>
      </c>
      <c r="E580" s="245" t="s">
        <v>165</v>
      </c>
      <c r="F580" s="245" t="s">
        <v>132</v>
      </c>
      <c r="G580" s="250">
        <v>2464.79</v>
      </c>
      <c r="H580" s="204">
        <f t="shared" si="16"/>
        <v>12</v>
      </c>
    </row>
    <row r="581" spans="1:8" x14ac:dyDescent="0.35">
      <c r="A581" s="244">
        <v>9510</v>
      </c>
      <c r="B581" s="245" t="s">
        <v>450</v>
      </c>
      <c r="C581" s="245" t="s">
        <v>341</v>
      </c>
      <c r="D581" s="245" t="s">
        <v>284</v>
      </c>
      <c r="E581" s="245" t="s">
        <v>165</v>
      </c>
      <c r="F581" s="245" t="s">
        <v>132</v>
      </c>
      <c r="G581" s="250">
        <v>2607.4499999999998</v>
      </c>
      <c r="H581" s="204">
        <f t="shared" si="16"/>
        <v>1</v>
      </c>
    </row>
    <row r="582" spans="1:8" x14ac:dyDescent="0.35">
      <c r="A582" s="244">
        <v>9510</v>
      </c>
      <c r="B582" s="245" t="s">
        <v>450</v>
      </c>
      <c r="C582" s="245" t="s">
        <v>341</v>
      </c>
      <c r="D582" s="245" t="s">
        <v>285</v>
      </c>
      <c r="E582" s="245" t="s">
        <v>165</v>
      </c>
      <c r="F582" s="245" t="s">
        <v>132</v>
      </c>
      <c r="G582" s="250">
        <v>2607.4499999999998</v>
      </c>
      <c r="H582" s="204">
        <f t="shared" si="16"/>
        <v>2</v>
      </c>
    </row>
    <row r="583" spans="1:8" s="82" customFormat="1" x14ac:dyDescent="0.35">
      <c r="A583" s="244">
        <v>9510</v>
      </c>
      <c r="B583" s="245" t="s">
        <v>450</v>
      </c>
      <c r="C583" s="245" t="s">
        <v>341</v>
      </c>
      <c r="D583" s="245" t="s">
        <v>286</v>
      </c>
      <c r="E583" s="245" t="s">
        <v>165</v>
      </c>
      <c r="F583" s="245" t="s">
        <v>132</v>
      </c>
      <c r="G583" s="250">
        <v>2607.4499999999998</v>
      </c>
      <c r="H583" s="204">
        <f t="shared" ref="H583:H601" si="18">IF(D583="",0,MONTH(D583))</f>
        <v>3</v>
      </c>
    </row>
    <row r="584" spans="1:8" s="82" customFormat="1" x14ac:dyDescent="0.35">
      <c r="A584" s="244">
        <v>9510</v>
      </c>
      <c r="B584" s="245" t="s">
        <v>450</v>
      </c>
      <c r="C584" s="245" t="s">
        <v>341</v>
      </c>
      <c r="D584" s="245" t="s">
        <v>287</v>
      </c>
      <c r="E584" s="245" t="s">
        <v>165</v>
      </c>
      <c r="F584" s="245" t="s">
        <v>132</v>
      </c>
      <c r="G584" s="250">
        <v>2607.4499999999998</v>
      </c>
      <c r="H584" s="204">
        <f t="shared" si="18"/>
        <v>4</v>
      </c>
    </row>
    <row r="585" spans="1:8" s="82" customFormat="1" x14ac:dyDescent="0.35">
      <c r="A585" s="244">
        <v>9510</v>
      </c>
      <c r="B585" s="245" t="s">
        <v>450</v>
      </c>
      <c r="C585" s="245" t="s">
        <v>341</v>
      </c>
      <c r="D585" s="245" t="s">
        <v>288</v>
      </c>
      <c r="E585" s="245" t="s">
        <v>165</v>
      </c>
      <c r="F585" s="245" t="s">
        <v>132</v>
      </c>
      <c r="G585" s="250">
        <v>2607.4499999999998</v>
      </c>
      <c r="H585" s="204">
        <f t="shared" si="18"/>
        <v>5</v>
      </c>
    </row>
    <row r="586" spans="1:8" s="82" customFormat="1" x14ac:dyDescent="0.35">
      <c r="A586" s="244">
        <v>9510</v>
      </c>
      <c r="B586" s="245" t="s">
        <v>450</v>
      </c>
      <c r="C586" s="245" t="s">
        <v>341</v>
      </c>
      <c r="D586" s="245" t="s">
        <v>289</v>
      </c>
      <c r="E586" s="245" t="s">
        <v>165</v>
      </c>
      <c r="F586" s="245" t="s">
        <v>132</v>
      </c>
      <c r="G586" s="250">
        <v>2607.4499999999998</v>
      </c>
      <c r="H586" s="204">
        <f t="shared" si="18"/>
        <v>6</v>
      </c>
    </row>
    <row r="587" spans="1:8" s="82" customFormat="1" x14ac:dyDescent="0.35">
      <c r="A587" s="244">
        <v>9510</v>
      </c>
      <c r="B587" s="245" t="s">
        <v>450</v>
      </c>
      <c r="C587" s="245" t="s">
        <v>341</v>
      </c>
      <c r="D587" s="245" t="s">
        <v>290</v>
      </c>
      <c r="E587" s="245" t="s">
        <v>165</v>
      </c>
      <c r="F587" s="245" t="s">
        <v>132</v>
      </c>
      <c r="G587" s="250">
        <v>2607.4499999999998</v>
      </c>
      <c r="H587" s="204">
        <f t="shared" si="18"/>
        <v>7</v>
      </c>
    </row>
    <row r="588" spans="1:8" s="82" customFormat="1" x14ac:dyDescent="0.35">
      <c r="A588" s="244">
        <v>9510</v>
      </c>
      <c r="B588" s="245" t="s">
        <v>451</v>
      </c>
      <c r="C588" s="245" t="s">
        <v>452</v>
      </c>
      <c r="D588" s="245" t="s">
        <v>284</v>
      </c>
      <c r="E588" s="245" t="s">
        <v>165</v>
      </c>
      <c r="F588" s="245" t="s">
        <v>132</v>
      </c>
      <c r="G588" s="250">
        <v>2378.6</v>
      </c>
      <c r="H588" s="204">
        <f t="shared" si="18"/>
        <v>1</v>
      </c>
    </row>
    <row r="589" spans="1:8" s="82" customFormat="1" x14ac:dyDescent="0.35">
      <c r="A589" s="244">
        <v>9510</v>
      </c>
      <c r="B589" s="245" t="s">
        <v>451</v>
      </c>
      <c r="C589" s="245" t="s">
        <v>452</v>
      </c>
      <c r="D589" s="245" t="s">
        <v>285</v>
      </c>
      <c r="E589" s="245" t="s">
        <v>165</v>
      </c>
      <c r="F589" s="245" t="s">
        <v>132</v>
      </c>
      <c r="G589" s="250">
        <v>2378.6</v>
      </c>
      <c r="H589" s="204">
        <f t="shared" si="18"/>
        <v>2</v>
      </c>
    </row>
    <row r="590" spans="1:8" s="82" customFormat="1" x14ac:dyDescent="0.35">
      <c r="A590" s="244">
        <v>9510</v>
      </c>
      <c r="B590" s="245" t="s">
        <v>451</v>
      </c>
      <c r="C590" s="245" t="s">
        <v>452</v>
      </c>
      <c r="D590" s="245" t="s">
        <v>286</v>
      </c>
      <c r="E590" s="245" t="s">
        <v>165</v>
      </c>
      <c r="F590" s="245" t="s">
        <v>132</v>
      </c>
      <c r="G590" s="250">
        <v>2378.6</v>
      </c>
      <c r="H590" s="204">
        <f t="shared" si="18"/>
        <v>3</v>
      </c>
    </row>
    <row r="591" spans="1:8" s="82" customFormat="1" x14ac:dyDescent="0.35">
      <c r="A591" s="244">
        <v>9510</v>
      </c>
      <c r="B591" s="245" t="s">
        <v>451</v>
      </c>
      <c r="C591" s="245" t="s">
        <v>452</v>
      </c>
      <c r="D591" s="245" t="s">
        <v>287</v>
      </c>
      <c r="E591" s="245" t="s">
        <v>165</v>
      </c>
      <c r="F591" s="245" t="s">
        <v>132</v>
      </c>
      <c r="G591" s="250">
        <v>2378.6</v>
      </c>
      <c r="H591" s="204">
        <f t="shared" si="18"/>
        <v>4</v>
      </c>
    </row>
    <row r="592" spans="1:8" s="82" customFormat="1" x14ac:dyDescent="0.35">
      <c r="A592" s="244">
        <v>9510</v>
      </c>
      <c r="B592" s="245" t="s">
        <v>451</v>
      </c>
      <c r="C592" s="245" t="s">
        <v>452</v>
      </c>
      <c r="D592" s="245" t="s">
        <v>288</v>
      </c>
      <c r="E592" s="245" t="s">
        <v>165</v>
      </c>
      <c r="F592" s="245" t="s">
        <v>132</v>
      </c>
      <c r="G592" s="250">
        <v>2378.6</v>
      </c>
      <c r="H592" s="204">
        <f t="shared" si="18"/>
        <v>5</v>
      </c>
    </row>
    <row r="593" spans="1:8" s="82" customFormat="1" x14ac:dyDescent="0.35">
      <c r="A593" s="244">
        <v>9510</v>
      </c>
      <c r="B593" s="245" t="s">
        <v>451</v>
      </c>
      <c r="C593" s="245" t="s">
        <v>452</v>
      </c>
      <c r="D593" s="245" t="s">
        <v>289</v>
      </c>
      <c r="E593" s="245" t="s">
        <v>165</v>
      </c>
      <c r="F593" s="245" t="s">
        <v>132</v>
      </c>
      <c r="G593" s="250">
        <v>2378.6</v>
      </c>
      <c r="H593" s="204">
        <f t="shared" si="18"/>
        <v>6</v>
      </c>
    </row>
    <row r="594" spans="1:8" s="82" customFormat="1" x14ac:dyDescent="0.35">
      <c r="A594" s="244">
        <v>9510</v>
      </c>
      <c r="B594" s="245" t="s">
        <v>451</v>
      </c>
      <c r="C594" s="245" t="s">
        <v>452</v>
      </c>
      <c r="D594" s="245" t="s">
        <v>290</v>
      </c>
      <c r="E594" s="245" t="s">
        <v>165</v>
      </c>
      <c r="F594" s="245" t="s">
        <v>132</v>
      </c>
      <c r="G594" s="250">
        <v>2378.6</v>
      </c>
      <c r="H594" s="204">
        <f t="shared" si="18"/>
        <v>7</v>
      </c>
    </row>
    <row r="595" spans="1:8" s="82" customFormat="1" x14ac:dyDescent="0.35">
      <c r="A595" s="244">
        <v>9510</v>
      </c>
      <c r="B595" s="245" t="s">
        <v>453</v>
      </c>
      <c r="C595" s="245" t="s">
        <v>454</v>
      </c>
      <c r="D595" s="245" t="s">
        <v>284</v>
      </c>
      <c r="E595" s="245" t="s">
        <v>165</v>
      </c>
      <c r="F595" s="245" t="s">
        <v>132</v>
      </c>
      <c r="G595" s="250">
        <v>3560.87</v>
      </c>
      <c r="H595" s="204">
        <f t="shared" si="18"/>
        <v>1</v>
      </c>
    </row>
    <row r="596" spans="1:8" s="82" customFormat="1" x14ac:dyDescent="0.35">
      <c r="A596" s="244">
        <v>9510</v>
      </c>
      <c r="B596" s="245" t="s">
        <v>453</v>
      </c>
      <c r="C596" s="245" t="s">
        <v>454</v>
      </c>
      <c r="D596" s="245" t="s">
        <v>285</v>
      </c>
      <c r="E596" s="245" t="s">
        <v>165</v>
      </c>
      <c r="F596" s="245" t="s">
        <v>132</v>
      </c>
      <c r="G596" s="250">
        <v>3560.87</v>
      </c>
      <c r="H596" s="204">
        <f t="shared" si="18"/>
        <v>2</v>
      </c>
    </row>
    <row r="597" spans="1:8" s="82" customFormat="1" x14ac:dyDescent="0.35">
      <c r="A597" s="244">
        <v>9510</v>
      </c>
      <c r="B597" s="245" t="s">
        <v>453</v>
      </c>
      <c r="C597" s="245" t="s">
        <v>454</v>
      </c>
      <c r="D597" s="245" t="s">
        <v>286</v>
      </c>
      <c r="E597" s="245" t="s">
        <v>165</v>
      </c>
      <c r="F597" s="245" t="s">
        <v>132</v>
      </c>
      <c r="G597" s="250">
        <v>3560.87</v>
      </c>
      <c r="H597" s="204">
        <f t="shared" si="18"/>
        <v>3</v>
      </c>
    </row>
    <row r="598" spans="1:8" s="82" customFormat="1" x14ac:dyDescent="0.35">
      <c r="A598" s="244">
        <v>9510</v>
      </c>
      <c r="B598" s="245" t="s">
        <v>453</v>
      </c>
      <c r="C598" s="245" t="s">
        <v>454</v>
      </c>
      <c r="D598" s="245" t="s">
        <v>287</v>
      </c>
      <c r="E598" s="245" t="s">
        <v>165</v>
      </c>
      <c r="F598" s="245" t="s">
        <v>132</v>
      </c>
      <c r="G598" s="250">
        <v>3560.87</v>
      </c>
      <c r="H598" s="204">
        <f t="shared" si="18"/>
        <v>4</v>
      </c>
    </row>
    <row r="599" spans="1:8" s="82" customFormat="1" x14ac:dyDescent="0.35">
      <c r="A599" s="244">
        <v>9510</v>
      </c>
      <c r="B599" s="245" t="s">
        <v>453</v>
      </c>
      <c r="C599" s="245" t="s">
        <v>454</v>
      </c>
      <c r="D599" s="245" t="s">
        <v>288</v>
      </c>
      <c r="E599" s="245" t="s">
        <v>165</v>
      </c>
      <c r="F599" s="245" t="s">
        <v>132</v>
      </c>
      <c r="G599" s="250">
        <v>3667.7</v>
      </c>
      <c r="H599" s="204">
        <f t="shared" si="18"/>
        <v>5</v>
      </c>
    </row>
    <row r="600" spans="1:8" s="82" customFormat="1" x14ac:dyDescent="0.35">
      <c r="A600" s="244">
        <v>9510</v>
      </c>
      <c r="B600" s="245" t="s">
        <v>453</v>
      </c>
      <c r="C600" s="245" t="s">
        <v>454</v>
      </c>
      <c r="D600" s="245" t="s">
        <v>289</v>
      </c>
      <c r="E600" s="245" t="s">
        <v>165</v>
      </c>
      <c r="F600" s="245" t="s">
        <v>132</v>
      </c>
      <c r="G600" s="250">
        <v>3667.7</v>
      </c>
      <c r="H600" s="204">
        <f t="shared" si="18"/>
        <v>6</v>
      </c>
    </row>
    <row r="601" spans="1:8" s="82" customFormat="1" x14ac:dyDescent="0.35">
      <c r="A601" s="244">
        <v>9510</v>
      </c>
      <c r="B601" s="245" t="s">
        <v>453</v>
      </c>
      <c r="C601" s="245" t="s">
        <v>454</v>
      </c>
      <c r="D601" s="245" t="s">
        <v>290</v>
      </c>
      <c r="E601" s="245" t="s">
        <v>165</v>
      </c>
      <c r="F601" s="245" t="s">
        <v>132</v>
      </c>
      <c r="G601" s="250">
        <v>3667.7</v>
      </c>
      <c r="H601" s="204">
        <f t="shared" si="18"/>
        <v>7</v>
      </c>
    </row>
    <row r="602" spans="1:8" x14ac:dyDescent="0.35">
      <c r="A602" s="244">
        <v>9510</v>
      </c>
      <c r="B602" s="245" t="s">
        <v>453</v>
      </c>
      <c r="C602" s="245" t="s">
        <v>454</v>
      </c>
      <c r="D602" s="245" t="s">
        <v>291</v>
      </c>
      <c r="E602" s="245" t="s">
        <v>165</v>
      </c>
      <c r="F602" s="245" t="s">
        <v>132</v>
      </c>
      <c r="G602" s="250">
        <v>3667.7</v>
      </c>
      <c r="H602" s="204">
        <f t="shared" si="16"/>
        <v>8</v>
      </c>
    </row>
    <row r="603" spans="1:8" x14ac:dyDescent="0.35">
      <c r="A603" s="244">
        <v>9510</v>
      </c>
      <c r="B603" s="245" t="s">
        <v>453</v>
      </c>
      <c r="C603" s="245" t="s">
        <v>454</v>
      </c>
      <c r="D603" s="245" t="s">
        <v>292</v>
      </c>
      <c r="E603" s="245" t="s">
        <v>165</v>
      </c>
      <c r="F603" s="245" t="s">
        <v>132</v>
      </c>
      <c r="G603" s="250">
        <v>3667.7</v>
      </c>
      <c r="H603" s="204">
        <f t="shared" si="16"/>
        <v>9</v>
      </c>
    </row>
    <row r="604" spans="1:8" x14ac:dyDescent="0.35">
      <c r="A604" s="244">
        <v>9510</v>
      </c>
      <c r="B604" s="245" t="s">
        <v>453</v>
      </c>
      <c r="C604" s="245" t="s">
        <v>454</v>
      </c>
      <c r="D604" s="245" t="s">
        <v>293</v>
      </c>
      <c r="E604" s="245" t="s">
        <v>165</v>
      </c>
      <c r="F604" s="245" t="s">
        <v>132</v>
      </c>
      <c r="G604" s="250">
        <v>3667.7</v>
      </c>
      <c r="H604" s="204">
        <f t="shared" si="16"/>
        <v>10</v>
      </c>
    </row>
    <row r="605" spans="1:8" x14ac:dyDescent="0.35">
      <c r="A605" s="244">
        <v>9510</v>
      </c>
      <c r="B605" s="245" t="s">
        <v>453</v>
      </c>
      <c r="C605" s="245" t="s">
        <v>454</v>
      </c>
      <c r="D605" s="245" t="s">
        <v>294</v>
      </c>
      <c r="E605" s="245" t="s">
        <v>165</v>
      </c>
      <c r="F605" s="245" t="s">
        <v>132</v>
      </c>
      <c r="G605" s="250">
        <v>3667.7</v>
      </c>
      <c r="H605" s="204">
        <f t="shared" si="16"/>
        <v>11</v>
      </c>
    </row>
    <row r="606" spans="1:8" x14ac:dyDescent="0.35">
      <c r="A606" s="244">
        <v>9510</v>
      </c>
      <c r="B606" s="245" t="s">
        <v>453</v>
      </c>
      <c r="C606" s="245" t="s">
        <v>454</v>
      </c>
      <c r="D606" s="245" t="s">
        <v>295</v>
      </c>
      <c r="E606" s="245" t="s">
        <v>165</v>
      </c>
      <c r="F606" s="245" t="s">
        <v>132</v>
      </c>
      <c r="G606" s="250">
        <v>3667.7</v>
      </c>
      <c r="H606" s="204">
        <f t="shared" si="16"/>
        <v>12</v>
      </c>
    </row>
    <row r="607" spans="1:8" x14ac:dyDescent="0.35">
      <c r="A607" s="244">
        <v>9510</v>
      </c>
      <c r="B607" s="245" t="s">
        <v>455</v>
      </c>
      <c r="C607" s="245" t="s">
        <v>342</v>
      </c>
      <c r="D607" s="245" t="s">
        <v>284</v>
      </c>
      <c r="E607" s="245" t="s">
        <v>165</v>
      </c>
      <c r="F607" s="245" t="s">
        <v>132</v>
      </c>
      <c r="G607" s="250">
        <v>2122.54</v>
      </c>
      <c r="H607" s="204">
        <f t="shared" si="16"/>
        <v>1</v>
      </c>
    </row>
    <row r="608" spans="1:8" x14ac:dyDescent="0.35">
      <c r="A608" s="244">
        <v>9510</v>
      </c>
      <c r="B608" s="245" t="s">
        <v>455</v>
      </c>
      <c r="C608" s="245" t="s">
        <v>342</v>
      </c>
      <c r="D608" s="245" t="s">
        <v>285</v>
      </c>
      <c r="E608" s="245" t="s">
        <v>165</v>
      </c>
      <c r="F608" s="245" t="s">
        <v>132</v>
      </c>
      <c r="G608" s="250">
        <v>2122.54</v>
      </c>
      <c r="H608" s="204">
        <f t="shared" si="16"/>
        <v>2</v>
      </c>
    </row>
    <row r="609" spans="1:8" x14ac:dyDescent="0.35">
      <c r="A609" s="244">
        <v>9510</v>
      </c>
      <c r="B609" s="245" t="s">
        <v>455</v>
      </c>
      <c r="C609" s="245" t="s">
        <v>342</v>
      </c>
      <c r="D609" s="245" t="s">
        <v>286</v>
      </c>
      <c r="E609" s="245" t="s">
        <v>165</v>
      </c>
      <c r="F609" s="245" t="s">
        <v>132</v>
      </c>
      <c r="G609" s="250">
        <v>2122.54</v>
      </c>
      <c r="H609" s="204">
        <f t="shared" si="16"/>
        <v>3</v>
      </c>
    </row>
    <row r="610" spans="1:8" x14ac:dyDescent="0.35">
      <c r="A610" s="244">
        <v>9510</v>
      </c>
      <c r="B610" s="245" t="s">
        <v>455</v>
      </c>
      <c r="C610" s="245" t="s">
        <v>342</v>
      </c>
      <c r="D610" s="245" t="s">
        <v>287</v>
      </c>
      <c r="E610" s="245" t="s">
        <v>165</v>
      </c>
      <c r="F610" s="245" t="s">
        <v>132</v>
      </c>
      <c r="G610" s="250">
        <v>2122.54</v>
      </c>
      <c r="H610" s="204">
        <f t="shared" si="16"/>
        <v>4</v>
      </c>
    </row>
    <row r="611" spans="1:8" x14ac:dyDescent="0.35">
      <c r="A611" s="244">
        <v>9510</v>
      </c>
      <c r="B611" s="245" t="s">
        <v>455</v>
      </c>
      <c r="C611" s="245" t="s">
        <v>342</v>
      </c>
      <c r="D611" s="245" t="s">
        <v>288</v>
      </c>
      <c r="E611" s="245" t="s">
        <v>165</v>
      </c>
      <c r="F611" s="245" t="s">
        <v>132</v>
      </c>
      <c r="G611" s="250">
        <v>2122.54</v>
      </c>
      <c r="H611" s="204">
        <f t="shared" si="16"/>
        <v>5</v>
      </c>
    </row>
    <row r="612" spans="1:8" x14ac:dyDescent="0.35">
      <c r="A612" s="244">
        <v>9510</v>
      </c>
      <c r="B612" s="245" t="s">
        <v>455</v>
      </c>
      <c r="C612" s="245" t="s">
        <v>342</v>
      </c>
      <c r="D612" s="245" t="s">
        <v>289</v>
      </c>
      <c r="E612" s="245" t="s">
        <v>165</v>
      </c>
      <c r="F612" s="245" t="s">
        <v>132</v>
      </c>
      <c r="G612" s="250">
        <v>2122.54</v>
      </c>
      <c r="H612" s="204">
        <f t="shared" si="16"/>
        <v>6</v>
      </c>
    </row>
    <row r="613" spans="1:8" x14ac:dyDescent="0.35">
      <c r="A613" s="244">
        <v>9510</v>
      </c>
      <c r="B613" s="245" t="s">
        <v>455</v>
      </c>
      <c r="C613" s="245" t="s">
        <v>342</v>
      </c>
      <c r="D613" s="245" t="s">
        <v>290</v>
      </c>
      <c r="E613" s="245" t="s">
        <v>165</v>
      </c>
      <c r="F613" s="245" t="s">
        <v>132</v>
      </c>
      <c r="G613" s="250">
        <v>2122.54</v>
      </c>
      <c r="H613" s="204">
        <f t="shared" si="16"/>
        <v>7</v>
      </c>
    </row>
    <row r="614" spans="1:8" x14ac:dyDescent="0.35">
      <c r="A614" s="242">
        <v>9510</v>
      </c>
      <c r="B614" s="206" t="s">
        <v>455</v>
      </c>
      <c r="C614" s="206" t="s">
        <v>342</v>
      </c>
      <c r="D614" s="246" t="s">
        <v>291</v>
      </c>
      <c r="E614" s="206" t="s">
        <v>165</v>
      </c>
      <c r="F614" s="206" t="s">
        <v>132</v>
      </c>
      <c r="G614" s="207">
        <v>2122.54</v>
      </c>
      <c r="H614" s="204">
        <f t="shared" ref="H614:H630" si="19">IF(D614="",0,MONTH(D614))</f>
        <v>8</v>
      </c>
    </row>
    <row r="615" spans="1:8" x14ac:dyDescent="0.35">
      <c r="A615" s="242">
        <v>9510</v>
      </c>
      <c r="B615" s="206" t="s">
        <v>455</v>
      </c>
      <c r="C615" s="206" t="s">
        <v>342</v>
      </c>
      <c r="D615" s="246" t="s">
        <v>292</v>
      </c>
      <c r="E615" s="206" t="s">
        <v>165</v>
      </c>
      <c r="F615" s="206" t="s">
        <v>132</v>
      </c>
      <c r="G615" s="207">
        <v>2122.54</v>
      </c>
      <c r="H615" s="204">
        <f t="shared" si="19"/>
        <v>9</v>
      </c>
    </row>
    <row r="616" spans="1:8" x14ac:dyDescent="0.35">
      <c r="A616" s="242" t="s">
        <v>529</v>
      </c>
      <c r="B616" s="206" t="s">
        <v>455</v>
      </c>
      <c r="C616" s="206" t="s">
        <v>342</v>
      </c>
      <c r="D616" s="246" t="s">
        <v>293</v>
      </c>
      <c r="E616" s="206" t="s">
        <v>165</v>
      </c>
      <c r="F616" s="206" t="s">
        <v>132</v>
      </c>
      <c r="G616" s="207">
        <v>2186.2199999999998</v>
      </c>
      <c r="H616" s="204">
        <f t="shared" si="19"/>
        <v>10</v>
      </c>
    </row>
    <row r="617" spans="1:8" x14ac:dyDescent="0.35">
      <c r="A617" s="242" t="s">
        <v>529</v>
      </c>
      <c r="B617" s="206" t="s">
        <v>455</v>
      </c>
      <c r="C617" s="206" t="s">
        <v>342</v>
      </c>
      <c r="D617" s="246" t="s">
        <v>294</v>
      </c>
      <c r="E617" s="206" t="s">
        <v>165</v>
      </c>
      <c r="F617" s="206" t="s">
        <v>132</v>
      </c>
      <c r="G617" s="207">
        <v>2186.2199999999998</v>
      </c>
      <c r="H617" s="204">
        <f t="shared" si="19"/>
        <v>11</v>
      </c>
    </row>
    <row r="618" spans="1:8" x14ac:dyDescent="0.35">
      <c r="A618" s="242" t="s">
        <v>529</v>
      </c>
      <c r="B618" s="206" t="s">
        <v>455</v>
      </c>
      <c r="C618" s="206" t="s">
        <v>342</v>
      </c>
      <c r="D618" s="246" t="s">
        <v>295</v>
      </c>
      <c r="E618" s="206" t="s">
        <v>165</v>
      </c>
      <c r="F618" s="206" t="s">
        <v>132</v>
      </c>
      <c r="G618" s="207">
        <v>2186.2199999999998</v>
      </c>
      <c r="H618" s="204">
        <f t="shared" si="19"/>
        <v>12</v>
      </c>
    </row>
    <row r="619" spans="1:8" x14ac:dyDescent="0.35">
      <c r="A619" s="242">
        <v>9510</v>
      </c>
      <c r="B619" s="206" t="s">
        <v>456</v>
      </c>
      <c r="C619" s="206" t="s">
        <v>457</v>
      </c>
      <c r="D619" s="246" t="s">
        <v>284</v>
      </c>
      <c r="E619" s="206" t="s">
        <v>165</v>
      </c>
      <c r="F619" s="206" t="s">
        <v>132</v>
      </c>
      <c r="G619" s="207">
        <v>1674</v>
      </c>
      <c r="H619" s="204">
        <f t="shared" si="19"/>
        <v>1</v>
      </c>
    </row>
    <row r="620" spans="1:8" x14ac:dyDescent="0.35">
      <c r="A620" s="242">
        <v>9510</v>
      </c>
      <c r="B620" s="206" t="s">
        <v>456</v>
      </c>
      <c r="C620" s="206" t="s">
        <v>457</v>
      </c>
      <c r="D620" s="246" t="s">
        <v>285</v>
      </c>
      <c r="E620" s="206" t="s">
        <v>165</v>
      </c>
      <c r="F620" s="206" t="s">
        <v>132</v>
      </c>
      <c r="G620" s="207">
        <v>1674</v>
      </c>
      <c r="H620" s="204">
        <f t="shared" si="19"/>
        <v>2</v>
      </c>
    </row>
    <row r="621" spans="1:8" x14ac:dyDescent="0.35">
      <c r="A621" s="242">
        <v>9510</v>
      </c>
      <c r="B621" s="206" t="s">
        <v>456</v>
      </c>
      <c r="C621" s="206" t="s">
        <v>457</v>
      </c>
      <c r="D621" s="246" t="s">
        <v>286</v>
      </c>
      <c r="E621" s="206" t="s">
        <v>165</v>
      </c>
      <c r="F621" s="206" t="s">
        <v>132</v>
      </c>
      <c r="G621" s="207">
        <v>1674</v>
      </c>
      <c r="H621" s="204">
        <f t="shared" si="19"/>
        <v>3</v>
      </c>
    </row>
    <row r="622" spans="1:8" x14ac:dyDescent="0.35">
      <c r="A622" s="242">
        <v>9510</v>
      </c>
      <c r="B622" s="206" t="s">
        <v>456</v>
      </c>
      <c r="C622" s="206" t="s">
        <v>457</v>
      </c>
      <c r="D622" s="246" t="s">
        <v>287</v>
      </c>
      <c r="E622" s="206" t="s">
        <v>165</v>
      </c>
      <c r="F622" s="206" t="s">
        <v>132</v>
      </c>
      <c r="G622" s="207">
        <v>1674</v>
      </c>
      <c r="H622" s="204">
        <f t="shared" si="19"/>
        <v>4</v>
      </c>
    </row>
    <row r="623" spans="1:8" x14ac:dyDescent="0.35">
      <c r="A623" s="242">
        <v>9510</v>
      </c>
      <c r="B623" s="206" t="s">
        <v>456</v>
      </c>
      <c r="C623" s="206" t="s">
        <v>457</v>
      </c>
      <c r="D623" s="246" t="s">
        <v>288</v>
      </c>
      <c r="E623" s="206" t="s">
        <v>165</v>
      </c>
      <c r="F623" s="206" t="s">
        <v>132</v>
      </c>
      <c r="G623" s="207">
        <v>1674</v>
      </c>
      <c r="H623" s="204">
        <f t="shared" si="19"/>
        <v>5</v>
      </c>
    </row>
    <row r="624" spans="1:8" x14ac:dyDescent="0.35">
      <c r="A624" s="242">
        <v>9510</v>
      </c>
      <c r="B624" s="206" t="s">
        <v>456</v>
      </c>
      <c r="C624" s="206" t="s">
        <v>457</v>
      </c>
      <c r="D624" s="246" t="s">
        <v>289</v>
      </c>
      <c r="E624" s="206" t="s">
        <v>165</v>
      </c>
      <c r="F624" s="206" t="s">
        <v>132</v>
      </c>
      <c r="G624" s="207">
        <v>1734.75</v>
      </c>
      <c r="H624" s="204">
        <f t="shared" si="19"/>
        <v>6</v>
      </c>
    </row>
    <row r="625" spans="1:8" x14ac:dyDescent="0.35">
      <c r="A625" s="243">
        <v>9510</v>
      </c>
      <c r="B625" s="98" t="s">
        <v>456</v>
      </c>
      <c r="C625" s="98" t="s">
        <v>457</v>
      </c>
      <c r="D625" s="247" t="s">
        <v>290</v>
      </c>
      <c r="E625" s="98" t="s">
        <v>165</v>
      </c>
      <c r="F625" s="98" t="s">
        <v>132</v>
      </c>
      <c r="G625" s="99">
        <v>1734.75</v>
      </c>
      <c r="H625" s="204">
        <f t="shared" si="19"/>
        <v>7</v>
      </c>
    </row>
    <row r="626" spans="1:8" x14ac:dyDescent="0.35">
      <c r="A626" s="243">
        <v>9510</v>
      </c>
      <c r="B626" s="98" t="s">
        <v>456</v>
      </c>
      <c r="C626" s="98" t="s">
        <v>457</v>
      </c>
      <c r="D626" s="247" t="s">
        <v>291</v>
      </c>
      <c r="E626" s="98" t="s">
        <v>165</v>
      </c>
      <c r="F626" s="98" t="s">
        <v>132</v>
      </c>
      <c r="G626" s="99">
        <v>1734.75</v>
      </c>
      <c r="H626" s="204">
        <f t="shared" si="19"/>
        <v>8</v>
      </c>
    </row>
    <row r="627" spans="1:8" x14ac:dyDescent="0.35">
      <c r="A627" s="243">
        <v>9510</v>
      </c>
      <c r="B627" s="98" t="s">
        <v>456</v>
      </c>
      <c r="C627" s="98" t="s">
        <v>457</v>
      </c>
      <c r="D627" s="247" t="s">
        <v>292</v>
      </c>
      <c r="E627" s="98" t="s">
        <v>165</v>
      </c>
      <c r="F627" s="98" t="s">
        <v>132</v>
      </c>
      <c r="G627" s="99">
        <v>1734.75</v>
      </c>
      <c r="H627" s="204">
        <f t="shared" si="19"/>
        <v>9</v>
      </c>
    </row>
    <row r="628" spans="1:8" x14ac:dyDescent="0.35">
      <c r="A628" s="243">
        <v>9510</v>
      </c>
      <c r="B628" s="98" t="s">
        <v>456</v>
      </c>
      <c r="C628" s="98" t="s">
        <v>457</v>
      </c>
      <c r="D628" s="247" t="s">
        <v>293</v>
      </c>
      <c r="E628" s="98" t="s">
        <v>165</v>
      </c>
      <c r="F628" s="98" t="s">
        <v>132</v>
      </c>
      <c r="G628" s="99">
        <v>1734.75</v>
      </c>
      <c r="H628" s="204">
        <f t="shared" si="19"/>
        <v>10</v>
      </c>
    </row>
    <row r="629" spans="1:8" x14ac:dyDescent="0.35">
      <c r="A629" s="243">
        <v>9510</v>
      </c>
      <c r="B629" s="98" t="s">
        <v>456</v>
      </c>
      <c r="C629" s="98" t="s">
        <v>457</v>
      </c>
      <c r="D629" s="247" t="s">
        <v>294</v>
      </c>
      <c r="E629" s="98" t="s">
        <v>165</v>
      </c>
      <c r="F629" s="98" t="s">
        <v>132</v>
      </c>
      <c r="G629" s="99">
        <v>1734.75</v>
      </c>
      <c r="H629" s="204">
        <f t="shared" si="19"/>
        <v>11</v>
      </c>
    </row>
    <row r="630" spans="1:8" x14ac:dyDescent="0.35">
      <c r="A630" s="243">
        <v>9510</v>
      </c>
      <c r="B630" s="98" t="s">
        <v>456</v>
      </c>
      <c r="C630" s="98" t="s">
        <v>457</v>
      </c>
      <c r="D630" s="247" t="s">
        <v>295</v>
      </c>
      <c r="E630" s="98" t="s">
        <v>165</v>
      </c>
      <c r="F630" s="98" t="s">
        <v>132</v>
      </c>
      <c r="G630" s="99">
        <v>1734.75</v>
      </c>
      <c r="H630" s="204">
        <f t="shared" si="19"/>
        <v>12</v>
      </c>
    </row>
    <row r="631" spans="1:8" x14ac:dyDescent="0.35">
      <c r="A631" s="98"/>
      <c r="B631" s="98"/>
      <c r="C631" s="98"/>
      <c r="D631" s="247"/>
      <c r="E631" s="98"/>
      <c r="F631" s="98"/>
      <c r="G631" s="99"/>
    </row>
    <row r="632" spans="1:8" x14ac:dyDescent="0.35">
      <c r="A632" s="98"/>
      <c r="B632" s="98"/>
      <c r="C632" s="98"/>
      <c r="D632" s="247"/>
      <c r="E632" s="98"/>
      <c r="F632" s="98"/>
      <c r="G632" s="99"/>
    </row>
    <row r="633" spans="1:8" x14ac:dyDescent="0.35">
      <c r="A633" s="98"/>
      <c r="B633" s="98"/>
      <c r="C633" s="98"/>
      <c r="D633" s="247"/>
      <c r="E633" s="98"/>
      <c r="F633" s="98"/>
      <c r="G633" s="99"/>
    </row>
    <row r="634" spans="1:8" x14ac:dyDescent="0.35">
      <c r="A634" s="98"/>
      <c r="B634" s="98"/>
      <c r="C634" s="98"/>
      <c r="D634" s="247"/>
      <c r="E634" s="98"/>
      <c r="F634" s="98"/>
      <c r="G634" s="99"/>
    </row>
    <row r="635" spans="1:8" x14ac:dyDescent="0.35">
      <c r="A635" s="98"/>
      <c r="B635" s="98"/>
      <c r="C635" s="98"/>
      <c r="D635" s="247"/>
      <c r="E635" s="98"/>
      <c r="F635" s="98"/>
      <c r="G635" s="99"/>
    </row>
    <row r="636" spans="1:8" x14ac:dyDescent="0.35">
      <c r="A636" s="98"/>
      <c r="B636" s="98"/>
      <c r="C636" s="98"/>
      <c r="D636" s="247"/>
      <c r="E636" s="98"/>
      <c r="F636" s="98"/>
      <c r="G636" s="99"/>
    </row>
    <row r="637" spans="1:8" x14ac:dyDescent="0.35">
      <c r="A637" s="98"/>
      <c r="B637" s="98"/>
      <c r="C637" s="98"/>
      <c r="D637" s="247"/>
      <c r="E637" s="98"/>
      <c r="F637" s="98"/>
      <c r="G637" s="99"/>
    </row>
    <row r="638" spans="1:8" x14ac:dyDescent="0.35">
      <c r="A638" s="98"/>
      <c r="B638" s="98"/>
      <c r="C638" s="98"/>
      <c r="D638" s="247"/>
      <c r="E638" s="98"/>
      <c r="F638" s="98"/>
      <c r="G638" s="99"/>
    </row>
    <row r="639" spans="1:8" x14ac:dyDescent="0.35">
      <c r="A639" s="98"/>
      <c r="B639" s="98"/>
      <c r="C639" s="98"/>
      <c r="D639" s="247"/>
      <c r="E639" s="98"/>
      <c r="F639" s="98"/>
      <c r="G639" s="99"/>
    </row>
    <row r="640" spans="1:8" x14ac:dyDescent="0.35">
      <c r="A640" s="98"/>
      <c r="B640" s="98"/>
      <c r="C640" s="98"/>
      <c r="D640" s="247"/>
      <c r="E640" s="98"/>
      <c r="F640" s="98"/>
      <c r="G640" s="99"/>
    </row>
    <row r="641" spans="1:7" x14ac:dyDescent="0.35">
      <c r="A641" s="98"/>
      <c r="B641" s="98"/>
      <c r="C641" s="98"/>
      <c r="D641" s="247"/>
      <c r="E641" s="98"/>
      <c r="F641" s="98"/>
      <c r="G641" s="99"/>
    </row>
    <row r="642" spans="1:7" x14ac:dyDescent="0.35">
      <c r="A642" s="98"/>
      <c r="B642" s="98"/>
      <c r="C642" s="98"/>
      <c r="D642" s="247"/>
      <c r="E642" s="98"/>
      <c r="F642" s="98"/>
      <c r="G642" s="99"/>
    </row>
    <row r="643" spans="1:7" x14ac:dyDescent="0.35">
      <c r="A643" s="98"/>
      <c r="B643" s="98"/>
      <c r="C643" s="98"/>
      <c r="D643" s="247"/>
      <c r="E643" s="98"/>
      <c r="F643" s="98"/>
      <c r="G643" s="99"/>
    </row>
    <row r="644" spans="1:7" x14ac:dyDescent="0.35">
      <c r="A644" s="98"/>
      <c r="B644" s="98"/>
      <c r="C644" s="98"/>
      <c r="D644" s="247"/>
      <c r="E644" s="98"/>
      <c r="F644" s="98"/>
      <c r="G644" s="99"/>
    </row>
    <row r="645" spans="1:7" x14ac:dyDescent="0.35">
      <c r="A645" s="98"/>
      <c r="B645" s="98"/>
      <c r="C645" s="98"/>
      <c r="D645" s="247"/>
      <c r="E645" s="98"/>
      <c r="F645" s="98"/>
      <c r="G645" s="99"/>
    </row>
    <row r="646" spans="1:7" x14ac:dyDescent="0.35">
      <c r="A646" s="98"/>
      <c r="B646" s="98"/>
      <c r="C646" s="98"/>
      <c r="D646" s="247"/>
      <c r="E646" s="98"/>
      <c r="F646" s="98"/>
      <c r="G646" s="99"/>
    </row>
    <row r="647" spans="1:7" x14ac:dyDescent="0.35">
      <c r="A647" s="98"/>
      <c r="B647" s="98"/>
      <c r="C647" s="98"/>
      <c r="D647" s="247"/>
      <c r="E647" s="98"/>
      <c r="F647" s="98"/>
      <c r="G647" s="99"/>
    </row>
    <row r="648" spans="1:7" x14ac:dyDescent="0.35">
      <c r="A648" s="98"/>
      <c r="B648" s="98"/>
      <c r="C648" s="98"/>
      <c r="D648" s="247"/>
      <c r="E648" s="98"/>
      <c r="F648" s="98"/>
      <c r="G648" s="99"/>
    </row>
    <row r="649" spans="1:7" x14ac:dyDescent="0.35">
      <c r="A649" s="98"/>
      <c r="B649" s="98"/>
      <c r="C649" s="98"/>
      <c r="D649" s="247"/>
      <c r="E649" s="98"/>
      <c r="F649" s="98"/>
      <c r="G649" s="99"/>
    </row>
    <row r="650" spans="1:7" x14ac:dyDescent="0.35">
      <c r="A650" s="98"/>
      <c r="B650" s="98"/>
      <c r="C650" s="98"/>
      <c r="D650" s="247"/>
      <c r="E650" s="98"/>
      <c r="F650" s="98"/>
      <c r="G650" s="99"/>
    </row>
    <row r="651" spans="1:7" x14ac:dyDescent="0.35">
      <c r="A651" s="98"/>
      <c r="B651" s="98"/>
      <c r="C651" s="98"/>
      <c r="D651" s="247"/>
      <c r="E651" s="98"/>
      <c r="F651" s="98"/>
      <c r="G651" s="99"/>
    </row>
    <row r="652" spans="1:7" x14ac:dyDescent="0.35">
      <c r="A652" s="98"/>
      <c r="B652" s="98"/>
      <c r="C652" s="98"/>
      <c r="D652" s="247"/>
      <c r="E652" s="98"/>
      <c r="F652" s="98"/>
      <c r="G652" s="99"/>
    </row>
    <row r="653" spans="1:7" x14ac:dyDescent="0.35">
      <c r="A653" s="98"/>
      <c r="B653" s="98"/>
      <c r="C653" s="98"/>
      <c r="D653" s="247"/>
      <c r="E653" s="98"/>
      <c r="F653" s="98"/>
      <c r="G653" s="99"/>
    </row>
    <row r="654" spans="1:7" x14ac:dyDescent="0.35">
      <c r="A654" s="98"/>
      <c r="B654" s="98"/>
      <c r="C654" s="98"/>
      <c r="D654" s="247"/>
      <c r="E654" s="98"/>
      <c r="F654" s="98"/>
      <c r="G654" s="99"/>
    </row>
    <row r="655" spans="1:7" x14ac:dyDescent="0.35">
      <c r="A655" s="98"/>
      <c r="B655" s="98"/>
      <c r="C655" s="98"/>
      <c r="D655" s="247"/>
      <c r="E655" s="98"/>
      <c r="F655" s="98"/>
      <c r="G655" s="99"/>
    </row>
    <row r="656" spans="1:7" x14ac:dyDescent="0.35">
      <c r="A656" s="98"/>
      <c r="B656" s="98"/>
      <c r="C656" s="98"/>
      <c r="D656" s="247"/>
      <c r="E656" s="98"/>
      <c r="F656" s="98"/>
      <c r="G656" s="99"/>
    </row>
    <row r="657" spans="1:7" x14ac:dyDescent="0.35">
      <c r="A657" s="98"/>
      <c r="B657" s="98"/>
      <c r="C657" s="98"/>
      <c r="D657" s="247"/>
      <c r="E657" s="98"/>
      <c r="F657" s="98"/>
      <c r="G657" s="99"/>
    </row>
    <row r="658" spans="1:7" x14ac:dyDescent="0.35">
      <c r="A658" s="98"/>
      <c r="B658" s="98"/>
      <c r="C658" s="98"/>
      <c r="D658" s="247"/>
      <c r="E658" s="98"/>
      <c r="F658" s="98"/>
      <c r="G658" s="99"/>
    </row>
    <row r="659" spans="1:7" x14ac:dyDescent="0.35">
      <c r="A659" s="98"/>
      <c r="B659" s="98"/>
      <c r="C659" s="98"/>
      <c r="D659" s="247"/>
      <c r="E659" s="98"/>
      <c r="F659" s="98"/>
      <c r="G659" s="99"/>
    </row>
    <row r="660" spans="1:7" x14ac:dyDescent="0.35">
      <c r="A660" s="98"/>
      <c r="B660" s="98"/>
      <c r="C660" s="98"/>
      <c r="D660" s="247"/>
      <c r="E660" s="98"/>
      <c r="F660" s="98"/>
      <c r="G660" s="99"/>
    </row>
    <row r="661" spans="1:7" x14ac:dyDescent="0.35">
      <c r="A661" s="98"/>
      <c r="B661" s="98"/>
      <c r="C661" s="98"/>
      <c r="D661" s="247"/>
      <c r="E661" s="98"/>
      <c r="F661" s="98"/>
      <c r="G661" s="99"/>
    </row>
    <row r="662" spans="1:7" x14ac:dyDescent="0.35">
      <c r="A662" s="98"/>
      <c r="B662" s="98"/>
      <c r="C662" s="98"/>
      <c r="D662" s="247"/>
      <c r="E662" s="98"/>
      <c r="F662" s="98"/>
      <c r="G662" s="99"/>
    </row>
    <row r="663" spans="1:7" x14ac:dyDescent="0.35">
      <c r="A663" s="98"/>
      <c r="B663" s="98"/>
      <c r="C663" s="98"/>
      <c r="D663" s="247"/>
      <c r="E663" s="98"/>
      <c r="F663" s="98"/>
      <c r="G663" s="99"/>
    </row>
    <row r="664" spans="1:7" x14ac:dyDescent="0.35">
      <c r="A664" s="98"/>
      <c r="B664" s="98"/>
      <c r="C664" s="98"/>
      <c r="D664" s="247"/>
      <c r="E664" s="98"/>
      <c r="F664" s="98"/>
      <c r="G664" s="99"/>
    </row>
    <row r="665" spans="1:7" x14ac:dyDescent="0.35">
      <c r="A665" s="98"/>
      <c r="B665" s="98"/>
      <c r="C665" s="98"/>
      <c r="D665" s="247"/>
      <c r="E665" s="98"/>
      <c r="F665" s="98"/>
      <c r="G665" s="99"/>
    </row>
    <row r="666" spans="1:7" x14ac:dyDescent="0.35">
      <c r="A666" s="98"/>
      <c r="B666" s="98"/>
      <c r="C666" s="98"/>
      <c r="D666" s="247"/>
      <c r="E666" s="98"/>
      <c r="F666" s="98"/>
      <c r="G666" s="99"/>
    </row>
    <row r="667" spans="1:7" x14ac:dyDescent="0.35">
      <c r="A667" s="98"/>
      <c r="B667" s="98"/>
      <c r="C667" s="98"/>
      <c r="D667" s="247"/>
      <c r="E667" s="98"/>
      <c r="F667" s="98"/>
      <c r="G667" s="99"/>
    </row>
    <row r="668" spans="1:7" x14ac:dyDescent="0.35">
      <c r="A668" s="98"/>
      <c r="B668" s="98"/>
      <c r="C668" s="98"/>
      <c r="D668" s="247"/>
      <c r="E668" s="98"/>
      <c r="F668" s="98"/>
      <c r="G668" s="99"/>
    </row>
    <row r="669" spans="1:7" x14ac:dyDescent="0.35">
      <c r="A669" s="98"/>
      <c r="B669" s="98"/>
      <c r="C669" s="98"/>
      <c r="D669" s="247"/>
      <c r="E669" s="98"/>
      <c r="F669" s="98"/>
      <c r="G669" s="99"/>
    </row>
    <row r="670" spans="1:7" x14ac:dyDescent="0.35">
      <c r="A670" s="98"/>
      <c r="B670" s="98"/>
      <c r="C670" s="98"/>
      <c r="D670" s="247"/>
      <c r="E670" s="98"/>
      <c r="F670" s="98"/>
      <c r="G670" s="99"/>
    </row>
    <row r="671" spans="1:7" x14ac:dyDescent="0.35">
      <c r="A671" s="98"/>
      <c r="B671" s="98"/>
      <c r="C671" s="98"/>
      <c r="D671" s="247"/>
      <c r="E671" s="98"/>
      <c r="F671" s="98"/>
      <c r="G671" s="99"/>
    </row>
    <row r="672" spans="1:7" x14ac:dyDescent="0.35">
      <c r="A672" s="98"/>
      <c r="B672" s="98"/>
      <c r="C672" s="98"/>
      <c r="D672" s="247"/>
      <c r="E672" s="98"/>
      <c r="F672" s="98"/>
      <c r="G672" s="99"/>
    </row>
    <row r="673" spans="1:7" x14ac:dyDescent="0.35">
      <c r="A673" s="98"/>
      <c r="B673" s="98"/>
      <c r="C673" s="98"/>
      <c r="D673" s="247"/>
      <c r="E673" s="98"/>
      <c r="F673" s="98"/>
      <c r="G673" s="99"/>
    </row>
    <row r="674" spans="1:7" x14ac:dyDescent="0.35">
      <c r="A674" s="98"/>
      <c r="B674" s="98"/>
      <c r="C674" s="98"/>
      <c r="D674" s="247"/>
      <c r="E674" s="98"/>
      <c r="F674" s="98"/>
      <c r="G674" s="99"/>
    </row>
    <row r="675" spans="1:7" x14ac:dyDescent="0.35">
      <c r="A675" s="98"/>
      <c r="B675" s="98"/>
      <c r="C675" s="98"/>
      <c r="D675" s="247"/>
      <c r="E675" s="98"/>
      <c r="F675" s="98"/>
      <c r="G675" s="99"/>
    </row>
    <row r="676" spans="1:7" x14ac:dyDescent="0.35">
      <c r="A676" s="98"/>
      <c r="B676" s="98"/>
      <c r="C676" s="98"/>
      <c r="D676" s="247"/>
      <c r="E676" s="98"/>
      <c r="F676" s="98"/>
      <c r="G676" s="99"/>
    </row>
    <row r="677" spans="1:7" x14ac:dyDescent="0.35">
      <c r="A677" s="98"/>
      <c r="B677" s="98"/>
      <c r="C677" s="98"/>
      <c r="D677" s="247"/>
      <c r="E677" s="98"/>
      <c r="F677" s="98"/>
      <c r="G677" s="99"/>
    </row>
    <row r="678" spans="1:7" x14ac:dyDescent="0.35">
      <c r="A678" s="98"/>
      <c r="B678" s="98"/>
      <c r="C678" s="98"/>
      <c r="D678" s="247"/>
      <c r="E678" s="98"/>
      <c r="F678" s="98"/>
      <c r="G678" s="99"/>
    </row>
    <row r="679" spans="1:7" x14ac:dyDescent="0.35">
      <c r="A679" s="98"/>
      <c r="B679" s="98"/>
      <c r="C679" s="98"/>
      <c r="D679" s="247"/>
      <c r="E679" s="98"/>
      <c r="F679" s="98"/>
      <c r="G679" s="99"/>
    </row>
    <row r="680" spans="1:7" x14ac:dyDescent="0.35">
      <c r="A680" s="98"/>
      <c r="B680" s="98"/>
      <c r="C680" s="98"/>
      <c r="D680" s="247"/>
      <c r="E680" s="98"/>
      <c r="F680" s="98"/>
      <c r="G680" s="99"/>
    </row>
    <row r="681" spans="1:7" x14ac:dyDescent="0.35">
      <c r="A681" s="98"/>
      <c r="B681" s="98"/>
      <c r="C681" s="98"/>
      <c r="D681" s="247"/>
      <c r="E681" s="98"/>
      <c r="F681" s="98"/>
      <c r="G681" s="99"/>
    </row>
    <row r="682" spans="1:7" x14ac:dyDescent="0.35">
      <c r="A682" s="98"/>
      <c r="B682" s="98"/>
      <c r="C682" s="98"/>
      <c r="D682" s="247"/>
      <c r="E682" s="98"/>
      <c r="F682" s="98"/>
      <c r="G682" s="99"/>
    </row>
    <row r="683" spans="1:7" x14ac:dyDescent="0.35">
      <c r="A683" s="98"/>
      <c r="B683" s="98"/>
      <c r="C683" s="98"/>
      <c r="D683" s="247"/>
      <c r="E683" s="98"/>
      <c r="F683" s="98"/>
      <c r="G683" s="99"/>
    </row>
    <row r="684" spans="1:7" x14ac:dyDescent="0.35">
      <c r="A684" s="98"/>
      <c r="B684" s="98"/>
      <c r="C684" s="98"/>
      <c r="D684" s="247"/>
      <c r="E684" s="98"/>
      <c r="F684" s="98"/>
      <c r="G684" s="99"/>
    </row>
    <row r="685" spans="1:7" x14ac:dyDescent="0.35">
      <c r="A685" s="98"/>
      <c r="B685" s="98"/>
      <c r="C685" s="98"/>
      <c r="D685" s="247"/>
      <c r="E685" s="98"/>
      <c r="F685" s="98"/>
      <c r="G685" s="99"/>
    </row>
    <row r="686" spans="1:7" x14ac:dyDescent="0.35">
      <c r="A686" s="98"/>
      <c r="B686" s="98"/>
      <c r="C686" s="98"/>
      <c r="D686" s="247"/>
      <c r="E686" s="98"/>
      <c r="F686" s="98"/>
      <c r="G686" s="99"/>
    </row>
    <row r="687" spans="1:7" x14ac:dyDescent="0.35">
      <c r="A687" s="98"/>
      <c r="B687" s="98"/>
      <c r="C687" s="98"/>
      <c r="D687" s="247"/>
      <c r="E687" s="98"/>
      <c r="F687" s="98"/>
      <c r="G687" s="99"/>
    </row>
    <row r="688" spans="1:7" x14ac:dyDescent="0.35">
      <c r="A688" s="98"/>
      <c r="B688" s="98"/>
      <c r="C688" s="98"/>
      <c r="D688" s="247"/>
      <c r="E688" s="98"/>
      <c r="F688" s="98"/>
      <c r="G688" s="99"/>
    </row>
    <row r="689" spans="1:7" x14ac:dyDescent="0.35">
      <c r="A689" s="98"/>
      <c r="B689" s="98"/>
      <c r="C689" s="98"/>
      <c r="D689" s="247"/>
      <c r="E689" s="98"/>
      <c r="F689" s="98"/>
      <c r="G689" s="99"/>
    </row>
    <row r="690" spans="1:7" x14ac:dyDescent="0.35">
      <c r="A690" s="98"/>
      <c r="B690" s="98"/>
      <c r="C690" s="98"/>
      <c r="D690" s="247"/>
      <c r="E690" s="98"/>
      <c r="F690" s="98"/>
      <c r="G690" s="99"/>
    </row>
    <row r="691" spans="1:7" x14ac:dyDescent="0.35">
      <c r="A691" s="98"/>
      <c r="B691" s="98"/>
      <c r="C691" s="98"/>
      <c r="D691" s="247"/>
      <c r="E691" s="98"/>
      <c r="F691" s="98"/>
      <c r="G691" s="99"/>
    </row>
    <row r="692" spans="1:7" x14ac:dyDescent="0.35">
      <c r="A692" s="98"/>
      <c r="B692" s="98"/>
      <c r="C692" s="98"/>
      <c r="D692" s="247"/>
      <c r="E692" s="98"/>
      <c r="F692" s="98"/>
      <c r="G692" s="99"/>
    </row>
    <row r="693" spans="1:7" x14ac:dyDescent="0.35">
      <c r="A693" s="98"/>
      <c r="B693" s="98"/>
      <c r="C693" s="98"/>
      <c r="D693" s="247"/>
      <c r="E693" s="98"/>
      <c r="F693" s="98"/>
      <c r="G693" s="99"/>
    </row>
    <row r="694" spans="1:7" x14ac:dyDescent="0.35">
      <c r="A694" s="98"/>
      <c r="B694" s="98"/>
      <c r="C694" s="98"/>
      <c r="D694" s="247"/>
      <c r="E694" s="98"/>
      <c r="F694" s="98"/>
      <c r="G694" s="99"/>
    </row>
    <row r="695" spans="1:7" x14ac:dyDescent="0.35">
      <c r="A695" s="98"/>
      <c r="B695" s="98"/>
      <c r="C695" s="98"/>
      <c r="D695" s="247"/>
      <c r="E695" s="98"/>
      <c r="F695" s="98"/>
      <c r="G695" s="99"/>
    </row>
    <row r="696" spans="1:7" x14ac:dyDescent="0.35">
      <c r="A696" s="98"/>
      <c r="B696" s="98"/>
      <c r="C696" s="98"/>
      <c r="D696" s="247"/>
      <c r="E696" s="98"/>
      <c r="F696" s="98"/>
      <c r="G696" s="99"/>
    </row>
    <row r="697" spans="1:7" x14ac:dyDescent="0.35">
      <c r="A697" s="98"/>
      <c r="B697" s="98"/>
      <c r="C697" s="98"/>
      <c r="D697" s="247"/>
      <c r="E697" s="98"/>
      <c r="F697" s="98"/>
      <c r="G697" s="99"/>
    </row>
    <row r="698" spans="1:7" x14ac:dyDescent="0.35">
      <c r="A698" s="98"/>
      <c r="B698" s="98"/>
      <c r="C698" s="98"/>
      <c r="D698" s="247"/>
      <c r="E698" s="98"/>
      <c r="F698" s="98"/>
      <c r="G698" s="99"/>
    </row>
    <row r="699" spans="1:7" x14ac:dyDescent="0.35">
      <c r="A699" s="98"/>
      <c r="B699" s="98"/>
      <c r="C699" s="98"/>
      <c r="D699" s="247"/>
      <c r="E699" s="98"/>
      <c r="F699" s="98"/>
      <c r="G699" s="99"/>
    </row>
    <row r="700" spans="1:7" x14ac:dyDescent="0.35">
      <c r="A700" s="98"/>
      <c r="B700" s="98"/>
      <c r="C700" s="98"/>
      <c r="D700" s="247"/>
      <c r="E700" s="98"/>
      <c r="F700" s="98"/>
      <c r="G700" s="99"/>
    </row>
    <row r="701" spans="1:7" x14ac:dyDescent="0.35">
      <c r="A701" s="98"/>
      <c r="B701" s="98"/>
      <c r="C701" s="98"/>
      <c r="D701" s="247"/>
      <c r="E701" s="98"/>
      <c r="F701" s="98"/>
      <c r="G701" s="99"/>
    </row>
    <row r="702" spans="1:7" x14ac:dyDescent="0.35">
      <c r="A702" s="98"/>
      <c r="B702" s="98"/>
      <c r="C702" s="98"/>
      <c r="D702" s="247"/>
      <c r="E702" s="98"/>
      <c r="F702" s="98"/>
      <c r="G702" s="99"/>
    </row>
    <row r="703" spans="1:7" x14ac:dyDescent="0.35">
      <c r="A703" s="98"/>
      <c r="B703" s="98"/>
      <c r="C703" s="98"/>
      <c r="D703" s="247"/>
      <c r="E703" s="98"/>
      <c r="F703" s="98"/>
      <c r="G703" s="99"/>
    </row>
    <row r="704" spans="1:7" x14ac:dyDescent="0.35">
      <c r="A704" s="98"/>
      <c r="B704" s="98"/>
      <c r="C704" s="98"/>
      <c r="D704" s="247"/>
      <c r="E704" s="98"/>
      <c r="F704" s="98"/>
      <c r="G704" s="99"/>
    </row>
    <row r="705" spans="1:7" x14ac:dyDescent="0.35">
      <c r="A705" s="98"/>
      <c r="B705" s="98"/>
      <c r="C705" s="98"/>
      <c r="D705" s="247"/>
      <c r="E705" s="98"/>
      <c r="F705" s="98"/>
      <c r="G705" s="99"/>
    </row>
    <row r="706" spans="1:7" x14ac:dyDescent="0.35">
      <c r="A706" s="98"/>
      <c r="B706" s="98"/>
      <c r="C706" s="98"/>
      <c r="D706" s="247"/>
      <c r="E706" s="98"/>
      <c r="F706" s="98"/>
      <c r="G706" s="99"/>
    </row>
    <row r="707" spans="1:7" x14ac:dyDescent="0.35">
      <c r="A707" s="98"/>
      <c r="B707" s="98"/>
      <c r="C707" s="98"/>
      <c r="D707" s="247"/>
      <c r="E707" s="98"/>
      <c r="F707" s="98"/>
      <c r="G707" s="99"/>
    </row>
    <row r="708" spans="1:7" x14ac:dyDescent="0.35">
      <c r="A708" s="98"/>
      <c r="B708" s="98"/>
      <c r="C708" s="98"/>
      <c r="D708" s="247"/>
      <c r="E708" s="98"/>
      <c r="F708" s="98"/>
      <c r="G708" s="99"/>
    </row>
    <row r="709" spans="1:7" x14ac:dyDescent="0.35">
      <c r="A709" s="98"/>
      <c r="B709" s="98"/>
      <c r="C709" s="98"/>
      <c r="D709" s="247"/>
      <c r="E709" s="98"/>
      <c r="F709" s="98"/>
      <c r="G709" s="99"/>
    </row>
    <row r="710" spans="1:7" x14ac:dyDescent="0.35">
      <c r="A710" s="98"/>
      <c r="B710" s="98"/>
      <c r="C710" s="98"/>
      <c r="D710" s="247"/>
      <c r="E710" s="98"/>
      <c r="F710" s="98"/>
      <c r="G710" s="99"/>
    </row>
    <row r="711" spans="1:7" x14ac:dyDescent="0.35">
      <c r="A711" s="98"/>
      <c r="B711" s="98"/>
      <c r="C711" s="98"/>
      <c r="D711" s="247"/>
      <c r="E711" s="98"/>
      <c r="F711" s="98"/>
      <c r="G711" s="99"/>
    </row>
    <row r="712" spans="1:7" x14ac:dyDescent="0.35">
      <c r="A712" s="98"/>
      <c r="B712" s="98"/>
      <c r="C712" s="98"/>
      <c r="D712" s="247"/>
      <c r="E712" s="98"/>
      <c r="F712" s="98"/>
      <c r="G712" s="99"/>
    </row>
    <row r="713" spans="1:7" x14ac:dyDescent="0.35">
      <c r="A713" s="98"/>
      <c r="B713" s="98"/>
      <c r="C713" s="98"/>
      <c r="D713" s="247"/>
      <c r="E713" s="98"/>
      <c r="F713" s="98"/>
      <c r="G713" s="99"/>
    </row>
    <row r="714" spans="1:7" x14ac:dyDescent="0.35">
      <c r="A714" s="98"/>
      <c r="B714" s="98"/>
      <c r="C714" s="98"/>
      <c r="D714" s="247"/>
      <c r="E714" s="98"/>
      <c r="F714" s="98"/>
      <c r="G714" s="99"/>
    </row>
    <row r="715" spans="1:7" x14ac:dyDescent="0.35">
      <c r="A715" s="98"/>
      <c r="B715" s="98"/>
      <c r="C715" s="98"/>
      <c r="D715" s="247"/>
      <c r="E715" s="98"/>
      <c r="F715" s="98"/>
      <c r="G715" s="99"/>
    </row>
    <row r="716" spans="1:7" x14ac:dyDescent="0.35">
      <c r="A716" s="98"/>
      <c r="B716" s="98"/>
      <c r="C716" s="98"/>
      <c r="D716" s="247"/>
      <c r="E716" s="98"/>
      <c r="F716" s="98"/>
      <c r="G716" s="99"/>
    </row>
    <row r="717" spans="1:7" x14ac:dyDescent="0.35">
      <c r="A717" s="98"/>
      <c r="B717" s="98"/>
      <c r="C717" s="98"/>
      <c r="D717" s="247"/>
      <c r="E717" s="98"/>
      <c r="F717" s="98"/>
      <c r="G717" s="99"/>
    </row>
    <row r="718" spans="1:7" x14ac:dyDescent="0.35">
      <c r="A718" s="98"/>
      <c r="B718" s="98"/>
      <c r="C718" s="98"/>
      <c r="D718" s="247"/>
      <c r="E718" s="98"/>
      <c r="F718" s="98"/>
      <c r="G718" s="99"/>
    </row>
    <row r="719" spans="1:7" x14ac:dyDescent="0.35">
      <c r="A719" s="98"/>
      <c r="B719" s="98"/>
      <c r="C719" s="98"/>
      <c r="D719" s="247"/>
      <c r="E719" s="98"/>
      <c r="F719" s="98"/>
      <c r="G719" s="99"/>
    </row>
    <row r="720" spans="1:7" x14ac:dyDescent="0.35">
      <c r="A720" s="98"/>
      <c r="B720" s="98"/>
      <c r="C720" s="98"/>
      <c r="D720" s="247"/>
      <c r="E720" s="98"/>
      <c r="F720" s="98"/>
      <c r="G720" s="99"/>
    </row>
    <row r="721" spans="1:7" x14ac:dyDescent="0.35">
      <c r="A721" s="98"/>
      <c r="B721" s="98"/>
      <c r="C721" s="98"/>
      <c r="D721" s="247"/>
      <c r="E721" s="98"/>
      <c r="F721" s="98"/>
      <c r="G721" s="99"/>
    </row>
    <row r="722" spans="1:7" x14ac:dyDescent="0.35">
      <c r="A722" s="98"/>
      <c r="B722" s="98"/>
      <c r="C722" s="98"/>
      <c r="D722" s="247"/>
      <c r="E722" s="98"/>
      <c r="F722" s="98"/>
      <c r="G722" s="99"/>
    </row>
    <row r="723" spans="1:7" x14ac:dyDescent="0.35">
      <c r="A723" s="98"/>
      <c r="B723" s="98"/>
      <c r="C723" s="98"/>
      <c r="D723" s="247"/>
      <c r="E723" s="98"/>
      <c r="F723" s="98"/>
      <c r="G723" s="99"/>
    </row>
    <row r="724" spans="1:7" x14ac:dyDescent="0.35">
      <c r="A724" s="98"/>
      <c r="B724" s="98"/>
      <c r="C724" s="98"/>
      <c r="D724" s="247"/>
      <c r="E724" s="98"/>
      <c r="F724" s="98"/>
      <c r="G724" s="99"/>
    </row>
    <row r="725" spans="1:7" x14ac:dyDescent="0.35">
      <c r="A725" s="98"/>
      <c r="B725" s="98"/>
      <c r="C725" s="98"/>
      <c r="D725" s="247"/>
      <c r="E725" s="98"/>
      <c r="F725" s="98"/>
      <c r="G725" s="99"/>
    </row>
    <row r="726" spans="1:7" x14ac:dyDescent="0.35">
      <c r="A726" s="98"/>
      <c r="B726" s="98"/>
      <c r="C726" s="98"/>
      <c r="D726" s="247"/>
      <c r="E726" s="98"/>
      <c r="F726" s="98"/>
      <c r="G726" s="99"/>
    </row>
    <row r="727" spans="1:7" x14ac:dyDescent="0.35">
      <c r="A727" s="98"/>
      <c r="B727" s="98"/>
      <c r="C727" s="98"/>
      <c r="D727" s="247"/>
      <c r="E727" s="98"/>
      <c r="F727" s="98"/>
      <c r="G727" s="99"/>
    </row>
    <row r="728" spans="1:7" x14ac:dyDescent="0.35">
      <c r="A728" s="98"/>
      <c r="B728" s="98"/>
      <c r="C728" s="98"/>
      <c r="D728" s="247"/>
      <c r="E728" s="98"/>
      <c r="F728" s="98"/>
      <c r="G728" s="99"/>
    </row>
    <row r="729" spans="1:7" x14ac:dyDescent="0.35">
      <c r="A729" s="98"/>
      <c r="B729" s="98"/>
      <c r="C729" s="98"/>
      <c r="D729" s="247"/>
      <c r="E729" s="98"/>
      <c r="F729" s="98"/>
      <c r="G729" s="99"/>
    </row>
    <row r="730" spans="1:7" x14ac:dyDescent="0.35">
      <c r="A730" s="98"/>
      <c r="B730" s="98"/>
      <c r="C730" s="98"/>
      <c r="D730" s="247"/>
      <c r="E730" s="98"/>
      <c r="F730" s="98"/>
      <c r="G730" s="99"/>
    </row>
    <row r="731" spans="1:7" x14ac:dyDescent="0.35">
      <c r="A731" s="98"/>
      <c r="B731" s="98"/>
      <c r="C731" s="98"/>
      <c r="D731" s="247"/>
      <c r="E731" s="98"/>
      <c r="F731" s="98"/>
      <c r="G731" s="99"/>
    </row>
    <row r="732" spans="1:7" x14ac:dyDescent="0.35">
      <c r="A732" s="98"/>
      <c r="B732" s="98"/>
      <c r="C732" s="98"/>
      <c r="D732" s="247"/>
      <c r="E732" s="98"/>
      <c r="F732" s="98"/>
      <c r="G732" s="99"/>
    </row>
    <row r="733" spans="1:7" x14ac:dyDescent="0.35">
      <c r="A733" s="98"/>
      <c r="B733" s="98"/>
      <c r="C733" s="98"/>
      <c r="D733" s="247"/>
      <c r="E733" s="98"/>
      <c r="F733" s="98"/>
      <c r="G733" s="99"/>
    </row>
    <row r="734" spans="1:7" x14ac:dyDescent="0.35">
      <c r="A734" s="98"/>
      <c r="B734" s="98"/>
      <c r="C734" s="98"/>
      <c r="D734" s="247"/>
      <c r="E734" s="98"/>
      <c r="F734" s="98"/>
      <c r="G734" s="99"/>
    </row>
    <row r="735" spans="1:7" x14ac:dyDescent="0.35">
      <c r="A735" s="98"/>
      <c r="B735" s="98"/>
      <c r="C735" s="98"/>
      <c r="D735" s="247"/>
      <c r="E735" s="98"/>
      <c r="F735" s="98"/>
      <c r="G735" s="99"/>
    </row>
    <row r="736" spans="1:7" x14ac:dyDescent="0.35">
      <c r="A736" s="98"/>
      <c r="B736" s="98"/>
      <c r="C736" s="98"/>
      <c r="D736" s="247"/>
      <c r="E736" s="98"/>
      <c r="F736" s="98"/>
      <c r="G736" s="99"/>
    </row>
    <row r="737" spans="1:7" x14ac:dyDescent="0.35">
      <c r="A737" s="98"/>
      <c r="B737" s="98"/>
      <c r="C737" s="98"/>
      <c r="D737" s="247"/>
      <c r="E737" s="98"/>
      <c r="F737" s="98"/>
      <c r="G737" s="99"/>
    </row>
    <row r="738" spans="1:7" x14ac:dyDescent="0.35">
      <c r="A738" s="98"/>
      <c r="B738" s="98"/>
      <c r="C738" s="98"/>
      <c r="D738" s="247"/>
      <c r="E738" s="98"/>
      <c r="F738" s="98"/>
      <c r="G738" s="99"/>
    </row>
    <row r="739" spans="1:7" x14ac:dyDescent="0.35">
      <c r="A739" s="98"/>
      <c r="B739" s="98"/>
      <c r="C739" s="98"/>
      <c r="D739" s="247"/>
      <c r="E739" s="98"/>
      <c r="F739" s="98"/>
      <c r="G739" s="99"/>
    </row>
    <row r="740" spans="1:7" x14ac:dyDescent="0.35">
      <c r="A740" s="98"/>
      <c r="B740" s="98"/>
      <c r="C740" s="98"/>
      <c r="D740" s="247"/>
      <c r="E740" s="98"/>
      <c r="F740" s="98"/>
      <c r="G740" s="99"/>
    </row>
    <row r="741" spans="1:7" x14ac:dyDescent="0.35">
      <c r="A741" s="98"/>
      <c r="B741" s="98"/>
      <c r="C741" s="98"/>
      <c r="D741" s="247"/>
      <c r="E741" s="98"/>
      <c r="F741" s="98"/>
      <c r="G741" s="99"/>
    </row>
    <row r="742" spans="1:7" x14ac:dyDescent="0.35">
      <c r="A742" s="98"/>
      <c r="B742" s="98"/>
      <c r="C742" s="98"/>
      <c r="D742" s="247"/>
      <c r="E742" s="98"/>
      <c r="F742" s="98"/>
      <c r="G742" s="99"/>
    </row>
    <row r="743" spans="1:7" x14ac:dyDescent="0.35">
      <c r="A743" s="98"/>
      <c r="B743" s="98"/>
      <c r="C743" s="98"/>
      <c r="D743" s="247"/>
      <c r="E743" s="98"/>
      <c r="F743" s="98"/>
      <c r="G743" s="99"/>
    </row>
    <row r="744" spans="1:7" x14ac:dyDescent="0.35">
      <c r="A744" s="98"/>
      <c r="B744" s="98"/>
      <c r="C744" s="98"/>
      <c r="D744" s="247"/>
      <c r="E744" s="98"/>
      <c r="F744" s="98"/>
      <c r="G744" s="99"/>
    </row>
    <row r="745" spans="1:7" x14ac:dyDescent="0.35">
      <c r="A745" s="98"/>
      <c r="B745" s="98"/>
      <c r="C745" s="98"/>
      <c r="D745" s="247"/>
      <c r="E745" s="98"/>
      <c r="F745" s="98"/>
      <c r="G745" s="99"/>
    </row>
    <row r="746" spans="1:7" x14ac:dyDescent="0.35">
      <c r="A746" s="98"/>
      <c r="B746" s="98"/>
      <c r="C746" s="98"/>
      <c r="D746" s="247"/>
      <c r="E746" s="98"/>
      <c r="F746" s="98"/>
      <c r="G746" s="99"/>
    </row>
    <row r="747" spans="1:7" x14ac:dyDescent="0.35">
      <c r="A747" s="98"/>
      <c r="B747" s="98"/>
      <c r="C747" s="98"/>
      <c r="D747" s="247"/>
      <c r="E747" s="98"/>
      <c r="F747" s="98"/>
      <c r="G747" s="99"/>
    </row>
    <row r="748" spans="1:7" x14ac:dyDescent="0.35">
      <c r="A748" s="98"/>
      <c r="B748" s="98"/>
      <c r="C748" s="98"/>
      <c r="D748" s="247"/>
      <c r="E748" s="98"/>
      <c r="F748" s="98"/>
      <c r="G748" s="99"/>
    </row>
    <row r="749" spans="1:7" x14ac:dyDescent="0.35">
      <c r="A749" s="98"/>
      <c r="B749" s="98"/>
      <c r="C749" s="98"/>
      <c r="D749" s="247"/>
      <c r="E749" s="98"/>
      <c r="F749" s="98"/>
      <c r="G749" s="99"/>
    </row>
    <row r="750" spans="1:7" x14ac:dyDescent="0.35">
      <c r="A750" s="98"/>
      <c r="B750" s="98"/>
      <c r="C750" s="98"/>
      <c r="D750" s="247"/>
      <c r="E750" s="98"/>
      <c r="F750" s="98"/>
      <c r="G750" s="99"/>
    </row>
    <row r="751" spans="1:7" x14ac:dyDescent="0.35">
      <c r="A751" s="98"/>
      <c r="B751" s="98"/>
      <c r="C751" s="98"/>
      <c r="D751" s="247"/>
      <c r="E751" s="98"/>
      <c r="F751" s="98"/>
      <c r="G751" s="99"/>
    </row>
    <row r="752" spans="1:7" x14ac:dyDescent="0.35">
      <c r="A752" s="98"/>
      <c r="B752" s="98"/>
      <c r="C752" s="98"/>
      <c r="D752" s="247"/>
      <c r="E752" s="98"/>
      <c r="F752" s="98"/>
      <c r="G752" s="99"/>
    </row>
    <row r="753" spans="1:7" x14ac:dyDescent="0.35">
      <c r="A753" s="98"/>
      <c r="B753" s="98"/>
      <c r="C753" s="98"/>
      <c r="D753" s="247"/>
      <c r="E753" s="98"/>
      <c r="F753" s="98"/>
      <c r="G753" s="99"/>
    </row>
    <row r="754" spans="1:7" x14ac:dyDescent="0.35">
      <c r="A754" s="98"/>
      <c r="B754" s="98"/>
      <c r="C754" s="98"/>
      <c r="D754" s="247"/>
      <c r="E754" s="98"/>
      <c r="F754" s="98"/>
      <c r="G754" s="99"/>
    </row>
    <row r="755" spans="1:7" x14ac:dyDescent="0.35">
      <c r="A755" s="98"/>
      <c r="B755" s="98"/>
      <c r="C755" s="98"/>
      <c r="D755" s="247"/>
      <c r="E755" s="98"/>
      <c r="F755" s="98"/>
      <c r="G755" s="99"/>
    </row>
    <row r="756" spans="1:7" x14ac:dyDescent="0.35">
      <c r="A756" s="98"/>
      <c r="B756" s="98"/>
      <c r="C756" s="98"/>
      <c r="D756" s="247"/>
      <c r="E756" s="98"/>
      <c r="F756" s="98"/>
      <c r="G756" s="99"/>
    </row>
    <row r="757" spans="1:7" x14ac:dyDescent="0.35">
      <c r="A757" s="98"/>
      <c r="B757" s="98"/>
      <c r="C757" s="98"/>
      <c r="D757" s="247"/>
      <c r="E757" s="98"/>
      <c r="F757" s="98"/>
      <c r="G757" s="99"/>
    </row>
    <row r="758" spans="1:7" x14ac:dyDescent="0.35">
      <c r="A758" s="98"/>
      <c r="B758" s="98"/>
      <c r="C758" s="98"/>
      <c r="D758" s="247"/>
      <c r="E758" s="98"/>
      <c r="F758" s="98"/>
      <c r="G758" s="99"/>
    </row>
    <row r="759" spans="1:7" x14ac:dyDescent="0.35">
      <c r="A759" s="98"/>
      <c r="B759" s="98"/>
      <c r="C759" s="98"/>
      <c r="D759" s="247"/>
      <c r="E759" s="98"/>
      <c r="F759" s="98"/>
      <c r="G759" s="99"/>
    </row>
    <row r="760" spans="1:7" x14ac:dyDescent="0.35">
      <c r="A760" s="98"/>
      <c r="B760" s="98"/>
      <c r="C760" s="98"/>
      <c r="D760" s="247"/>
      <c r="E760" s="98"/>
      <c r="F760" s="98"/>
      <c r="G760" s="99"/>
    </row>
    <row r="761" spans="1:7" x14ac:dyDescent="0.35">
      <c r="A761" s="98"/>
      <c r="B761" s="98"/>
      <c r="C761" s="98"/>
      <c r="D761" s="247"/>
      <c r="E761" s="98"/>
      <c r="F761" s="98"/>
      <c r="G761" s="99"/>
    </row>
    <row r="762" spans="1:7" x14ac:dyDescent="0.35">
      <c r="A762" s="98"/>
      <c r="B762" s="98"/>
      <c r="C762" s="98"/>
      <c r="D762" s="247"/>
      <c r="E762" s="98"/>
      <c r="F762" s="98"/>
      <c r="G762" s="99"/>
    </row>
    <row r="763" spans="1:7" x14ac:dyDescent="0.35">
      <c r="A763" s="98"/>
      <c r="B763" s="98"/>
      <c r="C763" s="98"/>
      <c r="D763" s="247"/>
      <c r="E763" s="98"/>
      <c r="F763" s="98"/>
      <c r="G763" s="99"/>
    </row>
    <row r="764" spans="1:7" x14ac:dyDescent="0.35">
      <c r="A764" s="98"/>
      <c r="B764" s="98"/>
      <c r="C764" s="98"/>
      <c r="D764" s="247"/>
      <c r="E764" s="98"/>
      <c r="F764" s="98"/>
      <c r="G764" s="99"/>
    </row>
    <row r="765" spans="1:7" x14ac:dyDescent="0.35">
      <c r="A765" s="98"/>
      <c r="B765" s="98"/>
      <c r="C765" s="98"/>
      <c r="D765" s="247"/>
      <c r="E765" s="98"/>
      <c r="F765" s="98"/>
      <c r="G765" s="99"/>
    </row>
    <row r="766" spans="1:7" x14ac:dyDescent="0.35">
      <c r="A766" s="98"/>
      <c r="B766" s="98"/>
      <c r="C766" s="98"/>
      <c r="D766" s="247"/>
      <c r="E766" s="98"/>
      <c r="F766" s="98"/>
      <c r="G766" s="99"/>
    </row>
    <row r="767" spans="1:7" x14ac:dyDescent="0.35">
      <c r="A767" s="98"/>
      <c r="B767" s="98"/>
      <c r="C767" s="98"/>
      <c r="D767" s="247"/>
      <c r="E767" s="98"/>
      <c r="F767" s="98"/>
      <c r="G767" s="99"/>
    </row>
    <row r="768" spans="1:7" x14ac:dyDescent="0.35">
      <c r="A768" s="98"/>
      <c r="B768" s="98"/>
      <c r="C768" s="98"/>
      <c r="D768" s="247"/>
      <c r="E768" s="98"/>
      <c r="F768" s="98"/>
      <c r="G768" s="99"/>
    </row>
    <row r="769" spans="1:7" x14ac:dyDescent="0.35">
      <c r="A769" s="98"/>
      <c r="B769" s="98"/>
      <c r="C769" s="98"/>
      <c r="D769" s="247"/>
      <c r="E769" s="98"/>
      <c r="F769" s="98"/>
      <c r="G769" s="99"/>
    </row>
    <row r="770" spans="1:7" x14ac:dyDescent="0.35">
      <c r="A770" s="98"/>
      <c r="B770" s="98"/>
      <c r="C770" s="98"/>
      <c r="D770" s="247"/>
      <c r="E770" s="98"/>
      <c r="F770" s="98"/>
      <c r="G770" s="99"/>
    </row>
    <row r="771" spans="1:7" x14ac:dyDescent="0.35">
      <c r="A771" s="98"/>
      <c r="B771" s="98"/>
      <c r="C771" s="98"/>
      <c r="D771" s="247"/>
      <c r="E771" s="98"/>
      <c r="F771" s="98"/>
      <c r="G771" s="99"/>
    </row>
    <row r="772" spans="1:7" x14ac:dyDescent="0.35">
      <c r="A772" s="98"/>
      <c r="B772" s="98"/>
      <c r="C772" s="98"/>
      <c r="D772" s="247"/>
      <c r="E772" s="98"/>
      <c r="F772" s="98"/>
      <c r="G772" s="99"/>
    </row>
    <row r="773" spans="1:7" x14ac:dyDescent="0.35">
      <c r="A773" s="98"/>
      <c r="B773" s="98"/>
      <c r="C773" s="98"/>
      <c r="D773" s="247"/>
      <c r="E773" s="98"/>
      <c r="F773" s="98"/>
      <c r="G773" s="99"/>
    </row>
    <row r="774" spans="1:7" x14ac:dyDescent="0.35">
      <c r="A774" s="98"/>
      <c r="B774" s="98"/>
      <c r="C774" s="98"/>
      <c r="D774" s="247"/>
      <c r="E774" s="98"/>
      <c r="F774" s="98"/>
      <c r="G774" s="99"/>
    </row>
    <row r="775" spans="1:7" x14ac:dyDescent="0.35">
      <c r="A775" s="98"/>
      <c r="B775" s="98"/>
      <c r="C775" s="98"/>
      <c r="D775" s="247"/>
      <c r="E775" s="98"/>
      <c r="F775" s="98"/>
      <c r="G775" s="99"/>
    </row>
    <row r="776" spans="1:7" x14ac:dyDescent="0.35">
      <c r="A776" s="98"/>
      <c r="B776" s="98"/>
      <c r="C776" s="98"/>
      <c r="D776" s="247"/>
      <c r="E776" s="98"/>
      <c r="F776" s="98"/>
      <c r="G776" s="99"/>
    </row>
    <row r="777" spans="1:7" x14ac:dyDescent="0.35">
      <c r="A777" s="98"/>
      <c r="B777" s="98"/>
      <c r="C777" s="98"/>
      <c r="D777" s="247"/>
      <c r="E777" s="98"/>
      <c r="F777" s="98"/>
      <c r="G777" s="99"/>
    </row>
    <row r="778" spans="1:7" x14ac:dyDescent="0.35">
      <c r="A778" s="98"/>
      <c r="B778" s="98"/>
      <c r="C778" s="98"/>
      <c r="D778" s="247"/>
      <c r="E778" s="98"/>
      <c r="F778" s="98"/>
      <c r="G778" s="99"/>
    </row>
    <row r="779" spans="1:7" x14ac:dyDescent="0.35">
      <c r="A779" s="98"/>
      <c r="B779" s="98"/>
      <c r="C779" s="98"/>
      <c r="D779" s="247"/>
      <c r="E779" s="98"/>
      <c r="F779" s="98"/>
      <c r="G779" s="99"/>
    </row>
    <row r="780" spans="1:7" x14ac:dyDescent="0.35">
      <c r="A780" s="98"/>
      <c r="B780" s="98"/>
      <c r="C780" s="98"/>
      <c r="D780" s="247"/>
      <c r="E780" s="98"/>
      <c r="F780" s="98"/>
      <c r="G780" s="99"/>
    </row>
    <row r="781" spans="1:7" x14ac:dyDescent="0.35">
      <c r="A781" s="98"/>
      <c r="B781" s="98"/>
      <c r="C781" s="98"/>
      <c r="D781" s="247"/>
      <c r="E781" s="98"/>
      <c r="F781" s="98"/>
      <c r="G781" s="99"/>
    </row>
    <row r="782" spans="1:7" x14ac:dyDescent="0.35">
      <c r="A782" s="98"/>
      <c r="B782" s="98"/>
      <c r="C782" s="98"/>
      <c r="D782" s="247"/>
      <c r="E782" s="98"/>
      <c r="F782" s="98"/>
      <c r="G782" s="99"/>
    </row>
    <row r="783" spans="1:7" x14ac:dyDescent="0.35">
      <c r="A783" s="98"/>
      <c r="B783" s="98"/>
      <c r="C783" s="98"/>
      <c r="D783" s="247"/>
      <c r="E783" s="98"/>
      <c r="F783" s="98"/>
      <c r="G783" s="99"/>
    </row>
    <row r="784" spans="1:7" x14ac:dyDescent="0.35">
      <c r="A784" s="98"/>
      <c r="B784" s="98"/>
      <c r="C784" s="98"/>
      <c r="D784" s="247"/>
      <c r="E784" s="98"/>
      <c r="F784" s="98"/>
      <c r="G784" s="99"/>
    </row>
    <row r="785" spans="1:7" x14ac:dyDescent="0.35">
      <c r="A785" s="98"/>
      <c r="B785" s="98"/>
      <c r="C785" s="98"/>
      <c r="D785" s="247"/>
      <c r="E785" s="98"/>
      <c r="F785" s="98"/>
      <c r="G785" s="99"/>
    </row>
    <row r="786" spans="1:7" x14ac:dyDescent="0.35">
      <c r="A786" s="98"/>
      <c r="B786" s="98"/>
      <c r="C786" s="98"/>
      <c r="D786" s="247"/>
      <c r="E786" s="98"/>
      <c r="F786" s="98"/>
      <c r="G786" s="99"/>
    </row>
    <row r="787" spans="1:7" x14ac:dyDescent="0.35">
      <c r="A787" s="98"/>
      <c r="B787" s="98"/>
      <c r="C787" s="98"/>
      <c r="D787" s="247"/>
      <c r="E787" s="98"/>
      <c r="F787" s="98"/>
      <c r="G787" s="99"/>
    </row>
    <row r="788" spans="1:7" x14ac:dyDescent="0.35">
      <c r="A788" s="98"/>
      <c r="B788" s="98"/>
      <c r="C788" s="98"/>
      <c r="D788" s="247"/>
      <c r="E788" s="98"/>
      <c r="F788" s="98"/>
      <c r="G788" s="99"/>
    </row>
    <row r="789" spans="1:7" x14ac:dyDescent="0.35">
      <c r="A789" s="98"/>
      <c r="B789" s="98"/>
      <c r="C789" s="98"/>
      <c r="D789" s="247"/>
      <c r="E789" s="98"/>
      <c r="F789" s="98"/>
      <c r="G789" s="99"/>
    </row>
    <row r="790" spans="1:7" x14ac:dyDescent="0.35">
      <c r="A790" s="98"/>
      <c r="B790" s="98"/>
      <c r="C790" s="98"/>
      <c r="D790" s="247"/>
      <c r="E790" s="98"/>
      <c r="F790" s="98"/>
      <c r="G790" s="99"/>
    </row>
    <row r="791" spans="1:7" x14ac:dyDescent="0.35">
      <c r="A791" s="98"/>
      <c r="B791" s="98"/>
      <c r="C791" s="98"/>
      <c r="D791" s="247"/>
      <c r="E791" s="98"/>
      <c r="F791" s="98"/>
      <c r="G791" s="99"/>
    </row>
    <row r="792" spans="1:7" x14ac:dyDescent="0.35">
      <c r="A792" s="98"/>
      <c r="B792" s="98"/>
      <c r="C792" s="98"/>
      <c r="D792" s="247"/>
      <c r="E792" s="98"/>
      <c r="F792" s="98"/>
      <c r="G792" s="99"/>
    </row>
    <row r="793" spans="1:7" x14ac:dyDescent="0.35">
      <c r="A793" s="98"/>
      <c r="B793" s="98"/>
      <c r="C793" s="98"/>
      <c r="D793" s="247"/>
      <c r="E793" s="98"/>
      <c r="F793" s="98"/>
      <c r="G793" s="99"/>
    </row>
    <row r="794" spans="1:7" x14ac:dyDescent="0.35">
      <c r="A794" s="98"/>
      <c r="B794" s="98"/>
      <c r="C794" s="98"/>
      <c r="D794" s="247"/>
      <c r="E794" s="98"/>
      <c r="F794" s="98"/>
      <c r="G794" s="99"/>
    </row>
    <row r="795" spans="1:7" x14ac:dyDescent="0.35">
      <c r="A795" s="98"/>
      <c r="B795" s="98"/>
      <c r="C795" s="98"/>
      <c r="D795" s="247"/>
      <c r="E795" s="98"/>
      <c r="F795" s="98"/>
      <c r="G795" s="99"/>
    </row>
    <row r="796" spans="1:7" x14ac:dyDescent="0.35">
      <c r="A796" s="98"/>
      <c r="B796" s="98"/>
      <c r="C796" s="98"/>
      <c r="D796" s="247"/>
      <c r="E796" s="98"/>
      <c r="F796" s="98"/>
      <c r="G796" s="99"/>
    </row>
    <row r="797" spans="1:7" x14ac:dyDescent="0.35">
      <c r="A797" s="98"/>
      <c r="B797" s="98"/>
      <c r="C797" s="98"/>
      <c r="D797" s="247"/>
      <c r="E797" s="98"/>
      <c r="F797" s="98"/>
      <c r="G797" s="99"/>
    </row>
    <row r="798" spans="1:7" x14ac:dyDescent="0.35">
      <c r="A798" s="98"/>
      <c r="B798" s="98"/>
      <c r="C798" s="98"/>
      <c r="D798" s="247"/>
      <c r="E798" s="98"/>
      <c r="F798" s="98"/>
      <c r="G798" s="99"/>
    </row>
    <row r="799" spans="1:7" x14ac:dyDescent="0.35">
      <c r="A799" s="98"/>
      <c r="B799" s="98"/>
      <c r="C799" s="98"/>
      <c r="D799" s="247"/>
      <c r="E799" s="98"/>
      <c r="F799" s="98"/>
      <c r="G799" s="99"/>
    </row>
    <row r="800" spans="1:7" x14ac:dyDescent="0.35">
      <c r="A800" s="98"/>
      <c r="B800" s="98"/>
      <c r="C800" s="98"/>
      <c r="D800" s="247"/>
      <c r="E800" s="98"/>
      <c r="F800" s="98"/>
      <c r="G800" s="99"/>
    </row>
    <row r="801" spans="1:7" x14ac:dyDescent="0.35">
      <c r="A801" s="98"/>
      <c r="B801" s="98"/>
      <c r="C801" s="98"/>
      <c r="D801" s="247"/>
      <c r="E801" s="98"/>
      <c r="F801" s="98"/>
      <c r="G801" s="99"/>
    </row>
    <row r="802" spans="1:7" x14ac:dyDescent="0.35">
      <c r="A802" s="98"/>
      <c r="B802" s="98"/>
      <c r="C802" s="98"/>
      <c r="D802" s="247"/>
      <c r="E802" s="98"/>
      <c r="F802" s="98"/>
      <c r="G802" s="99"/>
    </row>
    <row r="803" spans="1:7" x14ac:dyDescent="0.35">
      <c r="A803" s="98"/>
      <c r="B803" s="98"/>
      <c r="C803" s="98"/>
      <c r="D803" s="247"/>
      <c r="E803" s="98"/>
      <c r="F803" s="98"/>
      <c r="G803" s="99"/>
    </row>
    <row r="804" spans="1:7" x14ac:dyDescent="0.35">
      <c r="A804" s="98"/>
      <c r="B804" s="98"/>
      <c r="C804" s="98"/>
      <c r="D804" s="247"/>
      <c r="E804" s="98"/>
      <c r="F804" s="98"/>
      <c r="G804" s="99"/>
    </row>
    <row r="805" spans="1:7" x14ac:dyDescent="0.35">
      <c r="A805" s="98"/>
      <c r="B805" s="98"/>
      <c r="C805" s="98"/>
      <c r="D805" s="247"/>
      <c r="E805" s="98"/>
      <c r="F805" s="98"/>
      <c r="G805" s="99"/>
    </row>
    <row r="806" spans="1:7" x14ac:dyDescent="0.35">
      <c r="A806" s="98"/>
      <c r="B806" s="98"/>
      <c r="C806" s="98"/>
      <c r="D806" s="247"/>
      <c r="E806" s="98"/>
      <c r="F806" s="98"/>
      <c r="G806" s="99"/>
    </row>
    <row r="807" spans="1:7" x14ac:dyDescent="0.35">
      <c r="A807" s="98"/>
      <c r="B807" s="98"/>
      <c r="C807" s="98"/>
      <c r="D807" s="247"/>
      <c r="E807" s="98"/>
      <c r="F807" s="98"/>
      <c r="G807" s="99"/>
    </row>
    <row r="808" spans="1:7" x14ac:dyDescent="0.35">
      <c r="A808" s="98"/>
      <c r="B808" s="98"/>
      <c r="C808" s="98"/>
      <c r="D808" s="247"/>
      <c r="E808" s="98"/>
      <c r="F808" s="98"/>
      <c r="G808" s="99"/>
    </row>
    <row r="809" spans="1:7" x14ac:dyDescent="0.35">
      <c r="A809" s="98"/>
      <c r="B809" s="98"/>
      <c r="C809" s="98"/>
      <c r="D809" s="247"/>
      <c r="E809" s="98"/>
      <c r="F809" s="98"/>
      <c r="G809" s="99"/>
    </row>
    <row r="810" spans="1:7" x14ac:dyDescent="0.35">
      <c r="A810" s="98"/>
      <c r="B810" s="98"/>
      <c r="C810" s="98"/>
      <c r="D810" s="247"/>
      <c r="E810" s="98"/>
      <c r="F810" s="98"/>
      <c r="G810" s="99"/>
    </row>
    <row r="811" spans="1:7" x14ac:dyDescent="0.35">
      <c r="A811" s="98"/>
      <c r="B811" s="98"/>
      <c r="C811" s="98"/>
      <c r="D811" s="247"/>
      <c r="E811" s="98"/>
      <c r="F811" s="98"/>
      <c r="G811" s="99"/>
    </row>
    <row r="812" spans="1:7" x14ac:dyDescent="0.35">
      <c r="A812" s="98"/>
      <c r="B812" s="98"/>
      <c r="C812" s="98"/>
      <c r="D812" s="247"/>
      <c r="E812" s="98"/>
      <c r="F812" s="98"/>
      <c r="G812" s="99"/>
    </row>
    <row r="813" spans="1:7" x14ac:dyDescent="0.35">
      <c r="A813" s="98"/>
      <c r="B813" s="98"/>
      <c r="C813" s="98"/>
      <c r="D813" s="247"/>
      <c r="E813" s="98"/>
      <c r="F813" s="98"/>
      <c r="G813" s="99"/>
    </row>
    <row r="814" spans="1:7" x14ac:dyDescent="0.35">
      <c r="A814" s="98"/>
      <c r="B814" s="98"/>
      <c r="C814" s="98"/>
      <c r="D814" s="247"/>
      <c r="E814" s="98"/>
      <c r="F814" s="98"/>
      <c r="G814" s="99"/>
    </row>
    <row r="815" spans="1:7" x14ac:dyDescent="0.35">
      <c r="A815" s="98"/>
      <c r="B815" s="98"/>
      <c r="C815" s="98"/>
      <c r="D815" s="247"/>
      <c r="E815" s="98"/>
      <c r="F815" s="98"/>
      <c r="G815" s="99"/>
    </row>
    <row r="816" spans="1:7" x14ac:dyDescent="0.35">
      <c r="A816" s="98"/>
      <c r="B816" s="98"/>
      <c r="C816" s="98"/>
      <c r="D816" s="247"/>
      <c r="E816" s="98"/>
      <c r="F816" s="98"/>
      <c r="G816" s="99"/>
    </row>
    <row r="817" spans="1:7" x14ac:dyDescent="0.35">
      <c r="A817" s="98"/>
      <c r="B817" s="98"/>
      <c r="C817" s="98"/>
      <c r="D817" s="247"/>
      <c r="E817" s="98"/>
      <c r="F817" s="98"/>
      <c r="G817" s="99"/>
    </row>
    <row r="818" spans="1:7" x14ac:dyDescent="0.35">
      <c r="A818" s="98"/>
      <c r="B818" s="98"/>
      <c r="C818" s="98"/>
      <c r="D818" s="247"/>
      <c r="E818" s="98"/>
      <c r="F818" s="98"/>
      <c r="G818" s="99"/>
    </row>
    <row r="819" spans="1:7" x14ac:dyDescent="0.35">
      <c r="A819" s="98"/>
      <c r="B819" s="98"/>
      <c r="C819" s="98"/>
      <c r="D819" s="247"/>
      <c r="E819" s="98"/>
      <c r="F819" s="98"/>
      <c r="G819" s="99"/>
    </row>
    <row r="820" spans="1:7" x14ac:dyDescent="0.35">
      <c r="A820" s="98"/>
      <c r="B820" s="98"/>
      <c r="C820" s="98"/>
      <c r="D820" s="247"/>
      <c r="E820" s="98"/>
      <c r="F820" s="98"/>
      <c r="G820" s="99"/>
    </row>
    <row r="821" spans="1:7" x14ac:dyDescent="0.35">
      <c r="A821" s="98"/>
      <c r="B821" s="98"/>
      <c r="C821" s="98"/>
      <c r="D821" s="247"/>
      <c r="E821" s="98"/>
      <c r="F821" s="98"/>
      <c r="G821" s="99"/>
    </row>
    <row r="822" spans="1:7" x14ac:dyDescent="0.35">
      <c r="A822" s="98"/>
      <c r="B822" s="98"/>
      <c r="C822" s="98"/>
      <c r="D822" s="247"/>
      <c r="E822" s="98"/>
      <c r="F822" s="98"/>
      <c r="G822" s="99"/>
    </row>
    <row r="823" spans="1:7" x14ac:dyDescent="0.35">
      <c r="A823" s="98"/>
      <c r="B823" s="98"/>
      <c r="C823" s="98"/>
      <c r="D823" s="247"/>
      <c r="E823" s="98"/>
      <c r="F823" s="98"/>
      <c r="G823" s="99"/>
    </row>
    <row r="824" spans="1:7" x14ac:dyDescent="0.35">
      <c r="A824" s="98"/>
      <c r="B824" s="98"/>
      <c r="C824" s="98"/>
      <c r="D824" s="247"/>
      <c r="E824" s="98"/>
      <c r="F824" s="98"/>
      <c r="G824" s="99"/>
    </row>
    <row r="825" spans="1:7" x14ac:dyDescent="0.35">
      <c r="A825" s="98"/>
      <c r="B825" s="98"/>
      <c r="C825" s="98"/>
      <c r="D825" s="247"/>
      <c r="E825" s="98"/>
      <c r="F825" s="98"/>
      <c r="G825" s="99"/>
    </row>
    <row r="826" spans="1:7" x14ac:dyDescent="0.35">
      <c r="A826" s="98"/>
      <c r="B826" s="98"/>
      <c r="C826" s="98"/>
      <c r="D826" s="247"/>
      <c r="E826" s="98"/>
      <c r="F826" s="98"/>
      <c r="G826" s="99"/>
    </row>
    <row r="827" spans="1:7" x14ac:dyDescent="0.35">
      <c r="A827" s="98"/>
      <c r="B827" s="98"/>
      <c r="C827" s="98"/>
      <c r="D827" s="247"/>
      <c r="E827" s="98"/>
      <c r="F827" s="98"/>
      <c r="G827" s="99"/>
    </row>
    <row r="828" spans="1:7" x14ac:dyDescent="0.35">
      <c r="A828" s="98"/>
      <c r="B828" s="98"/>
      <c r="C828" s="98"/>
      <c r="D828" s="247"/>
      <c r="E828" s="98"/>
      <c r="F828" s="98"/>
      <c r="G828" s="99"/>
    </row>
    <row r="829" spans="1:7" x14ac:dyDescent="0.35">
      <c r="A829" s="98"/>
      <c r="B829" s="98"/>
      <c r="C829" s="98"/>
      <c r="D829" s="247"/>
      <c r="E829" s="98"/>
      <c r="F829" s="98"/>
      <c r="G829" s="99"/>
    </row>
    <row r="830" spans="1:7" x14ac:dyDescent="0.35">
      <c r="A830" s="98"/>
      <c r="B830" s="98"/>
      <c r="C830" s="98"/>
      <c r="D830" s="247"/>
      <c r="E830" s="98"/>
      <c r="F830" s="98"/>
      <c r="G830" s="99"/>
    </row>
    <row r="831" spans="1:7" x14ac:dyDescent="0.35">
      <c r="A831" s="98"/>
      <c r="B831" s="98"/>
      <c r="C831" s="98"/>
      <c r="D831" s="247"/>
      <c r="E831" s="98"/>
      <c r="F831" s="98"/>
      <c r="G831" s="99"/>
    </row>
    <row r="832" spans="1:7" x14ac:dyDescent="0.35">
      <c r="A832" s="98"/>
      <c r="B832" s="98"/>
      <c r="C832" s="98"/>
      <c r="D832" s="247"/>
      <c r="E832" s="98"/>
      <c r="F832" s="98"/>
      <c r="G832" s="99"/>
    </row>
    <row r="833" spans="1:7" x14ac:dyDescent="0.35">
      <c r="A833" s="98"/>
      <c r="B833" s="98"/>
      <c r="C833" s="98"/>
      <c r="D833" s="247"/>
      <c r="E833" s="98"/>
      <c r="F833" s="98"/>
      <c r="G833" s="99"/>
    </row>
    <row r="834" spans="1:7" x14ac:dyDescent="0.35">
      <c r="A834" s="98"/>
      <c r="B834" s="98"/>
      <c r="C834" s="98"/>
      <c r="D834" s="247"/>
      <c r="E834" s="98"/>
      <c r="F834" s="98"/>
      <c r="G834" s="99"/>
    </row>
    <row r="835" spans="1:7" x14ac:dyDescent="0.35">
      <c r="A835" s="98"/>
      <c r="B835" s="98"/>
      <c r="C835" s="98"/>
      <c r="D835" s="247"/>
      <c r="E835" s="98"/>
      <c r="F835" s="98"/>
      <c r="G835" s="99"/>
    </row>
    <row r="836" spans="1:7" x14ac:dyDescent="0.35">
      <c r="A836" s="98"/>
      <c r="B836" s="98"/>
      <c r="C836" s="98"/>
      <c r="D836" s="247"/>
      <c r="E836" s="98"/>
      <c r="F836" s="98"/>
      <c r="G836" s="99"/>
    </row>
    <row r="837" spans="1:7" x14ac:dyDescent="0.35">
      <c r="A837" s="98"/>
      <c r="B837" s="98"/>
      <c r="C837" s="98"/>
      <c r="D837" s="247"/>
      <c r="E837" s="98"/>
      <c r="F837" s="98"/>
      <c r="G837" s="99"/>
    </row>
    <row r="838" spans="1:7" x14ac:dyDescent="0.35">
      <c r="A838" s="98"/>
      <c r="B838" s="98"/>
      <c r="C838" s="98"/>
      <c r="D838" s="247"/>
      <c r="E838" s="98"/>
      <c r="F838" s="98"/>
      <c r="G838" s="99"/>
    </row>
    <row r="839" spans="1:7" x14ac:dyDescent="0.35">
      <c r="A839" s="98"/>
      <c r="B839" s="98"/>
      <c r="C839" s="98"/>
      <c r="D839" s="247"/>
      <c r="E839" s="98"/>
      <c r="F839" s="98"/>
      <c r="G839" s="99"/>
    </row>
    <row r="840" spans="1:7" x14ac:dyDescent="0.35">
      <c r="A840" s="98"/>
      <c r="B840" s="98"/>
      <c r="C840" s="98"/>
      <c r="D840" s="247"/>
      <c r="E840" s="98"/>
      <c r="F840" s="98"/>
      <c r="G840" s="99"/>
    </row>
    <row r="841" spans="1:7" x14ac:dyDescent="0.35">
      <c r="A841" s="98"/>
      <c r="B841" s="98"/>
      <c r="C841" s="98"/>
      <c r="D841" s="247"/>
      <c r="E841" s="98"/>
      <c r="F841" s="98"/>
      <c r="G841" s="99"/>
    </row>
    <row r="842" spans="1:7" x14ac:dyDescent="0.35">
      <c r="A842" s="98"/>
      <c r="B842" s="98"/>
      <c r="C842" s="98"/>
      <c r="D842" s="247"/>
      <c r="E842" s="98"/>
      <c r="F842" s="98"/>
      <c r="G842" s="99"/>
    </row>
    <row r="843" spans="1:7" x14ac:dyDescent="0.35">
      <c r="A843" s="98"/>
      <c r="B843" s="98"/>
      <c r="C843" s="98"/>
      <c r="D843" s="247"/>
      <c r="E843" s="98"/>
      <c r="F843" s="98"/>
      <c r="G843" s="99"/>
    </row>
    <row r="844" spans="1:7" x14ac:dyDescent="0.35">
      <c r="A844" s="98"/>
      <c r="B844" s="98"/>
      <c r="C844" s="98"/>
      <c r="D844" s="247"/>
      <c r="E844" s="98"/>
      <c r="F844" s="98"/>
      <c r="G844" s="99"/>
    </row>
    <row r="845" spans="1:7" x14ac:dyDescent="0.35">
      <c r="A845" s="98"/>
      <c r="B845" s="98"/>
      <c r="C845" s="98"/>
      <c r="D845" s="247"/>
      <c r="E845" s="98"/>
      <c r="F845" s="98"/>
      <c r="G845" s="99"/>
    </row>
    <row r="846" spans="1:7" x14ac:dyDescent="0.35">
      <c r="A846" s="98"/>
      <c r="B846" s="98"/>
      <c r="C846" s="98"/>
      <c r="D846" s="247"/>
      <c r="E846" s="98"/>
      <c r="F846" s="98"/>
      <c r="G846" s="99"/>
    </row>
    <row r="847" spans="1:7" x14ac:dyDescent="0.35">
      <c r="A847" s="98"/>
      <c r="B847" s="98"/>
      <c r="C847" s="98"/>
      <c r="D847" s="247"/>
      <c r="E847" s="98"/>
      <c r="F847" s="98"/>
      <c r="G847" s="99"/>
    </row>
    <row r="848" spans="1:7" x14ac:dyDescent="0.35">
      <c r="A848" s="98"/>
      <c r="B848" s="98"/>
      <c r="C848" s="98"/>
      <c r="D848" s="247"/>
      <c r="E848" s="98"/>
      <c r="F848" s="98"/>
      <c r="G848" s="99"/>
    </row>
    <row r="849" spans="1:7" x14ac:dyDescent="0.35">
      <c r="A849" s="98"/>
      <c r="B849" s="98"/>
      <c r="C849" s="98"/>
      <c r="D849" s="247"/>
      <c r="E849" s="98"/>
      <c r="F849" s="98"/>
      <c r="G849" s="99"/>
    </row>
    <row r="850" spans="1:7" x14ac:dyDescent="0.35">
      <c r="A850" s="98"/>
      <c r="B850" s="98"/>
      <c r="C850" s="98"/>
      <c r="D850" s="247"/>
      <c r="E850" s="98"/>
      <c r="F850" s="98"/>
      <c r="G850" s="99"/>
    </row>
    <row r="851" spans="1:7" x14ac:dyDescent="0.35">
      <c r="A851" s="98"/>
      <c r="B851" s="98"/>
      <c r="C851" s="98"/>
      <c r="D851" s="247"/>
      <c r="E851" s="98"/>
      <c r="F851" s="98"/>
      <c r="G851" s="99"/>
    </row>
    <row r="852" spans="1:7" x14ac:dyDescent="0.35">
      <c r="A852" s="98"/>
      <c r="B852" s="98"/>
      <c r="C852" s="98"/>
      <c r="D852" s="247"/>
      <c r="E852" s="98"/>
      <c r="F852" s="98"/>
      <c r="G852" s="99"/>
    </row>
    <row r="853" spans="1:7" x14ac:dyDescent="0.35">
      <c r="A853" s="98"/>
      <c r="B853" s="98"/>
      <c r="C853" s="98"/>
      <c r="D853" s="247"/>
      <c r="E853" s="98"/>
      <c r="F853" s="98"/>
      <c r="G853" s="99"/>
    </row>
    <row r="854" spans="1:7" x14ac:dyDescent="0.35">
      <c r="A854" s="98"/>
      <c r="B854" s="98"/>
      <c r="C854" s="98"/>
      <c r="D854" s="247"/>
      <c r="E854" s="98"/>
      <c r="F854" s="98"/>
      <c r="G854" s="99"/>
    </row>
    <row r="855" spans="1:7" x14ac:dyDescent="0.35">
      <c r="A855" s="98"/>
      <c r="B855" s="98"/>
      <c r="C855" s="98"/>
      <c r="D855" s="247"/>
      <c r="E855" s="98"/>
      <c r="F855" s="98"/>
      <c r="G855" s="99"/>
    </row>
    <row r="856" spans="1:7" x14ac:dyDescent="0.35">
      <c r="A856" s="98"/>
      <c r="B856" s="98"/>
      <c r="C856" s="98"/>
      <c r="D856" s="247"/>
      <c r="E856" s="98"/>
      <c r="F856" s="98"/>
      <c r="G856" s="99"/>
    </row>
    <row r="857" spans="1:7" x14ac:dyDescent="0.35">
      <c r="A857" s="98"/>
      <c r="B857" s="98"/>
      <c r="C857" s="98"/>
      <c r="D857" s="247"/>
      <c r="E857" s="98"/>
      <c r="F857" s="98"/>
      <c r="G857" s="99"/>
    </row>
    <row r="858" spans="1:7" x14ac:dyDescent="0.35">
      <c r="A858" s="98"/>
      <c r="B858" s="98"/>
      <c r="C858" s="98"/>
      <c r="D858" s="247"/>
      <c r="E858" s="98"/>
      <c r="F858" s="98"/>
      <c r="G858" s="99"/>
    </row>
    <row r="859" spans="1:7" x14ac:dyDescent="0.35">
      <c r="A859" s="98"/>
      <c r="B859" s="98"/>
      <c r="C859" s="98"/>
      <c r="D859" s="247"/>
      <c r="E859" s="98"/>
      <c r="F859" s="98"/>
      <c r="G859" s="99"/>
    </row>
    <row r="860" spans="1:7" x14ac:dyDescent="0.35">
      <c r="A860" s="98"/>
      <c r="B860" s="98"/>
      <c r="C860" s="98"/>
      <c r="D860" s="247"/>
      <c r="E860" s="98"/>
      <c r="F860" s="98"/>
      <c r="G860" s="99"/>
    </row>
    <row r="861" spans="1:7" x14ac:dyDescent="0.35">
      <c r="A861" s="98"/>
      <c r="B861" s="98"/>
      <c r="C861" s="98"/>
      <c r="D861" s="247"/>
      <c r="E861" s="98"/>
      <c r="F861" s="98"/>
      <c r="G861" s="99"/>
    </row>
    <row r="862" spans="1:7" x14ac:dyDescent="0.35">
      <c r="A862" s="98"/>
      <c r="B862" s="98"/>
      <c r="C862" s="98"/>
      <c r="D862" s="247"/>
      <c r="E862" s="98"/>
      <c r="F862" s="98"/>
      <c r="G862" s="99"/>
    </row>
    <row r="863" spans="1:7" x14ac:dyDescent="0.35">
      <c r="A863" s="98"/>
      <c r="B863" s="98"/>
      <c r="C863" s="98"/>
      <c r="D863" s="247"/>
      <c r="E863" s="98"/>
      <c r="F863" s="98"/>
      <c r="G863" s="99"/>
    </row>
    <row r="864" spans="1:7" x14ac:dyDescent="0.35">
      <c r="A864" s="98"/>
      <c r="B864" s="98"/>
      <c r="C864" s="98"/>
      <c r="D864" s="247"/>
      <c r="E864" s="98"/>
      <c r="F864" s="98"/>
      <c r="G864" s="99"/>
    </row>
    <row r="865" spans="1:7" x14ac:dyDescent="0.35">
      <c r="A865" s="98"/>
      <c r="B865" s="98"/>
      <c r="C865" s="98"/>
      <c r="D865" s="247"/>
      <c r="E865" s="98"/>
      <c r="F865" s="98"/>
      <c r="G865" s="99"/>
    </row>
    <row r="866" spans="1:7" x14ac:dyDescent="0.35">
      <c r="A866" s="98"/>
      <c r="B866" s="98"/>
      <c r="C866" s="98"/>
      <c r="D866" s="247"/>
      <c r="E866" s="98"/>
      <c r="F866" s="98"/>
      <c r="G866" s="99"/>
    </row>
    <row r="867" spans="1:7" x14ac:dyDescent="0.35">
      <c r="A867" s="98"/>
      <c r="B867" s="98"/>
      <c r="C867" s="98"/>
      <c r="D867" s="247"/>
      <c r="E867" s="98"/>
      <c r="F867" s="98"/>
      <c r="G867" s="99"/>
    </row>
    <row r="868" spans="1:7" x14ac:dyDescent="0.35">
      <c r="A868" s="98"/>
      <c r="B868" s="98"/>
      <c r="C868" s="98"/>
      <c r="D868" s="247"/>
      <c r="E868" s="98"/>
      <c r="F868" s="98"/>
      <c r="G868" s="99"/>
    </row>
    <row r="869" spans="1:7" x14ac:dyDescent="0.35">
      <c r="A869" s="98"/>
      <c r="B869" s="98"/>
      <c r="C869" s="98"/>
      <c r="D869" s="247"/>
      <c r="E869" s="98"/>
      <c r="F869" s="98"/>
      <c r="G869" s="99"/>
    </row>
    <row r="870" spans="1:7" x14ac:dyDescent="0.35">
      <c r="A870" s="98"/>
      <c r="B870" s="98"/>
      <c r="C870" s="98"/>
      <c r="D870" s="247"/>
      <c r="E870" s="98"/>
      <c r="F870" s="98"/>
      <c r="G870" s="99"/>
    </row>
    <row r="871" spans="1:7" x14ac:dyDescent="0.35">
      <c r="A871" s="98"/>
      <c r="B871" s="98"/>
      <c r="C871" s="98"/>
      <c r="D871" s="247"/>
      <c r="E871" s="98"/>
      <c r="F871" s="98"/>
      <c r="G871" s="99"/>
    </row>
    <row r="872" spans="1:7" x14ac:dyDescent="0.35">
      <c r="A872" s="98"/>
      <c r="B872" s="98"/>
      <c r="C872" s="98"/>
      <c r="D872" s="247"/>
      <c r="E872" s="98"/>
      <c r="F872" s="98"/>
      <c r="G872" s="99"/>
    </row>
    <row r="873" spans="1:7" x14ac:dyDescent="0.35">
      <c r="A873" s="98"/>
      <c r="B873" s="98"/>
      <c r="C873" s="98"/>
      <c r="D873" s="247"/>
      <c r="E873" s="98"/>
      <c r="F873" s="98"/>
      <c r="G873" s="99"/>
    </row>
    <row r="874" spans="1:7" x14ac:dyDescent="0.35">
      <c r="A874" s="98"/>
      <c r="B874" s="98"/>
      <c r="C874" s="98"/>
      <c r="D874" s="247"/>
      <c r="E874" s="98"/>
      <c r="F874" s="98"/>
      <c r="G874" s="99"/>
    </row>
    <row r="875" spans="1:7" x14ac:dyDescent="0.35">
      <c r="A875" s="98"/>
      <c r="B875" s="98"/>
      <c r="C875" s="98"/>
      <c r="D875" s="247"/>
      <c r="E875" s="98"/>
      <c r="F875" s="98"/>
      <c r="G875" s="99"/>
    </row>
    <row r="876" spans="1:7" x14ac:dyDescent="0.35">
      <c r="A876" s="98"/>
      <c r="B876" s="98"/>
      <c r="C876" s="98"/>
      <c r="D876" s="247"/>
      <c r="E876" s="98"/>
      <c r="F876" s="98"/>
      <c r="G876" s="99"/>
    </row>
    <row r="877" spans="1:7" x14ac:dyDescent="0.35">
      <c r="A877" s="98"/>
      <c r="B877" s="98"/>
      <c r="C877" s="98"/>
      <c r="D877" s="247"/>
      <c r="E877" s="98"/>
      <c r="F877" s="98"/>
      <c r="G877" s="99"/>
    </row>
    <row r="878" spans="1:7" x14ac:dyDescent="0.35">
      <c r="A878" s="98"/>
      <c r="B878" s="98"/>
      <c r="C878" s="98"/>
      <c r="D878" s="247"/>
      <c r="E878" s="98"/>
      <c r="F878" s="98"/>
      <c r="G878" s="99"/>
    </row>
    <row r="879" spans="1:7" x14ac:dyDescent="0.35">
      <c r="A879" s="98"/>
      <c r="B879" s="98"/>
      <c r="C879" s="98"/>
      <c r="D879" s="247"/>
      <c r="E879" s="98"/>
      <c r="F879" s="98"/>
      <c r="G879" s="99"/>
    </row>
    <row r="880" spans="1:7" x14ac:dyDescent="0.35">
      <c r="A880" s="98"/>
      <c r="B880" s="98"/>
      <c r="C880" s="98"/>
      <c r="D880" s="247"/>
      <c r="E880" s="98"/>
      <c r="F880" s="98"/>
      <c r="G880" s="99"/>
    </row>
    <row r="881" spans="1:7" x14ac:dyDescent="0.35">
      <c r="A881" s="98"/>
      <c r="B881" s="98"/>
      <c r="C881" s="98"/>
      <c r="D881" s="247"/>
      <c r="E881" s="98"/>
      <c r="F881" s="98"/>
      <c r="G881" s="99"/>
    </row>
    <row r="882" spans="1:7" x14ac:dyDescent="0.35">
      <c r="A882" s="98"/>
      <c r="B882" s="98"/>
      <c r="C882" s="98"/>
      <c r="D882" s="247"/>
      <c r="E882" s="98"/>
      <c r="F882" s="98"/>
      <c r="G882" s="99"/>
    </row>
    <row r="883" spans="1:7" x14ac:dyDescent="0.35">
      <c r="A883" s="98"/>
      <c r="B883" s="98"/>
      <c r="C883" s="98"/>
      <c r="D883" s="247"/>
      <c r="E883" s="98"/>
      <c r="F883" s="98"/>
      <c r="G883" s="99"/>
    </row>
    <row r="884" spans="1:7" x14ac:dyDescent="0.35">
      <c r="A884" s="98"/>
      <c r="B884" s="98"/>
      <c r="C884" s="98"/>
      <c r="D884" s="247"/>
      <c r="E884" s="98"/>
      <c r="F884" s="98"/>
      <c r="G884" s="99"/>
    </row>
    <row r="885" spans="1:7" x14ac:dyDescent="0.35">
      <c r="A885" s="98"/>
      <c r="B885" s="98"/>
      <c r="C885" s="98"/>
      <c r="D885" s="247"/>
      <c r="E885" s="98"/>
      <c r="F885" s="98"/>
      <c r="G885" s="99"/>
    </row>
    <row r="886" spans="1:7" x14ac:dyDescent="0.35">
      <c r="A886" s="98"/>
      <c r="B886" s="98"/>
      <c r="C886" s="98"/>
      <c r="D886" s="247"/>
      <c r="E886" s="98"/>
      <c r="F886" s="98"/>
      <c r="G886" s="99"/>
    </row>
    <row r="887" spans="1:7" x14ac:dyDescent="0.35">
      <c r="A887" s="98"/>
      <c r="B887" s="98"/>
      <c r="C887" s="98"/>
      <c r="D887" s="247"/>
      <c r="E887" s="98"/>
      <c r="F887" s="98"/>
      <c r="G887" s="99"/>
    </row>
    <row r="888" spans="1:7" x14ac:dyDescent="0.35">
      <c r="A888" s="98"/>
      <c r="B888" s="98"/>
      <c r="C888" s="98"/>
      <c r="D888" s="247"/>
      <c r="E888" s="98"/>
      <c r="F888" s="98"/>
      <c r="G888" s="99"/>
    </row>
    <row r="889" spans="1:7" x14ac:dyDescent="0.35">
      <c r="A889" s="98"/>
      <c r="B889" s="98"/>
      <c r="C889" s="98"/>
      <c r="D889" s="247"/>
      <c r="E889" s="98"/>
      <c r="F889" s="98"/>
      <c r="G889" s="99"/>
    </row>
    <row r="890" spans="1:7" x14ac:dyDescent="0.35">
      <c r="A890" s="98"/>
      <c r="B890" s="98"/>
      <c r="C890" s="98"/>
      <c r="D890" s="247"/>
      <c r="E890" s="98"/>
      <c r="F890" s="98"/>
      <c r="G890" s="99"/>
    </row>
    <row r="891" spans="1:7" x14ac:dyDescent="0.35">
      <c r="A891" s="98"/>
      <c r="B891" s="98"/>
      <c r="C891" s="98"/>
      <c r="D891" s="247"/>
      <c r="E891" s="98"/>
      <c r="F891" s="98"/>
      <c r="G891" s="99"/>
    </row>
    <row r="892" spans="1:7" x14ac:dyDescent="0.35">
      <c r="A892" s="98"/>
      <c r="B892" s="98"/>
      <c r="C892" s="98"/>
      <c r="D892" s="247"/>
      <c r="E892" s="98"/>
      <c r="F892" s="98"/>
      <c r="G892" s="99"/>
    </row>
    <row r="893" spans="1:7" x14ac:dyDescent="0.35">
      <c r="A893" s="98"/>
      <c r="B893" s="98"/>
      <c r="C893" s="98"/>
      <c r="D893" s="247"/>
      <c r="E893" s="98"/>
      <c r="F893" s="98"/>
      <c r="G893" s="99"/>
    </row>
    <row r="894" spans="1:7" x14ac:dyDescent="0.35">
      <c r="A894" s="98"/>
      <c r="B894" s="98"/>
      <c r="C894" s="98"/>
      <c r="D894" s="247"/>
      <c r="E894" s="98"/>
      <c r="F894" s="98"/>
      <c r="G894" s="99"/>
    </row>
    <row r="895" spans="1:7" x14ac:dyDescent="0.35">
      <c r="A895" s="98"/>
      <c r="B895" s="98"/>
      <c r="C895" s="98"/>
      <c r="D895" s="247"/>
      <c r="E895" s="98"/>
      <c r="F895" s="98"/>
      <c r="G895" s="99"/>
    </row>
    <row r="896" spans="1:7" x14ac:dyDescent="0.35">
      <c r="A896" s="98"/>
      <c r="B896" s="98"/>
      <c r="C896" s="98"/>
      <c r="D896" s="247"/>
      <c r="E896" s="98"/>
      <c r="F896" s="98"/>
      <c r="G896" s="99"/>
    </row>
    <row r="897" spans="1:7" x14ac:dyDescent="0.35">
      <c r="A897" s="98"/>
      <c r="B897" s="98"/>
      <c r="C897" s="98"/>
      <c r="D897" s="247"/>
      <c r="E897" s="98"/>
      <c r="F897" s="98"/>
      <c r="G897" s="99"/>
    </row>
    <row r="898" spans="1:7" x14ac:dyDescent="0.35">
      <c r="A898" s="98"/>
      <c r="B898" s="98"/>
      <c r="C898" s="98"/>
      <c r="D898" s="247"/>
      <c r="E898" s="98"/>
      <c r="F898" s="98"/>
      <c r="G898" s="99"/>
    </row>
    <row r="899" spans="1:7" x14ac:dyDescent="0.35">
      <c r="A899" s="98"/>
      <c r="B899" s="98"/>
      <c r="C899" s="98"/>
      <c r="D899" s="247"/>
      <c r="E899" s="98"/>
      <c r="F899" s="98"/>
      <c r="G899" s="99"/>
    </row>
    <row r="900" spans="1:7" x14ac:dyDescent="0.35">
      <c r="A900" s="98"/>
      <c r="B900" s="98"/>
      <c r="C900" s="98"/>
      <c r="D900" s="247"/>
      <c r="E900" s="98"/>
      <c r="F900" s="98"/>
      <c r="G900" s="99"/>
    </row>
    <row r="901" spans="1:7" x14ac:dyDescent="0.35">
      <c r="A901" s="98"/>
      <c r="B901" s="98"/>
      <c r="C901" s="98"/>
      <c r="D901" s="247"/>
      <c r="E901" s="98"/>
      <c r="F901" s="98"/>
      <c r="G901" s="99"/>
    </row>
    <row r="902" spans="1:7" x14ac:dyDescent="0.35">
      <c r="A902" s="98"/>
      <c r="B902" s="98"/>
      <c r="C902" s="98"/>
      <c r="D902" s="247"/>
      <c r="E902" s="98"/>
      <c r="F902" s="98"/>
      <c r="G902" s="99"/>
    </row>
    <row r="903" spans="1:7" x14ac:dyDescent="0.35">
      <c r="A903" s="98"/>
      <c r="B903" s="98"/>
      <c r="C903" s="98"/>
      <c r="D903" s="247"/>
      <c r="E903" s="98"/>
      <c r="F903" s="98"/>
      <c r="G903" s="99"/>
    </row>
    <row r="904" spans="1:7" x14ac:dyDescent="0.35">
      <c r="A904" s="98"/>
      <c r="B904" s="98"/>
      <c r="C904" s="98"/>
      <c r="D904" s="247"/>
      <c r="E904" s="98"/>
      <c r="F904" s="98"/>
      <c r="G904" s="99"/>
    </row>
    <row r="905" spans="1:7" x14ac:dyDescent="0.35">
      <c r="A905" s="98"/>
      <c r="B905" s="98"/>
      <c r="C905" s="98"/>
      <c r="D905" s="247"/>
      <c r="E905" s="98"/>
      <c r="F905" s="98"/>
      <c r="G905" s="99"/>
    </row>
    <row r="906" spans="1:7" x14ac:dyDescent="0.35">
      <c r="A906" s="98"/>
      <c r="B906" s="98"/>
      <c r="C906" s="98"/>
      <c r="D906" s="247"/>
      <c r="E906" s="98"/>
      <c r="F906" s="98"/>
      <c r="G906" s="99"/>
    </row>
    <row r="907" spans="1:7" x14ac:dyDescent="0.35">
      <c r="A907" s="98"/>
      <c r="B907" s="98"/>
      <c r="C907" s="98"/>
      <c r="D907" s="247"/>
      <c r="E907" s="98"/>
      <c r="F907" s="98"/>
      <c r="G907" s="99"/>
    </row>
    <row r="908" spans="1:7" x14ac:dyDescent="0.35">
      <c r="A908" s="98"/>
      <c r="B908" s="98"/>
      <c r="C908" s="98"/>
      <c r="D908" s="247"/>
      <c r="E908" s="98"/>
      <c r="F908" s="98"/>
      <c r="G908" s="99"/>
    </row>
    <row r="909" spans="1:7" x14ac:dyDescent="0.35">
      <c r="A909" s="98"/>
      <c r="B909" s="98"/>
      <c r="C909" s="98"/>
      <c r="D909" s="247"/>
      <c r="E909" s="98"/>
      <c r="F909" s="98"/>
      <c r="G909" s="99"/>
    </row>
    <row r="910" spans="1:7" x14ac:dyDescent="0.35">
      <c r="A910" s="98"/>
      <c r="B910" s="98"/>
      <c r="C910" s="98"/>
      <c r="D910" s="247"/>
      <c r="E910" s="98"/>
      <c r="F910" s="98"/>
      <c r="G910" s="99"/>
    </row>
    <row r="911" spans="1:7" x14ac:dyDescent="0.35">
      <c r="A911" s="98"/>
      <c r="B911" s="98"/>
      <c r="C911" s="98"/>
      <c r="D911" s="247"/>
      <c r="E911" s="98"/>
      <c r="F911" s="98"/>
      <c r="G911" s="99"/>
    </row>
    <row r="912" spans="1:7" x14ac:dyDescent="0.35">
      <c r="A912" s="98"/>
      <c r="B912" s="98"/>
      <c r="C912" s="98"/>
      <c r="D912" s="247"/>
      <c r="E912" s="98"/>
      <c r="F912" s="98"/>
      <c r="G912" s="99"/>
    </row>
    <row r="913" spans="1:7" x14ac:dyDescent="0.35">
      <c r="A913" s="98"/>
      <c r="B913" s="98"/>
      <c r="C913" s="98"/>
      <c r="D913" s="247"/>
      <c r="E913" s="98"/>
      <c r="F913" s="98"/>
      <c r="G913" s="99"/>
    </row>
    <row r="914" spans="1:7" x14ac:dyDescent="0.35">
      <c r="A914" s="98"/>
      <c r="B914" s="98"/>
      <c r="C914" s="98"/>
      <c r="D914" s="247"/>
      <c r="E914" s="98"/>
      <c r="F914" s="98"/>
      <c r="G914" s="99"/>
    </row>
    <row r="915" spans="1:7" x14ac:dyDescent="0.35">
      <c r="A915" s="98"/>
      <c r="B915" s="98"/>
      <c r="C915" s="98"/>
      <c r="D915" s="247"/>
      <c r="E915" s="98"/>
      <c r="F915" s="98"/>
      <c r="G915" s="99"/>
    </row>
    <row r="916" spans="1:7" x14ac:dyDescent="0.35">
      <c r="A916" s="98"/>
      <c r="B916" s="98"/>
      <c r="C916" s="98"/>
      <c r="D916" s="247"/>
      <c r="E916" s="98"/>
      <c r="F916" s="98"/>
      <c r="G916" s="99"/>
    </row>
    <row r="917" spans="1:7" x14ac:dyDescent="0.35">
      <c r="A917" s="98"/>
      <c r="B917" s="98"/>
      <c r="C917" s="98"/>
      <c r="D917" s="247"/>
      <c r="E917" s="98"/>
      <c r="F917" s="98"/>
      <c r="G917" s="99"/>
    </row>
    <row r="918" spans="1:7" x14ac:dyDescent="0.35">
      <c r="A918" s="98"/>
      <c r="B918" s="98"/>
      <c r="C918" s="98"/>
      <c r="D918" s="247"/>
      <c r="E918" s="98"/>
      <c r="F918" s="98"/>
      <c r="G918" s="99"/>
    </row>
    <row r="919" spans="1:7" x14ac:dyDescent="0.35">
      <c r="A919" s="98"/>
      <c r="B919" s="98"/>
      <c r="C919" s="98"/>
      <c r="D919" s="247"/>
      <c r="E919" s="98"/>
      <c r="F919" s="98"/>
      <c r="G919" s="99"/>
    </row>
    <row r="920" spans="1:7" x14ac:dyDescent="0.35">
      <c r="A920" s="98"/>
      <c r="B920" s="98"/>
      <c r="C920" s="98"/>
      <c r="D920" s="247"/>
      <c r="E920" s="98"/>
      <c r="F920" s="98"/>
      <c r="G920" s="99"/>
    </row>
    <row r="921" spans="1:7" x14ac:dyDescent="0.35">
      <c r="A921" s="98"/>
      <c r="B921" s="98"/>
      <c r="C921" s="98"/>
      <c r="D921" s="247"/>
      <c r="E921" s="98"/>
      <c r="F921" s="98"/>
      <c r="G921" s="99"/>
    </row>
    <row r="922" spans="1:7" x14ac:dyDescent="0.35">
      <c r="A922" s="98"/>
      <c r="B922" s="98"/>
      <c r="C922" s="98"/>
      <c r="D922" s="247"/>
      <c r="E922" s="98"/>
      <c r="F922" s="98"/>
      <c r="G922" s="99"/>
    </row>
    <row r="923" spans="1:7" x14ac:dyDescent="0.35">
      <c r="A923" s="98"/>
      <c r="B923" s="98"/>
      <c r="C923" s="98"/>
      <c r="D923" s="247"/>
      <c r="E923" s="98"/>
      <c r="F923" s="98"/>
      <c r="G923" s="99"/>
    </row>
    <row r="924" spans="1:7" x14ac:dyDescent="0.35">
      <c r="A924" s="98"/>
      <c r="B924" s="98"/>
      <c r="C924" s="98"/>
      <c r="D924" s="247"/>
      <c r="E924" s="98"/>
      <c r="F924" s="98"/>
      <c r="G924" s="99"/>
    </row>
    <row r="925" spans="1:7" x14ac:dyDescent="0.35">
      <c r="A925" s="98"/>
      <c r="B925" s="98"/>
      <c r="C925" s="98"/>
      <c r="D925" s="247"/>
      <c r="E925" s="98"/>
      <c r="F925" s="98"/>
      <c r="G925" s="99"/>
    </row>
    <row r="926" spans="1:7" x14ac:dyDescent="0.35">
      <c r="A926" s="98"/>
      <c r="B926" s="98"/>
      <c r="C926" s="98"/>
      <c r="D926" s="247"/>
      <c r="E926" s="98"/>
      <c r="F926" s="98"/>
      <c r="G926" s="99"/>
    </row>
    <row r="927" spans="1:7" x14ac:dyDescent="0.35">
      <c r="A927" s="98"/>
      <c r="B927" s="98"/>
      <c r="C927" s="98"/>
      <c r="D927" s="247"/>
      <c r="E927" s="98"/>
      <c r="F927" s="98"/>
      <c r="G927" s="99"/>
    </row>
    <row r="928" spans="1:7" x14ac:dyDescent="0.35">
      <c r="A928" s="98"/>
      <c r="B928" s="98"/>
      <c r="C928" s="98"/>
      <c r="D928" s="247"/>
      <c r="E928" s="98"/>
      <c r="F928" s="98"/>
      <c r="G928" s="99"/>
    </row>
    <row r="929" spans="1:7" x14ac:dyDescent="0.35">
      <c r="A929" s="98"/>
      <c r="B929" s="98"/>
      <c r="C929" s="98"/>
      <c r="D929" s="247"/>
      <c r="E929" s="98"/>
      <c r="F929" s="98"/>
      <c r="G929" s="99"/>
    </row>
    <row r="930" spans="1:7" x14ac:dyDescent="0.35">
      <c r="A930" s="98"/>
      <c r="B930" s="98"/>
      <c r="C930" s="98"/>
      <c r="D930" s="247"/>
      <c r="E930" s="98"/>
      <c r="F930" s="98"/>
      <c r="G930" s="99"/>
    </row>
    <row r="931" spans="1:7" x14ac:dyDescent="0.35">
      <c r="A931" s="98"/>
      <c r="B931" s="98"/>
      <c r="C931" s="98"/>
      <c r="D931" s="247"/>
      <c r="E931" s="98"/>
      <c r="F931" s="98"/>
      <c r="G931" s="99"/>
    </row>
    <row r="932" spans="1:7" x14ac:dyDescent="0.35">
      <c r="A932" s="98"/>
      <c r="B932" s="98"/>
      <c r="C932" s="98"/>
      <c r="D932" s="247"/>
      <c r="E932" s="98"/>
      <c r="F932" s="98"/>
      <c r="G932" s="99"/>
    </row>
    <row r="933" spans="1:7" x14ac:dyDescent="0.35">
      <c r="A933" s="98"/>
      <c r="B933" s="98"/>
      <c r="C933" s="98"/>
      <c r="D933" s="247"/>
      <c r="E933" s="98"/>
      <c r="F933" s="98"/>
      <c r="G933" s="99"/>
    </row>
    <row r="934" spans="1:7" x14ac:dyDescent="0.35">
      <c r="A934" s="98"/>
      <c r="B934" s="98"/>
      <c r="C934" s="98"/>
      <c r="D934" s="247"/>
      <c r="E934" s="98"/>
      <c r="F934" s="98"/>
      <c r="G934" s="99"/>
    </row>
    <row r="935" spans="1:7" x14ac:dyDescent="0.35">
      <c r="A935" s="98"/>
      <c r="B935" s="98"/>
      <c r="C935" s="98"/>
      <c r="D935" s="247"/>
      <c r="E935" s="98"/>
      <c r="F935" s="98"/>
      <c r="G935" s="99"/>
    </row>
    <row r="936" spans="1:7" x14ac:dyDescent="0.35">
      <c r="A936" s="98"/>
      <c r="B936" s="98"/>
      <c r="C936" s="98"/>
      <c r="D936" s="247"/>
      <c r="E936" s="98"/>
      <c r="F936" s="98"/>
      <c r="G936" s="99"/>
    </row>
    <row r="937" spans="1:7" x14ac:dyDescent="0.35">
      <c r="A937" s="98"/>
      <c r="B937" s="98"/>
      <c r="C937" s="98"/>
      <c r="D937" s="247"/>
      <c r="E937" s="98"/>
      <c r="F937" s="98"/>
      <c r="G937" s="99"/>
    </row>
    <row r="938" spans="1:7" x14ac:dyDescent="0.35">
      <c r="A938" s="98"/>
      <c r="B938" s="98"/>
      <c r="C938" s="98"/>
      <c r="D938" s="247"/>
      <c r="E938" s="98"/>
      <c r="F938" s="98"/>
      <c r="G938" s="99"/>
    </row>
    <row r="939" spans="1:7" x14ac:dyDescent="0.35">
      <c r="A939" s="98"/>
      <c r="B939" s="98"/>
      <c r="C939" s="98"/>
      <c r="D939" s="247"/>
      <c r="E939" s="98"/>
      <c r="F939" s="98"/>
      <c r="G939" s="99"/>
    </row>
    <row r="940" spans="1:7" x14ac:dyDescent="0.35">
      <c r="A940" s="98"/>
      <c r="B940" s="98"/>
      <c r="C940" s="98"/>
      <c r="D940" s="247"/>
      <c r="E940" s="98"/>
      <c r="F940" s="98"/>
      <c r="G940" s="99"/>
    </row>
    <row r="941" spans="1:7" x14ac:dyDescent="0.35">
      <c r="A941" s="98"/>
      <c r="B941" s="98"/>
      <c r="C941" s="98"/>
      <c r="D941" s="247"/>
      <c r="E941" s="98"/>
      <c r="F941" s="98"/>
      <c r="G941" s="99"/>
    </row>
    <row r="942" spans="1:7" x14ac:dyDescent="0.35">
      <c r="A942" s="98"/>
      <c r="B942" s="98"/>
      <c r="C942" s="98"/>
      <c r="D942" s="247"/>
      <c r="E942" s="98"/>
      <c r="F942" s="98"/>
      <c r="G942" s="99"/>
    </row>
    <row r="943" spans="1:7" x14ac:dyDescent="0.35">
      <c r="A943" s="98"/>
      <c r="B943" s="98"/>
      <c r="C943" s="98"/>
      <c r="D943" s="247"/>
      <c r="E943" s="98"/>
      <c r="F943" s="98"/>
      <c r="G943" s="99"/>
    </row>
    <row r="944" spans="1:7" x14ac:dyDescent="0.35">
      <c r="A944" s="98"/>
      <c r="B944" s="98"/>
      <c r="C944" s="98"/>
      <c r="D944" s="247"/>
      <c r="E944" s="98"/>
      <c r="F944" s="98"/>
      <c r="G944" s="99"/>
    </row>
    <row r="945" spans="1:7" x14ac:dyDescent="0.35">
      <c r="A945" s="98"/>
      <c r="B945" s="98"/>
      <c r="C945" s="98"/>
      <c r="D945" s="247"/>
      <c r="E945" s="98"/>
      <c r="F945" s="98"/>
      <c r="G945" s="99"/>
    </row>
    <row r="946" spans="1:7" x14ac:dyDescent="0.35">
      <c r="A946" s="98"/>
      <c r="B946" s="98"/>
      <c r="C946" s="98"/>
      <c r="D946" s="247"/>
      <c r="E946" s="98"/>
      <c r="F946" s="98"/>
      <c r="G946" s="99"/>
    </row>
    <row r="947" spans="1:7" x14ac:dyDescent="0.35">
      <c r="A947" s="98"/>
      <c r="B947" s="98"/>
      <c r="C947" s="98"/>
      <c r="D947" s="247"/>
      <c r="E947" s="98"/>
      <c r="F947" s="98"/>
      <c r="G947" s="99"/>
    </row>
    <row r="948" spans="1:7" x14ac:dyDescent="0.35">
      <c r="A948" s="98"/>
      <c r="B948" s="98"/>
      <c r="C948" s="98"/>
      <c r="D948" s="247"/>
      <c r="E948" s="98"/>
      <c r="F948" s="98"/>
      <c r="G948" s="99"/>
    </row>
    <row r="949" spans="1:7" x14ac:dyDescent="0.35">
      <c r="A949" s="98"/>
      <c r="B949" s="98"/>
      <c r="C949" s="98"/>
      <c r="D949" s="247"/>
      <c r="E949" s="98"/>
      <c r="F949" s="98"/>
      <c r="G949" s="99"/>
    </row>
    <row r="950" spans="1:7" x14ac:dyDescent="0.35">
      <c r="A950" s="98"/>
      <c r="B950" s="98"/>
      <c r="C950" s="98"/>
      <c r="D950" s="247"/>
      <c r="E950" s="98"/>
      <c r="F950" s="98"/>
      <c r="G950" s="99"/>
    </row>
    <row r="951" spans="1:7" x14ac:dyDescent="0.35">
      <c r="A951" s="98"/>
      <c r="B951" s="98"/>
      <c r="C951" s="98"/>
      <c r="D951" s="247"/>
      <c r="E951" s="98"/>
      <c r="F951" s="98"/>
      <c r="G951" s="99"/>
    </row>
    <row r="952" spans="1:7" x14ac:dyDescent="0.35">
      <c r="A952" s="98"/>
      <c r="B952" s="98"/>
      <c r="C952" s="98"/>
      <c r="D952" s="247"/>
      <c r="E952" s="98"/>
      <c r="F952" s="98"/>
      <c r="G952" s="99"/>
    </row>
    <row r="953" spans="1:7" x14ac:dyDescent="0.35">
      <c r="A953" s="98"/>
      <c r="B953" s="98"/>
      <c r="C953" s="98"/>
      <c r="D953" s="247"/>
      <c r="E953" s="98"/>
      <c r="F953" s="98"/>
      <c r="G953" s="99"/>
    </row>
    <row r="954" spans="1:7" x14ac:dyDescent="0.35">
      <c r="A954" s="98"/>
      <c r="B954" s="98"/>
      <c r="C954" s="98"/>
      <c r="D954" s="247"/>
      <c r="E954" s="98"/>
      <c r="F954" s="98"/>
      <c r="G954" s="99"/>
    </row>
    <row r="955" spans="1:7" x14ac:dyDescent="0.35">
      <c r="A955" s="98"/>
      <c r="B955" s="98"/>
      <c r="C955" s="98"/>
      <c r="D955" s="247"/>
      <c r="E955" s="98"/>
      <c r="F955" s="98"/>
      <c r="G955" s="99"/>
    </row>
    <row r="956" spans="1:7" x14ac:dyDescent="0.35">
      <c r="A956" s="98"/>
      <c r="B956" s="98"/>
      <c r="C956" s="98"/>
      <c r="D956" s="247"/>
      <c r="E956" s="98"/>
      <c r="F956" s="98"/>
      <c r="G956" s="99"/>
    </row>
    <row r="957" spans="1:7" x14ac:dyDescent="0.35">
      <c r="A957" s="98"/>
      <c r="B957" s="98"/>
      <c r="C957" s="98"/>
      <c r="D957" s="247"/>
      <c r="E957" s="98"/>
      <c r="F957" s="98"/>
      <c r="G957" s="99"/>
    </row>
    <row r="958" spans="1:7" x14ac:dyDescent="0.35">
      <c r="A958" s="98"/>
      <c r="B958" s="98"/>
      <c r="C958" s="98"/>
      <c r="D958" s="247"/>
      <c r="E958" s="98"/>
      <c r="F958" s="98"/>
      <c r="G958" s="99"/>
    </row>
    <row r="959" spans="1:7" x14ac:dyDescent="0.35">
      <c r="A959" s="98"/>
      <c r="B959" s="98"/>
      <c r="C959" s="98"/>
      <c r="D959" s="247"/>
      <c r="E959" s="98"/>
      <c r="F959" s="98"/>
      <c r="G959" s="99"/>
    </row>
    <row r="960" spans="1:7" x14ac:dyDescent="0.35">
      <c r="A960" s="98"/>
      <c r="B960" s="98"/>
      <c r="C960" s="98"/>
      <c r="D960" s="247"/>
      <c r="E960" s="98"/>
      <c r="F960" s="98"/>
      <c r="G960" s="99"/>
    </row>
    <row r="961" spans="1:7" x14ac:dyDescent="0.35">
      <c r="A961" s="98"/>
      <c r="B961" s="98"/>
      <c r="C961" s="98"/>
      <c r="D961" s="247"/>
      <c r="E961" s="98"/>
      <c r="F961" s="98"/>
      <c r="G961" s="99"/>
    </row>
    <row r="962" spans="1:7" x14ac:dyDescent="0.35">
      <c r="A962" s="98"/>
      <c r="B962" s="98"/>
      <c r="C962" s="98"/>
      <c r="D962" s="247"/>
      <c r="E962" s="98"/>
      <c r="F962" s="98"/>
      <c r="G962" s="99"/>
    </row>
    <row r="963" spans="1:7" x14ac:dyDescent="0.35">
      <c r="A963" s="98"/>
      <c r="B963" s="98"/>
      <c r="C963" s="98"/>
      <c r="D963" s="247"/>
      <c r="E963" s="98"/>
      <c r="F963" s="98"/>
      <c r="G963" s="99"/>
    </row>
    <row r="964" spans="1:7" x14ac:dyDescent="0.35">
      <c r="A964" s="98"/>
      <c r="B964" s="98"/>
      <c r="C964" s="98"/>
      <c r="D964" s="247"/>
      <c r="E964" s="98"/>
      <c r="F964" s="98"/>
      <c r="G964" s="99"/>
    </row>
    <row r="965" spans="1:7" x14ac:dyDescent="0.35">
      <c r="A965" s="98"/>
      <c r="B965" s="98"/>
      <c r="C965" s="98"/>
      <c r="D965" s="247"/>
      <c r="E965" s="98"/>
      <c r="F965" s="98"/>
      <c r="G965" s="99"/>
    </row>
    <row r="966" spans="1:7" x14ac:dyDescent="0.35">
      <c r="A966" s="98"/>
      <c r="B966" s="98"/>
      <c r="C966" s="98"/>
      <c r="D966" s="247"/>
      <c r="E966" s="98"/>
      <c r="F966" s="98"/>
      <c r="G966" s="99"/>
    </row>
    <row r="967" spans="1:7" x14ac:dyDescent="0.35">
      <c r="A967" s="98"/>
      <c r="B967" s="98"/>
      <c r="C967" s="98"/>
      <c r="D967" s="247"/>
      <c r="E967" s="98"/>
      <c r="F967" s="98"/>
      <c r="G967" s="99"/>
    </row>
    <row r="968" spans="1:7" x14ac:dyDescent="0.35">
      <c r="A968" s="98"/>
      <c r="B968" s="98"/>
      <c r="C968" s="98"/>
      <c r="D968" s="247"/>
      <c r="E968" s="98"/>
      <c r="F968" s="98"/>
      <c r="G968" s="99"/>
    </row>
    <row r="969" spans="1:7" x14ac:dyDescent="0.35">
      <c r="A969" s="98"/>
      <c r="B969" s="98"/>
      <c r="C969" s="98"/>
      <c r="D969" s="247"/>
      <c r="E969" s="98"/>
      <c r="F969" s="98"/>
      <c r="G969" s="99"/>
    </row>
    <row r="970" spans="1:7" x14ac:dyDescent="0.35">
      <c r="A970" s="98"/>
      <c r="B970" s="98"/>
      <c r="C970" s="98"/>
      <c r="D970" s="247"/>
      <c r="E970" s="98"/>
      <c r="F970" s="98"/>
      <c r="G970" s="99"/>
    </row>
    <row r="971" spans="1:7" x14ac:dyDescent="0.35">
      <c r="A971" s="98"/>
      <c r="B971" s="98"/>
      <c r="C971" s="98"/>
      <c r="D971" s="247"/>
      <c r="E971" s="98"/>
      <c r="F971" s="98"/>
      <c r="G971" s="99"/>
    </row>
    <row r="972" spans="1:7" x14ac:dyDescent="0.35">
      <c r="A972" s="98"/>
      <c r="B972" s="98"/>
      <c r="C972" s="98"/>
      <c r="D972" s="247"/>
      <c r="E972" s="98"/>
      <c r="F972" s="98"/>
      <c r="G972" s="99"/>
    </row>
    <row r="973" spans="1:7" x14ac:dyDescent="0.35">
      <c r="A973" s="98"/>
      <c r="B973" s="98"/>
      <c r="C973" s="98"/>
      <c r="D973" s="247"/>
      <c r="E973" s="98"/>
      <c r="F973" s="98"/>
      <c r="G973" s="99"/>
    </row>
    <row r="974" spans="1:7" x14ac:dyDescent="0.35">
      <c r="A974" s="98"/>
      <c r="B974" s="98"/>
      <c r="C974" s="98"/>
      <c r="D974" s="247"/>
      <c r="E974" s="98"/>
      <c r="F974" s="98"/>
      <c r="G974" s="99"/>
    </row>
    <row r="975" spans="1:7" x14ac:dyDescent="0.35">
      <c r="A975" s="98"/>
      <c r="B975" s="98"/>
      <c r="C975" s="98"/>
      <c r="D975" s="247"/>
      <c r="E975" s="98"/>
      <c r="F975" s="98"/>
      <c r="G975" s="99"/>
    </row>
    <row r="976" spans="1:7" x14ac:dyDescent="0.35">
      <c r="A976" s="98"/>
      <c r="B976" s="98"/>
      <c r="C976" s="98"/>
      <c r="D976" s="247"/>
      <c r="E976" s="98"/>
      <c r="F976" s="98"/>
      <c r="G976" s="99"/>
    </row>
    <row r="977" spans="1:7" x14ac:dyDescent="0.35">
      <c r="A977" s="98"/>
      <c r="B977" s="98"/>
      <c r="C977" s="98"/>
      <c r="D977" s="247"/>
      <c r="E977" s="98"/>
      <c r="F977" s="98"/>
      <c r="G977" s="99"/>
    </row>
    <row r="978" spans="1:7" x14ac:dyDescent="0.35">
      <c r="A978" s="98"/>
      <c r="B978" s="98"/>
      <c r="C978" s="98"/>
      <c r="D978" s="247"/>
      <c r="E978" s="98"/>
      <c r="F978" s="98"/>
      <c r="G978" s="99"/>
    </row>
    <row r="979" spans="1:7" x14ac:dyDescent="0.35">
      <c r="A979" s="98"/>
      <c r="B979" s="98"/>
      <c r="C979" s="98"/>
      <c r="D979" s="247"/>
      <c r="E979" s="98"/>
      <c r="F979" s="98"/>
      <c r="G979" s="99"/>
    </row>
    <row r="980" spans="1:7" x14ac:dyDescent="0.35">
      <c r="A980" s="98"/>
      <c r="B980" s="98"/>
      <c r="C980" s="98"/>
      <c r="D980" s="247"/>
      <c r="E980" s="98"/>
      <c r="F980" s="98"/>
      <c r="G980" s="99"/>
    </row>
    <row r="981" spans="1:7" x14ac:dyDescent="0.35">
      <c r="A981" s="98"/>
      <c r="B981" s="98"/>
      <c r="C981" s="98"/>
      <c r="D981" s="247"/>
      <c r="E981" s="98"/>
      <c r="F981" s="98"/>
      <c r="G981" s="99"/>
    </row>
    <row r="982" spans="1:7" x14ac:dyDescent="0.35">
      <c r="A982" s="98"/>
      <c r="B982" s="98"/>
      <c r="C982" s="98"/>
      <c r="D982" s="247"/>
      <c r="E982" s="98"/>
      <c r="F982" s="98"/>
      <c r="G982" s="99"/>
    </row>
    <row r="983" spans="1:7" x14ac:dyDescent="0.35">
      <c r="A983" s="98"/>
      <c r="B983" s="98"/>
      <c r="C983" s="98"/>
      <c r="D983" s="247"/>
      <c r="E983" s="98"/>
      <c r="F983" s="98"/>
      <c r="G983" s="99"/>
    </row>
    <row r="984" spans="1:7" x14ac:dyDescent="0.35">
      <c r="A984" s="98"/>
      <c r="B984" s="98"/>
      <c r="C984" s="98"/>
      <c r="D984" s="247"/>
      <c r="E984" s="98"/>
      <c r="F984" s="98"/>
      <c r="G984" s="99"/>
    </row>
  </sheetData>
  <sheetProtection sheet="1" selectLockedCells="1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>
    <tabColor rgb="FF92D050"/>
  </sheetPr>
  <dimension ref="A1:DY227"/>
  <sheetViews>
    <sheetView topLeftCell="J200" zoomScaleNormal="100" workbookViewId="0">
      <selection activeCell="O212" sqref="O212"/>
    </sheetView>
  </sheetViews>
  <sheetFormatPr defaultColWidth="9.1796875" defaultRowHeight="16" x14ac:dyDescent="0.25"/>
  <cols>
    <col min="1" max="1" width="11.81640625" style="118" customWidth="1"/>
    <col min="2" max="2" width="19.26953125" style="114" bestFit="1" customWidth="1"/>
    <col min="3" max="3" width="7.81640625" style="114" bestFit="1" customWidth="1"/>
    <col min="4" max="4" width="17.1796875" style="114" bestFit="1" customWidth="1"/>
    <col min="5" max="5" width="16.81640625" style="114" bestFit="1" customWidth="1"/>
    <col min="6" max="6" width="9.1796875" style="118" bestFit="1" customWidth="1"/>
    <col min="7" max="7" width="10" style="114" bestFit="1" customWidth="1"/>
    <col min="8" max="8" width="11" style="114" bestFit="1" customWidth="1"/>
    <col min="9" max="9" width="10.54296875" style="114" bestFit="1" customWidth="1"/>
    <col min="10" max="10" width="15.81640625" style="114" bestFit="1" customWidth="1"/>
    <col min="11" max="11" width="4.1796875" style="114" customWidth="1"/>
    <col min="12" max="12" width="12.7265625" style="114" bestFit="1" customWidth="1"/>
    <col min="13" max="13" width="37.453125" style="114" bestFit="1" customWidth="1"/>
    <col min="14" max="14" width="7.81640625" style="114" bestFit="1" customWidth="1"/>
    <col min="15" max="15" width="21.26953125" style="114" bestFit="1" customWidth="1"/>
    <col min="16" max="16" width="17.453125" style="114" customWidth="1"/>
    <col min="17" max="17" width="8" style="114" customWidth="1"/>
    <col min="18" max="18" width="10.1796875" style="114" customWidth="1"/>
    <col min="19" max="19" width="11" style="114" bestFit="1" customWidth="1"/>
    <col min="20" max="20" width="10.1796875" style="114" customWidth="1"/>
    <col min="21" max="21" width="8.7265625" style="114" bestFit="1" customWidth="1"/>
    <col min="22" max="22" width="11.1796875" style="114" customWidth="1"/>
    <col min="23" max="23" width="22.453125" style="114" hidden="1" customWidth="1"/>
    <col min="24" max="25" width="8.54296875" style="114" hidden="1" customWidth="1"/>
    <col min="26" max="26" width="8.81640625" style="114" hidden="1" customWidth="1"/>
    <col min="27" max="27" width="8.1796875" style="114" hidden="1" customWidth="1"/>
    <col min="28" max="40" width="9.81640625" style="114" hidden="1" customWidth="1"/>
    <col min="41" max="42" width="11.1796875" style="114" hidden="1" customWidth="1"/>
    <col min="43" max="43" width="12.54296875" style="114" hidden="1" customWidth="1"/>
    <col min="44" max="47" width="11.1796875" style="114" hidden="1" customWidth="1"/>
    <col min="48" max="48" width="14.7265625" style="114" hidden="1" customWidth="1"/>
    <col min="49" max="49" width="9.54296875" style="114" hidden="1" customWidth="1"/>
    <col min="50" max="50" width="9.1796875" style="114"/>
    <col min="51" max="51" width="10.81640625" style="114" customWidth="1"/>
    <col min="52" max="53" width="10.1796875" style="114" bestFit="1" customWidth="1"/>
    <col min="54" max="54" width="10.81640625" style="114" bestFit="1" customWidth="1"/>
    <col min="55" max="56" width="10.1796875" style="114" bestFit="1" customWidth="1"/>
    <col min="57" max="57" width="10.81640625" style="114" bestFit="1" customWidth="1"/>
    <col min="58" max="58" width="10.453125" style="114" customWidth="1"/>
    <col min="59" max="62" width="10.1796875" style="114" bestFit="1" customWidth="1"/>
    <col min="63" max="63" width="9.1796875" style="114"/>
    <col min="64" max="64" width="10.81640625" style="114" bestFit="1" customWidth="1"/>
    <col min="65" max="104" width="9.1796875" style="114"/>
    <col min="105" max="105" width="12.1796875" style="114" bestFit="1" customWidth="1"/>
    <col min="106" max="16384" width="9.1796875" style="114"/>
  </cols>
  <sheetData>
    <row r="1" spans="1:129" ht="29" x14ac:dyDescent="0.25">
      <c r="B1" s="151" t="s">
        <v>204</v>
      </c>
      <c r="C1" s="152"/>
      <c r="D1" s="153"/>
      <c r="E1" s="152"/>
      <c r="F1" s="152"/>
      <c r="G1" s="153"/>
      <c r="H1" s="152"/>
      <c r="I1" s="153"/>
      <c r="J1" s="152"/>
      <c r="K1" s="153"/>
      <c r="L1" s="167"/>
      <c r="M1" s="152"/>
      <c r="N1" s="152"/>
      <c r="O1" s="152"/>
      <c r="P1" s="152"/>
      <c r="Q1" s="152"/>
      <c r="R1" s="152"/>
      <c r="S1" s="152"/>
      <c r="T1" s="167"/>
      <c r="U1" s="170">
        <f>'All Shopping Centers'!Q1</f>
        <v>46023</v>
      </c>
      <c r="V1" s="167"/>
      <c r="W1" s="167"/>
      <c r="X1" s="167"/>
      <c r="Y1" s="167"/>
      <c r="Z1" s="167"/>
      <c r="AA1" s="167"/>
      <c r="AB1" s="167"/>
      <c r="AC1" s="167"/>
      <c r="AD1" s="167"/>
      <c r="AE1" s="152"/>
      <c r="AF1" s="152"/>
      <c r="AG1" s="152"/>
      <c r="AH1" s="152"/>
      <c r="AI1" s="152"/>
      <c r="AJ1" s="168"/>
      <c r="AL1" s="167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Y1" s="167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L1" s="167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DA1" s="114" t="s">
        <v>311</v>
      </c>
    </row>
    <row r="2" spans="1:129" ht="18" x14ac:dyDescent="0.25">
      <c r="A2" s="117"/>
      <c r="B2" s="154" t="str">
        <f>'All Shopping Centers'!J2</f>
        <v>Shopping Centers</v>
      </c>
      <c r="C2" s="152"/>
      <c r="D2" s="153"/>
      <c r="E2" s="152"/>
      <c r="F2" s="152"/>
      <c r="G2" s="152"/>
      <c r="H2" s="152"/>
      <c r="I2" s="153"/>
      <c r="J2" s="153"/>
      <c r="K2" s="153"/>
      <c r="L2" s="152"/>
      <c r="M2" s="152"/>
      <c r="N2" s="152"/>
      <c r="O2" s="152"/>
      <c r="P2" s="152"/>
      <c r="Q2" s="152"/>
      <c r="R2" s="152"/>
      <c r="S2" s="152"/>
      <c r="T2" s="152"/>
    </row>
    <row r="3" spans="1:129" x14ac:dyDescent="0.25">
      <c r="A3" s="117"/>
      <c r="B3" s="175" t="s">
        <v>305</v>
      </c>
      <c r="C3" s="152"/>
      <c r="D3" s="153"/>
      <c r="E3" s="152"/>
      <c r="F3" s="152"/>
      <c r="G3" s="152"/>
      <c r="H3" s="152"/>
      <c r="I3" s="153"/>
      <c r="J3" s="153"/>
      <c r="K3" s="153"/>
      <c r="L3" s="152"/>
      <c r="M3" s="152"/>
      <c r="N3" s="152"/>
      <c r="O3" s="152"/>
      <c r="P3" s="152"/>
      <c r="Q3" s="152"/>
      <c r="R3" s="152"/>
      <c r="S3" s="152"/>
      <c r="T3" s="152"/>
    </row>
    <row r="4" spans="1:129" ht="18" x14ac:dyDescent="0.25">
      <c r="A4" s="117"/>
      <c r="B4" s="154"/>
      <c r="C4" s="152"/>
      <c r="D4" s="153"/>
      <c r="E4" s="152"/>
      <c r="G4" s="152"/>
      <c r="I4" s="153"/>
      <c r="J4" s="117"/>
      <c r="K4" s="117"/>
    </row>
    <row r="5" spans="1:129" ht="18" x14ac:dyDescent="0.25">
      <c r="A5" s="143">
        <f>'1100'!B1</f>
        <v>1100</v>
      </c>
      <c r="D5" s="153"/>
      <c r="E5" s="152"/>
      <c r="G5" s="153"/>
      <c r="I5" s="153"/>
      <c r="J5" s="117"/>
      <c r="K5" s="117"/>
    </row>
    <row r="6" spans="1:129" ht="17.5" x14ac:dyDescent="0.25">
      <c r="A6" s="181">
        <f>'1100'!B4</f>
        <v>8287</v>
      </c>
      <c r="B6" s="182">
        <f>(A6-C24)/A6</f>
        <v>0.51429950524918544</v>
      </c>
      <c r="D6" s="183" t="str">
        <f>"Vacancies - "&amp;A5</f>
        <v>Vacancies - 1100</v>
      </c>
      <c r="E6" s="153"/>
      <c r="F6" s="153"/>
      <c r="G6" s="153"/>
      <c r="H6" s="153"/>
      <c r="I6" s="153"/>
      <c r="J6" s="152"/>
      <c r="K6" s="117"/>
      <c r="O6" s="183" t="str">
        <f>"Renewals - "&amp;A5</f>
        <v>Renewals - 1100</v>
      </c>
      <c r="P6" s="153"/>
      <c r="Q6" s="153"/>
      <c r="R6" s="153"/>
      <c r="S6" s="153"/>
      <c r="T6" s="153"/>
      <c r="U6" s="152"/>
    </row>
    <row r="7" spans="1:129" ht="18" x14ac:dyDescent="0.35">
      <c r="D7" s="414" t="s">
        <v>306</v>
      </c>
      <c r="E7" s="415"/>
      <c r="F7" s="415"/>
      <c r="G7" s="415"/>
      <c r="H7" s="415"/>
      <c r="I7" s="415"/>
      <c r="J7" s="416"/>
      <c r="M7" s="6"/>
      <c r="N7" s="140"/>
      <c r="O7" s="414" t="s">
        <v>306</v>
      </c>
      <c r="P7" s="415"/>
      <c r="Q7" s="415"/>
      <c r="R7" s="415"/>
      <c r="S7" s="415"/>
      <c r="T7" s="415"/>
      <c r="U7" s="416"/>
      <c r="W7" s="142">
        <f>A5</f>
        <v>1100</v>
      </c>
      <c r="X7" s="417">
        <v>2025</v>
      </c>
      <c r="Y7" s="417"/>
      <c r="Z7" s="417"/>
      <c r="AA7" s="417"/>
      <c r="AB7" s="417"/>
      <c r="AC7" s="417"/>
      <c r="AD7" s="417"/>
      <c r="AE7" s="417"/>
      <c r="AF7" s="417"/>
      <c r="AG7" s="417"/>
      <c r="AH7" s="417"/>
      <c r="AI7" s="417"/>
      <c r="AJ7" s="417">
        <f>X7+1</f>
        <v>2026</v>
      </c>
      <c r="AK7" s="417"/>
      <c r="AL7" s="417"/>
      <c r="AM7" s="417"/>
      <c r="AN7" s="417"/>
      <c r="AO7" s="417"/>
      <c r="AP7" s="417"/>
      <c r="AQ7" s="417"/>
      <c r="AR7" s="417"/>
      <c r="AS7" s="417"/>
      <c r="AT7" s="417"/>
      <c r="AU7" s="417"/>
      <c r="DB7" s="412" t="s">
        <v>233</v>
      </c>
      <c r="DC7" s="412"/>
      <c r="DD7" s="412"/>
      <c r="DE7" s="412"/>
      <c r="DF7" s="412"/>
      <c r="DG7" s="412"/>
      <c r="DH7" s="412"/>
      <c r="DI7" s="412"/>
      <c r="DJ7" s="412"/>
      <c r="DK7" s="412"/>
      <c r="DL7" s="412"/>
      <c r="DM7" s="412"/>
      <c r="DN7" s="412" t="s">
        <v>260</v>
      </c>
      <c r="DO7" s="413"/>
      <c r="DP7" s="413"/>
      <c r="DQ7" s="413"/>
      <c r="DR7" s="413"/>
      <c r="DS7" s="413"/>
      <c r="DT7" s="413"/>
      <c r="DU7" s="413"/>
      <c r="DV7" s="413"/>
      <c r="DW7" s="413"/>
      <c r="DX7" s="413"/>
      <c r="DY7" s="413"/>
    </row>
    <row r="8" spans="1:129" x14ac:dyDescent="0.35">
      <c r="A8" s="129" t="s">
        <v>206</v>
      </c>
      <c r="B8" s="15" t="s">
        <v>302</v>
      </c>
      <c r="C8" s="136" t="s">
        <v>203</v>
      </c>
      <c r="D8" s="159" t="s">
        <v>307</v>
      </c>
      <c r="E8" s="129" t="s">
        <v>308</v>
      </c>
      <c r="F8" s="129" t="s">
        <v>310</v>
      </c>
      <c r="G8" s="128" t="s">
        <v>202</v>
      </c>
      <c r="H8" s="141" t="s">
        <v>526</v>
      </c>
      <c r="I8" s="141" t="s">
        <v>303</v>
      </c>
      <c r="J8" s="131" t="s">
        <v>201</v>
      </c>
      <c r="K8" s="118"/>
      <c r="L8" s="129" t="s">
        <v>206</v>
      </c>
      <c r="M8" s="15" t="s">
        <v>302</v>
      </c>
      <c r="N8" s="136" t="s">
        <v>203</v>
      </c>
      <c r="O8" s="159" t="s">
        <v>307</v>
      </c>
      <c r="P8" s="129" t="s">
        <v>308</v>
      </c>
      <c r="Q8" s="129" t="s">
        <v>310</v>
      </c>
      <c r="R8" s="128" t="s">
        <v>202</v>
      </c>
      <c r="S8" s="141" t="s">
        <v>526</v>
      </c>
      <c r="T8" s="141" t="s">
        <v>303</v>
      </c>
      <c r="U8" s="131" t="s">
        <v>201</v>
      </c>
      <c r="X8" s="344">
        <v>45658</v>
      </c>
      <c r="Y8" s="345">
        <v>45689</v>
      </c>
      <c r="Z8" s="345">
        <v>45717</v>
      </c>
      <c r="AA8" s="345">
        <v>45748</v>
      </c>
      <c r="AB8" s="345">
        <v>45778</v>
      </c>
      <c r="AC8" s="345">
        <v>45809</v>
      </c>
      <c r="AD8" s="345">
        <v>45839</v>
      </c>
      <c r="AE8" s="345">
        <v>45870</v>
      </c>
      <c r="AF8" s="345">
        <v>45901</v>
      </c>
      <c r="AG8" s="345">
        <v>45931</v>
      </c>
      <c r="AH8" s="345">
        <v>45962</v>
      </c>
      <c r="AI8" s="346">
        <v>45992</v>
      </c>
      <c r="AJ8" s="345">
        <v>46023</v>
      </c>
      <c r="AK8" s="345">
        <v>46054</v>
      </c>
      <c r="AL8" s="345">
        <v>46082</v>
      </c>
      <c r="AM8" s="345">
        <v>46113</v>
      </c>
      <c r="AN8" s="345">
        <v>46143</v>
      </c>
      <c r="AO8" s="345">
        <v>46174</v>
      </c>
      <c r="AP8" s="345">
        <v>46204</v>
      </c>
      <c r="AQ8" s="345">
        <v>46235</v>
      </c>
      <c r="AR8" s="345">
        <v>46266</v>
      </c>
      <c r="AS8" s="345">
        <v>46296</v>
      </c>
      <c r="AT8" s="345">
        <v>46327</v>
      </c>
      <c r="AU8" s="345">
        <v>46357</v>
      </c>
      <c r="AV8" s="210" t="str">
        <f>AJ7&amp;" - Totals"</f>
        <v>2026 - Totals</v>
      </c>
      <c r="DB8" s="160">
        <v>45658</v>
      </c>
      <c r="DC8" s="5">
        <v>45689</v>
      </c>
      <c r="DD8" s="5">
        <v>45717</v>
      </c>
      <c r="DE8" s="5">
        <v>45748</v>
      </c>
      <c r="DF8" s="5">
        <v>45778</v>
      </c>
      <c r="DG8" s="5">
        <v>45809</v>
      </c>
      <c r="DH8" s="5">
        <v>45839</v>
      </c>
      <c r="DI8" s="5">
        <v>45870</v>
      </c>
      <c r="DJ8" s="5">
        <v>45901</v>
      </c>
      <c r="DK8" s="5">
        <v>45931</v>
      </c>
      <c r="DL8" s="5">
        <v>45962</v>
      </c>
      <c r="DM8" s="161">
        <v>45992</v>
      </c>
      <c r="DN8" s="5">
        <v>46023</v>
      </c>
      <c r="DO8" s="5">
        <v>46054</v>
      </c>
      <c r="DP8" s="5">
        <v>46082</v>
      </c>
      <c r="DQ8" s="5">
        <v>46113</v>
      </c>
      <c r="DR8" s="5">
        <v>46143</v>
      </c>
      <c r="DS8" s="5">
        <v>46174</v>
      </c>
      <c r="DT8" s="5">
        <v>46204</v>
      </c>
      <c r="DU8" s="5">
        <v>46235</v>
      </c>
      <c r="DV8" s="5">
        <v>46266</v>
      </c>
      <c r="DW8" s="5">
        <v>46296</v>
      </c>
      <c r="DX8" s="5">
        <v>46327</v>
      </c>
      <c r="DY8" s="5">
        <v>46357</v>
      </c>
    </row>
    <row r="9" spans="1:129" x14ac:dyDescent="0.35">
      <c r="A9" s="118" t="s">
        <v>506</v>
      </c>
      <c r="B9" s="45" t="str">
        <f>IF(A9&lt;&gt;"","VACANT","")</f>
        <v>VACANT</v>
      </c>
      <c r="C9" s="137">
        <v>3025</v>
      </c>
      <c r="D9" s="155"/>
      <c r="E9" s="145"/>
      <c r="F9" s="172">
        <f>IFERROR(ROUNDUP(((DATEDIF(D9,E9,"d"))/365),1),0)</f>
        <v>0</v>
      </c>
      <c r="G9" s="146"/>
      <c r="H9" s="347">
        <f>(G9*C9)/12</f>
        <v>0</v>
      </c>
      <c r="I9" s="146"/>
      <c r="J9" s="156"/>
      <c r="K9" s="162"/>
      <c r="L9" s="118" t="s">
        <v>504</v>
      </c>
      <c r="M9" s="6" t="s">
        <v>327</v>
      </c>
      <c r="N9" s="137">
        <v>1934</v>
      </c>
      <c r="O9" s="155">
        <v>45931</v>
      </c>
      <c r="P9" s="145">
        <v>47756</v>
      </c>
      <c r="Q9" s="172">
        <f t="shared" ref="Q9:Q23" si="0">IFERROR(ROUNDUP(((DATEDIF(O9,P9,"d"))/365),1),0)</f>
        <v>5</v>
      </c>
      <c r="R9" s="146">
        <v>11</v>
      </c>
      <c r="S9" s="347">
        <f>(R9*N9)/12</f>
        <v>1772.8333333333333</v>
      </c>
      <c r="T9" s="146"/>
      <c r="U9" s="156"/>
      <c r="W9" s="114" t="s">
        <v>314</v>
      </c>
      <c r="X9" s="199" cm="1">
        <f t="array" ref="X9:AI9">_xlfn.LET(
  _xlpm.months, X8:AI8,
  _xlpm.totalSqft, A6,
  _xlpm.vacSF, C9:C23,
  _xlpm.vacStart, D9:D23,
  _xlpm.vacEnd, E9:E23,
  _xlpm.renSF, N9:N23,
  _xlpm.renEnd, P9:P23,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0.51429999999999998</v>
      </c>
      <c r="Y9" s="200">
        <v>0.51429999999999998</v>
      </c>
      <c r="Z9" s="200">
        <v>0.51429999999999998</v>
      </c>
      <c r="AA9" s="200">
        <v>0.51429999999999998</v>
      </c>
      <c r="AB9" s="200">
        <v>0.51429999999999998</v>
      </c>
      <c r="AC9" s="200">
        <v>0.51429999999999998</v>
      </c>
      <c r="AD9" s="200">
        <v>0.51429999999999998</v>
      </c>
      <c r="AE9" s="200">
        <v>0.51429999999999998</v>
      </c>
      <c r="AF9" s="200">
        <v>0.51429999999999998</v>
      </c>
      <c r="AG9" s="200">
        <v>0.51429999999999998</v>
      </c>
      <c r="AH9" s="200">
        <v>0.51429999999999998</v>
      </c>
      <c r="AI9" s="200">
        <v>0.51429999999999998</v>
      </c>
      <c r="AJ9" s="199" cm="1">
        <f t="array" ref="AJ9:AU9">_xlfn.LET(
  _xlpm.months, AJ8:AU8,
  _xlpm.totalSqft, A6,
  _xlpm.vacSF, C9:C23,
  _xlpm.vacStart, D9:D23,
  _xlpm.vacEnd, E9:E23,
  _xlpm.renSF, N9:N23,
  _xlpm.renEnd, P9:P23,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0.51429999999999998</v>
      </c>
      <c r="AK9" s="200">
        <v>0.51429999999999998</v>
      </c>
      <c r="AL9" s="200">
        <v>0.51429999999999998</v>
      </c>
      <c r="AM9" s="200">
        <v>0.51429999999999998</v>
      </c>
      <c r="AN9" s="200">
        <v>0.51429999999999998</v>
      </c>
      <c r="AO9" s="200">
        <v>0.63500000000000001</v>
      </c>
      <c r="AP9" s="200">
        <v>0.63500000000000001</v>
      </c>
      <c r="AQ9" s="200">
        <v>0.63500000000000001</v>
      </c>
      <c r="AR9" s="200">
        <v>0.63500000000000001</v>
      </c>
      <c r="AS9" s="200">
        <v>0.63500000000000001</v>
      </c>
      <c r="AT9" s="200">
        <v>0.63500000000000001</v>
      </c>
      <c r="AU9" s="200">
        <v>0.63500000000000001</v>
      </c>
      <c r="AV9" s="208"/>
      <c r="DB9" s="133">
        <f t="shared" ref="DB9:DY9" si="1">IF(AND($D9&lt;=DB8,$E9&gt;=DB8),(($G9*$C9)/12),0)</f>
        <v>0</v>
      </c>
      <c r="DC9" s="132">
        <f t="shared" si="1"/>
        <v>0</v>
      </c>
      <c r="DD9" s="132">
        <f t="shared" si="1"/>
        <v>0</v>
      </c>
      <c r="DE9" s="132">
        <f t="shared" si="1"/>
        <v>0</v>
      </c>
      <c r="DF9" s="132">
        <f t="shared" si="1"/>
        <v>0</v>
      </c>
      <c r="DG9" s="132">
        <f t="shared" si="1"/>
        <v>0</v>
      </c>
      <c r="DH9" s="132">
        <f t="shared" si="1"/>
        <v>0</v>
      </c>
      <c r="DI9" s="132">
        <f t="shared" si="1"/>
        <v>0</v>
      </c>
      <c r="DJ9" s="132">
        <f t="shared" si="1"/>
        <v>0</v>
      </c>
      <c r="DK9" s="132">
        <f t="shared" si="1"/>
        <v>0</v>
      </c>
      <c r="DL9" s="132">
        <f t="shared" si="1"/>
        <v>0</v>
      </c>
      <c r="DM9" s="134">
        <f t="shared" si="1"/>
        <v>0</v>
      </c>
      <c r="DN9" s="115">
        <f t="shared" si="1"/>
        <v>0</v>
      </c>
      <c r="DO9" s="115">
        <f t="shared" si="1"/>
        <v>0</v>
      </c>
      <c r="DP9" s="115">
        <f t="shared" si="1"/>
        <v>0</v>
      </c>
      <c r="DQ9" s="115">
        <f t="shared" si="1"/>
        <v>0</v>
      </c>
      <c r="DR9" s="115">
        <f t="shared" si="1"/>
        <v>0</v>
      </c>
      <c r="DS9" s="115">
        <f t="shared" si="1"/>
        <v>0</v>
      </c>
      <c r="DT9" s="115">
        <f t="shared" si="1"/>
        <v>0</v>
      </c>
      <c r="DU9" s="115">
        <f t="shared" si="1"/>
        <v>0</v>
      </c>
      <c r="DV9" s="115">
        <f t="shared" si="1"/>
        <v>0</v>
      </c>
      <c r="DW9" s="115">
        <f t="shared" si="1"/>
        <v>0</v>
      </c>
      <c r="DX9" s="115">
        <f t="shared" si="1"/>
        <v>0</v>
      </c>
      <c r="DY9" s="115">
        <f t="shared" si="1"/>
        <v>0</v>
      </c>
    </row>
    <row r="10" spans="1:129" x14ac:dyDescent="0.35">
      <c r="A10" s="118" t="s">
        <v>507</v>
      </c>
      <c r="B10" s="6" t="str">
        <f t="shared" ref="B10:B23" si="2">IF(A10&lt;&gt;"","VACANT","")</f>
        <v>VACANT</v>
      </c>
      <c r="C10" s="137">
        <v>1000</v>
      </c>
      <c r="D10" s="155">
        <v>46174</v>
      </c>
      <c r="E10" s="145">
        <v>47269</v>
      </c>
      <c r="F10" s="118">
        <f t="shared" ref="F10:F23" si="3">IFERROR(ROUNDUP(((DATEDIF(D10,E10,"d"))/365),1),0)</f>
        <v>3</v>
      </c>
      <c r="G10" s="146">
        <v>15</v>
      </c>
      <c r="H10" s="347">
        <f t="shared" ref="H10:H23" si="4">(G10*C10)/12</f>
        <v>1250</v>
      </c>
      <c r="I10" s="146">
        <v>15</v>
      </c>
      <c r="J10" s="156">
        <v>0</v>
      </c>
      <c r="K10" s="162"/>
      <c r="L10" s="118" t="s">
        <v>505</v>
      </c>
      <c r="M10" s="6" t="s">
        <v>328</v>
      </c>
      <c r="N10" s="137">
        <v>1100</v>
      </c>
      <c r="O10" s="155">
        <v>45992</v>
      </c>
      <c r="P10" s="145">
        <v>46721</v>
      </c>
      <c r="Q10" s="118">
        <f t="shared" si="0"/>
        <v>2</v>
      </c>
      <c r="R10" s="146">
        <v>14</v>
      </c>
      <c r="S10" s="347">
        <f t="shared" ref="S10:S23" si="5">(R10*N10)/12</f>
        <v>1283.3333333333333</v>
      </c>
      <c r="T10" s="146"/>
      <c r="U10" s="156"/>
      <c r="W10" s="114" t="s">
        <v>312</v>
      </c>
      <c r="X10" s="133" cm="1">
        <f t="array" ref="X10">((SUMPRODUCT(($D9:$D23&lt;=X$8) * ($E9:$E23&gt;=X$8) * ($G9:$G23 * $C9:$C23)))+(SUMPRODUCT(($O9:$O23&lt;=X$8) * ($P9:$P23&gt;=X$8) * ($R9:$R23 * $N9:$N23))))/12</f>
        <v>0</v>
      </c>
      <c r="Y10" s="115" cm="1">
        <f t="array" ref="Y10">((SUMPRODUCT(($D9:$D23&lt;=Y$8) * ($E9:$E23&gt;=Y$8) * ($G9:$G23 * $C9:$C23)))+(SUMPRODUCT(($O9:$O23&lt;=Y$8) * ($P9:$P23&gt;=Y$8) * ($R9:$R23 * $N9:$N23))))/12</f>
        <v>0</v>
      </c>
      <c r="Z10" s="115" cm="1">
        <f t="array" ref="Z10">((SUMPRODUCT(($D9:$D23&lt;=Z$8) * ($E9:$E23&gt;=Z$8) * ($G9:$G23 * $C9:$C23)))+(SUMPRODUCT(($O9:$O23&lt;=Z$8) * ($P9:$P23&gt;=Z$8) * ($R9:$R23 * $N9:$N23))))/12</f>
        <v>0</v>
      </c>
      <c r="AA10" s="115" cm="1">
        <f t="array" ref="AA10">((SUMPRODUCT(($D9:$D23&lt;=AA$8) * ($E9:$E23&gt;=AA$8) * ($G9:$G23 * $C9:$C23)))+(SUMPRODUCT(($O9:$O23&lt;=AA$8) * ($P9:$P23&gt;=AA$8) * ($R9:$R23 * $N9:$N23))))/12</f>
        <v>0</v>
      </c>
      <c r="AB10" s="115" cm="1">
        <f t="array" ref="AB10">((SUMPRODUCT(($D9:$D23&lt;=AB$8) * ($E9:$E23&gt;=AB$8) * ($G9:$G23 * $C9:$C23)))+(SUMPRODUCT(($O9:$O23&lt;=AB$8) * ($P9:$P23&gt;=AB$8) * ($R9:$R23 * $N9:$N23))))/12</f>
        <v>0</v>
      </c>
      <c r="AC10" s="115" cm="1">
        <f t="array" ref="AC10">((SUMPRODUCT(($D9:$D23&lt;=AC$8) * ($E9:$E23&gt;=AC$8) * ($G9:$G23 * $C9:$C23)))+(SUMPRODUCT(($O9:$O23&lt;=AC$8) * ($P9:$P23&gt;=AC$8) * ($R9:$R23 * $N9:$N23))))/12</f>
        <v>0</v>
      </c>
      <c r="AD10" s="115" cm="1">
        <f t="array" ref="AD10">((SUMPRODUCT(($D9:$D23&lt;=AD$8) * ($E9:$E23&gt;=AD$8) * ($G9:$G23 * $C9:$C23)))+(SUMPRODUCT(($O9:$O23&lt;=AD$8) * ($P9:$P23&gt;=AD$8) * ($R9:$R23 * $N9:$N23))))/12</f>
        <v>0</v>
      </c>
      <c r="AE10" s="115" cm="1">
        <f t="array" ref="AE10">((SUMPRODUCT(($D9:$D23&lt;=AE$8) * ($E9:$E23&gt;=AE$8) * ($G9:$G23 * $C9:$C23)))+(SUMPRODUCT(($O9:$O23&lt;=AE$8) * ($P9:$P23&gt;=AE$8) * ($R9:$R23 * $N9:$N23))))/12</f>
        <v>0</v>
      </c>
      <c r="AF10" s="115" cm="1">
        <f t="array" ref="AF10">((SUMPRODUCT(($D9:$D23&lt;=AF$8) * ($E9:$E23&gt;=AF$8) * ($G9:$G23 * $C9:$C23)))+(SUMPRODUCT(($O9:$O23&lt;=AF$8) * ($P9:$P23&gt;=AF$8) * ($R9:$R23 * $N9:$N23))))/12</f>
        <v>0</v>
      </c>
      <c r="AG10" s="115" cm="1">
        <f t="array" ref="AG10">((SUMPRODUCT(($D9:$D23&lt;=AG$8) * ($E9:$E23&gt;=AG$8) * ($G9:$G23 * $C9:$C23)))+(SUMPRODUCT(($O9:$O23&lt;=AG$8) * ($P9:$P23&gt;=AG$8) * ($R9:$R23 * $N9:$N23))))/12</f>
        <v>1772.8333333333333</v>
      </c>
      <c r="AH10" s="115" cm="1">
        <f t="array" ref="AH10">((SUMPRODUCT(($D9:$D23&lt;=AH$8) * ($E9:$E23&gt;=AH$8) * ($G9:$G23 * $C9:$C23)))+(SUMPRODUCT(($O9:$O23&lt;=AH$8) * ($P9:$P23&gt;=AH$8) * ($R9:$R23 * $N9:$N23))))/12</f>
        <v>1772.8333333333333</v>
      </c>
      <c r="AI10" s="115" cm="1">
        <f t="array" ref="AI10">((SUMPRODUCT(($D9:$D23&lt;=AI$8) * ($E9:$E23&gt;=AI$8) * ($G9:$G23 * $C9:$C23)))+(SUMPRODUCT(($O9:$O23&lt;=AI$8) * ($P9:$P23&gt;=AI$8) * ($R9:$R23 * $N9:$N23))))/12</f>
        <v>3056.1666666666665</v>
      </c>
      <c r="AJ10" s="133" cm="1">
        <f t="array" ref="AJ10">((SUMPRODUCT(($D9:$D23&lt;=AJ$8) * ($E9:$E23&gt;=AJ$8) * ($G9:$G23 * $C9:$C23)))+(SUMPRODUCT(($O9:$O23&lt;=AJ$8) * ($P9:$P23&gt;=AJ$8) * ($R9:$R23 * $N9:$N23))))/12</f>
        <v>3056.1666666666665</v>
      </c>
      <c r="AK10" s="115" cm="1">
        <f t="array" ref="AK10">((SUMPRODUCT(($D9:$D23&lt;=AK$8) * ($E9:$E23&gt;=AK$8) * ($G9:$G23 * $C9:$C23)))+(SUMPRODUCT(($O9:$O23&lt;=AK$8) * ($P9:$P23&gt;=AK$8) * ($R9:$R23 * $N9:$N23))))/12</f>
        <v>3056.1666666666665</v>
      </c>
      <c r="AL10" s="115" cm="1">
        <f t="array" ref="AL10">((SUMPRODUCT(($D9:$D23&lt;=AL$8) * ($E9:$E23&gt;=AL$8) * ($G9:$G23 * $C9:$C23)))+(SUMPRODUCT(($O9:$O23&lt;=AL$8) * ($P9:$P23&gt;=AL$8) * ($R9:$R23 * $N9:$N23))))/12</f>
        <v>3056.1666666666665</v>
      </c>
      <c r="AM10" s="115" cm="1">
        <f t="array" ref="AM10">((SUMPRODUCT(($D9:$D23&lt;=AM$8) * ($E9:$E23&gt;=AM$8) * ($G9:$G23 * $C9:$C23)))+(SUMPRODUCT(($O9:$O23&lt;=AM$8) * ($P9:$P23&gt;=AM$8) * ($R9:$R23 * $N9:$N23))))/12</f>
        <v>3056.1666666666665</v>
      </c>
      <c r="AN10" s="115" cm="1">
        <f t="array" ref="AN10">((SUMPRODUCT(($D9:$D23&lt;=AN$8) * ($E9:$E23&gt;=AN$8) * ($G9:$G23 * $C9:$C23)))+(SUMPRODUCT(($O9:$O23&lt;=AN$8) * ($P9:$P23&gt;=AN$8) * ($R9:$R23 * $N9:$N23))))/12</f>
        <v>3056.1666666666665</v>
      </c>
      <c r="AO10" s="115" cm="1">
        <f t="array" ref="AO10">((SUMPRODUCT(($D9:$D23&lt;=AO$8) * ($E9:$E23&gt;=AO$8) * ($G9:$G23 * $C9:$C23)))+(SUMPRODUCT(($O9:$O23&lt;=AO$8) * ($P9:$P23&gt;=AO$8) * ($R9:$R23 * $N9:$N23))))/12</f>
        <v>4306.166666666667</v>
      </c>
      <c r="AP10" s="115" cm="1">
        <f t="array" ref="AP10">((SUMPRODUCT(($D9:$D23&lt;=AP$8) * ($E9:$E23&gt;=AP$8) * ($G9:$G23 * $C9:$C23)))+(SUMPRODUCT(($O9:$O23&lt;=AP$8) * ($P9:$P23&gt;=AP$8) * ($R9:$R23 * $N9:$N23))))/12</f>
        <v>4306.166666666667</v>
      </c>
      <c r="AQ10" s="115" cm="1">
        <f t="array" ref="AQ10">((SUMPRODUCT(($D9:$D23&lt;=AQ$8) * ($E9:$E23&gt;=AQ$8) * ($G9:$G23 * $C9:$C23)))+(SUMPRODUCT(($O9:$O23&lt;=AQ$8) * ($P9:$P23&gt;=AQ$8) * ($R9:$R23 * $N9:$N23))))/12</f>
        <v>4306.166666666667</v>
      </c>
      <c r="AR10" s="115" cm="1">
        <f t="array" ref="AR10">((SUMPRODUCT(($D9:$D23&lt;=AR$8) * ($E9:$E23&gt;=AR$8) * ($G9:$G23 * $C9:$C23)))+(SUMPRODUCT(($O9:$O23&lt;=AR$8) * ($P9:$P23&gt;=AR$8) * ($R9:$R23 * $N9:$N23))))/12</f>
        <v>4306.166666666667</v>
      </c>
      <c r="AS10" s="115" cm="1">
        <f t="array" ref="AS10">((SUMPRODUCT(($D9:$D23&lt;=AS$8) * ($E9:$E23&gt;=AS$8) * ($G9:$G23 * $C9:$C23)))+(SUMPRODUCT(($O9:$O23&lt;=AS$8) * ($P9:$P23&gt;=AS$8) * ($R9:$R23 * $N9:$N23))))/12</f>
        <v>4306.166666666667</v>
      </c>
      <c r="AT10" s="115" cm="1">
        <f t="array" ref="AT10">((SUMPRODUCT(($D9:$D23&lt;=AT$8) * ($E9:$E23&gt;=AT$8) * ($G9:$G23 * $C9:$C23)))+(SUMPRODUCT(($O9:$O23&lt;=AT$8) * ($P9:$P23&gt;=AT$8) * ($R9:$R23 * $N9:$N23))))/12</f>
        <v>4306.166666666667</v>
      </c>
      <c r="AU10" s="115" cm="1">
        <f t="array" ref="AU10">((SUMPRODUCT(($D9:$D23&lt;=AU$8) * ($E9:$E23&gt;=AU$8) * ($G9:$G23 * $C9:$C23)))+(SUMPRODUCT(($O9:$O23&lt;=AU$8) * ($P9:$P23&gt;=AU$8) * ($R9:$R23 * $N9:$N23))))/12</f>
        <v>4306.166666666667</v>
      </c>
      <c r="AV10" s="209">
        <f>SUM(AJ10:AU10)</f>
        <v>45424</v>
      </c>
      <c r="DB10" s="133">
        <f t="shared" ref="DB10:DK23" si="6">IF(AND($D10&lt;=DB$8,$E10&gt;=DB$8),(($G10*$C10)/12),0)</f>
        <v>0</v>
      </c>
      <c r="DC10" s="132">
        <f t="shared" si="6"/>
        <v>0</v>
      </c>
      <c r="DD10" s="132">
        <f t="shared" si="6"/>
        <v>0</v>
      </c>
      <c r="DE10" s="132">
        <f t="shared" si="6"/>
        <v>0</v>
      </c>
      <c r="DF10" s="132">
        <f t="shared" si="6"/>
        <v>0</v>
      </c>
      <c r="DG10" s="132">
        <f t="shared" si="6"/>
        <v>0</v>
      </c>
      <c r="DH10" s="132">
        <f t="shared" si="6"/>
        <v>0</v>
      </c>
      <c r="DI10" s="132">
        <f t="shared" si="6"/>
        <v>0</v>
      </c>
      <c r="DJ10" s="132">
        <f t="shared" si="6"/>
        <v>0</v>
      </c>
      <c r="DK10" s="132">
        <f t="shared" si="6"/>
        <v>0</v>
      </c>
      <c r="DL10" s="132">
        <f t="shared" ref="DL10:DY23" si="7">IF(AND($D10&lt;=DL$8,$E10&gt;=DL$8),(($G10*$C10)/12),0)</f>
        <v>0</v>
      </c>
      <c r="DM10" s="134">
        <f t="shared" si="7"/>
        <v>0</v>
      </c>
      <c r="DN10" s="115">
        <f t="shared" si="7"/>
        <v>0</v>
      </c>
      <c r="DO10" s="115">
        <f t="shared" si="7"/>
        <v>0</v>
      </c>
      <c r="DP10" s="115">
        <f t="shared" si="7"/>
        <v>0</v>
      </c>
      <c r="DQ10" s="115">
        <f t="shared" si="7"/>
        <v>0</v>
      </c>
      <c r="DR10" s="115">
        <f t="shared" si="7"/>
        <v>0</v>
      </c>
      <c r="DS10" s="115">
        <f t="shared" si="7"/>
        <v>1250</v>
      </c>
      <c r="DT10" s="115">
        <f t="shared" si="7"/>
        <v>1250</v>
      </c>
      <c r="DU10" s="115">
        <f t="shared" si="7"/>
        <v>1250</v>
      </c>
      <c r="DV10" s="115">
        <f t="shared" si="7"/>
        <v>1250</v>
      </c>
      <c r="DW10" s="115">
        <f t="shared" si="7"/>
        <v>1250</v>
      </c>
      <c r="DX10" s="115">
        <f t="shared" si="7"/>
        <v>1250</v>
      </c>
      <c r="DY10" s="115">
        <f t="shared" si="7"/>
        <v>1250</v>
      </c>
    </row>
    <row r="11" spans="1:129" x14ac:dyDescent="0.35">
      <c r="B11" s="6" t="str">
        <f t="shared" si="2"/>
        <v/>
      </c>
      <c r="C11" s="137"/>
      <c r="D11" s="155"/>
      <c r="E11" s="145"/>
      <c r="F11" s="118">
        <f t="shared" si="3"/>
        <v>0</v>
      </c>
      <c r="G11" s="146"/>
      <c r="H11" s="347">
        <f t="shared" si="4"/>
        <v>0</v>
      </c>
      <c r="I11" s="146"/>
      <c r="J11" s="173"/>
      <c r="K11" s="163"/>
      <c r="L11" s="118"/>
      <c r="M11" s="6"/>
      <c r="N11" s="137"/>
      <c r="O11" s="155"/>
      <c r="P11" s="145"/>
      <c r="Q11" s="118">
        <f t="shared" si="0"/>
        <v>0</v>
      </c>
      <c r="R11" s="146"/>
      <c r="S11" s="347">
        <f t="shared" si="5"/>
        <v>0</v>
      </c>
      <c r="T11" s="146"/>
      <c r="U11" s="156"/>
      <c r="W11" s="114" t="s">
        <v>309</v>
      </c>
      <c r="X11" s="133" cm="1">
        <f t="array" ref="X11">(SUMPRODUCT((TEXT($O9:$O23,"yyyymm")=TEXT(X$8,"yyyymm")) * ($T9:$T23 * $N9:$N23)))+(SUMPRODUCT((TEXT($D9:$D23,"yyyymm")=TEXT(X$8,"yyyymm")) * ($I9:$I23 * $C9:$C23)))</f>
        <v>0</v>
      </c>
      <c r="Y11" s="115" cm="1">
        <f t="array" ref="Y11">(SUMPRODUCT((TEXT($O9:$O23,"yyyymm")=TEXT(Y$8,"yyyymm")) * ($T9:$T23 * $N9:$N23)))+(SUMPRODUCT((TEXT($D9:$D23,"yyyymm")=TEXT(Y$8,"yyyymm")) * ($I9:$I23 * $C9:$C23)))</f>
        <v>0</v>
      </c>
      <c r="Z11" s="115" cm="1">
        <f t="array" ref="Z11">(SUMPRODUCT((TEXT($O9:$O23,"yyyymm")=TEXT(Z$8,"yyyymm")) * ($T9:$T23 * $N9:$N23)))+(SUMPRODUCT((TEXT($D9:$D23,"yyyymm")=TEXT(Z$8,"yyyymm")) * ($I9:$I23 * $C9:$C23)))</f>
        <v>0</v>
      </c>
      <c r="AA11" s="115" cm="1">
        <f t="array" ref="AA11">(SUMPRODUCT((TEXT($O9:$O23,"yyyymm")=TEXT(AA$8,"yyyymm")) * ($T9:$T23 * $N9:$N23)))+(SUMPRODUCT((TEXT($D9:$D23,"yyyymm")=TEXT(AA$8,"yyyymm")) * ($I9:$I23 * $C9:$C23)))</f>
        <v>0</v>
      </c>
      <c r="AB11" s="115" cm="1">
        <f t="array" ref="AB11">(SUMPRODUCT((TEXT($O9:$O23,"yyyymm")=TEXT(AB$8,"yyyymm")) * ($T9:$T23 * $N9:$N23)))+(SUMPRODUCT((TEXT($D9:$D23,"yyyymm")=TEXT(AB$8,"yyyymm")) * ($I9:$I23 * $C9:$C23)))</f>
        <v>0</v>
      </c>
      <c r="AC11" s="115" cm="1">
        <f t="array" ref="AC11">(SUMPRODUCT((TEXT($O9:$O23,"yyyymm")=TEXT(AC$8,"yyyymm")) * ($T9:$T23 * $N9:$N23)))+(SUMPRODUCT((TEXT($D9:$D23,"yyyymm")=TEXT(AC$8,"yyyymm")) * ($I9:$I23 * $C9:$C23)))</f>
        <v>0</v>
      </c>
      <c r="AD11" s="115" cm="1">
        <f t="array" ref="AD11">(SUMPRODUCT((TEXT($O9:$O23,"yyyymm")=TEXT(AD$8,"yyyymm")) * ($T9:$T23 * $N9:$N23)))+(SUMPRODUCT((TEXT($D9:$D23,"yyyymm")=TEXT(AD$8,"yyyymm")) * ($I9:$I23 * $C9:$C23)))</f>
        <v>0</v>
      </c>
      <c r="AE11" s="115" cm="1">
        <f t="array" ref="AE11">(SUMPRODUCT((TEXT($O9:$O23,"yyyymm")=TEXT(AE$8,"yyyymm")) * ($T9:$T23 * $N9:$N23)))+(SUMPRODUCT((TEXT($D9:$D23,"yyyymm")=TEXT(AE$8,"yyyymm")) * ($I9:$I23 * $C9:$C23)))</f>
        <v>0</v>
      </c>
      <c r="AF11" s="115" cm="1">
        <f t="array" ref="AF11">(SUMPRODUCT((TEXT($O9:$O23,"yyyymm")=TEXT(AF$8,"yyyymm")) * ($T9:$T23 * $N9:$N23)))+(SUMPRODUCT((TEXT($D9:$D23,"yyyymm")=TEXT(AF$8,"yyyymm")) * ($I9:$I23 * $C9:$C23)))</f>
        <v>0</v>
      </c>
      <c r="AG11" s="115" cm="1">
        <f t="array" ref="AG11">(SUMPRODUCT((TEXT($O9:$O23,"yyyymm")=TEXT(AG$8,"yyyymm")) * ($T9:$T23 * $N9:$N23)))+(SUMPRODUCT((TEXT($D9:$D23,"yyyymm")=TEXT(AG$8,"yyyymm")) * ($I9:$I23 * $C9:$C23)))</f>
        <v>0</v>
      </c>
      <c r="AH11" s="115" cm="1">
        <f t="array" ref="AH11">(SUMPRODUCT((TEXT($O9:$O23,"yyyymm")=TEXT(AH$8,"yyyymm")) * ($T9:$T23 * $N9:$N23)))+(SUMPRODUCT((TEXT($D9:$D23,"yyyymm")=TEXT(AH$8,"yyyymm")) * ($I9:$I23 * $C9:$C23)))</f>
        <v>0</v>
      </c>
      <c r="AI11" s="115" cm="1">
        <f t="array" ref="AI11">(SUMPRODUCT((TEXT($O9:$O23,"yyyymm")=TEXT(AI$8,"yyyymm")) * ($T9:$T23 * $N9:$N23)))+(SUMPRODUCT((TEXT($D9:$D23,"yyyymm")=TEXT(AI$8,"yyyymm")) * ($I9:$I23 * $C9:$C23)))</f>
        <v>0</v>
      </c>
      <c r="AJ11" s="133" cm="1">
        <f t="array" ref="AJ11">(SUMPRODUCT((TEXT($O9:$O23,"yyyymm")=TEXT(AJ$8,"yyyymm")) * ($T9:$T23 * $N9:$N23)))+(SUMPRODUCT((TEXT($D9:$D23,"yyyymm")=TEXT(AJ$8,"yyyymm")) * ($I9:$I23 * $C9:$C23)))</f>
        <v>0</v>
      </c>
      <c r="AK11" s="115" cm="1">
        <f t="array" ref="AK11">(SUMPRODUCT((TEXT($O9:$O23,"yyyymm")=TEXT(AK$8,"yyyymm")) * ($T9:$T23 * $N9:$N23)))+(SUMPRODUCT((TEXT($D9:$D23,"yyyymm")=TEXT(AK$8,"yyyymm")) * ($I9:$I23 * $C9:$C23)))</f>
        <v>0</v>
      </c>
      <c r="AL11" s="115" cm="1">
        <f t="array" ref="AL11">(SUMPRODUCT((TEXT($O9:$O23,"yyyymm")=TEXT(AL$8,"yyyymm")) * ($T9:$T23 * $N9:$N23)))+(SUMPRODUCT((TEXT($D9:$D23,"yyyymm")=TEXT(AL$8,"yyyymm")) * ($I9:$I23 * $C9:$C23)))</f>
        <v>0</v>
      </c>
      <c r="AM11" s="115" cm="1">
        <f t="array" ref="AM11">(SUMPRODUCT((TEXT($O9:$O23,"yyyymm")=TEXT(AM$8,"yyyymm")) * ($T9:$T23 * $N9:$N23)))+(SUMPRODUCT((TEXT($D9:$D23,"yyyymm")=TEXT(AM$8,"yyyymm")) * ($I9:$I23 * $C9:$C23)))</f>
        <v>0</v>
      </c>
      <c r="AN11" s="115" cm="1">
        <f t="array" ref="AN11">(SUMPRODUCT((TEXT($O9:$O23,"yyyymm")=TEXT(AN$8,"yyyymm")) * ($T9:$T23 * $N9:$N23)))+(SUMPRODUCT((TEXT($D9:$D23,"yyyymm")=TEXT(AN$8,"yyyymm")) * ($I9:$I23 * $C9:$C23)))</f>
        <v>0</v>
      </c>
      <c r="AO11" s="115" cm="1">
        <f t="array" ref="AO11">(SUMPRODUCT((TEXT($O9:$O23,"yyyymm")=TEXT(AO$8,"yyyymm")) * ($T9:$T23 * $N9:$N23)))+(SUMPRODUCT((TEXT($D9:$D23,"yyyymm")=TEXT(AO$8,"yyyymm")) * ($I9:$I23 * $C9:$C23)))</f>
        <v>15000</v>
      </c>
      <c r="AP11" s="115" cm="1">
        <f t="array" ref="AP11">(SUMPRODUCT((TEXT($O9:$O23,"yyyymm")=TEXT(AP$8,"yyyymm")) * ($T9:$T23 * $N9:$N23)))+(SUMPRODUCT((TEXT($D9:$D23,"yyyymm")=TEXT(AP$8,"yyyymm")) * ($I9:$I23 * $C9:$C23)))</f>
        <v>0</v>
      </c>
      <c r="AQ11" s="115" cm="1">
        <f t="array" ref="AQ11">(SUMPRODUCT((TEXT($O9:$O23,"yyyymm")=TEXT(AQ$8,"yyyymm")) * ($T9:$T23 * $N9:$N23)))+(SUMPRODUCT((TEXT($D9:$D23,"yyyymm")=TEXT(AQ$8,"yyyymm")) * ($I9:$I23 * $C9:$C23)))</f>
        <v>0</v>
      </c>
      <c r="AR11" s="115" cm="1">
        <f t="array" ref="AR11">(SUMPRODUCT((TEXT($O9:$O23,"yyyymm")=TEXT(AR$8,"yyyymm")) * ($T9:$T23 * $N9:$N23)))+(SUMPRODUCT((TEXT($D9:$D23,"yyyymm")=TEXT(AR$8,"yyyymm")) * ($I9:$I23 * $C9:$C23)))</f>
        <v>0</v>
      </c>
      <c r="AS11" s="115" cm="1">
        <f t="array" ref="AS11">(SUMPRODUCT((TEXT($O9:$O23,"yyyymm")=TEXT(AS$8,"yyyymm")) * ($T9:$T23 * $N9:$N23)))+(SUMPRODUCT((TEXT($D9:$D23,"yyyymm")=TEXT(AS$8,"yyyymm")) * ($I9:$I23 * $C9:$C23)))</f>
        <v>0</v>
      </c>
      <c r="AT11" s="115" cm="1">
        <f t="array" ref="AT11">(SUMPRODUCT((TEXT($O9:$O23,"yyyymm")=TEXT(AT$8,"yyyymm")) * ($T9:$T23 * $N9:$N23)))+(SUMPRODUCT((TEXT($D9:$D23,"yyyymm")=TEXT(AT$8,"yyyymm")) * ($I9:$I23 * $C9:$C23)))</f>
        <v>0</v>
      </c>
      <c r="AU11" s="115" cm="1">
        <f t="array" ref="AU11">(SUMPRODUCT((TEXT($O9:$O23,"yyyymm")=TEXT(AU$8,"yyyymm")) * ($T9:$T23 * $N9:$N23)))+(SUMPRODUCT((TEXT($D9:$D23,"yyyymm")=TEXT(AU$8,"yyyymm")) * ($I9:$I23 * $C9:$C23)))</f>
        <v>0</v>
      </c>
      <c r="AV11" s="209">
        <f t="shared" ref="AV11:AV12" si="8">SUM(AJ11:AU11)</f>
        <v>15000</v>
      </c>
      <c r="DB11" s="133">
        <f t="shared" si="6"/>
        <v>0</v>
      </c>
      <c r="DC11" s="132">
        <f t="shared" si="6"/>
        <v>0</v>
      </c>
      <c r="DD11" s="132">
        <f t="shared" si="6"/>
        <v>0</v>
      </c>
      <c r="DE11" s="132">
        <f t="shared" si="6"/>
        <v>0</v>
      </c>
      <c r="DF11" s="132">
        <f t="shared" si="6"/>
        <v>0</v>
      </c>
      <c r="DG11" s="132">
        <f t="shared" si="6"/>
        <v>0</v>
      </c>
      <c r="DH11" s="132">
        <f t="shared" si="6"/>
        <v>0</v>
      </c>
      <c r="DI11" s="132">
        <f t="shared" si="6"/>
        <v>0</v>
      </c>
      <c r="DJ11" s="132">
        <f t="shared" si="6"/>
        <v>0</v>
      </c>
      <c r="DK11" s="132">
        <f t="shared" si="6"/>
        <v>0</v>
      </c>
      <c r="DL11" s="132">
        <f t="shared" si="7"/>
        <v>0</v>
      </c>
      <c r="DM11" s="134">
        <f t="shared" si="7"/>
        <v>0</v>
      </c>
      <c r="DN11" s="115">
        <f t="shared" si="7"/>
        <v>0</v>
      </c>
      <c r="DO11" s="115">
        <f t="shared" si="7"/>
        <v>0</v>
      </c>
      <c r="DP11" s="115">
        <f t="shared" si="7"/>
        <v>0</v>
      </c>
      <c r="DQ11" s="115">
        <f t="shared" si="7"/>
        <v>0</v>
      </c>
      <c r="DR11" s="115">
        <f t="shared" si="7"/>
        <v>0</v>
      </c>
      <c r="DS11" s="115">
        <f t="shared" si="7"/>
        <v>0</v>
      </c>
      <c r="DT11" s="115">
        <f t="shared" si="7"/>
        <v>0</v>
      </c>
      <c r="DU11" s="115">
        <f t="shared" si="7"/>
        <v>0</v>
      </c>
      <c r="DV11" s="115">
        <f t="shared" si="7"/>
        <v>0</v>
      </c>
      <c r="DW11" s="115">
        <f t="shared" si="7"/>
        <v>0</v>
      </c>
      <c r="DX11" s="115">
        <f t="shared" si="7"/>
        <v>0</v>
      </c>
      <c r="DY11" s="115">
        <f t="shared" si="7"/>
        <v>0</v>
      </c>
    </row>
    <row r="12" spans="1:129" x14ac:dyDescent="0.35">
      <c r="B12" s="6" t="str">
        <f t="shared" si="2"/>
        <v/>
      </c>
      <c r="C12" s="137"/>
      <c r="D12" s="155"/>
      <c r="E12" s="147"/>
      <c r="F12" s="118">
        <f t="shared" si="3"/>
        <v>0</v>
      </c>
      <c r="G12" s="148"/>
      <c r="H12" s="347">
        <f t="shared" si="4"/>
        <v>0</v>
      </c>
      <c r="I12" s="146"/>
      <c r="J12" s="174"/>
      <c r="K12" s="116"/>
      <c r="L12" s="118"/>
      <c r="M12" s="6"/>
      <c r="N12" s="137"/>
      <c r="O12" s="155"/>
      <c r="P12" s="147"/>
      <c r="Q12" s="118">
        <f t="shared" si="0"/>
        <v>0</v>
      </c>
      <c r="R12" s="148"/>
      <c r="S12" s="347">
        <f t="shared" si="5"/>
        <v>0</v>
      </c>
      <c r="T12" s="146"/>
      <c r="U12" s="156"/>
      <c r="W12" s="114" t="s">
        <v>313</v>
      </c>
      <c r="X12" s="133" cm="1">
        <f t="array" ref="X12">IFERROR((SUMPRODUCT((TEXT($O9:$O23,"yyyymm")=TEXT(X$8,"yyyymm")) * ($U9:$U23 * $N9:$N23*$R9:$R23*$Q9:$Q23)))+(SUMPRODUCT((TEXT($D9:$D23,"yyyymm")=TEXT(X$8,"yyyymm")) * ($J9:$J23 * $C9:$C23*$G9:$G23*$F9:$F23))),0)</f>
        <v>0</v>
      </c>
      <c r="Y12" s="115" cm="1">
        <f t="array" ref="Y12">IFERROR((SUMPRODUCT((TEXT($O9:$O23,"yyyymm")=TEXT(Y$8,"yyyymm")) * ($U9:$U23 * $N9:$N23*$R9:$R23*$Q9:$Q23)))+(SUMPRODUCT((TEXT($D9:$D23,"yyyymm")=TEXT(Y$8,"yyyymm")) * ($J9:$J23 * $C9:$C23*$G9:$G23*$F9:$F23))),0)</f>
        <v>0</v>
      </c>
      <c r="Z12" s="115" cm="1">
        <f t="array" ref="Z12">IFERROR((SUMPRODUCT((TEXT($O9:$O23,"yyyymm")=TEXT(Z$8,"yyyymm")) * ($U9:$U23 * $N9:$N23*$R9:$R23*$Q9:$Q23)))+(SUMPRODUCT((TEXT($D9:$D23,"yyyymm")=TEXT(Z$8,"yyyymm")) * ($J9:$J23 * $C9:$C23*$G9:$G23*$F9:$F23))),0)</f>
        <v>0</v>
      </c>
      <c r="AA12" s="115" cm="1">
        <f t="array" ref="AA12">IFERROR((SUMPRODUCT((TEXT($O9:$O23,"yyyymm")=TEXT(AA$8,"yyyymm")) * ($U9:$U23 * $N9:$N23*$R9:$R23*$Q9:$Q23)))+(SUMPRODUCT((TEXT($D9:$D23,"yyyymm")=TEXT(AA$8,"yyyymm")) * ($J9:$J23 * $C9:$C23*$G9:$G23*$F9:$F23))),0)</f>
        <v>0</v>
      </c>
      <c r="AB12" s="115" cm="1">
        <f t="array" ref="AB12">IFERROR((SUMPRODUCT((TEXT($O9:$O23,"yyyymm")=TEXT(AB$8,"yyyymm")) * ($U9:$U23 * $N9:$N23*$R9:$R23*$Q9:$Q23)))+(SUMPRODUCT((TEXT($D9:$D23,"yyyymm")=TEXT(AB$8,"yyyymm")) * ($J9:$J23 * $C9:$C23*$G9:$G23*$F9:$F23))),0)</f>
        <v>0</v>
      </c>
      <c r="AC12" s="115" cm="1">
        <f t="array" ref="AC12">IFERROR((SUMPRODUCT((TEXT($O9:$O23,"yyyymm")=TEXT(AC$8,"yyyymm")) * ($U9:$U23 * $N9:$N23*$R9:$R23*$Q9:$Q23)))+(SUMPRODUCT((TEXT($D9:$D23,"yyyymm")=TEXT(AC$8,"yyyymm")) * ($J9:$J23 * $C9:$C23*$G9:$G23*$F9:$F23))),0)</f>
        <v>0</v>
      </c>
      <c r="AD12" s="115" cm="1">
        <f t="array" ref="AD12">IFERROR((SUMPRODUCT((TEXT($O9:$O23,"yyyymm")=TEXT(AD$8,"yyyymm")) * ($U9:$U23 * $N9:$N23*$R9:$R23*$Q9:$Q23)))+(SUMPRODUCT((TEXT($D9:$D23,"yyyymm")=TEXT(AD$8,"yyyymm")) * ($J9:$J23 * $C9:$C23*$G9:$G23*$F9:$F23))),0)</f>
        <v>0</v>
      </c>
      <c r="AE12" s="115" cm="1">
        <f t="array" ref="AE12">IFERROR((SUMPRODUCT((TEXT($O9:$O23,"yyyymm")=TEXT(AE$8,"yyyymm")) * ($U9:$U23 * $N9:$N23*$R9:$R23*$Q9:$Q23)))+(SUMPRODUCT((TEXT($D9:$D23,"yyyymm")=TEXT(AE$8,"yyyymm")) * ($J9:$J23 * $C9:$C23*$G9:$G23*$F9:$F23))),0)</f>
        <v>0</v>
      </c>
      <c r="AF12" s="115" cm="1">
        <f t="array" ref="AF12">IFERROR((SUMPRODUCT((TEXT($O9:$O23,"yyyymm")=TEXT(AF$8,"yyyymm")) * ($U9:$U23 * $N9:$N23*$R9:$R23*$Q9:$Q23)))+(SUMPRODUCT((TEXT($D9:$D23,"yyyymm")=TEXT(AF$8,"yyyymm")) * ($J9:$J23 * $C9:$C23*$G9:$G23*$F9:$F23))),0)</f>
        <v>0</v>
      </c>
      <c r="AG12" s="115" cm="1">
        <f t="array" ref="AG12">IFERROR((SUMPRODUCT((TEXT($O9:$O23,"yyyymm")=TEXT(AG$8,"yyyymm")) * ($U9:$U23 * $N9:$N23*$R9:$R23*$Q9:$Q23)))+(SUMPRODUCT((TEXT($D9:$D23,"yyyymm")=TEXT(AG$8,"yyyymm")) * ($J9:$J23 * $C9:$C23*$G9:$G23*$F9:$F23))),0)</f>
        <v>0</v>
      </c>
      <c r="AH12" s="115" cm="1">
        <f t="array" ref="AH12">IFERROR((SUMPRODUCT((TEXT($O9:$O23,"yyyymm")=TEXT(AH$8,"yyyymm")) * ($U9:$U23 * $N9:$N23*$R9:$R23*$Q9:$Q23)))+(SUMPRODUCT((TEXT($D9:$D23,"yyyymm")=TEXT(AH$8,"yyyymm")) * ($J9:$J23 * $C9:$C23*$G9:$G23*$F9:$F23))),0)</f>
        <v>0</v>
      </c>
      <c r="AI12" s="115" cm="1">
        <f t="array" ref="AI12">IFERROR((SUMPRODUCT((TEXT($O9:$O23,"yyyymm")=TEXT(AI$8,"yyyymm")) * ($U9:$U23 * $N9:$N23*$R9:$R23*$Q9:$Q23)))+(SUMPRODUCT((TEXT($D9:$D23,"yyyymm")=TEXT(AI$8,"yyyymm")) * ($J9:$J23 * $C9:$C23*$G9:$G23*$F9:$F23))),0)</f>
        <v>0</v>
      </c>
      <c r="AJ12" s="133" cm="1">
        <f t="array" ref="AJ12">IFERROR((SUMPRODUCT((TEXT($O9:$O23,"yyyymm")=TEXT(AJ$8,"yyyymm")) * ($U9:$U23 * $N9:$N23*$R9:$R23*$Q9:$Q23)))+(SUMPRODUCT((TEXT($D9:$D23,"yyyymm")=TEXT(AJ$8,"yyyymm")) * ($J9:$J23 * $C9:$C23*$G9:$G23*$F9:$F23))),0)</f>
        <v>0</v>
      </c>
      <c r="AK12" s="115" cm="1">
        <f t="array" ref="AK12">IFERROR((SUMPRODUCT((TEXT($O9:$O23,"yyyymm")=TEXT(AK$8,"yyyymm")) * ($U9:$U23 * $N9:$N23*$R9:$R23*$Q9:$Q23)))+(SUMPRODUCT((TEXT($D9:$D23,"yyyymm")=TEXT(AK$8,"yyyymm")) * ($J9:$J23 * $C9:$C23*$G9:$G23*$F9:$F23))),0)</f>
        <v>0</v>
      </c>
      <c r="AL12" s="115" cm="1">
        <f t="array" ref="AL12">IFERROR((SUMPRODUCT((TEXT($O9:$O23,"yyyymm")=TEXT(AL$8,"yyyymm")) * ($U9:$U23 * $N9:$N23*$R9:$R23*$Q9:$Q23)))+(SUMPRODUCT((TEXT($D9:$D23,"yyyymm")=TEXT(AL$8,"yyyymm")) * ($J9:$J23 * $C9:$C23*$G9:$G23*$F9:$F23))),0)</f>
        <v>0</v>
      </c>
      <c r="AM12" s="115" cm="1">
        <f t="array" ref="AM12">IFERROR((SUMPRODUCT((TEXT($O9:$O23,"yyyymm")=TEXT(AM$8,"yyyymm")) * ($U9:$U23 * $N9:$N23*$R9:$R23*$Q9:$Q23)))+(SUMPRODUCT((TEXT($D9:$D23,"yyyymm")=TEXT(AM$8,"yyyymm")) * ($J9:$J23 * $C9:$C23*$G9:$G23*$F9:$F23))),0)</f>
        <v>0</v>
      </c>
      <c r="AN12" s="115" cm="1">
        <f t="array" ref="AN12">IFERROR((SUMPRODUCT((TEXT($O9:$O23,"yyyymm")=TEXT(AN$8,"yyyymm")) * ($U9:$U23 * $N9:$N23*$R9:$R23*$Q9:$Q23)))+(SUMPRODUCT((TEXT($D9:$D23,"yyyymm")=TEXT(AN$8,"yyyymm")) * ($J9:$J23 * $C9:$C23*$G9:$G23*$F9:$F23))),0)</f>
        <v>0</v>
      </c>
      <c r="AO12" s="115" cm="1">
        <f t="array" ref="AO12">IFERROR((SUMPRODUCT((TEXT($O9:$O23,"yyyymm")=TEXT(AO$8,"yyyymm")) * ($U9:$U23 * $N9:$N23*$R9:$R23*$Q9:$Q23)))+(SUMPRODUCT((TEXT($D9:$D23,"yyyymm")=TEXT(AO$8,"yyyymm")) * ($J9:$J23 * $C9:$C23*$G9:$G23*$F9:$F23))),0)</f>
        <v>0</v>
      </c>
      <c r="AP12" s="115" cm="1">
        <f t="array" ref="AP12">IFERROR((SUMPRODUCT((TEXT($O9:$O23,"yyyymm")=TEXT(AP$8,"yyyymm")) * ($U9:$U23 * $N9:$N23*$R9:$R23*$Q9:$Q23)))+(SUMPRODUCT((TEXT($D9:$D23,"yyyymm")=TEXT(AP$8,"yyyymm")) * ($J9:$J23 * $C9:$C23*$G9:$G23*$F9:$F23))),0)</f>
        <v>0</v>
      </c>
      <c r="AQ12" s="115" cm="1">
        <f t="array" ref="AQ12">IFERROR((SUMPRODUCT((TEXT($O9:$O23,"yyyymm")=TEXT(AQ$8,"yyyymm")) * ($U9:$U23 * $N9:$N23*$R9:$R23*$Q9:$Q23)))+(SUMPRODUCT((TEXT($D9:$D23,"yyyymm")=TEXT(AQ$8,"yyyymm")) * ($J9:$J23 * $C9:$C23*$G9:$G23*$F9:$F23))),0)</f>
        <v>0</v>
      </c>
      <c r="AR12" s="115" cm="1">
        <f t="array" ref="AR12">IFERROR((SUMPRODUCT((TEXT($O9:$O23,"yyyymm")=TEXT(AR$8,"yyyymm")) * ($U9:$U23 * $N9:$N23*$R9:$R23*$Q9:$Q23)))+(SUMPRODUCT((TEXT($D9:$D23,"yyyymm")=TEXT(AR$8,"yyyymm")) * ($J9:$J23 * $C9:$C23*$G9:$G23*$F9:$F23))),0)</f>
        <v>0</v>
      </c>
      <c r="AS12" s="115" cm="1">
        <f t="array" ref="AS12">IFERROR((SUMPRODUCT((TEXT($O9:$O23,"yyyymm")=TEXT(AS$8,"yyyymm")) * ($U9:$U23 * $N9:$N23*$R9:$R23*$Q9:$Q23)))+(SUMPRODUCT((TEXT($D9:$D23,"yyyymm")=TEXT(AS$8,"yyyymm")) * ($J9:$J23 * $C9:$C23*$G9:$G23*$F9:$F23))),0)</f>
        <v>0</v>
      </c>
      <c r="AT12" s="115" cm="1">
        <f t="array" ref="AT12">IFERROR((SUMPRODUCT((TEXT($O9:$O23,"yyyymm")=TEXT(AT$8,"yyyymm")) * ($U9:$U23 * $N9:$N23*$R9:$R23*$Q9:$Q23)))+(SUMPRODUCT((TEXT($D9:$D23,"yyyymm")=TEXT(AT$8,"yyyymm")) * ($J9:$J23 * $C9:$C23*$G9:$G23*$F9:$F23))),0)</f>
        <v>0</v>
      </c>
      <c r="AU12" s="115" cm="1">
        <f t="array" ref="AU12">IFERROR((SUMPRODUCT((TEXT($O9:$O23,"yyyymm")=TEXT(AU$8,"yyyymm")) * ($U9:$U23 * $N9:$N23*$R9:$R23*$Q9:$Q23)))+(SUMPRODUCT((TEXT($D9:$D23,"yyyymm")=TEXT(AU$8,"yyyymm")) * ($J9:$J23 * $C9:$C23*$G9:$G23*$F9:$F23))),0)</f>
        <v>0</v>
      </c>
      <c r="AV12" s="209">
        <f t="shared" si="8"/>
        <v>0</v>
      </c>
      <c r="DB12" s="133">
        <f t="shared" si="6"/>
        <v>0</v>
      </c>
      <c r="DC12" s="132">
        <f t="shared" si="6"/>
        <v>0</v>
      </c>
      <c r="DD12" s="132">
        <f t="shared" si="6"/>
        <v>0</v>
      </c>
      <c r="DE12" s="132">
        <f t="shared" si="6"/>
        <v>0</v>
      </c>
      <c r="DF12" s="132">
        <f t="shared" si="6"/>
        <v>0</v>
      </c>
      <c r="DG12" s="132">
        <f t="shared" si="6"/>
        <v>0</v>
      </c>
      <c r="DH12" s="132">
        <f t="shared" si="6"/>
        <v>0</v>
      </c>
      <c r="DI12" s="132">
        <f t="shared" si="6"/>
        <v>0</v>
      </c>
      <c r="DJ12" s="132">
        <f t="shared" si="6"/>
        <v>0</v>
      </c>
      <c r="DK12" s="132">
        <f t="shared" si="6"/>
        <v>0</v>
      </c>
      <c r="DL12" s="132">
        <f t="shared" si="7"/>
        <v>0</v>
      </c>
      <c r="DM12" s="134">
        <f t="shared" si="7"/>
        <v>0</v>
      </c>
      <c r="DN12" s="115">
        <f t="shared" si="7"/>
        <v>0</v>
      </c>
      <c r="DO12" s="115">
        <f t="shared" si="7"/>
        <v>0</v>
      </c>
      <c r="DP12" s="115">
        <f t="shared" si="7"/>
        <v>0</v>
      </c>
      <c r="DQ12" s="115">
        <f t="shared" si="7"/>
        <v>0</v>
      </c>
      <c r="DR12" s="115">
        <f t="shared" si="7"/>
        <v>0</v>
      </c>
      <c r="DS12" s="115">
        <f t="shared" si="7"/>
        <v>0</v>
      </c>
      <c r="DT12" s="115">
        <f t="shared" si="7"/>
        <v>0</v>
      </c>
      <c r="DU12" s="115">
        <f t="shared" si="7"/>
        <v>0</v>
      </c>
      <c r="DV12" s="115">
        <f t="shared" si="7"/>
        <v>0</v>
      </c>
      <c r="DW12" s="115">
        <f t="shared" si="7"/>
        <v>0</v>
      </c>
      <c r="DX12" s="115">
        <f t="shared" si="7"/>
        <v>0</v>
      </c>
      <c r="DY12" s="115">
        <f t="shared" si="7"/>
        <v>0</v>
      </c>
    </row>
    <row r="13" spans="1:129" ht="17.5" x14ac:dyDescent="0.35">
      <c r="B13" s="6" t="str">
        <f t="shared" si="2"/>
        <v/>
      </c>
      <c r="C13" s="137"/>
      <c r="D13" s="155"/>
      <c r="E13" s="145"/>
      <c r="F13" s="118">
        <f t="shared" si="3"/>
        <v>0</v>
      </c>
      <c r="G13" s="146"/>
      <c r="H13" s="347">
        <f t="shared" si="4"/>
        <v>0</v>
      </c>
      <c r="I13" s="146"/>
      <c r="J13" s="156"/>
      <c r="K13" s="116"/>
      <c r="L13" s="118"/>
      <c r="M13" s="6"/>
      <c r="N13" s="137"/>
      <c r="O13" s="155"/>
      <c r="P13" s="145"/>
      <c r="Q13" s="118">
        <f t="shared" si="0"/>
        <v>0</v>
      </c>
      <c r="R13" s="146"/>
      <c r="S13" s="347">
        <f t="shared" si="5"/>
        <v>0</v>
      </c>
      <c r="T13" s="146"/>
      <c r="U13" s="156"/>
      <c r="W13" s="176" t="s">
        <v>273</v>
      </c>
      <c r="X13" s="90">
        <f>SUM(X10:X12)</f>
        <v>0</v>
      </c>
      <c r="Y13" s="90">
        <f t="shared" ref="Y13:AV13" si="9">SUM(Y10:Y12)</f>
        <v>0</v>
      </c>
      <c r="Z13" s="90">
        <f t="shared" si="9"/>
        <v>0</v>
      </c>
      <c r="AA13" s="90">
        <f t="shared" si="9"/>
        <v>0</v>
      </c>
      <c r="AB13" s="90">
        <f t="shared" si="9"/>
        <v>0</v>
      </c>
      <c r="AC13" s="90">
        <f t="shared" si="9"/>
        <v>0</v>
      </c>
      <c r="AD13" s="90">
        <f t="shared" si="9"/>
        <v>0</v>
      </c>
      <c r="AE13" s="90">
        <f t="shared" si="9"/>
        <v>0</v>
      </c>
      <c r="AF13" s="90">
        <f t="shared" si="9"/>
        <v>0</v>
      </c>
      <c r="AG13" s="90">
        <f t="shared" si="9"/>
        <v>1772.8333333333333</v>
      </c>
      <c r="AH13" s="90">
        <f t="shared" si="9"/>
        <v>1772.8333333333333</v>
      </c>
      <c r="AI13" s="90">
        <f t="shared" si="9"/>
        <v>3056.1666666666665</v>
      </c>
      <c r="AJ13" s="90">
        <f t="shared" si="9"/>
        <v>3056.1666666666665</v>
      </c>
      <c r="AK13" s="90">
        <f t="shared" si="9"/>
        <v>3056.1666666666665</v>
      </c>
      <c r="AL13" s="90">
        <f t="shared" si="9"/>
        <v>3056.1666666666665</v>
      </c>
      <c r="AM13" s="90">
        <f t="shared" si="9"/>
        <v>3056.1666666666665</v>
      </c>
      <c r="AN13" s="90">
        <f t="shared" si="9"/>
        <v>3056.1666666666665</v>
      </c>
      <c r="AO13" s="90">
        <f t="shared" si="9"/>
        <v>19306.166666666668</v>
      </c>
      <c r="AP13" s="90">
        <f t="shared" si="9"/>
        <v>4306.166666666667</v>
      </c>
      <c r="AQ13" s="90">
        <f t="shared" si="9"/>
        <v>4306.166666666667</v>
      </c>
      <c r="AR13" s="90">
        <f t="shared" si="9"/>
        <v>4306.166666666667</v>
      </c>
      <c r="AS13" s="90">
        <f t="shared" si="9"/>
        <v>4306.166666666667</v>
      </c>
      <c r="AT13" s="90">
        <f t="shared" si="9"/>
        <v>4306.166666666667</v>
      </c>
      <c r="AU13" s="90">
        <f t="shared" si="9"/>
        <v>4306.166666666667</v>
      </c>
      <c r="AV13" s="90">
        <f t="shared" si="9"/>
        <v>60424</v>
      </c>
      <c r="DB13" s="133">
        <f t="shared" si="6"/>
        <v>0</v>
      </c>
      <c r="DC13" s="132">
        <f t="shared" si="6"/>
        <v>0</v>
      </c>
      <c r="DD13" s="132">
        <f t="shared" si="6"/>
        <v>0</v>
      </c>
      <c r="DE13" s="132">
        <f t="shared" si="6"/>
        <v>0</v>
      </c>
      <c r="DF13" s="132">
        <f t="shared" si="6"/>
        <v>0</v>
      </c>
      <c r="DG13" s="132">
        <f t="shared" si="6"/>
        <v>0</v>
      </c>
      <c r="DH13" s="132">
        <f t="shared" si="6"/>
        <v>0</v>
      </c>
      <c r="DI13" s="132">
        <f t="shared" si="6"/>
        <v>0</v>
      </c>
      <c r="DJ13" s="132">
        <f t="shared" si="6"/>
        <v>0</v>
      </c>
      <c r="DK13" s="132">
        <f t="shared" si="6"/>
        <v>0</v>
      </c>
      <c r="DL13" s="132">
        <f t="shared" si="7"/>
        <v>0</v>
      </c>
      <c r="DM13" s="134">
        <f t="shared" si="7"/>
        <v>0</v>
      </c>
      <c r="DN13" s="115">
        <f t="shared" si="7"/>
        <v>0</v>
      </c>
      <c r="DO13" s="115">
        <f t="shared" si="7"/>
        <v>0</v>
      </c>
      <c r="DP13" s="115">
        <f t="shared" si="7"/>
        <v>0</v>
      </c>
      <c r="DQ13" s="115">
        <f t="shared" si="7"/>
        <v>0</v>
      </c>
      <c r="DR13" s="115">
        <f t="shared" si="7"/>
        <v>0</v>
      </c>
      <c r="DS13" s="115">
        <f t="shared" si="7"/>
        <v>0</v>
      </c>
      <c r="DT13" s="115">
        <f t="shared" si="7"/>
        <v>0</v>
      </c>
      <c r="DU13" s="115">
        <f t="shared" si="7"/>
        <v>0</v>
      </c>
      <c r="DV13" s="115">
        <f t="shared" si="7"/>
        <v>0</v>
      </c>
      <c r="DW13" s="115">
        <f t="shared" si="7"/>
        <v>0</v>
      </c>
      <c r="DX13" s="115">
        <f t="shared" si="7"/>
        <v>0</v>
      </c>
      <c r="DY13" s="115">
        <f t="shared" si="7"/>
        <v>0</v>
      </c>
    </row>
    <row r="14" spans="1:129" x14ac:dyDescent="0.35">
      <c r="B14" s="6" t="str">
        <f t="shared" si="2"/>
        <v/>
      </c>
      <c r="C14" s="137"/>
      <c r="D14" s="155"/>
      <c r="E14" s="145"/>
      <c r="F14" s="118">
        <f t="shared" si="3"/>
        <v>0</v>
      </c>
      <c r="G14" s="146"/>
      <c r="H14" s="347">
        <f t="shared" si="4"/>
        <v>0</v>
      </c>
      <c r="I14" s="146"/>
      <c r="J14" s="156"/>
      <c r="K14" s="116"/>
      <c r="L14" s="118"/>
      <c r="O14" s="155"/>
      <c r="P14" s="145"/>
      <c r="Q14" s="118">
        <f t="shared" si="0"/>
        <v>0</v>
      </c>
      <c r="R14" s="146"/>
      <c r="S14" s="347">
        <f t="shared" si="5"/>
        <v>0</v>
      </c>
      <c r="T14" s="146"/>
      <c r="U14" s="156"/>
      <c r="AK14" s="115"/>
      <c r="DB14" s="133">
        <f t="shared" si="6"/>
        <v>0</v>
      </c>
      <c r="DC14" s="132">
        <f t="shared" si="6"/>
        <v>0</v>
      </c>
      <c r="DD14" s="132">
        <f t="shared" si="6"/>
        <v>0</v>
      </c>
      <c r="DE14" s="132">
        <f t="shared" si="6"/>
        <v>0</v>
      </c>
      <c r="DF14" s="132">
        <f t="shared" si="6"/>
        <v>0</v>
      </c>
      <c r="DG14" s="132">
        <f t="shared" si="6"/>
        <v>0</v>
      </c>
      <c r="DH14" s="132">
        <f t="shared" si="6"/>
        <v>0</v>
      </c>
      <c r="DI14" s="132">
        <f t="shared" si="6"/>
        <v>0</v>
      </c>
      <c r="DJ14" s="132">
        <f t="shared" si="6"/>
        <v>0</v>
      </c>
      <c r="DK14" s="132">
        <f t="shared" si="6"/>
        <v>0</v>
      </c>
      <c r="DL14" s="132">
        <f t="shared" si="7"/>
        <v>0</v>
      </c>
      <c r="DM14" s="134">
        <f t="shared" si="7"/>
        <v>0</v>
      </c>
      <c r="DN14" s="115">
        <f t="shared" si="7"/>
        <v>0</v>
      </c>
      <c r="DO14" s="115">
        <f t="shared" si="7"/>
        <v>0</v>
      </c>
      <c r="DP14" s="115">
        <f t="shared" si="7"/>
        <v>0</v>
      </c>
      <c r="DQ14" s="115">
        <f t="shared" si="7"/>
        <v>0</v>
      </c>
      <c r="DR14" s="115">
        <f t="shared" si="7"/>
        <v>0</v>
      </c>
      <c r="DS14" s="115">
        <f t="shared" si="7"/>
        <v>0</v>
      </c>
      <c r="DT14" s="115">
        <f t="shared" si="7"/>
        <v>0</v>
      </c>
      <c r="DU14" s="115">
        <f t="shared" si="7"/>
        <v>0</v>
      </c>
      <c r="DV14" s="115">
        <f t="shared" si="7"/>
        <v>0</v>
      </c>
      <c r="DW14" s="115">
        <f t="shared" si="7"/>
        <v>0</v>
      </c>
      <c r="DX14" s="115">
        <f t="shared" si="7"/>
        <v>0</v>
      </c>
      <c r="DY14" s="115">
        <f t="shared" si="7"/>
        <v>0</v>
      </c>
    </row>
    <row r="15" spans="1:129" x14ac:dyDescent="0.35">
      <c r="B15" s="6" t="str">
        <f t="shared" si="2"/>
        <v/>
      </c>
      <c r="C15" s="137"/>
      <c r="D15" s="155"/>
      <c r="E15" s="145"/>
      <c r="F15" s="118">
        <f t="shared" si="3"/>
        <v>0</v>
      </c>
      <c r="G15" s="146"/>
      <c r="H15" s="347">
        <f t="shared" si="4"/>
        <v>0</v>
      </c>
      <c r="I15" s="148"/>
      <c r="J15" s="156"/>
      <c r="K15" s="116"/>
      <c r="L15" s="118"/>
      <c r="M15" s="6"/>
      <c r="N15" s="137"/>
      <c r="O15" s="155"/>
      <c r="P15" s="145"/>
      <c r="Q15" s="118">
        <f t="shared" si="0"/>
        <v>0</v>
      </c>
      <c r="R15" s="146"/>
      <c r="S15" s="347">
        <f t="shared" si="5"/>
        <v>0</v>
      </c>
      <c r="T15" s="148"/>
      <c r="U15" s="156"/>
      <c r="W15" s="171" t="s">
        <v>315</v>
      </c>
      <c r="AK15" s="115"/>
      <c r="DB15" s="133">
        <f t="shared" si="6"/>
        <v>0</v>
      </c>
      <c r="DC15" s="132">
        <f t="shared" si="6"/>
        <v>0</v>
      </c>
      <c r="DD15" s="132">
        <f t="shared" si="6"/>
        <v>0</v>
      </c>
      <c r="DE15" s="132">
        <f t="shared" si="6"/>
        <v>0</v>
      </c>
      <c r="DF15" s="132">
        <f t="shared" si="6"/>
        <v>0</v>
      </c>
      <c r="DG15" s="132">
        <f t="shared" si="6"/>
        <v>0</v>
      </c>
      <c r="DH15" s="132">
        <f t="shared" si="6"/>
        <v>0</v>
      </c>
      <c r="DI15" s="132">
        <f t="shared" si="6"/>
        <v>0</v>
      </c>
      <c r="DJ15" s="132">
        <f t="shared" si="6"/>
        <v>0</v>
      </c>
      <c r="DK15" s="132">
        <f t="shared" si="6"/>
        <v>0</v>
      </c>
      <c r="DL15" s="132">
        <f t="shared" si="7"/>
        <v>0</v>
      </c>
      <c r="DM15" s="134">
        <f t="shared" si="7"/>
        <v>0</v>
      </c>
      <c r="DN15" s="115">
        <f t="shared" si="7"/>
        <v>0</v>
      </c>
      <c r="DO15" s="115">
        <f t="shared" si="7"/>
        <v>0</v>
      </c>
      <c r="DP15" s="115">
        <f t="shared" si="7"/>
        <v>0</v>
      </c>
      <c r="DQ15" s="115">
        <f t="shared" si="7"/>
        <v>0</v>
      </c>
      <c r="DR15" s="115">
        <f t="shared" si="7"/>
        <v>0</v>
      </c>
      <c r="DS15" s="115">
        <f t="shared" si="7"/>
        <v>0</v>
      </c>
      <c r="DT15" s="115">
        <f t="shared" si="7"/>
        <v>0</v>
      </c>
      <c r="DU15" s="115">
        <f t="shared" si="7"/>
        <v>0</v>
      </c>
      <c r="DV15" s="115">
        <f t="shared" si="7"/>
        <v>0</v>
      </c>
      <c r="DW15" s="115">
        <f t="shared" si="7"/>
        <v>0</v>
      </c>
      <c r="DX15" s="115">
        <f t="shared" si="7"/>
        <v>0</v>
      </c>
      <c r="DY15" s="115">
        <f t="shared" si="7"/>
        <v>0</v>
      </c>
    </row>
    <row r="16" spans="1:129" x14ac:dyDescent="0.35">
      <c r="B16" s="6" t="str">
        <f>IF(A16&lt;&gt;"","VACANT","")</f>
        <v/>
      </c>
      <c r="C16" s="137"/>
      <c r="D16" s="155"/>
      <c r="E16" s="145"/>
      <c r="F16" s="118">
        <f t="shared" si="3"/>
        <v>0</v>
      </c>
      <c r="G16" s="146"/>
      <c r="H16" s="347">
        <f t="shared" si="4"/>
        <v>0</v>
      </c>
      <c r="I16" s="148"/>
      <c r="J16" s="156"/>
      <c r="K16" s="116"/>
      <c r="L16" s="118"/>
      <c r="M16" s="6"/>
      <c r="N16" s="123"/>
      <c r="O16" s="155"/>
      <c r="P16" s="145"/>
      <c r="Q16" s="118">
        <f t="shared" si="0"/>
        <v>0</v>
      </c>
      <c r="R16" s="146"/>
      <c r="S16" s="347">
        <f t="shared" si="5"/>
        <v>0</v>
      </c>
      <c r="T16" s="148"/>
      <c r="U16" s="156"/>
      <c r="W16" s="171" t="s">
        <v>316</v>
      </c>
      <c r="AK16" s="115"/>
      <c r="DB16" s="133">
        <f t="shared" si="6"/>
        <v>0</v>
      </c>
      <c r="DC16" s="132">
        <f t="shared" si="6"/>
        <v>0</v>
      </c>
      <c r="DD16" s="132">
        <f t="shared" si="6"/>
        <v>0</v>
      </c>
      <c r="DE16" s="132">
        <f t="shared" si="6"/>
        <v>0</v>
      </c>
      <c r="DF16" s="132">
        <f t="shared" si="6"/>
        <v>0</v>
      </c>
      <c r="DG16" s="132">
        <f t="shared" si="6"/>
        <v>0</v>
      </c>
      <c r="DH16" s="132">
        <f t="shared" si="6"/>
        <v>0</v>
      </c>
      <c r="DI16" s="132">
        <f t="shared" si="6"/>
        <v>0</v>
      </c>
      <c r="DJ16" s="132">
        <f t="shared" si="6"/>
        <v>0</v>
      </c>
      <c r="DK16" s="132">
        <f t="shared" si="6"/>
        <v>0</v>
      </c>
      <c r="DL16" s="132">
        <f t="shared" si="7"/>
        <v>0</v>
      </c>
      <c r="DM16" s="134">
        <f t="shared" si="7"/>
        <v>0</v>
      </c>
      <c r="DN16" s="115">
        <f t="shared" si="7"/>
        <v>0</v>
      </c>
      <c r="DO16" s="115">
        <f t="shared" si="7"/>
        <v>0</v>
      </c>
      <c r="DP16" s="115">
        <f t="shared" si="7"/>
        <v>0</v>
      </c>
      <c r="DQ16" s="115">
        <f t="shared" si="7"/>
        <v>0</v>
      </c>
      <c r="DR16" s="115">
        <f t="shared" si="7"/>
        <v>0</v>
      </c>
      <c r="DS16" s="115">
        <f t="shared" si="7"/>
        <v>0</v>
      </c>
      <c r="DT16" s="115">
        <f t="shared" si="7"/>
        <v>0</v>
      </c>
      <c r="DU16" s="115">
        <f t="shared" si="7"/>
        <v>0</v>
      </c>
      <c r="DV16" s="115">
        <f t="shared" si="7"/>
        <v>0</v>
      </c>
      <c r="DW16" s="115">
        <f t="shared" si="7"/>
        <v>0</v>
      </c>
      <c r="DX16" s="115">
        <f t="shared" si="7"/>
        <v>0</v>
      </c>
      <c r="DY16" s="115">
        <f t="shared" si="7"/>
        <v>0</v>
      </c>
    </row>
    <row r="17" spans="1:129" x14ac:dyDescent="0.35">
      <c r="B17" s="6" t="str">
        <f t="shared" si="2"/>
        <v/>
      </c>
      <c r="C17" s="137"/>
      <c r="D17" s="155"/>
      <c r="E17" s="145"/>
      <c r="F17" s="118">
        <f t="shared" si="3"/>
        <v>0</v>
      </c>
      <c r="G17" s="146"/>
      <c r="H17" s="347">
        <f t="shared" si="4"/>
        <v>0</v>
      </c>
      <c r="I17" s="148"/>
      <c r="J17" s="156"/>
      <c r="K17" s="116"/>
      <c r="L17" s="118"/>
      <c r="M17" s="6"/>
      <c r="N17" s="123"/>
      <c r="O17" s="155"/>
      <c r="P17" s="145"/>
      <c r="Q17" s="118">
        <f t="shared" si="0"/>
        <v>0</v>
      </c>
      <c r="R17" s="146"/>
      <c r="S17" s="347">
        <f t="shared" si="5"/>
        <v>0</v>
      </c>
      <c r="T17" s="148"/>
      <c r="U17" s="156"/>
      <c r="AK17" s="115"/>
      <c r="DB17" s="133">
        <f t="shared" si="6"/>
        <v>0</v>
      </c>
      <c r="DC17" s="132">
        <f t="shared" si="6"/>
        <v>0</v>
      </c>
      <c r="DD17" s="132">
        <f t="shared" si="6"/>
        <v>0</v>
      </c>
      <c r="DE17" s="132">
        <f t="shared" si="6"/>
        <v>0</v>
      </c>
      <c r="DF17" s="132">
        <f t="shared" si="6"/>
        <v>0</v>
      </c>
      <c r="DG17" s="132">
        <f t="shared" si="6"/>
        <v>0</v>
      </c>
      <c r="DH17" s="132">
        <f t="shared" si="6"/>
        <v>0</v>
      </c>
      <c r="DI17" s="132">
        <f t="shared" si="6"/>
        <v>0</v>
      </c>
      <c r="DJ17" s="132">
        <f t="shared" si="6"/>
        <v>0</v>
      </c>
      <c r="DK17" s="132">
        <f t="shared" si="6"/>
        <v>0</v>
      </c>
      <c r="DL17" s="132">
        <f t="shared" si="7"/>
        <v>0</v>
      </c>
      <c r="DM17" s="134">
        <f t="shared" si="7"/>
        <v>0</v>
      </c>
      <c r="DN17" s="115">
        <f t="shared" si="7"/>
        <v>0</v>
      </c>
      <c r="DO17" s="115">
        <f t="shared" si="7"/>
        <v>0</v>
      </c>
      <c r="DP17" s="115">
        <f t="shared" si="7"/>
        <v>0</v>
      </c>
      <c r="DQ17" s="115">
        <f t="shared" si="7"/>
        <v>0</v>
      </c>
      <c r="DR17" s="115">
        <f t="shared" si="7"/>
        <v>0</v>
      </c>
      <c r="DS17" s="115">
        <f t="shared" si="7"/>
        <v>0</v>
      </c>
      <c r="DT17" s="115">
        <f t="shared" si="7"/>
        <v>0</v>
      </c>
      <c r="DU17" s="115">
        <f t="shared" si="7"/>
        <v>0</v>
      </c>
      <c r="DV17" s="115">
        <f t="shared" si="7"/>
        <v>0</v>
      </c>
      <c r="DW17" s="115">
        <f t="shared" si="7"/>
        <v>0</v>
      </c>
      <c r="DX17" s="115">
        <f t="shared" si="7"/>
        <v>0</v>
      </c>
      <c r="DY17" s="115">
        <f t="shared" si="7"/>
        <v>0</v>
      </c>
    </row>
    <row r="18" spans="1:129" x14ac:dyDescent="0.35">
      <c r="B18" s="6" t="str">
        <f t="shared" si="2"/>
        <v/>
      </c>
      <c r="C18" s="137"/>
      <c r="D18" s="155"/>
      <c r="E18" s="145"/>
      <c r="F18" s="118">
        <f t="shared" si="3"/>
        <v>0</v>
      </c>
      <c r="G18" s="146"/>
      <c r="H18" s="347">
        <f t="shared" si="4"/>
        <v>0</v>
      </c>
      <c r="I18" s="148"/>
      <c r="J18" s="156"/>
      <c r="K18" s="116"/>
      <c r="L18" s="118"/>
      <c r="M18" s="6"/>
      <c r="N18" s="123"/>
      <c r="O18" s="155"/>
      <c r="P18" s="145"/>
      <c r="Q18" s="118">
        <f t="shared" si="0"/>
        <v>0</v>
      </c>
      <c r="R18" s="146"/>
      <c r="S18" s="347">
        <f t="shared" si="5"/>
        <v>0</v>
      </c>
      <c r="T18" s="148"/>
      <c r="U18" s="156"/>
      <c r="AK18" s="115"/>
      <c r="DB18" s="133">
        <f t="shared" si="6"/>
        <v>0</v>
      </c>
      <c r="DC18" s="132">
        <f t="shared" si="6"/>
        <v>0</v>
      </c>
      <c r="DD18" s="132">
        <f t="shared" si="6"/>
        <v>0</v>
      </c>
      <c r="DE18" s="132">
        <f t="shared" si="6"/>
        <v>0</v>
      </c>
      <c r="DF18" s="132">
        <f t="shared" si="6"/>
        <v>0</v>
      </c>
      <c r="DG18" s="132">
        <f t="shared" si="6"/>
        <v>0</v>
      </c>
      <c r="DH18" s="132">
        <f t="shared" si="6"/>
        <v>0</v>
      </c>
      <c r="DI18" s="132">
        <f t="shared" si="6"/>
        <v>0</v>
      </c>
      <c r="DJ18" s="132">
        <f t="shared" si="6"/>
        <v>0</v>
      </c>
      <c r="DK18" s="132">
        <f t="shared" si="6"/>
        <v>0</v>
      </c>
      <c r="DL18" s="132">
        <f t="shared" si="7"/>
        <v>0</v>
      </c>
      <c r="DM18" s="134">
        <f t="shared" si="7"/>
        <v>0</v>
      </c>
      <c r="DN18" s="115">
        <f t="shared" si="7"/>
        <v>0</v>
      </c>
      <c r="DO18" s="115">
        <f t="shared" si="7"/>
        <v>0</v>
      </c>
      <c r="DP18" s="115">
        <f t="shared" si="7"/>
        <v>0</v>
      </c>
      <c r="DQ18" s="115">
        <f t="shared" si="7"/>
        <v>0</v>
      </c>
      <c r="DR18" s="115">
        <f t="shared" si="7"/>
        <v>0</v>
      </c>
      <c r="DS18" s="115">
        <f t="shared" si="7"/>
        <v>0</v>
      </c>
      <c r="DT18" s="115">
        <f t="shared" si="7"/>
        <v>0</v>
      </c>
      <c r="DU18" s="115">
        <f t="shared" si="7"/>
        <v>0</v>
      </c>
      <c r="DV18" s="115">
        <f t="shared" si="7"/>
        <v>0</v>
      </c>
      <c r="DW18" s="115">
        <f t="shared" si="7"/>
        <v>0</v>
      </c>
      <c r="DX18" s="115">
        <f t="shared" si="7"/>
        <v>0</v>
      </c>
      <c r="DY18" s="115">
        <f t="shared" si="7"/>
        <v>0</v>
      </c>
    </row>
    <row r="19" spans="1:129" x14ac:dyDescent="0.35">
      <c r="B19" s="6" t="str">
        <f t="shared" si="2"/>
        <v/>
      </c>
      <c r="C19" s="137"/>
      <c r="D19" s="155"/>
      <c r="E19" s="145"/>
      <c r="F19" s="118">
        <f t="shared" si="3"/>
        <v>0</v>
      </c>
      <c r="G19" s="146"/>
      <c r="H19" s="347">
        <f t="shared" si="4"/>
        <v>0</v>
      </c>
      <c r="I19" s="148"/>
      <c r="J19" s="156"/>
      <c r="K19" s="116"/>
      <c r="L19" s="118"/>
      <c r="M19" s="6"/>
      <c r="N19" s="123"/>
      <c r="O19" s="155"/>
      <c r="P19" s="145"/>
      <c r="Q19" s="118">
        <f t="shared" si="0"/>
        <v>0</v>
      </c>
      <c r="R19" s="146"/>
      <c r="S19" s="347">
        <f t="shared" si="5"/>
        <v>0</v>
      </c>
      <c r="T19" s="148"/>
      <c r="U19" s="156"/>
      <c r="AK19" s="115"/>
      <c r="DB19" s="133">
        <f t="shared" si="6"/>
        <v>0</v>
      </c>
      <c r="DC19" s="132">
        <f t="shared" si="6"/>
        <v>0</v>
      </c>
      <c r="DD19" s="132">
        <f t="shared" si="6"/>
        <v>0</v>
      </c>
      <c r="DE19" s="132">
        <f t="shared" si="6"/>
        <v>0</v>
      </c>
      <c r="DF19" s="132">
        <f t="shared" si="6"/>
        <v>0</v>
      </c>
      <c r="DG19" s="132">
        <f t="shared" si="6"/>
        <v>0</v>
      </c>
      <c r="DH19" s="132">
        <f t="shared" si="6"/>
        <v>0</v>
      </c>
      <c r="DI19" s="132">
        <f t="shared" si="6"/>
        <v>0</v>
      </c>
      <c r="DJ19" s="132">
        <f t="shared" si="6"/>
        <v>0</v>
      </c>
      <c r="DK19" s="132">
        <f t="shared" si="6"/>
        <v>0</v>
      </c>
      <c r="DL19" s="132">
        <f t="shared" si="7"/>
        <v>0</v>
      </c>
      <c r="DM19" s="134">
        <f t="shared" si="7"/>
        <v>0</v>
      </c>
      <c r="DN19" s="115">
        <f t="shared" si="7"/>
        <v>0</v>
      </c>
      <c r="DO19" s="115">
        <f t="shared" si="7"/>
        <v>0</v>
      </c>
      <c r="DP19" s="115">
        <f t="shared" si="7"/>
        <v>0</v>
      </c>
      <c r="DQ19" s="115">
        <f t="shared" si="7"/>
        <v>0</v>
      </c>
      <c r="DR19" s="115">
        <f t="shared" si="7"/>
        <v>0</v>
      </c>
      <c r="DS19" s="115">
        <f t="shared" si="7"/>
        <v>0</v>
      </c>
      <c r="DT19" s="115">
        <f t="shared" si="7"/>
        <v>0</v>
      </c>
      <c r="DU19" s="115">
        <f t="shared" si="7"/>
        <v>0</v>
      </c>
      <c r="DV19" s="115">
        <f t="shared" si="7"/>
        <v>0</v>
      </c>
      <c r="DW19" s="115">
        <f t="shared" si="7"/>
        <v>0</v>
      </c>
      <c r="DX19" s="115">
        <f t="shared" si="7"/>
        <v>0</v>
      </c>
      <c r="DY19" s="115">
        <f t="shared" si="7"/>
        <v>0</v>
      </c>
    </row>
    <row r="20" spans="1:129" x14ac:dyDescent="0.35">
      <c r="B20" s="6" t="str">
        <f t="shared" si="2"/>
        <v/>
      </c>
      <c r="C20" s="137"/>
      <c r="D20" s="155"/>
      <c r="E20" s="145"/>
      <c r="F20" s="118">
        <f t="shared" si="3"/>
        <v>0</v>
      </c>
      <c r="G20" s="146"/>
      <c r="H20" s="347">
        <f t="shared" si="4"/>
        <v>0</v>
      </c>
      <c r="I20" s="146"/>
      <c r="J20" s="156"/>
      <c r="K20" s="116"/>
      <c r="L20" s="118"/>
      <c r="M20" s="6"/>
      <c r="N20" s="123"/>
      <c r="O20" s="155"/>
      <c r="P20" s="145"/>
      <c r="Q20" s="118">
        <f t="shared" si="0"/>
        <v>0</v>
      </c>
      <c r="R20" s="146"/>
      <c r="S20" s="347">
        <f t="shared" si="5"/>
        <v>0</v>
      </c>
      <c r="T20" s="146"/>
      <c r="U20" s="156"/>
      <c r="AK20" s="115"/>
      <c r="DB20" s="133">
        <f t="shared" si="6"/>
        <v>0</v>
      </c>
      <c r="DC20" s="132">
        <f t="shared" si="6"/>
        <v>0</v>
      </c>
      <c r="DD20" s="132">
        <f t="shared" si="6"/>
        <v>0</v>
      </c>
      <c r="DE20" s="132">
        <f t="shared" si="6"/>
        <v>0</v>
      </c>
      <c r="DF20" s="132">
        <f t="shared" si="6"/>
        <v>0</v>
      </c>
      <c r="DG20" s="132">
        <f t="shared" si="6"/>
        <v>0</v>
      </c>
      <c r="DH20" s="132">
        <f t="shared" si="6"/>
        <v>0</v>
      </c>
      <c r="DI20" s="132">
        <f t="shared" si="6"/>
        <v>0</v>
      </c>
      <c r="DJ20" s="132">
        <f t="shared" si="6"/>
        <v>0</v>
      </c>
      <c r="DK20" s="132">
        <f t="shared" si="6"/>
        <v>0</v>
      </c>
      <c r="DL20" s="132">
        <f t="shared" si="7"/>
        <v>0</v>
      </c>
      <c r="DM20" s="134">
        <f t="shared" si="7"/>
        <v>0</v>
      </c>
      <c r="DN20" s="115">
        <f t="shared" si="7"/>
        <v>0</v>
      </c>
      <c r="DO20" s="115">
        <f t="shared" si="7"/>
        <v>0</v>
      </c>
      <c r="DP20" s="115">
        <f t="shared" si="7"/>
        <v>0</v>
      </c>
      <c r="DQ20" s="115">
        <f t="shared" si="7"/>
        <v>0</v>
      </c>
      <c r="DR20" s="115">
        <f t="shared" si="7"/>
        <v>0</v>
      </c>
      <c r="DS20" s="115">
        <f t="shared" si="7"/>
        <v>0</v>
      </c>
      <c r="DT20" s="115">
        <f t="shared" si="7"/>
        <v>0</v>
      </c>
      <c r="DU20" s="115">
        <f t="shared" si="7"/>
        <v>0</v>
      </c>
      <c r="DV20" s="115">
        <f t="shared" si="7"/>
        <v>0</v>
      </c>
      <c r="DW20" s="115">
        <f t="shared" si="7"/>
        <v>0</v>
      </c>
      <c r="DX20" s="115">
        <f t="shared" si="7"/>
        <v>0</v>
      </c>
      <c r="DY20" s="115">
        <f t="shared" si="7"/>
        <v>0</v>
      </c>
    </row>
    <row r="21" spans="1:129" x14ac:dyDescent="0.35">
      <c r="B21" s="6" t="str">
        <f>IF(A21&lt;&gt;"","VACANT","")</f>
        <v/>
      </c>
      <c r="C21" s="137"/>
      <c r="D21" s="155"/>
      <c r="E21" s="145"/>
      <c r="F21" s="118">
        <f t="shared" si="3"/>
        <v>0</v>
      </c>
      <c r="G21" s="146"/>
      <c r="H21" s="347">
        <f t="shared" si="4"/>
        <v>0</v>
      </c>
      <c r="I21" s="146"/>
      <c r="J21" s="156"/>
      <c r="K21" s="116"/>
      <c r="L21" s="118"/>
      <c r="M21" s="6"/>
      <c r="N21" s="123"/>
      <c r="O21" s="155"/>
      <c r="P21" s="145"/>
      <c r="Q21" s="118">
        <f t="shared" si="0"/>
        <v>0</v>
      </c>
      <c r="R21" s="146"/>
      <c r="S21" s="347">
        <f t="shared" si="5"/>
        <v>0</v>
      </c>
      <c r="T21" s="146"/>
      <c r="U21" s="156"/>
      <c r="AK21" s="115"/>
      <c r="DB21" s="133">
        <f t="shared" si="6"/>
        <v>0</v>
      </c>
      <c r="DC21" s="132">
        <f t="shared" si="6"/>
        <v>0</v>
      </c>
      <c r="DD21" s="132">
        <f t="shared" si="6"/>
        <v>0</v>
      </c>
      <c r="DE21" s="132">
        <f t="shared" si="6"/>
        <v>0</v>
      </c>
      <c r="DF21" s="132">
        <f t="shared" si="6"/>
        <v>0</v>
      </c>
      <c r="DG21" s="132">
        <f t="shared" si="6"/>
        <v>0</v>
      </c>
      <c r="DH21" s="132">
        <f t="shared" si="6"/>
        <v>0</v>
      </c>
      <c r="DI21" s="132">
        <f t="shared" si="6"/>
        <v>0</v>
      </c>
      <c r="DJ21" s="132">
        <f t="shared" si="6"/>
        <v>0</v>
      </c>
      <c r="DK21" s="132">
        <f t="shared" si="6"/>
        <v>0</v>
      </c>
      <c r="DL21" s="132">
        <f t="shared" si="7"/>
        <v>0</v>
      </c>
      <c r="DM21" s="134">
        <f t="shared" si="7"/>
        <v>0</v>
      </c>
      <c r="DN21" s="115">
        <f t="shared" si="7"/>
        <v>0</v>
      </c>
      <c r="DO21" s="115">
        <f t="shared" si="7"/>
        <v>0</v>
      </c>
      <c r="DP21" s="115">
        <f t="shared" si="7"/>
        <v>0</v>
      </c>
      <c r="DQ21" s="115">
        <f t="shared" si="7"/>
        <v>0</v>
      </c>
      <c r="DR21" s="115">
        <f t="shared" si="7"/>
        <v>0</v>
      </c>
      <c r="DS21" s="115">
        <f t="shared" si="7"/>
        <v>0</v>
      </c>
      <c r="DT21" s="115">
        <f t="shared" si="7"/>
        <v>0</v>
      </c>
      <c r="DU21" s="115">
        <f t="shared" si="7"/>
        <v>0</v>
      </c>
      <c r="DV21" s="115">
        <f t="shared" si="7"/>
        <v>0</v>
      </c>
      <c r="DW21" s="115">
        <f t="shared" si="7"/>
        <v>0</v>
      </c>
      <c r="DX21" s="115">
        <f t="shared" si="7"/>
        <v>0</v>
      </c>
      <c r="DY21" s="115">
        <f t="shared" si="7"/>
        <v>0</v>
      </c>
    </row>
    <row r="22" spans="1:129" x14ac:dyDescent="0.35">
      <c r="B22" s="6" t="str">
        <f t="shared" si="2"/>
        <v/>
      </c>
      <c r="C22" s="137"/>
      <c r="D22" s="155"/>
      <c r="E22" s="145"/>
      <c r="F22" s="118">
        <f t="shared" si="3"/>
        <v>0</v>
      </c>
      <c r="G22" s="146"/>
      <c r="H22" s="347">
        <f t="shared" si="4"/>
        <v>0</v>
      </c>
      <c r="I22" s="146"/>
      <c r="J22" s="156"/>
      <c r="K22" s="116"/>
      <c r="L22" s="118"/>
      <c r="M22" s="6"/>
      <c r="N22" s="123"/>
      <c r="O22" s="155"/>
      <c r="P22" s="145"/>
      <c r="Q22" s="118">
        <f t="shared" si="0"/>
        <v>0</v>
      </c>
      <c r="R22" s="146"/>
      <c r="S22" s="347">
        <f t="shared" si="5"/>
        <v>0</v>
      </c>
      <c r="T22" s="146"/>
      <c r="U22" s="156"/>
      <c r="AK22" s="115"/>
      <c r="DB22" s="133">
        <f t="shared" si="6"/>
        <v>0</v>
      </c>
      <c r="DC22" s="132">
        <f t="shared" si="6"/>
        <v>0</v>
      </c>
      <c r="DD22" s="132">
        <f t="shared" si="6"/>
        <v>0</v>
      </c>
      <c r="DE22" s="132">
        <f t="shared" si="6"/>
        <v>0</v>
      </c>
      <c r="DF22" s="132">
        <f t="shared" si="6"/>
        <v>0</v>
      </c>
      <c r="DG22" s="132">
        <f t="shared" si="6"/>
        <v>0</v>
      </c>
      <c r="DH22" s="132">
        <f t="shared" si="6"/>
        <v>0</v>
      </c>
      <c r="DI22" s="132">
        <f t="shared" si="6"/>
        <v>0</v>
      </c>
      <c r="DJ22" s="132">
        <f t="shared" si="6"/>
        <v>0</v>
      </c>
      <c r="DK22" s="132">
        <f t="shared" si="6"/>
        <v>0</v>
      </c>
      <c r="DL22" s="132">
        <f t="shared" si="7"/>
        <v>0</v>
      </c>
      <c r="DM22" s="134">
        <f t="shared" si="7"/>
        <v>0</v>
      </c>
      <c r="DN22" s="115">
        <f t="shared" si="7"/>
        <v>0</v>
      </c>
      <c r="DO22" s="115">
        <f t="shared" si="7"/>
        <v>0</v>
      </c>
      <c r="DP22" s="115">
        <f t="shared" si="7"/>
        <v>0</v>
      </c>
      <c r="DQ22" s="115">
        <f t="shared" si="7"/>
        <v>0</v>
      </c>
      <c r="DR22" s="115">
        <f t="shared" si="7"/>
        <v>0</v>
      </c>
      <c r="DS22" s="115">
        <f t="shared" si="7"/>
        <v>0</v>
      </c>
      <c r="DT22" s="115">
        <f t="shared" si="7"/>
        <v>0</v>
      </c>
      <c r="DU22" s="115">
        <f t="shared" si="7"/>
        <v>0</v>
      </c>
      <c r="DV22" s="115">
        <f t="shared" si="7"/>
        <v>0</v>
      </c>
      <c r="DW22" s="115">
        <f t="shared" si="7"/>
        <v>0</v>
      </c>
      <c r="DX22" s="115">
        <f t="shared" si="7"/>
        <v>0</v>
      </c>
      <c r="DY22" s="115">
        <f t="shared" si="7"/>
        <v>0</v>
      </c>
    </row>
    <row r="23" spans="1:129" x14ac:dyDescent="0.35">
      <c r="A23" s="129"/>
      <c r="B23" s="15" t="str">
        <f t="shared" si="2"/>
        <v/>
      </c>
      <c r="C23" s="138"/>
      <c r="D23" s="157"/>
      <c r="E23" s="149"/>
      <c r="F23" s="129">
        <f t="shared" si="3"/>
        <v>0</v>
      </c>
      <c r="G23" s="150"/>
      <c r="H23" s="348">
        <f t="shared" si="4"/>
        <v>0</v>
      </c>
      <c r="I23" s="150"/>
      <c r="J23" s="158"/>
      <c r="K23" s="116"/>
      <c r="L23" s="129"/>
      <c r="M23" s="15"/>
      <c r="N23" s="130"/>
      <c r="O23" s="157"/>
      <c r="P23" s="149"/>
      <c r="Q23" s="129">
        <f t="shared" si="0"/>
        <v>0</v>
      </c>
      <c r="R23" s="150"/>
      <c r="S23" s="348">
        <f t="shared" si="5"/>
        <v>0</v>
      </c>
      <c r="T23" s="150"/>
      <c r="U23" s="158"/>
      <c r="AK23" s="115"/>
      <c r="DB23" s="133">
        <f t="shared" si="6"/>
        <v>0</v>
      </c>
      <c r="DC23" s="132">
        <f t="shared" si="6"/>
        <v>0</v>
      </c>
      <c r="DD23" s="132">
        <f t="shared" si="6"/>
        <v>0</v>
      </c>
      <c r="DE23" s="132">
        <f t="shared" si="6"/>
        <v>0</v>
      </c>
      <c r="DF23" s="132">
        <f t="shared" si="6"/>
        <v>0</v>
      </c>
      <c r="DG23" s="132">
        <f t="shared" si="6"/>
        <v>0</v>
      </c>
      <c r="DH23" s="132">
        <f t="shared" si="6"/>
        <v>0</v>
      </c>
      <c r="DI23" s="132">
        <f t="shared" si="6"/>
        <v>0</v>
      </c>
      <c r="DJ23" s="132">
        <f t="shared" si="6"/>
        <v>0</v>
      </c>
      <c r="DK23" s="132">
        <f t="shared" si="6"/>
        <v>0</v>
      </c>
      <c r="DL23" s="132">
        <f t="shared" si="7"/>
        <v>0</v>
      </c>
      <c r="DM23" s="134">
        <f t="shared" si="7"/>
        <v>0</v>
      </c>
      <c r="DN23" s="115">
        <f t="shared" si="7"/>
        <v>0</v>
      </c>
      <c r="DO23" s="115">
        <f t="shared" si="7"/>
        <v>0</v>
      </c>
      <c r="DP23" s="115">
        <f t="shared" si="7"/>
        <v>0</v>
      </c>
      <c r="DQ23" s="115">
        <f t="shared" si="7"/>
        <v>0</v>
      </c>
      <c r="DR23" s="115">
        <f t="shared" si="7"/>
        <v>0</v>
      </c>
      <c r="DS23" s="115">
        <f t="shared" si="7"/>
        <v>0</v>
      </c>
      <c r="DT23" s="115">
        <f t="shared" si="7"/>
        <v>0</v>
      </c>
      <c r="DU23" s="115">
        <f t="shared" si="7"/>
        <v>0</v>
      </c>
      <c r="DV23" s="115">
        <f t="shared" si="7"/>
        <v>0</v>
      </c>
      <c r="DW23" s="115">
        <f t="shared" si="7"/>
        <v>0</v>
      </c>
      <c r="DX23" s="115">
        <f t="shared" si="7"/>
        <v>0</v>
      </c>
      <c r="DY23" s="115">
        <f t="shared" si="7"/>
        <v>0</v>
      </c>
    </row>
    <row r="24" spans="1:129" ht="16.5" thickBot="1" x14ac:dyDescent="0.35">
      <c r="A24" s="117"/>
      <c r="B24" s="16" t="s">
        <v>301</v>
      </c>
      <c r="C24" s="139">
        <f>SUM(C9:C23)</f>
        <v>4025</v>
      </c>
      <c r="D24" s="125"/>
      <c r="E24" s="125"/>
      <c r="F24" s="135"/>
      <c r="G24" s="126"/>
      <c r="H24" s="126"/>
      <c r="I24" s="126"/>
      <c r="J24" s="127"/>
      <c r="K24" s="116"/>
      <c r="L24" s="117"/>
      <c r="M24" s="16" t="s">
        <v>304</v>
      </c>
      <c r="N24" s="124">
        <f>SUM(N9:N23)</f>
        <v>3034</v>
      </c>
      <c r="O24" s="125"/>
      <c r="P24" s="125"/>
      <c r="Q24" s="135"/>
      <c r="R24" s="126"/>
      <c r="S24" s="126"/>
      <c r="T24" s="126"/>
      <c r="U24" s="127"/>
      <c r="AK24" s="115"/>
      <c r="DB24" s="122">
        <f>SUM(DB9:DB23)</f>
        <v>0</v>
      </c>
      <c r="DC24" s="122">
        <f t="shared" ref="DC24:DY24" si="10">SUM(DC9:DC23)</f>
        <v>0</v>
      </c>
      <c r="DD24" s="122">
        <f t="shared" si="10"/>
        <v>0</v>
      </c>
      <c r="DE24" s="122">
        <f t="shared" si="10"/>
        <v>0</v>
      </c>
      <c r="DF24" s="122">
        <f t="shared" si="10"/>
        <v>0</v>
      </c>
      <c r="DG24" s="122">
        <f t="shared" si="10"/>
        <v>0</v>
      </c>
      <c r="DH24" s="122">
        <f t="shared" si="10"/>
        <v>0</v>
      </c>
      <c r="DI24" s="122">
        <f t="shared" si="10"/>
        <v>0</v>
      </c>
      <c r="DJ24" s="122">
        <f t="shared" si="10"/>
        <v>0</v>
      </c>
      <c r="DK24" s="122">
        <f>SUM(DK9:DK23)</f>
        <v>0</v>
      </c>
      <c r="DL24" s="122">
        <f t="shared" si="10"/>
        <v>0</v>
      </c>
      <c r="DM24" s="122">
        <f t="shared" si="10"/>
        <v>0</v>
      </c>
      <c r="DN24" s="122">
        <f t="shared" si="10"/>
        <v>0</v>
      </c>
      <c r="DO24" s="122">
        <f t="shared" si="10"/>
        <v>0</v>
      </c>
      <c r="DP24" s="122">
        <f t="shared" si="10"/>
        <v>0</v>
      </c>
      <c r="DQ24" s="122">
        <f t="shared" si="10"/>
        <v>0</v>
      </c>
      <c r="DR24" s="122">
        <f t="shared" si="10"/>
        <v>0</v>
      </c>
      <c r="DS24" s="122">
        <f t="shared" si="10"/>
        <v>1250</v>
      </c>
      <c r="DT24" s="122">
        <f t="shared" si="10"/>
        <v>1250</v>
      </c>
      <c r="DU24" s="122">
        <f t="shared" si="10"/>
        <v>1250</v>
      </c>
      <c r="DV24" s="122">
        <f t="shared" si="10"/>
        <v>1250</v>
      </c>
      <c r="DW24" s="122">
        <f t="shared" si="10"/>
        <v>1250</v>
      </c>
      <c r="DX24" s="122">
        <f t="shared" si="10"/>
        <v>1250</v>
      </c>
      <c r="DY24" s="122">
        <f t="shared" si="10"/>
        <v>1250</v>
      </c>
    </row>
    <row r="25" spans="1:129" s="179" customFormat="1" ht="18.5" thickTop="1" thickBot="1" x14ac:dyDescent="0.3">
      <c r="A25" s="178"/>
      <c r="F25" s="178"/>
      <c r="K25" s="180"/>
      <c r="AK25" s="180"/>
      <c r="DB25" s="418"/>
      <c r="DC25" s="418"/>
      <c r="DD25" s="418"/>
      <c r="DE25" s="418"/>
      <c r="DF25" s="418"/>
      <c r="DG25" s="418"/>
      <c r="DH25" s="418"/>
      <c r="DI25" s="418"/>
      <c r="DJ25" s="418"/>
      <c r="DK25" s="418"/>
      <c r="DL25" s="418"/>
      <c r="DM25" s="418"/>
    </row>
    <row r="26" spans="1:129" x14ac:dyDescent="0.35">
      <c r="K26" s="118"/>
      <c r="DB26" s="160">
        <f t="shared" ref="DB26:DY26" si="11">DB$8</f>
        <v>45658</v>
      </c>
      <c r="DC26" s="5">
        <f t="shared" si="11"/>
        <v>45689</v>
      </c>
      <c r="DD26" s="5">
        <f t="shared" si="11"/>
        <v>45717</v>
      </c>
      <c r="DE26" s="5">
        <f t="shared" si="11"/>
        <v>45748</v>
      </c>
      <c r="DF26" s="5">
        <f t="shared" si="11"/>
        <v>45778</v>
      </c>
      <c r="DG26" s="5">
        <f t="shared" si="11"/>
        <v>45809</v>
      </c>
      <c r="DH26" s="5">
        <f t="shared" si="11"/>
        <v>45839</v>
      </c>
      <c r="DI26" s="5">
        <f t="shared" si="11"/>
        <v>45870</v>
      </c>
      <c r="DJ26" s="5">
        <f t="shared" si="11"/>
        <v>45901</v>
      </c>
      <c r="DK26" s="5">
        <f t="shared" si="11"/>
        <v>45931</v>
      </c>
      <c r="DL26" s="5">
        <f t="shared" si="11"/>
        <v>45962</v>
      </c>
      <c r="DM26" s="161">
        <f t="shared" si="11"/>
        <v>45992</v>
      </c>
      <c r="DN26" s="5">
        <f t="shared" si="11"/>
        <v>46023</v>
      </c>
      <c r="DO26" s="5">
        <f t="shared" si="11"/>
        <v>46054</v>
      </c>
      <c r="DP26" s="5">
        <f t="shared" si="11"/>
        <v>46082</v>
      </c>
      <c r="DQ26" s="5">
        <f t="shared" si="11"/>
        <v>46113</v>
      </c>
      <c r="DR26" s="5">
        <f t="shared" si="11"/>
        <v>46143</v>
      </c>
      <c r="DS26" s="5">
        <f t="shared" si="11"/>
        <v>46174</v>
      </c>
      <c r="DT26" s="5">
        <f t="shared" si="11"/>
        <v>46204</v>
      </c>
      <c r="DU26" s="5">
        <f t="shared" si="11"/>
        <v>46235</v>
      </c>
      <c r="DV26" s="5">
        <f t="shared" si="11"/>
        <v>46266</v>
      </c>
      <c r="DW26" s="5">
        <f t="shared" si="11"/>
        <v>46296</v>
      </c>
      <c r="DX26" s="5">
        <f t="shared" si="11"/>
        <v>46327</v>
      </c>
      <c r="DY26" s="5">
        <f t="shared" si="11"/>
        <v>46357</v>
      </c>
    </row>
    <row r="27" spans="1:129" ht="18" x14ac:dyDescent="0.35">
      <c r="A27" s="143">
        <f>'1500'!B1</f>
        <v>1500</v>
      </c>
      <c r="B27" s="6"/>
      <c r="C27" s="119"/>
      <c r="D27" s="117"/>
      <c r="E27" s="117"/>
      <c r="F27" s="117"/>
      <c r="G27" s="117"/>
      <c r="I27" s="117"/>
      <c r="J27" s="117"/>
      <c r="K27" s="162"/>
      <c r="AK27" s="115"/>
      <c r="DB27" s="133">
        <f t="shared" ref="DB27:DY27" si="12">IF(AND($O9&lt;=DB26,$P9&gt;=DB26),(($R9*$N9)/12),0)</f>
        <v>0</v>
      </c>
      <c r="DC27" s="132">
        <f t="shared" si="12"/>
        <v>0</v>
      </c>
      <c r="DD27" s="132">
        <f t="shared" si="12"/>
        <v>0</v>
      </c>
      <c r="DE27" s="132">
        <f t="shared" si="12"/>
        <v>0</v>
      </c>
      <c r="DF27" s="132">
        <f t="shared" si="12"/>
        <v>0</v>
      </c>
      <c r="DG27" s="132">
        <f t="shared" si="12"/>
        <v>0</v>
      </c>
      <c r="DH27" s="132">
        <f t="shared" si="12"/>
        <v>0</v>
      </c>
      <c r="DI27" s="132">
        <f t="shared" si="12"/>
        <v>0</v>
      </c>
      <c r="DJ27" s="132">
        <f t="shared" si="12"/>
        <v>0</v>
      </c>
      <c r="DK27" s="132">
        <f t="shared" si="12"/>
        <v>1772.8333333333333</v>
      </c>
      <c r="DL27" s="132">
        <f t="shared" si="12"/>
        <v>1772.8333333333333</v>
      </c>
      <c r="DM27" s="134">
        <f t="shared" si="12"/>
        <v>1772.8333333333333</v>
      </c>
      <c r="DN27" s="115">
        <f t="shared" si="12"/>
        <v>1772.8333333333333</v>
      </c>
      <c r="DO27" s="115">
        <f t="shared" si="12"/>
        <v>1772.8333333333333</v>
      </c>
      <c r="DP27" s="115">
        <f t="shared" si="12"/>
        <v>1772.8333333333333</v>
      </c>
      <c r="DQ27" s="115">
        <f t="shared" si="12"/>
        <v>1772.8333333333333</v>
      </c>
      <c r="DR27" s="115">
        <f t="shared" si="12"/>
        <v>1772.8333333333333</v>
      </c>
      <c r="DS27" s="115">
        <f t="shared" si="12"/>
        <v>1772.8333333333333</v>
      </c>
      <c r="DT27" s="115">
        <f t="shared" si="12"/>
        <v>1772.8333333333333</v>
      </c>
      <c r="DU27" s="115">
        <f t="shared" si="12"/>
        <v>1772.8333333333333</v>
      </c>
      <c r="DV27" s="115">
        <f t="shared" si="12"/>
        <v>1772.8333333333333</v>
      </c>
      <c r="DW27" s="115">
        <f t="shared" si="12"/>
        <v>1772.8333333333333</v>
      </c>
      <c r="DX27" s="115">
        <f t="shared" si="12"/>
        <v>1772.8333333333333</v>
      </c>
      <c r="DY27" s="115">
        <f t="shared" si="12"/>
        <v>1772.8333333333333</v>
      </c>
    </row>
    <row r="28" spans="1:129" ht="17.5" x14ac:dyDescent="0.25">
      <c r="A28" s="181">
        <f>'1500'!B4</f>
        <v>2280</v>
      </c>
      <c r="B28" s="182">
        <f>(A28-C46)/A28</f>
        <v>1</v>
      </c>
      <c r="D28" s="183" t="str">
        <f>"Vacancies - "&amp;A27</f>
        <v>Vacancies - 1500</v>
      </c>
      <c r="E28" s="153"/>
      <c r="F28" s="153"/>
      <c r="G28" s="153"/>
      <c r="H28" s="153"/>
      <c r="I28" s="153"/>
      <c r="J28" s="152"/>
      <c r="K28" s="117"/>
      <c r="O28" s="183" t="str">
        <f>"Renewals - "&amp;A27</f>
        <v>Renewals - 1500</v>
      </c>
      <c r="P28" s="153"/>
      <c r="Q28" s="153"/>
      <c r="R28" s="153"/>
      <c r="S28" s="153"/>
      <c r="T28" s="153"/>
      <c r="U28" s="152"/>
      <c r="DB28" s="114">
        <f t="shared" ref="DB28:DY28" si="13">IF(AND($O10&lt;=DB$8,$P10&gt;=DB$8),(($R10*$N10)/12),0)</f>
        <v>0</v>
      </c>
      <c r="DC28" s="114">
        <f t="shared" si="13"/>
        <v>0</v>
      </c>
      <c r="DD28" s="114">
        <f t="shared" si="13"/>
        <v>0</v>
      </c>
      <c r="DE28" s="114">
        <f t="shared" si="13"/>
        <v>0</v>
      </c>
      <c r="DF28" s="114">
        <f t="shared" si="13"/>
        <v>0</v>
      </c>
      <c r="DG28" s="114">
        <f t="shared" si="13"/>
        <v>0</v>
      </c>
      <c r="DH28" s="114">
        <f t="shared" si="13"/>
        <v>0</v>
      </c>
      <c r="DI28" s="114">
        <f t="shared" si="13"/>
        <v>0</v>
      </c>
      <c r="DJ28" s="114">
        <f t="shared" si="13"/>
        <v>0</v>
      </c>
      <c r="DK28" s="114">
        <f t="shared" si="13"/>
        <v>0</v>
      </c>
      <c r="DL28" s="114">
        <f t="shared" si="13"/>
        <v>0</v>
      </c>
      <c r="DM28" s="114">
        <f t="shared" si="13"/>
        <v>1283.3333333333333</v>
      </c>
      <c r="DN28" s="114">
        <f t="shared" si="13"/>
        <v>1283.3333333333333</v>
      </c>
      <c r="DO28" s="114">
        <f t="shared" si="13"/>
        <v>1283.3333333333333</v>
      </c>
      <c r="DP28" s="114">
        <f t="shared" si="13"/>
        <v>1283.3333333333333</v>
      </c>
      <c r="DQ28" s="114">
        <f t="shared" si="13"/>
        <v>1283.3333333333333</v>
      </c>
      <c r="DR28" s="114">
        <f t="shared" si="13"/>
        <v>1283.3333333333333</v>
      </c>
      <c r="DS28" s="114">
        <f t="shared" si="13"/>
        <v>1283.3333333333333</v>
      </c>
      <c r="DT28" s="114">
        <f t="shared" si="13"/>
        <v>1283.3333333333333</v>
      </c>
      <c r="DU28" s="114">
        <f t="shared" si="13"/>
        <v>1283.3333333333333</v>
      </c>
      <c r="DV28" s="114">
        <f t="shared" si="13"/>
        <v>1283.3333333333333</v>
      </c>
      <c r="DW28" s="114">
        <f t="shared" si="13"/>
        <v>1283.3333333333333</v>
      </c>
      <c r="DX28" s="114">
        <f t="shared" si="13"/>
        <v>1283.3333333333333</v>
      </c>
      <c r="DY28" s="114">
        <f t="shared" si="13"/>
        <v>1283.3333333333333</v>
      </c>
    </row>
    <row r="29" spans="1:129" ht="18" x14ac:dyDescent="0.35">
      <c r="A29" s="114"/>
      <c r="D29" s="414" t="s">
        <v>306</v>
      </c>
      <c r="E29" s="415"/>
      <c r="F29" s="415"/>
      <c r="G29" s="415"/>
      <c r="H29" s="415"/>
      <c r="I29" s="415"/>
      <c r="J29" s="416"/>
      <c r="K29" s="116"/>
      <c r="M29" s="6"/>
      <c r="N29" s="140"/>
      <c r="O29" s="414" t="s">
        <v>306</v>
      </c>
      <c r="P29" s="415"/>
      <c r="Q29" s="415"/>
      <c r="R29" s="415"/>
      <c r="S29" s="415"/>
      <c r="T29" s="415"/>
      <c r="U29" s="416"/>
      <c r="W29" s="142">
        <f>A27</f>
        <v>1500</v>
      </c>
      <c r="X29" s="417">
        <v>2025</v>
      </c>
      <c r="Y29" s="417"/>
      <c r="Z29" s="417"/>
      <c r="AA29" s="417"/>
      <c r="AB29" s="417"/>
      <c r="AC29" s="417"/>
      <c r="AD29" s="417"/>
      <c r="AE29" s="417"/>
      <c r="AF29" s="417"/>
      <c r="AG29" s="417"/>
      <c r="AH29" s="417"/>
      <c r="AI29" s="417"/>
      <c r="AJ29" s="417">
        <f>X29+1</f>
        <v>2026</v>
      </c>
      <c r="AK29" s="417"/>
      <c r="AL29" s="417"/>
      <c r="AM29" s="417"/>
      <c r="AN29" s="417"/>
      <c r="AO29" s="417"/>
      <c r="AP29" s="417"/>
      <c r="AQ29" s="417"/>
      <c r="AR29" s="417"/>
      <c r="AS29" s="417"/>
      <c r="AT29" s="417"/>
      <c r="AU29" s="417"/>
      <c r="DB29" s="133">
        <f t="shared" ref="DB29:DY29" si="14">IF(AND($O11&lt;=DB$8,$P11&gt;=DB$8),(($R11*$N11)/12),0)</f>
        <v>0</v>
      </c>
      <c r="DC29" s="132">
        <f t="shared" si="14"/>
        <v>0</v>
      </c>
      <c r="DD29" s="132">
        <f t="shared" si="14"/>
        <v>0</v>
      </c>
      <c r="DE29" s="132">
        <f t="shared" si="14"/>
        <v>0</v>
      </c>
      <c r="DF29" s="132">
        <f t="shared" si="14"/>
        <v>0</v>
      </c>
      <c r="DG29" s="132">
        <f t="shared" si="14"/>
        <v>0</v>
      </c>
      <c r="DH29" s="132">
        <f t="shared" si="14"/>
        <v>0</v>
      </c>
      <c r="DI29" s="132">
        <f t="shared" si="14"/>
        <v>0</v>
      </c>
      <c r="DJ29" s="132">
        <f t="shared" si="14"/>
        <v>0</v>
      </c>
      <c r="DK29" s="132">
        <f t="shared" si="14"/>
        <v>0</v>
      </c>
      <c r="DL29" s="132">
        <f t="shared" si="14"/>
        <v>0</v>
      </c>
      <c r="DM29" s="134">
        <f t="shared" si="14"/>
        <v>0</v>
      </c>
      <c r="DN29" s="115">
        <f t="shared" si="14"/>
        <v>0</v>
      </c>
      <c r="DO29" s="115">
        <f t="shared" si="14"/>
        <v>0</v>
      </c>
      <c r="DP29" s="115">
        <f t="shared" si="14"/>
        <v>0</v>
      </c>
      <c r="DQ29" s="115">
        <f t="shared" si="14"/>
        <v>0</v>
      </c>
      <c r="DR29" s="115">
        <f t="shared" si="14"/>
        <v>0</v>
      </c>
      <c r="DS29" s="115">
        <f t="shared" si="14"/>
        <v>0</v>
      </c>
      <c r="DT29" s="115">
        <f t="shared" si="14"/>
        <v>0</v>
      </c>
      <c r="DU29" s="115">
        <f t="shared" si="14"/>
        <v>0</v>
      </c>
      <c r="DV29" s="115">
        <f t="shared" si="14"/>
        <v>0</v>
      </c>
      <c r="DW29" s="115">
        <f t="shared" si="14"/>
        <v>0</v>
      </c>
      <c r="DX29" s="115">
        <f t="shared" si="14"/>
        <v>0</v>
      </c>
      <c r="DY29" s="115">
        <f t="shared" si="14"/>
        <v>0</v>
      </c>
    </row>
    <row r="30" spans="1:129" x14ac:dyDescent="0.35">
      <c r="A30" s="129" t="s">
        <v>206</v>
      </c>
      <c r="B30" s="15" t="s">
        <v>302</v>
      </c>
      <c r="C30" s="136" t="s">
        <v>203</v>
      </c>
      <c r="D30" s="159" t="s">
        <v>307</v>
      </c>
      <c r="E30" s="129" t="s">
        <v>308</v>
      </c>
      <c r="F30" s="129" t="s">
        <v>310</v>
      </c>
      <c r="G30" s="128" t="s">
        <v>202</v>
      </c>
      <c r="H30" s="141" t="s">
        <v>526</v>
      </c>
      <c r="I30" s="141" t="s">
        <v>303</v>
      </c>
      <c r="J30" s="131" t="s">
        <v>201</v>
      </c>
      <c r="K30" s="116"/>
      <c r="L30" s="129" t="s">
        <v>206</v>
      </c>
      <c r="M30" s="15" t="s">
        <v>302</v>
      </c>
      <c r="N30" s="136" t="s">
        <v>203</v>
      </c>
      <c r="O30" s="159" t="s">
        <v>307</v>
      </c>
      <c r="P30" s="129" t="s">
        <v>308</v>
      </c>
      <c r="Q30" s="129" t="s">
        <v>310</v>
      </c>
      <c r="R30" s="128" t="s">
        <v>202</v>
      </c>
      <c r="S30" s="141" t="s">
        <v>526</v>
      </c>
      <c r="T30" s="141" t="s">
        <v>303</v>
      </c>
      <c r="U30" s="131" t="s">
        <v>201</v>
      </c>
      <c r="X30" s="160">
        <f>X$8</f>
        <v>45658</v>
      </c>
      <c r="Y30" s="5">
        <f t="shared" ref="Y30:AU30" si="15">Y$8</f>
        <v>45689</v>
      </c>
      <c r="Z30" s="5">
        <f t="shared" si="15"/>
        <v>45717</v>
      </c>
      <c r="AA30" s="5">
        <f t="shared" si="15"/>
        <v>45748</v>
      </c>
      <c r="AB30" s="5">
        <f t="shared" si="15"/>
        <v>45778</v>
      </c>
      <c r="AC30" s="5">
        <f t="shared" si="15"/>
        <v>45809</v>
      </c>
      <c r="AD30" s="5">
        <f t="shared" si="15"/>
        <v>45839</v>
      </c>
      <c r="AE30" s="5">
        <f t="shared" si="15"/>
        <v>45870</v>
      </c>
      <c r="AF30" s="5">
        <f t="shared" si="15"/>
        <v>45901</v>
      </c>
      <c r="AG30" s="5">
        <f t="shared" si="15"/>
        <v>45931</v>
      </c>
      <c r="AH30" s="5">
        <f t="shared" si="15"/>
        <v>45962</v>
      </c>
      <c r="AI30" s="161">
        <f t="shared" si="15"/>
        <v>45992</v>
      </c>
      <c r="AJ30" s="5">
        <f t="shared" si="15"/>
        <v>46023</v>
      </c>
      <c r="AK30" s="5">
        <f t="shared" si="15"/>
        <v>46054</v>
      </c>
      <c r="AL30" s="5">
        <f t="shared" si="15"/>
        <v>46082</v>
      </c>
      <c r="AM30" s="5">
        <f t="shared" si="15"/>
        <v>46113</v>
      </c>
      <c r="AN30" s="5">
        <f t="shared" si="15"/>
        <v>46143</v>
      </c>
      <c r="AO30" s="5">
        <f t="shared" si="15"/>
        <v>46174</v>
      </c>
      <c r="AP30" s="5">
        <f t="shared" si="15"/>
        <v>46204</v>
      </c>
      <c r="AQ30" s="5">
        <f t="shared" si="15"/>
        <v>46235</v>
      </c>
      <c r="AR30" s="5">
        <f t="shared" si="15"/>
        <v>46266</v>
      </c>
      <c r="AS30" s="5">
        <f t="shared" si="15"/>
        <v>46296</v>
      </c>
      <c r="AT30" s="5">
        <f t="shared" si="15"/>
        <v>46327</v>
      </c>
      <c r="AU30" s="5">
        <f t="shared" si="15"/>
        <v>46357</v>
      </c>
      <c r="AV30" s="210" t="str">
        <f>AJ29&amp;" - Totals"</f>
        <v>2026 - Totals</v>
      </c>
      <c r="DB30" s="133">
        <f t="shared" ref="DB30:DY30" si="16">IF(AND($O12&lt;=DB$8,$P12&gt;=DB$8),(($R12*$N12)/12),0)</f>
        <v>0</v>
      </c>
      <c r="DC30" s="132">
        <f t="shared" si="16"/>
        <v>0</v>
      </c>
      <c r="DD30" s="132">
        <f t="shared" si="16"/>
        <v>0</v>
      </c>
      <c r="DE30" s="132">
        <f t="shared" si="16"/>
        <v>0</v>
      </c>
      <c r="DF30" s="132">
        <f t="shared" si="16"/>
        <v>0</v>
      </c>
      <c r="DG30" s="132">
        <f t="shared" si="16"/>
        <v>0</v>
      </c>
      <c r="DH30" s="132">
        <f t="shared" si="16"/>
        <v>0</v>
      </c>
      <c r="DI30" s="132">
        <f t="shared" si="16"/>
        <v>0</v>
      </c>
      <c r="DJ30" s="132">
        <f t="shared" si="16"/>
        <v>0</v>
      </c>
      <c r="DK30" s="132">
        <f t="shared" si="16"/>
        <v>0</v>
      </c>
      <c r="DL30" s="132">
        <f t="shared" si="16"/>
        <v>0</v>
      </c>
      <c r="DM30" s="134">
        <f t="shared" si="16"/>
        <v>0</v>
      </c>
      <c r="DN30" s="115">
        <f t="shared" si="16"/>
        <v>0</v>
      </c>
      <c r="DO30" s="115">
        <f t="shared" si="16"/>
        <v>0</v>
      </c>
      <c r="DP30" s="115">
        <f t="shared" si="16"/>
        <v>0</v>
      </c>
      <c r="DQ30" s="115">
        <f t="shared" si="16"/>
        <v>0</v>
      </c>
      <c r="DR30" s="115">
        <f t="shared" si="16"/>
        <v>0</v>
      </c>
      <c r="DS30" s="115">
        <f t="shared" si="16"/>
        <v>0</v>
      </c>
      <c r="DT30" s="115">
        <f t="shared" si="16"/>
        <v>0</v>
      </c>
      <c r="DU30" s="115">
        <f t="shared" si="16"/>
        <v>0</v>
      </c>
      <c r="DV30" s="115">
        <f t="shared" si="16"/>
        <v>0</v>
      </c>
      <c r="DW30" s="115">
        <f t="shared" si="16"/>
        <v>0</v>
      </c>
      <c r="DX30" s="115">
        <f t="shared" si="16"/>
        <v>0</v>
      </c>
      <c r="DY30" s="115">
        <f t="shared" si="16"/>
        <v>0</v>
      </c>
    </row>
    <row r="31" spans="1:129" x14ac:dyDescent="0.35">
      <c r="B31" s="45" t="str">
        <f>IF(A31&lt;&gt;"","VACANT","")</f>
        <v/>
      </c>
      <c r="C31" s="137"/>
      <c r="D31" s="155"/>
      <c r="E31" s="145"/>
      <c r="F31" s="172">
        <f>IFERROR(ROUNDUP(((DATEDIF(D31,E31,"d"))/365),1),0)</f>
        <v>0</v>
      </c>
      <c r="G31" s="146"/>
      <c r="H31" s="347">
        <f>(G31*C31)/12</f>
        <v>0</v>
      </c>
      <c r="I31" s="146"/>
      <c r="J31" s="156"/>
      <c r="K31" s="116"/>
      <c r="L31" s="118"/>
      <c r="M31" s="6"/>
      <c r="N31" s="137"/>
      <c r="O31" s="155"/>
      <c r="P31" s="145"/>
      <c r="Q31" s="172">
        <f t="shared" ref="Q31:Q45" si="17">IFERROR(ROUNDUP(((DATEDIF(O31,P31,"d"))/365),1),0)</f>
        <v>0</v>
      </c>
      <c r="R31" s="146"/>
      <c r="S31" s="347">
        <f>(R31*N31)/12</f>
        <v>0</v>
      </c>
      <c r="T31" s="146"/>
      <c r="U31" s="156"/>
      <c r="W31" s="114" t="s">
        <v>314</v>
      </c>
      <c r="X31" s="199" cm="1">
        <f t="array" ref="X31:AI31">_xlfn.LET(
  _xlpm.months, X30:AI30,
  _xlpm.totalSqft, A28,
  _xlpm.vacSF, C31:C45,
  _xlpm.vacStart, D31:D45,
  _xlpm.vacEnd, E31:E45,
  _xlpm.renSF, N31:N45,
  _xlpm.renEnd, P31:P45,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Y31" s="200">
        <v>1</v>
      </c>
      <c r="Z31" s="200">
        <v>1</v>
      </c>
      <c r="AA31" s="200">
        <v>1</v>
      </c>
      <c r="AB31" s="200">
        <v>1</v>
      </c>
      <c r="AC31" s="200">
        <v>1</v>
      </c>
      <c r="AD31" s="200">
        <v>1</v>
      </c>
      <c r="AE31" s="200">
        <v>1</v>
      </c>
      <c r="AF31" s="200">
        <v>1</v>
      </c>
      <c r="AG31" s="200">
        <v>1</v>
      </c>
      <c r="AH31" s="200">
        <v>1</v>
      </c>
      <c r="AI31" s="200">
        <v>1</v>
      </c>
      <c r="AJ31" s="199" cm="1">
        <f t="array" ref="AJ31:AU31">_xlfn.LET(
  _xlpm.months, AJ30:AU30,
  _xlpm.totalSqft, A28,
  _xlpm.vacSF, C31:C45,
  _xlpm.vacStart, D31:D45,
  _xlpm.vacEnd, E31:E45,
  _xlpm.renSF, N31:N45,
  _xlpm.renEnd, P31:P45,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AK31" s="200">
        <v>1</v>
      </c>
      <c r="AL31" s="200">
        <v>1</v>
      </c>
      <c r="AM31" s="200">
        <v>1</v>
      </c>
      <c r="AN31" s="200">
        <v>1</v>
      </c>
      <c r="AO31" s="200">
        <v>1</v>
      </c>
      <c r="AP31" s="200">
        <v>1</v>
      </c>
      <c r="AQ31" s="200">
        <v>1</v>
      </c>
      <c r="AR31" s="200">
        <v>1</v>
      </c>
      <c r="AS31" s="200">
        <v>1</v>
      </c>
      <c r="AT31" s="200">
        <v>1</v>
      </c>
      <c r="AU31" s="200">
        <v>1</v>
      </c>
      <c r="AV31" s="208"/>
      <c r="DB31" s="133">
        <f t="shared" ref="DB31:DY31" si="18">IF(AND($O13&lt;=DB$8,$P13&gt;=DB$8),(($R13*$N13)/12),0)</f>
        <v>0</v>
      </c>
      <c r="DC31" s="132">
        <f t="shared" si="18"/>
        <v>0</v>
      </c>
      <c r="DD31" s="132">
        <f t="shared" si="18"/>
        <v>0</v>
      </c>
      <c r="DE31" s="132">
        <f t="shared" si="18"/>
        <v>0</v>
      </c>
      <c r="DF31" s="132">
        <f t="shared" si="18"/>
        <v>0</v>
      </c>
      <c r="DG31" s="132">
        <f t="shared" si="18"/>
        <v>0</v>
      </c>
      <c r="DH31" s="132">
        <f t="shared" si="18"/>
        <v>0</v>
      </c>
      <c r="DI31" s="132">
        <f t="shared" si="18"/>
        <v>0</v>
      </c>
      <c r="DJ31" s="132">
        <f t="shared" si="18"/>
        <v>0</v>
      </c>
      <c r="DK31" s="132">
        <f t="shared" si="18"/>
        <v>0</v>
      </c>
      <c r="DL31" s="132">
        <f t="shared" si="18"/>
        <v>0</v>
      </c>
      <c r="DM31" s="134">
        <f t="shared" si="18"/>
        <v>0</v>
      </c>
      <c r="DN31" s="115">
        <f t="shared" si="18"/>
        <v>0</v>
      </c>
      <c r="DO31" s="115">
        <f t="shared" si="18"/>
        <v>0</v>
      </c>
      <c r="DP31" s="115">
        <f t="shared" si="18"/>
        <v>0</v>
      </c>
      <c r="DQ31" s="115">
        <f t="shared" si="18"/>
        <v>0</v>
      </c>
      <c r="DR31" s="115">
        <f t="shared" si="18"/>
        <v>0</v>
      </c>
      <c r="DS31" s="115">
        <f t="shared" si="18"/>
        <v>0</v>
      </c>
      <c r="DT31" s="115">
        <f t="shared" si="18"/>
        <v>0</v>
      </c>
      <c r="DU31" s="115">
        <f t="shared" si="18"/>
        <v>0</v>
      </c>
      <c r="DV31" s="115">
        <f t="shared" si="18"/>
        <v>0</v>
      </c>
      <c r="DW31" s="115">
        <f t="shared" si="18"/>
        <v>0</v>
      </c>
      <c r="DX31" s="115">
        <f t="shared" si="18"/>
        <v>0</v>
      </c>
      <c r="DY31" s="115">
        <f t="shared" si="18"/>
        <v>0</v>
      </c>
    </row>
    <row r="32" spans="1:129" x14ac:dyDescent="0.35">
      <c r="B32" s="6" t="str">
        <f t="shared" ref="B32:B45" si="19">IF(A32&lt;&gt;"","VACANT","")</f>
        <v/>
      </c>
      <c r="C32" s="137"/>
      <c r="D32" s="155"/>
      <c r="E32" s="145"/>
      <c r="F32" s="118">
        <f t="shared" ref="F32:F45" si="20">IFERROR(ROUNDUP(((DATEDIF(D32,E32,"d"))/365),1),0)</f>
        <v>0</v>
      </c>
      <c r="G32" s="146"/>
      <c r="H32" s="347">
        <f t="shared" ref="H32:H45" si="21">(G32*C32)/12</f>
        <v>0</v>
      </c>
      <c r="I32" s="146"/>
      <c r="J32" s="156"/>
      <c r="L32" s="118"/>
      <c r="M32" s="6"/>
      <c r="N32" s="137"/>
      <c r="O32" s="155"/>
      <c r="P32" s="145"/>
      <c r="Q32" s="118">
        <f t="shared" si="17"/>
        <v>0</v>
      </c>
      <c r="R32" s="146"/>
      <c r="S32" s="347">
        <f t="shared" ref="S32:S45" si="22">(R32*N32)/12</f>
        <v>0</v>
      </c>
      <c r="T32" s="146"/>
      <c r="U32" s="156"/>
      <c r="W32" s="114" t="s">
        <v>312</v>
      </c>
      <c r="X32" s="133" cm="1">
        <f t="array" ref="X32">((SUMPRODUCT(($D31:$D45&lt;=X$8) * ($E31:$E45&gt;=X$8) * ($G31:$G45 * $C31:$C45)))+(SUMPRODUCT(($O31:$O45&lt;=X$8) * ($P31:$P45&gt;=X$8) * ($R31:$R45 * $N31:$N45))))/12</f>
        <v>0</v>
      </c>
      <c r="Y32" s="115" cm="1">
        <f t="array" ref="Y32">((SUMPRODUCT(($D31:$D45&lt;=Y$8) * ($E31:$E45&gt;=Y$8) * ($G31:$G45 * $C31:$C45)))+(SUMPRODUCT(($O31:$O45&lt;=Y$8) * ($P31:$P45&gt;=Y$8) * ($R31:$R45 * $N31:$N45))))/12</f>
        <v>0</v>
      </c>
      <c r="Z32" s="115" cm="1">
        <f t="array" ref="Z32">((SUMPRODUCT(($D31:$D45&lt;=Z$8) * ($E31:$E45&gt;=Z$8) * ($G31:$G45 * $C31:$C45)))+(SUMPRODUCT(($O31:$O45&lt;=Z$8) * ($P31:$P45&gt;=Z$8) * ($R31:$R45 * $N31:$N45))))/12</f>
        <v>0</v>
      </c>
      <c r="AA32" s="115" cm="1">
        <f t="array" ref="AA32">((SUMPRODUCT(($D31:$D45&lt;=AA$8) * ($E31:$E45&gt;=AA$8) * ($G31:$G45 * $C31:$C45)))+(SUMPRODUCT(($O31:$O45&lt;=AA$8) * ($P31:$P45&gt;=AA$8) * ($R31:$R45 * $N31:$N45))))/12</f>
        <v>0</v>
      </c>
      <c r="AB32" s="115" cm="1">
        <f t="array" ref="AB32">((SUMPRODUCT(($D31:$D45&lt;=AB$8) * ($E31:$E45&gt;=AB$8) * ($G31:$G45 * $C31:$C45)))+(SUMPRODUCT(($O31:$O45&lt;=AB$8) * ($P31:$P45&gt;=AB$8) * ($R31:$R45 * $N31:$N45))))/12</f>
        <v>0</v>
      </c>
      <c r="AC32" s="115" cm="1">
        <f t="array" ref="AC32">((SUMPRODUCT(($D31:$D45&lt;=AC$8) * ($E31:$E45&gt;=AC$8) * ($G31:$G45 * $C31:$C45)))+(SUMPRODUCT(($O31:$O45&lt;=AC$8) * ($P31:$P45&gt;=AC$8) * ($R31:$R45 * $N31:$N45))))/12</f>
        <v>0</v>
      </c>
      <c r="AD32" s="115" cm="1">
        <f t="array" ref="AD32">((SUMPRODUCT(($D31:$D45&lt;=AD$8) * ($E31:$E45&gt;=AD$8) * ($G31:$G45 * $C31:$C45)))+(SUMPRODUCT(($O31:$O45&lt;=AD$8) * ($P31:$P45&gt;=AD$8) * ($R31:$R45 * $N31:$N45))))/12</f>
        <v>0</v>
      </c>
      <c r="AE32" s="115" cm="1">
        <f t="array" ref="AE32">((SUMPRODUCT(($D31:$D45&lt;=AE$8) * ($E31:$E45&gt;=AE$8) * ($G31:$G45 * $C31:$C45)))+(SUMPRODUCT(($O31:$O45&lt;=AE$8) * ($P31:$P45&gt;=AE$8) * ($R31:$R45 * $N31:$N45))))/12</f>
        <v>0</v>
      </c>
      <c r="AF32" s="115" cm="1">
        <f t="array" ref="AF32">((SUMPRODUCT(($D31:$D45&lt;=AF$8) * ($E31:$E45&gt;=AF$8) * ($G31:$G45 * $C31:$C45)))+(SUMPRODUCT(($O31:$O45&lt;=AF$8) * ($P31:$P45&gt;=AF$8) * ($R31:$R45 * $N31:$N45))))/12</f>
        <v>0</v>
      </c>
      <c r="AG32" s="115" cm="1">
        <f t="array" ref="AG32">((SUMPRODUCT(($D31:$D45&lt;=AG$8) * ($E31:$E45&gt;=AG$8) * ($G31:$G45 * $C31:$C45)))+(SUMPRODUCT(($O31:$O45&lt;=AG$8) * ($P31:$P45&gt;=AG$8) * ($R31:$R45 * $N31:$N45))))/12</f>
        <v>0</v>
      </c>
      <c r="AH32" s="115" cm="1">
        <f t="array" ref="AH32">((SUMPRODUCT(($D31:$D45&lt;=AH$8) * ($E31:$E45&gt;=AH$8) * ($G31:$G45 * $C31:$C45)))+(SUMPRODUCT(($O31:$O45&lt;=AH$8) * ($P31:$P45&gt;=AH$8) * ($R31:$R45 * $N31:$N45))))/12</f>
        <v>0</v>
      </c>
      <c r="AI32" s="115" cm="1">
        <f t="array" ref="AI32">((SUMPRODUCT(($D31:$D45&lt;=AI$8) * ($E31:$E45&gt;=AI$8) * ($G31:$G45 * $C31:$C45)))+(SUMPRODUCT(($O31:$O45&lt;=AI$8) * ($P31:$P45&gt;=AI$8) * ($R31:$R45 * $N31:$N45))))/12</f>
        <v>0</v>
      </c>
      <c r="AJ32" s="133" cm="1">
        <f t="array" ref="AJ32">((SUMPRODUCT(($D31:$D45&lt;=AJ$8) * ($E31:$E45&gt;=AJ$8) * ($G31:$G45 * $C31:$C45)))+(SUMPRODUCT(($O31:$O45&lt;=AJ$8) * ($P31:$P45&gt;=AJ$8) * ($R31:$R45 * $N31:$N45))))/12</f>
        <v>0</v>
      </c>
      <c r="AK32" s="115" cm="1">
        <f t="array" ref="AK32">((SUMPRODUCT(($D31:$D45&lt;=AK$8) * ($E31:$E45&gt;=AK$8) * ($G31:$G45 * $C31:$C45)))+(SUMPRODUCT(($O31:$O45&lt;=AK$8) * ($P31:$P45&gt;=AK$8) * ($R31:$R45 * $N31:$N45))))/12</f>
        <v>0</v>
      </c>
      <c r="AL32" s="115" cm="1">
        <f t="array" ref="AL32">((SUMPRODUCT(($D31:$D45&lt;=AL$8) * ($E31:$E45&gt;=AL$8) * ($G31:$G45 * $C31:$C45)))+(SUMPRODUCT(($O31:$O45&lt;=AL$8) * ($P31:$P45&gt;=AL$8) * ($R31:$R45 * $N31:$N45))))/12</f>
        <v>0</v>
      </c>
      <c r="AM32" s="115" cm="1">
        <f t="array" ref="AM32">((SUMPRODUCT(($D31:$D45&lt;=AM$8) * ($E31:$E45&gt;=AM$8) * ($G31:$G45 * $C31:$C45)))+(SUMPRODUCT(($O31:$O45&lt;=AM$8) * ($P31:$P45&gt;=AM$8) * ($R31:$R45 * $N31:$N45))))/12</f>
        <v>0</v>
      </c>
      <c r="AN32" s="115" cm="1">
        <f t="array" ref="AN32">((SUMPRODUCT(($D31:$D45&lt;=AN$8) * ($E31:$E45&gt;=AN$8) * ($G31:$G45 * $C31:$C45)))+(SUMPRODUCT(($O31:$O45&lt;=AN$8) * ($P31:$P45&gt;=AN$8) * ($R31:$R45 * $N31:$N45))))/12</f>
        <v>0</v>
      </c>
      <c r="AO32" s="115" cm="1">
        <f t="array" ref="AO32">((SUMPRODUCT(($D31:$D45&lt;=AO$8) * ($E31:$E45&gt;=AO$8) * ($G31:$G45 * $C31:$C45)))+(SUMPRODUCT(($O31:$O45&lt;=AO$8) * ($P31:$P45&gt;=AO$8) * ($R31:$R45 * $N31:$N45))))/12</f>
        <v>0</v>
      </c>
      <c r="AP32" s="115" cm="1">
        <f t="array" ref="AP32">((SUMPRODUCT(($D31:$D45&lt;=AP$8) * ($E31:$E45&gt;=AP$8) * ($G31:$G45 * $C31:$C45)))+(SUMPRODUCT(($O31:$O45&lt;=AP$8) * ($P31:$P45&gt;=AP$8) * ($R31:$R45 * $N31:$N45))))/12</f>
        <v>0</v>
      </c>
      <c r="AQ32" s="115" cm="1">
        <f t="array" ref="AQ32">((SUMPRODUCT(($D31:$D45&lt;=AQ$8) * ($E31:$E45&gt;=AQ$8) * ($G31:$G45 * $C31:$C45)))+(SUMPRODUCT(($O31:$O45&lt;=AQ$8) * ($P31:$P45&gt;=AQ$8) * ($R31:$R45 * $N31:$N45))))/12</f>
        <v>0</v>
      </c>
      <c r="AR32" s="115" cm="1">
        <f t="array" ref="AR32">((SUMPRODUCT(($D31:$D45&lt;=AR$8) * ($E31:$E45&gt;=AR$8) * ($G31:$G45 * $C31:$C45)))+(SUMPRODUCT(($O31:$O45&lt;=AR$8) * ($P31:$P45&gt;=AR$8) * ($R31:$R45 * $N31:$N45))))/12</f>
        <v>0</v>
      </c>
      <c r="AS32" s="115" cm="1">
        <f t="array" ref="AS32">((SUMPRODUCT(($D31:$D45&lt;=AS$8) * ($E31:$E45&gt;=AS$8) * ($G31:$G45 * $C31:$C45)))+(SUMPRODUCT(($O31:$O45&lt;=AS$8) * ($P31:$P45&gt;=AS$8) * ($R31:$R45 * $N31:$N45))))/12</f>
        <v>0</v>
      </c>
      <c r="AT32" s="115" cm="1">
        <f t="array" ref="AT32">((SUMPRODUCT(($D31:$D45&lt;=AT$8) * ($E31:$E45&gt;=AT$8) * ($G31:$G45 * $C31:$C45)))+(SUMPRODUCT(($O31:$O45&lt;=AT$8) * ($P31:$P45&gt;=AT$8) * ($R31:$R45 * $N31:$N45))))/12</f>
        <v>0</v>
      </c>
      <c r="AU32" s="115" cm="1">
        <f t="array" ref="AU32">((SUMPRODUCT(($D31:$D45&lt;=AU$8) * ($E31:$E45&gt;=AU$8) * ($G31:$G45 * $C31:$C45)))+(SUMPRODUCT(($O31:$O45&lt;=AU$8) * ($P31:$P45&gt;=AU$8) * ($R31:$R45 * $N31:$N45))))/12</f>
        <v>0</v>
      </c>
      <c r="AV32" s="209">
        <f>SUM(AJ32:AU32)</f>
        <v>0</v>
      </c>
      <c r="DB32" s="133">
        <f t="shared" ref="DB32:DY32" si="23">IF(AND($O14&lt;=DB$8,$P14&gt;=DB$8),(($R14*$N14)/12),0)</f>
        <v>0</v>
      </c>
      <c r="DC32" s="132">
        <f t="shared" si="23"/>
        <v>0</v>
      </c>
      <c r="DD32" s="132">
        <f t="shared" si="23"/>
        <v>0</v>
      </c>
      <c r="DE32" s="132">
        <f t="shared" si="23"/>
        <v>0</v>
      </c>
      <c r="DF32" s="132">
        <f t="shared" si="23"/>
        <v>0</v>
      </c>
      <c r="DG32" s="132">
        <f t="shared" si="23"/>
        <v>0</v>
      </c>
      <c r="DH32" s="132">
        <f t="shared" si="23"/>
        <v>0</v>
      </c>
      <c r="DI32" s="132">
        <f t="shared" si="23"/>
        <v>0</v>
      </c>
      <c r="DJ32" s="132">
        <f t="shared" si="23"/>
        <v>0</v>
      </c>
      <c r="DK32" s="132">
        <f t="shared" si="23"/>
        <v>0</v>
      </c>
      <c r="DL32" s="132">
        <f t="shared" si="23"/>
        <v>0</v>
      </c>
      <c r="DM32" s="134">
        <f t="shared" si="23"/>
        <v>0</v>
      </c>
      <c r="DN32" s="115">
        <f t="shared" si="23"/>
        <v>0</v>
      </c>
      <c r="DO32" s="115">
        <f t="shared" si="23"/>
        <v>0</v>
      </c>
      <c r="DP32" s="115">
        <f t="shared" si="23"/>
        <v>0</v>
      </c>
      <c r="DQ32" s="115">
        <f t="shared" si="23"/>
        <v>0</v>
      </c>
      <c r="DR32" s="115">
        <f t="shared" si="23"/>
        <v>0</v>
      </c>
      <c r="DS32" s="115">
        <f t="shared" si="23"/>
        <v>0</v>
      </c>
      <c r="DT32" s="115">
        <f t="shared" si="23"/>
        <v>0</v>
      </c>
      <c r="DU32" s="115">
        <f t="shared" si="23"/>
        <v>0</v>
      </c>
      <c r="DV32" s="115">
        <f t="shared" si="23"/>
        <v>0</v>
      </c>
      <c r="DW32" s="115">
        <f t="shared" si="23"/>
        <v>0</v>
      </c>
      <c r="DX32" s="115">
        <f t="shared" si="23"/>
        <v>0</v>
      </c>
      <c r="DY32" s="115">
        <f t="shared" si="23"/>
        <v>0</v>
      </c>
    </row>
    <row r="33" spans="1:129" x14ac:dyDescent="0.35">
      <c r="B33" s="6" t="str">
        <f t="shared" si="19"/>
        <v/>
      </c>
      <c r="C33" s="137"/>
      <c r="D33" s="155"/>
      <c r="E33" s="145"/>
      <c r="F33" s="118">
        <f t="shared" si="20"/>
        <v>0</v>
      </c>
      <c r="G33" s="146"/>
      <c r="H33" s="347">
        <f t="shared" si="21"/>
        <v>0</v>
      </c>
      <c r="I33" s="146"/>
      <c r="J33" s="156"/>
      <c r="K33" s="116"/>
      <c r="L33" s="118"/>
      <c r="M33" s="6"/>
      <c r="N33" s="137"/>
      <c r="O33" s="155"/>
      <c r="P33" s="145"/>
      <c r="Q33" s="118">
        <f t="shared" si="17"/>
        <v>0</v>
      </c>
      <c r="R33" s="146"/>
      <c r="S33" s="347">
        <f t="shared" si="22"/>
        <v>0</v>
      </c>
      <c r="T33" s="146"/>
      <c r="U33" s="156"/>
      <c r="W33" s="114" t="s">
        <v>309</v>
      </c>
      <c r="X33" s="133" cm="1">
        <f t="array" ref="X33">(SUMPRODUCT((TEXT($O31:$O45,"yyyymm")=TEXT(X$8,"yyyymm")) * ($T31:$T45 * $N31:$N45)))+(SUMPRODUCT((TEXT($D31:$D45,"yyyymm")=TEXT(X$8,"yyyymm")) * ($I31:$I45 * $C31:$C45)))</f>
        <v>0</v>
      </c>
      <c r="Y33" s="115" cm="1">
        <f t="array" ref="Y33">(SUMPRODUCT((TEXT($O31:$O45,"yyyymm")=TEXT(Y$8,"yyyymm")) * ($T31:$T45 * $N31:$N45)))+(SUMPRODUCT((TEXT($D31:$D45,"yyyymm")=TEXT(Y$8,"yyyymm")) * ($I31:$I45 * $C31:$C45)))</f>
        <v>0</v>
      </c>
      <c r="Z33" s="115" cm="1">
        <f t="array" ref="Z33">(SUMPRODUCT((TEXT($O31:$O45,"yyyymm")=TEXT(Z$8,"yyyymm")) * ($T31:$T45 * $N31:$N45)))+(SUMPRODUCT((TEXT($D31:$D45,"yyyymm")=TEXT(Z$8,"yyyymm")) * ($I31:$I45 * $C31:$C45)))</f>
        <v>0</v>
      </c>
      <c r="AA33" s="115" cm="1">
        <f t="array" ref="AA33">(SUMPRODUCT((TEXT($O31:$O45,"yyyymm")=TEXT(AA$8,"yyyymm")) * ($T31:$T45 * $N31:$N45)))+(SUMPRODUCT((TEXT($D31:$D45,"yyyymm")=TEXT(AA$8,"yyyymm")) * ($I31:$I45 * $C31:$C45)))</f>
        <v>0</v>
      </c>
      <c r="AB33" s="115" cm="1">
        <f t="array" ref="AB33">(SUMPRODUCT((TEXT($O31:$O45,"yyyymm")=TEXT(AB$8,"yyyymm")) * ($T31:$T45 * $N31:$N45)))+(SUMPRODUCT((TEXT($D31:$D45,"yyyymm")=TEXT(AB$8,"yyyymm")) * ($I31:$I45 * $C31:$C45)))</f>
        <v>0</v>
      </c>
      <c r="AC33" s="115" cm="1">
        <f t="array" ref="AC33">(SUMPRODUCT((TEXT($O31:$O45,"yyyymm")=TEXT(AC$8,"yyyymm")) * ($T31:$T45 * $N31:$N45)))+(SUMPRODUCT((TEXT($D31:$D45,"yyyymm")=TEXT(AC$8,"yyyymm")) * ($I31:$I45 * $C31:$C45)))</f>
        <v>0</v>
      </c>
      <c r="AD33" s="115" cm="1">
        <f t="array" ref="AD33">(SUMPRODUCT((TEXT($O31:$O45,"yyyymm")=TEXT(AD$8,"yyyymm")) * ($T31:$T45 * $N31:$N45)))+(SUMPRODUCT((TEXT($D31:$D45,"yyyymm")=TEXT(AD$8,"yyyymm")) * ($I31:$I45 * $C31:$C45)))</f>
        <v>0</v>
      </c>
      <c r="AE33" s="115" cm="1">
        <f t="array" ref="AE33">(SUMPRODUCT((TEXT($O31:$O45,"yyyymm")=TEXT(AE$8,"yyyymm")) * ($T31:$T45 * $N31:$N45)))+(SUMPRODUCT((TEXT($D31:$D45,"yyyymm")=TEXT(AE$8,"yyyymm")) * ($I31:$I45 * $C31:$C45)))</f>
        <v>0</v>
      </c>
      <c r="AF33" s="115" cm="1">
        <f t="array" ref="AF33">(SUMPRODUCT((TEXT($O31:$O45,"yyyymm")=TEXT(AF$8,"yyyymm")) * ($T31:$T45 * $N31:$N45)))+(SUMPRODUCT((TEXT($D31:$D45,"yyyymm")=TEXT(AF$8,"yyyymm")) * ($I31:$I45 * $C31:$C45)))</f>
        <v>0</v>
      </c>
      <c r="AG33" s="115" cm="1">
        <f t="array" ref="AG33">(SUMPRODUCT((TEXT($O31:$O45,"yyyymm")=TEXT(AG$8,"yyyymm")) * ($T31:$T45 * $N31:$N45)))+(SUMPRODUCT((TEXT($D31:$D45,"yyyymm")=TEXT(AG$8,"yyyymm")) * ($I31:$I45 * $C31:$C45)))</f>
        <v>0</v>
      </c>
      <c r="AH33" s="115" cm="1">
        <f t="array" ref="AH33">(SUMPRODUCT((TEXT($O31:$O45,"yyyymm")=TEXT(AH$8,"yyyymm")) * ($T31:$T45 * $N31:$N45)))+(SUMPRODUCT((TEXT($D31:$D45,"yyyymm")=TEXT(AH$8,"yyyymm")) * ($I31:$I45 * $C31:$C45)))</f>
        <v>0</v>
      </c>
      <c r="AI33" s="115" cm="1">
        <f t="array" ref="AI33">(SUMPRODUCT((TEXT($O31:$O45,"yyyymm")=TEXT(AI$8,"yyyymm")) * ($T31:$T45 * $N31:$N45)))+(SUMPRODUCT((TEXT($D31:$D45,"yyyymm")=TEXT(AI$8,"yyyymm")) * ($I31:$I45 * $C31:$C45)))</f>
        <v>0</v>
      </c>
      <c r="AJ33" s="133" cm="1">
        <f t="array" ref="AJ33">(SUMPRODUCT((TEXT($O31:$O45,"yyyymm")=TEXT(AJ$8,"yyyymm")) * ($T31:$T45 * $N31:$N45)))+(SUMPRODUCT((TEXT($D31:$D45,"yyyymm")=TEXT(AJ$8,"yyyymm")) * ($I31:$I45 * $C31:$C45)))</f>
        <v>0</v>
      </c>
      <c r="AK33" s="115" cm="1">
        <f t="array" ref="AK33">(SUMPRODUCT((TEXT($O31:$O45,"yyyymm")=TEXT(AK$8,"yyyymm")) * ($T31:$T45 * $N31:$N45)))+(SUMPRODUCT((TEXT($D31:$D45,"yyyymm")=TEXT(AK$8,"yyyymm")) * ($I31:$I45 * $C31:$C45)))</f>
        <v>0</v>
      </c>
      <c r="AL33" s="115" cm="1">
        <f t="array" ref="AL33">(SUMPRODUCT((TEXT($O31:$O45,"yyyymm")=TEXT(AL$8,"yyyymm")) * ($T31:$T45 * $N31:$N45)))+(SUMPRODUCT((TEXT($D31:$D45,"yyyymm")=TEXT(AL$8,"yyyymm")) * ($I31:$I45 * $C31:$C45)))</f>
        <v>0</v>
      </c>
      <c r="AM33" s="115" cm="1">
        <f t="array" ref="AM33">(SUMPRODUCT((TEXT($O31:$O45,"yyyymm")=TEXT(AM$8,"yyyymm")) * ($T31:$T45 * $N31:$N45)))+(SUMPRODUCT((TEXT($D31:$D45,"yyyymm")=TEXT(AM$8,"yyyymm")) * ($I31:$I45 * $C31:$C45)))</f>
        <v>0</v>
      </c>
      <c r="AN33" s="115" cm="1">
        <f t="array" ref="AN33">(SUMPRODUCT((TEXT($O31:$O45,"yyyymm")=TEXT(AN$8,"yyyymm")) * ($T31:$T45 * $N31:$N45)))+(SUMPRODUCT((TEXT($D31:$D45,"yyyymm")=TEXT(AN$8,"yyyymm")) * ($I31:$I45 * $C31:$C45)))</f>
        <v>0</v>
      </c>
      <c r="AO33" s="115" cm="1">
        <f t="array" ref="AO33">(SUMPRODUCT((TEXT($O31:$O45,"yyyymm")=TEXT(AO$8,"yyyymm")) * ($T31:$T45 * $N31:$N45)))+(SUMPRODUCT((TEXT($D31:$D45,"yyyymm")=TEXT(AO$8,"yyyymm")) * ($I31:$I45 * $C31:$C45)))</f>
        <v>0</v>
      </c>
      <c r="AP33" s="115" cm="1">
        <f t="array" ref="AP33">(SUMPRODUCT((TEXT($O31:$O45,"yyyymm")=TEXT(AP$8,"yyyymm")) * ($T31:$T45 * $N31:$N45)))+(SUMPRODUCT((TEXT($D31:$D45,"yyyymm")=TEXT(AP$8,"yyyymm")) * ($I31:$I45 * $C31:$C45)))</f>
        <v>0</v>
      </c>
      <c r="AQ33" s="115" cm="1">
        <f t="array" ref="AQ33">(SUMPRODUCT((TEXT($O31:$O45,"yyyymm")=TEXT(AQ$8,"yyyymm")) * ($T31:$T45 * $N31:$N45)))+(SUMPRODUCT((TEXT($D31:$D45,"yyyymm")=TEXT(AQ$8,"yyyymm")) * ($I31:$I45 * $C31:$C45)))</f>
        <v>0</v>
      </c>
      <c r="AR33" s="115" cm="1">
        <f t="array" ref="AR33">(SUMPRODUCT((TEXT($O31:$O45,"yyyymm")=TEXT(AR$8,"yyyymm")) * ($T31:$T45 * $N31:$N45)))+(SUMPRODUCT((TEXT($D31:$D45,"yyyymm")=TEXT(AR$8,"yyyymm")) * ($I31:$I45 * $C31:$C45)))</f>
        <v>0</v>
      </c>
      <c r="AS33" s="115" cm="1">
        <f t="array" ref="AS33">(SUMPRODUCT((TEXT($O31:$O45,"yyyymm")=TEXT(AS$8,"yyyymm")) * ($T31:$T45 * $N31:$N45)))+(SUMPRODUCT((TEXT($D31:$D45,"yyyymm")=TEXT(AS$8,"yyyymm")) * ($I31:$I45 * $C31:$C45)))</f>
        <v>0</v>
      </c>
      <c r="AT33" s="115" cm="1">
        <f t="array" ref="AT33">(SUMPRODUCT((TEXT($O31:$O45,"yyyymm")=TEXT(AT$8,"yyyymm")) * ($T31:$T45 * $N31:$N45)))+(SUMPRODUCT((TEXT($D31:$D45,"yyyymm")=TEXT(AT$8,"yyyymm")) * ($I31:$I45 * $C31:$C45)))</f>
        <v>0</v>
      </c>
      <c r="AU33" s="115" cm="1">
        <f t="array" ref="AU33">(SUMPRODUCT((TEXT($O31:$O45,"yyyymm")=TEXT(AU$8,"yyyymm")) * ($T31:$T45 * $N31:$N45)))+(SUMPRODUCT((TEXT($D31:$D45,"yyyymm")=TEXT(AU$8,"yyyymm")) * ($I31:$I45 * $C31:$C45)))</f>
        <v>0</v>
      </c>
      <c r="AV33" s="209">
        <f t="shared" ref="AV33:AV34" si="24">SUM(AJ33:AU33)</f>
        <v>0</v>
      </c>
      <c r="DB33" s="133">
        <f t="shared" ref="DB33:DY33" si="25">IF(AND($O15&lt;=DB$8,$P15&gt;=DB$8),(($R15*$N15)/12),0)</f>
        <v>0</v>
      </c>
      <c r="DC33" s="132">
        <f t="shared" si="25"/>
        <v>0</v>
      </c>
      <c r="DD33" s="132">
        <f t="shared" si="25"/>
        <v>0</v>
      </c>
      <c r="DE33" s="132">
        <f t="shared" si="25"/>
        <v>0</v>
      </c>
      <c r="DF33" s="132">
        <f t="shared" si="25"/>
        <v>0</v>
      </c>
      <c r="DG33" s="132">
        <f t="shared" si="25"/>
        <v>0</v>
      </c>
      <c r="DH33" s="132">
        <f t="shared" si="25"/>
        <v>0</v>
      </c>
      <c r="DI33" s="132">
        <f t="shared" si="25"/>
        <v>0</v>
      </c>
      <c r="DJ33" s="132">
        <f t="shared" si="25"/>
        <v>0</v>
      </c>
      <c r="DK33" s="132">
        <f t="shared" si="25"/>
        <v>0</v>
      </c>
      <c r="DL33" s="132">
        <f t="shared" si="25"/>
        <v>0</v>
      </c>
      <c r="DM33" s="134">
        <f t="shared" si="25"/>
        <v>0</v>
      </c>
      <c r="DN33" s="115">
        <f t="shared" si="25"/>
        <v>0</v>
      </c>
      <c r="DO33" s="115">
        <f t="shared" si="25"/>
        <v>0</v>
      </c>
      <c r="DP33" s="115">
        <f t="shared" si="25"/>
        <v>0</v>
      </c>
      <c r="DQ33" s="115">
        <f t="shared" si="25"/>
        <v>0</v>
      </c>
      <c r="DR33" s="115">
        <f t="shared" si="25"/>
        <v>0</v>
      </c>
      <c r="DS33" s="115">
        <f t="shared" si="25"/>
        <v>0</v>
      </c>
      <c r="DT33" s="115">
        <f t="shared" si="25"/>
        <v>0</v>
      </c>
      <c r="DU33" s="115">
        <f t="shared" si="25"/>
        <v>0</v>
      </c>
      <c r="DV33" s="115">
        <f t="shared" si="25"/>
        <v>0</v>
      </c>
      <c r="DW33" s="115">
        <f t="shared" si="25"/>
        <v>0</v>
      </c>
      <c r="DX33" s="115">
        <f t="shared" si="25"/>
        <v>0</v>
      </c>
      <c r="DY33" s="115">
        <f t="shared" si="25"/>
        <v>0</v>
      </c>
    </row>
    <row r="34" spans="1:129" x14ac:dyDescent="0.35">
      <c r="B34" s="6" t="str">
        <f t="shared" si="19"/>
        <v/>
      </c>
      <c r="C34" s="137"/>
      <c r="D34" s="155"/>
      <c r="E34" s="147"/>
      <c r="F34" s="118">
        <f t="shared" si="20"/>
        <v>0</v>
      </c>
      <c r="G34" s="148"/>
      <c r="H34" s="347">
        <f t="shared" si="21"/>
        <v>0</v>
      </c>
      <c r="I34" s="146"/>
      <c r="J34" s="156"/>
      <c r="K34" s="116"/>
      <c r="L34" s="118"/>
      <c r="M34" s="6"/>
      <c r="N34" s="137"/>
      <c r="O34" s="155"/>
      <c r="P34" s="147"/>
      <c r="Q34" s="118">
        <f t="shared" si="17"/>
        <v>0</v>
      </c>
      <c r="R34" s="148"/>
      <c r="S34" s="347">
        <f t="shared" si="22"/>
        <v>0</v>
      </c>
      <c r="T34" s="146"/>
      <c r="U34" s="156"/>
      <c r="W34" s="114" t="s">
        <v>313</v>
      </c>
      <c r="X34" s="133" cm="1">
        <f t="array" ref="X34">IFERROR((SUMPRODUCT((TEXT($O31:$O45,"yyyymm")=TEXT(X$8,"yyyymm")) * ($U31:$U45 * $N31:$N45*$R31:$R45*$Q31:$Q45)))+(SUMPRODUCT((TEXT($D31:$D45,"yyyymm")=TEXT(X$8,"yyyymm")) * ($J31:$J45 * $C31:$C45*$G31:$G45*$F31:$F45))),0)</f>
        <v>0</v>
      </c>
      <c r="Y34" s="115" cm="1">
        <f t="array" ref="Y34">IFERROR((SUMPRODUCT((TEXT($O31:$O45,"yyyymm")=TEXT(Y$8,"yyyymm")) * ($U31:$U45 * $N31:$N45*$R31:$R45*$Q31:$Q45)))+(SUMPRODUCT((TEXT($D31:$D45,"yyyymm")=TEXT(Y$8,"yyyymm")) * ($J31:$J45 * $C31:$C45*$G31:$G45*$F31:$F45))),0)</f>
        <v>0</v>
      </c>
      <c r="Z34" s="115" cm="1">
        <f t="array" ref="Z34">IFERROR((SUMPRODUCT((TEXT($O31:$O45,"yyyymm")=TEXT(Z$8,"yyyymm")) * ($U31:$U45 * $N31:$N45*$R31:$R45*$Q31:$Q45)))+(SUMPRODUCT((TEXT($D31:$D45,"yyyymm")=TEXT(Z$8,"yyyymm")) * ($J31:$J45 * $C31:$C45*$G31:$G45*$F31:$F45))),0)</f>
        <v>0</v>
      </c>
      <c r="AA34" s="115" cm="1">
        <f t="array" ref="AA34">IFERROR((SUMPRODUCT((TEXT($O31:$O45,"yyyymm")=TEXT(AA$8,"yyyymm")) * ($U31:$U45 * $N31:$N45*$R31:$R45*$Q31:$Q45)))+(SUMPRODUCT((TEXT($D31:$D45,"yyyymm")=TEXT(AA$8,"yyyymm")) * ($J31:$J45 * $C31:$C45*$G31:$G45*$F31:$F45))),0)</f>
        <v>0</v>
      </c>
      <c r="AB34" s="115" cm="1">
        <f t="array" ref="AB34">IFERROR((SUMPRODUCT((TEXT($O31:$O45,"yyyymm")=TEXT(AB$8,"yyyymm")) * ($U31:$U45 * $N31:$N45*$R31:$R45*$Q31:$Q45)))+(SUMPRODUCT((TEXT($D31:$D45,"yyyymm")=TEXT(AB$8,"yyyymm")) * ($J31:$J45 * $C31:$C45*$G31:$G45*$F31:$F45))),0)</f>
        <v>0</v>
      </c>
      <c r="AC34" s="115" cm="1">
        <f t="array" ref="AC34">IFERROR((SUMPRODUCT((TEXT($O31:$O45,"yyyymm")=TEXT(AC$8,"yyyymm")) * ($U31:$U45 * $N31:$N45*$R31:$R45*$Q31:$Q45)))+(SUMPRODUCT((TEXT($D31:$D45,"yyyymm")=TEXT(AC$8,"yyyymm")) * ($J31:$J45 * $C31:$C45*$G31:$G45*$F31:$F45))),0)</f>
        <v>0</v>
      </c>
      <c r="AD34" s="115" cm="1">
        <f t="array" ref="AD34">IFERROR((SUMPRODUCT((TEXT($O31:$O45,"yyyymm")=TEXT(AD$8,"yyyymm")) * ($U31:$U45 * $N31:$N45*$R31:$R45*$Q31:$Q45)))+(SUMPRODUCT((TEXT($D31:$D45,"yyyymm")=TEXT(AD$8,"yyyymm")) * ($J31:$J45 * $C31:$C45*$G31:$G45*$F31:$F45))),0)</f>
        <v>0</v>
      </c>
      <c r="AE34" s="115" cm="1">
        <f t="array" ref="AE34">IFERROR((SUMPRODUCT((TEXT($O31:$O45,"yyyymm")=TEXT(AE$8,"yyyymm")) * ($U31:$U45 * $N31:$N45*$R31:$R45*$Q31:$Q45)))+(SUMPRODUCT((TEXT($D31:$D45,"yyyymm")=TEXT(AE$8,"yyyymm")) * ($J31:$J45 * $C31:$C45*$G31:$G45*$F31:$F45))),0)</f>
        <v>0</v>
      </c>
      <c r="AF34" s="115" cm="1">
        <f t="array" ref="AF34">IFERROR((SUMPRODUCT((TEXT($O31:$O45,"yyyymm")=TEXT(AF$8,"yyyymm")) * ($U31:$U45 * $N31:$N45*$R31:$R45*$Q31:$Q45)))+(SUMPRODUCT((TEXT($D31:$D45,"yyyymm")=TEXT(AF$8,"yyyymm")) * ($J31:$J45 * $C31:$C45*$G31:$G45*$F31:$F45))),0)</f>
        <v>0</v>
      </c>
      <c r="AG34" s="115" cm="1">
        <f t="array" ref="AG34">IFERROR((SUMPRODUCT((TEXT($O31:$O45,"yyyymm")=TEXT(AG$8,"yyyymm")) * ($U31:$U45 * $N31:$N45*$R31:$R45*$Q31:$Q45)))+(SUMPRODUCT((TEXT($D31:$D45,"yyyymm")=TEXT(AG$8,"yyyymm")) * ($J31:$J45 * $C31:$C45*$G31:$G45*$F31:$F45))),0)</f>
        <v>0</v>
      </c>
      <c r="AH34" s="115" cm="1">
        <f t="array" ref="AH34">IFERROR((SUMPRODUCT((TEXT($O31:$O45,"yyyymm")=TEXT(AH$8,"yyyymm")) * ($U31:$U45 * $N31:$N45*$R31:$R45*$Q31:$Q45)))+(SUMPRODUCT((TEXT($D31:$D45,"yyyymm")=TEXT(AH$8,"yyyymm")) * ($J31:$J45 * $C31:$C45*$G31:$G45*$F31:$F45))),0)</f>
        <v>0</v>
      </c>
      <c r="AI34" s="115" cm="1">
        <f t="array" ref="AI34">IFERROR((SUMPRODUCT((TEXT($O31:$O45,"yyyymm")=TEXT(AI$8,"yyyymm")) * ($U31:$U45 * $N31:$N45*$R31:$R45*$Q31:$Q45)))+(SUMPRODUCT((TEXT($D31:$D45,"yyyymm")=TEXT(AI$8,"yyyymm")) * ($J31:$J45 * $C31:$C45*$G31:$G45*$F31:$F45))),0)</f>
        <v>0</v>
      </c>
      <c r="AJ34" s="133" cm="1">
        <f t="array" ref="AJ34">IFERROR((SUMPRODUCT((TEXT($O31:$O45,"yyyymm")=TEXT(AJ$8,"yyyymm")) * ($U31:$U45 * $N31:$N45*$R31:$R45*$Q31:$Q45)))+(SUMPRODUCT((TEXT($D31:$D45,"yyyymm")=TEXT(AJ$8,"yyyymm")) * ($J31:$J45 * $C31:$C45*$G31:$G45*$F31:$F45))),0)</f>
        <v>0</v>
      </c>
      <c r="AK34" s="115" cm="1">
        <f t="array" ref="AK34">IFERROR((SUMPRODUCT((TEXT($O31:$O45,"yyyymm")=TEXT(AK$8,"yyyymm")) * ($U31:$U45 * $N31:$N45*$R31:$R45*$Q31:$Q45)))+(SUMPRODUCT((TEXT($D31:$D45,"yyyymm")=TEXT(AK$8,"yyyymm")) * ($J31:$J45 * $C31:$C45*$G31:$G45*$F31:$F45))),0)</f>
        <v>0</v>
      </c>
      <c r="AL34" s="115" cm="1">
        <f t="array" ref="AL34">IFERROR((SUMPRODUCT((TEXT($O31:$O45,"yyyymm")=TEXT(AL$8,"yyyymm")) * ($U31:$U45 * $N31:$N45*$R31:$R45*$Q31:$Q45)))+(SUMPRODUCT((TEXT($D31:$D45,"yyyymm")=TEXT(AL$8,"yyyymm")) * ($J31:$J45 * $C31:$C45*$G31:$G45*$F31:$F45))),0)</f>
        <v>0</v>
      </c>
      <c r="AM34" s="115" cm="1">
        <f t="array" ref="AM34">IFERROR((SUMPRODUCT((TEXT($O31:$O45,"yyyymm")=TEXT(AM$8,"yyyymm")) * ($U31:$U45 * $N31:$N45*$R31:$R45*$Q31:$Q45)))+(SUMPRODUCT((TEXT($D31:$D45,"yyyymm")=TEXT(AM$8,"yyyymm")) * ($J31:$J45 * $C31:$C45*$G31:$G45*$F31:$F45))),0)</f>
        <v>0</v>
      </c>
      <c r="AN34" s="115" cm="1">
        <f t="array" ref="AN34">IFERROR((SUMPRODUCT((TEXT($O31:$O45,"yyyymm")=TEXT(AN$8,"yyyymm")) * ($U31:$U45 * $N31:$N45*$R31:$R45*$Q31:$Q45)))+(SUMPRODUCT((TEXT($D31:$D45,"yyyymm")=TEXT(AN$8,"yyyymm")) * ($J31:$J45 * $C31:$C45*$G31:$G45*$F31:$F45))),0)</f>
        <v>0</v>
      </c>
      <c r="AO34" s="115" cm="1">
        <f t="array" ref="AO34">IFERROR((SUMPRODUCT((TEXT($O31:$O45,"yyyymm")=TEXT(AO$8,"yyyymm")) * ($U31:$U45 * $N31:$N45*$R31:$R45*$Q31:$Q45)))+(SUMPRODUCT((TEXT($D31:$D45,"yyyymm")=TEXT(AO$8,"yyyymm")) * ($J31:$J45 * $C31:$C45*$G31:$G45*$F31:$F45))),0)</f>
        <v>0</v>
      </c>
      <c r="AP34" s="115" cm="1">
        <f t="array" ref="AP34">IFERROR((SUMPRODUCT((TEXT($O31:$O45,"yyyymm")=TEXT(AP$8,"yyyymm")) * ($U31:$U45 * $N31:$N45*$R31:$R45*$Q31:$Q45)))+(SUMPRODUCT((TEXT($D31:$D45,"yyyymm")=TEXT(AP$8,"yyyymm")) * ($J31:$J45 * $C31:$C45*$G31:$G45*$F31:$F45))),0)</f>
        <v>0</v>
      </c>
      <c r="AQ34" s="115" cm="1">
        <f t="array" ref="AQ34">IFERROR((SUMPRODUCT((TEXT($O31:$O45,"yyyymm")=TEXT(AQ$8,"yyyymm")) * ($U31:$U45 * $N31:$N45*$R31:$R45*$Q31:$Q45)))+(SUMPRODUCT((TEXT($D31:$D45,"yyyymm")=TEXT(AQ$8,"yyyymm")) * ($J31:$J45 * $C31:$C45*$G31:$G45*$F31:$F45))),0)</f>
        <v>0</v>
      </c>
      <c r="AR34" s="115" cm="1">
        <f t="array" ref="AR34">IFERROR((SUMPRODUCT((TEXT($O31:$O45,"yyyymm")=TEXT(AR$8,"yyyymm")) * ($U31:$U45 * $N31:$N45*$R31:$R45*$Q31:$Q45)))+(SUMPRODUCT((TEXT($D31:$D45,"yyyymm")=TEXT(AR$8,"yyyymm")) * ($J31:$J45 * $C31:$C45*$G31:$G45*$F31:$F45))),0)</f>
        <v>0</v>
      </c>
      <c r="AS34" s="115" cm="1">
        <f t="array" ref="AS34">IFERROR((SUMPRODUCT((TEXT($O31:$O45,"yyyymm")=TEXT(AS$8,"yyyymm")) * ($U31:$U45 * $N31:$N45*$R31:$R45*$Q31:$Q45)))+(SUMPRODUCT((TEXT($D31:$D45,"yyyymm")=TEXT(AS$8,"yyyymm")) * ($J31:$J45 * $C31:$C45*$G31:$G45*$F31:$F45))),0)</f>
        <v>0</v>
      </c>
      <c r="AT34" s="115" cm="1">
        <f t="array" ref="AT34">IFERROR((SUMPRODUCT((TEXT($O31:$O45,"yyyymm")=TEXT(AT$8,"yyyymm")) * ($U31:$U45 * $N31:$N45*$R31:$R45*$Q31:$Q45)))+(SUMPRODUCT((TEXT($D31:$D45,"yyyymm")=TEXT(AT$8,"yyyymm")) * ($J31:$J45 * $C31:$C45*$G31:$G45*$F31:$F45))),0)</f>
        <v>0</v>
      </c>
      <c r="AU34" s="115" cm="1">
        <f t="array" ref="AU34">IFERROR((SUMPRODUCT((TEXT($O31:$O45,"yyyymm")=TEXT(AU$8,"yyyymm")) * ($U31:$U45 * $N31:$N45*$R31:$R45*$Q31:$Q45)))+(SUMPRODUCT((TEXT($D31:$D45,"yyyymm")=TEXT(AU$8,"yyyymm")) * ($J31:$J45 * $C31:$C45*$G31:$G45*$F31:$F45))),0)</f>
        <v>0</v>
      </c>
      <c r="AV34" s="209">
        <f t="shared" si="24"/>
        <v>0</v>
      </c>
      <c r="DB34" s="133">
        <f t="shared" ref="DB34:DY34" si="26">IF(AND($O16&lt;=DB$8,$P16&gt;=DB$8),(($R16*$N16)/12),0)</f>
        <v>0</v>
      </c>
      <c r="DC34" s="132">
        <f t="shared" si="26"/>
        <v>0</v>
      </c>
      <c r="DD34" s="132">
        <f t="shared" si="26"/>
        <v>0</v>
      </c>
      <c r="DE34" s="132">
        <f t="shared" si="26"/>
        <v>0</v>
      </c>
      <c r="DF34" s="132">
        <f t="shared" si="26"/>
        <v>0</v>
      </c>
      <c r="DG34" s="132">
        <f t="shared" si="26"/>
        <v>0</v>
      </c>
      <c r="DH34" s="132">
        <f t="shared" si="26"/>
        <v>0</v>
      </c>
      <c r="DI34" s="132">
        <f t="shared" si="26"/>
        <v>0</v>
      </c>
      <c r="DJ34" s="132">
        <f t="shared" si="26"/>
        <v>0</v>
      </c>
      <c r="DK34" s="132">
        <f t="shared" si="26"/>
        <v>0</v>
      </c>
      <c r="DL34" s="132">
        <f t="shared" si="26"/>
        <v>0</v>
      </c>
      <c r="DM34" s="134">
        <f t="shared" si="26"/>
        <v>0</v>
      </c>
      <c r="DN34" s="115">
        <f t="shared" si="26"/>
        <v>0</v>
      </c>
      <c r="DO34" s="115">
        <f t="shared" si="26"/>
        <v>0</v>
      </c>
      <c r="DP34" s="115">
        <f t="shared" si="26"/>
        <v>0</v>
      </c>
      <c r="DQ34" s="115">
        <f t="shared" si="26"/>
        <v>0</v>
      </c>
      <c r="DR34" s="115">
        <f t="shared" si="26"/>
        <v>0</v>
      </c>
      <c r="DS34" s="115">
        <f t="shared" si="26"/>
        <v>0</v>
      </c>
      <c r="DT34" s="115">
        <f t="shared" si="26"/>
        <v>0</v>
      </c>
      <c r="DU34" s="115">
        <f t="shared" si="26"/>
        <v>0</v>
      </c>
      <c r="DV34" s="115">
        <f t="shared" si="26"/>
        <v>0</v>
      </c>
      <c r="DW34" s="115">
        <f t="shared" si="26"/>
        <v>0</v>
      </c>
      <c r="DX34" s="115">
        <f t="shared" si="26"/>
        <v>0</v>
      </c>
      <c r="DY34" s="115">
        <f t="shared" si="26"/>
        <v>0</v>
      </c>
    </row>
    <row r="35" spans="1:129" ht="17.5" x14ac:dyDescent="0.35">
      <c r="B35" s="6" t="str">
        <f t="shared" si="19"/>
        <v/>
      </c>
      <c r="C35" s="137"/>
      <c r="D35" s="155"/>
      <c r="E35" s="145"/>
      <c r="F35" s="118">
        <f t="shared" si="20"/>
        <v>0</v>
      </c>
      <c r="G35" s="146"/>
      <c r="H35" s="347">
        <f t="shared" si="21"/>
        <v>0</v>
      </c>
      <c r="I35" s="146"/>
      <c r="J35" s="156"/>
      <c r="K35" s="116"/>
      <c r="L35" s="118"/>
      <c r="M35" s="6"/>
      <c r="N35" s="137"/>
      <c r="O35" s="155"/>
      <c r="P35" s="145"/>
      <c r="Q35" s="118">
        <f t="shared" si="17"/>
        <v>0</v>
      </c>
      <c r="R35" s="146"/>
      <c r="S35" s="347">
        <f t="shared" si="22"/>
        <v>0</v>
      </c>
      <c r="T35" s="146"/>
      <c r="U35" s="156"/>
      <c r="W35" s="176" t="s">
        <v>273</v>
      </c>
      <c r="X35" s="90">
        <f>SUM(X32:X34)</f>
        <v>0</v>
      </c>
      <c r="Y35" s="90">
        <f t="shared" ref="Y35" si="27">SUM(Y32:Y34)</f>
        <v>0</v>
      </c>
      <c r="Z35" s="90">
        <f t="shared" ref="Z35" si="28">SUM(Z32:Z34)</f>
        <v>0</v>
      </c>
      <c r="AA35" s="90">
        <f t="shared" ref="AA35" si="29">SUM(AA32:AA34)</f>
        <v>0</v>
      </c>
      <c r="AB35" s="90">
        <f t="shared" ref="AB35" si="30">SUM(AB32:AB34)</f>
        <v>0</v>
      </c>
      <c r="AC35" s="90">
        <f t="shared" ref="AC35" si="31">SUM(AC32:AC34)</f>
        <v>0</v>
      </c>
      <c r="AD35" s="90">
        <f t="shared" ref="AD35" si="32">SUM(AD32:AD34)</f>
        <v>0</v>
      </c>
      <c r="AE35" s="90">
        <f t="shared" ref="AE35" si="33">SUM(AE32:AE34)</f>
        <v>0</v>
      </c>
      <c r="AF35" s="90">
        <f t="shared" ref="AF35" si="34">SUM(AF32:AF34)</f>
        <v>0</v>
      </c>
      <c r="AG35" s="90">
        <f t="shared" ref="AG35" si="35">SUM(AG32:AG34)</f>
        <v>0</v>
      </c>
      <c r="AH35" s="90">
        <f t="shared" ref="AH35" si="36">SUM(AH32:AH34)</f>
        <v>0</v>
      </c>
      <c r="AI35" s="90">
        <f t="shared" ref="AI35" si="37">SUM(AI32:AI34)</f>
        <v>0</v>
      </c>
      <c r="AJ35" s="90">
        <f t="shared" ref="AJ35" si="38">SUM(AJ32:AJ34)</f>
        <v>0</v>
      </c>
      <c r="AK35" s="90">
        <f t="shared" ref="AK35" si="39">SUM(AK32:AK34)</f>
        <v>0</v>
      </c>
      <c r="AL35" s="90">
        <f t="shared" ref="AL35" si="40">SUM(AL32:AL34)</f>
        <v>0</v>
      </c>
      <c r="AM35" s="90">
        <f t="shared" ref="AM35" si="41">SUM(AM32:AM34)</f>
        <v>0</v>
      </c>
      <c r="AN35" s="90">
        <f t="shared" ref="AN35" si="42">SUM(AN32:AN34)</f>
        <v>0</v>
      </c>
      <c r="AO35" s="90">
        <f t="shared" ref="AO35" si="43">SUM(AO32:AO34)</f>
        <v>0</v>
      </c>
      <c r="AP35" s="90">
        <f t="shared" ref="AP35" si="44">SUM(AP32:AP34)</f>
        <v>0</v>
      </c>
      <c r="AQ35" s="90">
        <f t="shared" ref="AQ35" si="45">SUM(AQ32:AQ34)</f>
        <v>0</v>
      </c>
      <c r="AR35" s="90">
        <f t="shared" ref="AR35" si="46">SUM(AR32:AR34)</f>
        <v>0</v>
      </c>
      <c r="AS35" s="90">
        <f t="shared" ref="AS35" si="47">SUM(AS32:AS34)</f>
        <v>0</v>
      </c>
      <c r="AT35" s="90">
        <f t="shared" ref="AT35" si="48">SUM(AT32:AT34)</f>
        <v>0</v>
      </c>
      <c r="AU35" s="177">
        <f t="shared" ref="AU35:AV35" si="49">SUM(AU32:AU34)</f>
        <v>0</v>
      </c>
      <c r="AV35" s="90">
        <f t="shared" si="49"/>
        <v>0</v>
      </c>
      <c r="DB35" s="133">
        <f t="shared" ref="DB35:DY35" si="50">IF(AND($O17&lt;=DB$8,$P17&gt;=DB$8),(($R17*$N17)/12),0)</f>
        <v>0</v>
      </c>
      <c r="DC35" s="132">
        <f t="shared" si="50"/>
        <v>0</v>
      </c>
      <c r="DD35" s="132">
        <f t="shared" si="50"/>
        <v>0</v>
      </c>
      <c r="DE35" s="132">
        <f t="shared" si="50"/>
        <v>0</v>
      </c>
      <c r="DF35" s="132">
        <f t="shared" si="50"/>
        <v>0</v>
      </c>
      <c r="DG35" s="132">
        <f t="shared" si="50"/>
        <v>0</v>
      </c>
      <c r="DH35" s="132">
        <f t="shared" si="50"/>
        <v>0</v>
      </c>
      <c r="DI35" s="132">
        <f t="shared" si="50"/>
        <v>0</v>
      </c>
      <c r="DJ35" s="132">
        <f t="shared" si="50"/>
        <v>0</v>
      </c>
      <c r="DK35" s="132">
        <f t="shared" si="50"/>
        <v>0</v>
      </c>
      <c r="DL35" s="132">
        <f t="shared" si="50"/>
        <v>0</v>
      </c>
      <c r="DM35" s="134">
        <f t="shared" si="50"/>
        <v>0</v>
      </c>
      <c r="DN35" s="115">
        <f t="shared" si="50"/>
        <v>0</v>
      </c>
      <c r="DO35" s="115">
        <f t="shared" si="50"/>
        <v>0</v>
      </c>
      <c r="DP35" s="115">
        <f t="shared" si="50"/>
        <v>0</v>
      </c>
      <c r="DQ35" s="115">
        <f t="shared" si="50"/>
        <v>0</v>
      </c>
      <c r="DR35" s="115">
        <f t="shared" si="50"/>
        <v>0</v>
      </c>
      <c r="DS35" s="115">
        <f t="shared" si="50"/>
        <v>0</v>
      </c>
      <c r="DT35" s="115">
        <f t="shared" si="50"/>
        <v>0</v>
      </c>
      <c r="DU35" s="115">
        <f t="shared" si="50"/>
        <v>0</v>
      </c>
      <c r="DV35" s="115">
        <f t="shared" si="50"/>
        <v>0</v>
      </c>
      <c r="DW35" s="115">
        <f t="shared" si="50"/>
        <v>0</v>
      </c>
      <c r="DX35" s="115">
        <f t="shared" si="50"/>
        <v>0</v>
      </c>
      <c r="DY35" s="115">
        <f t="shared" si="50"/>
        <v>0</v>
      </c>
    </row>
    <row r="36" spans="1:129" x14ac:dyDescent="0.35">
      <c r="B36" s="6" t="str">
        <f t="shared" si="19"/>
        <v/>
      </c>
      <c r="C36" s="137"/>
      <c r="D36" s="155"/>
      <c r="E36" s="145"/>
      <c r="F36" s="118">
        <f t="shared" si="20"/>
        <v>0</v>
      </c>
      <c r="G36" s="146"/>
      <c r="H36" s="347">
        <f t="shared" si="21"/>
        <v>0</v>
      </c>
      <c r="I36" s="146"/>
      <c r="J36" s="156"/>
      <c r="K36" s="116"/>
      <c r="L36" s="118"/>
      <c r="M36" s="6"/>
      <c r="N36" s="123"/>
      <c r="O36" s="155"/>
      <c r="P36" s="145"/>
      <c r="Q36" s="118">
        <f t="shared" si="17"/>
        <v>0</v>
      </c>
      <c r="R36" s="146"/>
      <c r="S36" s="347">
        <f t="shared" si="22"/>
        <v>0</v>
      </c>
      <c r="T36" s="146"/>
      <c r="U36" s="156"/>
      <c r="AK36" s="115"/>
      <c r="DB36" s="133">
        <f t="shared" ref="DB36:DY36" si="51">IF(AND($O18&lt;=DB$8,$P18&gt;=DB$8),(($R18*$N18)/12),0)</f>
        <v>0</v>
      </c>
      <c r="DC36" s="132">
        <f t="shared" si="51"/>
        <v>0</v>
      </c>
      <c r="DD36" s="132">
        <f t="shared" si="51"/>
        <v>0</v>
      </c>
      <c r="DE36" s="132">
        <f t="shared" si="51"/>
        <v>0</v>
      </c>
      <c r="DF36" s="132">
        <f t="shared" si="51"/>
        <v>0</v>
      </c>
      <c r="DG36" s="132">
        <f t="shared" si="51"/>
        <v>0</v>
      </c>
      <c r="DH36" s="132">
        <f t="shared" si="51"/>
        <v>0</v>
      </c>
      <c r="DI36" s="132">
        <f t="shared" si="51"/>
        <v>0</v>
      </c>
      <c r="DJ36" s="132">
        <f t="shared" si="51"/>
        <v>0</v>
      </c>
      <c r="DK36" s="132">
        <f t="shared" si="51"/>
        <v>0</v>
      </c>
      <c r="DL36" s="132">
        <f t="shared" si="51"/>
        <v>0</v>
      </c>
      <c r="DM36" s="134">
        <f t="shared" si="51"/>
        <v>0</v>
      </c>
      <c r="DN36" s="115">
        <f t="shared" si="51"/>
        <v>0</v>
      </c>
      <c r="DO36" s="115">
        <f t="shared" si="51"/>
        <v>0</v>
      </c>
      <c r="DP36" s="115">
        <f t="shared" si="51"/>
        <v>0</v>
      </c>
      <c r="DQ36" s="115">
        <f t="shared" si="51"/>
        <v>0</v>
      </c>
      <c r="DR36" s="115">
        <f t="shared" si="51"/>
        <v>0</v>
      </c>
      <c r="DS36" s="115">
        <f t="shared" si="51"/>
        <v>0</v>
      </c>
      <c r="DT36" s="115">
        <f t="shared" si="51"/>
        <v>0</v>
      </c>
      <c r="DU36" s="115">
        <f t="shared" si="51"/>
        <v>0</v>
      </c>
      <c r="DV36" s="115">
        <f t="shared" si="51"/>
        <v>0</v>
      </c>
      <c r="DW36" s="115">
        <f t="shared" si="51"/>
        <v>0</v>
      </c>
      <c r="DX36" s="115">
        <f t="shared" si="51"/>
        <v>0</v>
      </c>
      <c r="DY36" s="115">
        <f t="shared" si="51"/>
        <v>0</v>
      </c>
    </row>
    <row r="37" spans="1:129" x14ac:dyDescent="0.35">
      <c r="B37" s="6" t="str">
        <f t="shared" si="19"/>
        <v/>
      </c>
      <c r="C37" s="137"/>
      <c r="D37" s="155"/>
      <c r="E37" s="145"/>
      <c r="F37" s="118">
        <f t="shared" si="20"/>
        <v>0</v>
      </c>
      <c r="G37" s="146"/>
      <c r="H37" s="347">
        <f t="shared" si="21"/>
        <v>0</v>
      </c>
      <c r="I37" s="148"/>
      <c r="J37" s="156"/>
      <c r="K37" s="116"/>
      <c r="L37" s="118"/>
      <c r="M37" s="6"/>
      <c r="N37" s="123"/>
      <c r="O37" s="155"/>
      <c r="P37" s="145"/>
      <c r="Q37" s="118">
        <f t="shared" si="17"/>
        <v>0</v>
      </c>
      <c r="R37" s="146"/>
      <c r="S37" s="347">
        <f t="shared" si="22"/>
        <v>0</v>
      </c>
      <c r="T37" s="148"/>
      <c r="U37" s="156"/>
      <c r="W37" s="171" t="s">
        <v>315</v>
      </c>
      <c r="AK37" s="115"/>
      <c r="DB37" s="133">
        <f t="shared" ref="DB37:DY37" si="52">IF(AND($O19&lt;=DB$8,$P19&gt;=DB$8),(($R19*$N19)/12),0)</f>
        <v>0</v>
      </c>
      <c r="DC37" s="132">
        <f t="shared" si="52"/>
        <v>0</v>
      </c>
      <c r="DD37" s="132">
        <f t="shared" si="52"/>
        <v>0</v>
      </c>
      <c r="DE37" s="132">
        <f t="shared" si="52"/>
        <v>0</v>
      </c>
      <c r="DF37" s="132">
        <f t="shared" si="52"/>
        <v>0</v>
      </c>
      <c r="DG37" s="132">
        <f t="shared" si="52"/>
        <v>0</v>
      </c>
      <c r="DH37" s="132">
        <f t="shared" si="52"/>
        <v>0</v>
      </c>
      <c r="DI37" s="132">
        <f t="shared" si="52"/>
        <v>0</v>
      </c>
      <c r="DJ37" s="132">
        <f t="shared" si="52"/>
        <v>0</v>
      </c>
      <c r="DK37" s="132">
        <f t="shared" si="52"/>
        <v>0</v>
      </c>
      <c r="DL37" s="132">
        <f t="shared" si="52"/>
        <v>0</v>
      </c>
      <c r="DM37" s="134">
        <f t="shared" si="52"/>
        <v>0</v>
      </c>
      <c r="DN37" s="115">
        <f t="shared" si="52"/>
        <v>0</v>
      </c>
      <c r="DO37" s="115">
        <f t="shared" si="52"/>
        <v>0</v>
      </c>
      <c r="DP37" s="115">
        <f t="shared" si="52"/>
        <v>0</v>
      </c>
      <c r="DQ37" s="115">
        <f t="shared" si="52"/>
        <v>0</v>
      </c>
      <c r="DR37" s="115">
        <f t="shared" si="52"/>
        <v>0</v>
      </c>
      <c r="DS37" s="115">
        <f t="shared" si="52"/>
        <v>0</v>
      </c>
      <c r="DT37" s="115">
        <f t="shared" si="52"/>
        <v>0</v>
      </c>
      <c r="DU37" s="115">
        <f t="shared" si="52"/>
        <v>0</v>
      </c>
      <c r="DV37" s="115">
        <f t="shared" si="52"/>
        <v>0</v>
      </c>
      <c r="DW37" s="115">
        <f t="shared" si="52"/>
        <v>0</v>
      </c>
      <c r="DX37" s="115">
        <f t="shared" si="52"/>
        <v>0</v>
      </c>
      <c r="DY37" s="115">
        <f t="shared" si="52"/>
        <v>0</v>
      </c>
    </row>
    <row r="38" spans="1:129" x14ac:dyDescent="0.35">
      <c r="B38" s="6" t="str">
        <f>IF(A38&lt;&gt;"","VACANT","")</f>
        <v/>
      </c>
      <c r="C38" s="137"/>
      <c r="D38" s="155"/>
      <c r="E38" s="145"/>
      <c r="F38" s="118">
        <f t="shared" si="20"/>
        <v>0</v>
      </c>
      <c r="G38" s="146"/>
      <c r="H38" s="347">
        <f t="shared" si="21"/>
        <v>0</v>
      </c>
      <c r="I38" s="148"/>
      <c r="J38" s="156"/>
      <c r="K38" s="116"/>
      <c r="L38" s="118"/>
      <c r="M38" s="6"/>
      <c r="N38" s="123"/>
      <c r="O38" s="155"/>
      <c r="P38" s="145"/>
      <c r="Q38" s="118">
        <f t="shared" si="17"/>
        <v>0</v>
      </c>
      <c r="R38" s="146"/>
      <c r="S38" s="347">
        <f t="shared" si="22"/>
        <v>0</v>
      </c>
      <c r="T38" s="148"/>
      <c r="U38" s="156"/>
      <c r="W38" s="171" t="s">
        <v>316</v>
      </c>
      <c r="AK38" s="115"/>
      <c r="DB38" s="133">
        <f t="shared" ref="DB38:DY38" si="53">IF(AND($O20&lt;=DB$8,$P20&gt;=DB$8),(($R20*$N20)/12),0)</f>
        <v>0</v>
      </c>
      <c r="DC38" s="132">
        <f t="shared" si="53"/>
        <v>0</v>
      </c>
      <c r="DD38" s="132">
        <f t="shared" si="53"/>
        <v>0</v>
      </c>
      <c r="DE38" s="132">
        <f t="shared" si="53"/>
        <v>0</v>
      </c>
      <c r="DF38" s="132">
        <f t="shared" si="53"/>
        <v>0</v>
      </c>
      <c r="DG38" s="132">
        <f t="shared" si="53"/>
        <v>0</v>
      </c>
      <c r="DH38" s="132">
        <f t="shared" si="53"/>
        <v>0</v>
      </c>
      <c r="DI38" s="132">
        <f t="shared" si="53"/>
        <v>0</v>
      </c>
      <c r="DJ38" s="132">
        <f t="shared" si="53"/>
        <v>0</v>
      </c>
      <c r="DK38" s="132">
        <f t="shared" si="53"/>
        <v>0</v>
      </c>
      <c r="DL38" s="132">
        <f t="shared" si="53"/>
        <v>0</v>
      </c>
      <c r="DM38" s="134">
        <f t="shared" si="53"/>
        <v>0</v>
      </c>
      <c r="DN38" s="115">
        <f t="shared" si="53"/>
        <v>0</v>
      </c>
      <c r="DO38" s="115">
        <f t="shared" si="53"/>
        <v>0</v>
      </c>
      <c r="DP38" s="115">
        <f t="shared" si="53"/>
        <v>0</v>
      </c>
      <c r="DQ38" s="115">
        <f t="shared" si="53"/>
        <v>0</v>
      </c>
      <c r="DR38" s="115">
        <f t="shared" si="53"/>
        <v>0</v>
      </c>
      <c r="DS38" s="115">
        <f t="shared" si="53"/>
        <v>0</v>
      </c>
      <c r="DT38" s="115">
        <f t="shared" si="53"/>
        <v>0</v>
      </c>
      <c r="DU38" s="115">
        <f t="shared" si="53"/>
        <v>0</v>
      </c>
      <c r="DV38" s="115">
        <f t="shared" si="53"/>
        <v>0</v>
      </c>
      <c r="DW38" s="115">
        <f t="shared" si="53"/>
        <v>0</v>
      </c>
      <c r="DX38" s="115">
        <f t="shared" si="53"/>
        <v>0</v>
      </c>
      <c r="DY38" s="115">
        <f t="shared" si="53"/>
        <v>0</v>
      </c>
    </row>
    <row r="39" spans="1:129" x14ac:dyDescent="0.35">
      <c r="B39" s="6" t="str">
        <f t="shared" si="19"/>
        <v/>
      </c>
      <c r="C39" s="137"/>
      <c r="D39" s="155"/>
      <c r="E39" s="145"/>
      <c r="F39" s="118">
        <f t="shared" si="20"/>
        <v>0</v>
      </c>
      <c r="G39" s="146"/>
      <c r="H39" s="347">
        <f t="shared" si="21"/>
        <v>0</v>
      </c>
      <c r="I39" s="148"/>
      <c r="J39" s="156"/>
      <c r="K39" s="116"/>
      <c r="L39" s="118"/>
      <c r="O39" s="155"/>
      <c r="P39" s="145"/>
      <c r="Q39" s="118">
        <f t="shared" si="17"/>
        <v>0</v>
      </c>
      <c r="R39" s="146"/>
      <c r="S39" s="347">
        <f t="shared" si="22"/>
        <v>0</v>
      </c>
      <c r="T39" s="148"/>
      <c r="U39" s="156"/>
      <c r="AK39" s="115"/>
      <c r="DB39" s="133">
        <f t="shared" ref="DB39:DY39" si="54">IF(AND($O21&lt;=DB$8,$P21&gt;=DB$8),(($R21*$N21)/12),0)</f>
        <v>0</v>
      </c>
      <c r="DC39" s="132">
        <f t="shared" si="54"/>
        <v>0</v>
      </c>
      <c r="DD39" s="132">
        <f t="shared" si="54"/>
        <v>0</v>
      </c>
      <c r="DE39" s="132">
        <f t="shared" si="54"/>
        <v>0</v>
      </c>
      <c r="DF39" s="132">
        <f t="shared" si="54"/>
        <v>0</v>
      </c>
      <c r="DG39" s="132">
        <f t="shared" si="54"/>
        <v>0</v>
      </c>
      <c r="DH39" s="132">
        <f t="shared" si="54"/>
        <v>0</v>
      </c>
      <c r="DI39" s="132">
        <f t="shared" si="54"/>
        <v>0</v>
      </c>
      <c r="DJ39" s="132">
        <f t="shared" si="54"/>
        <v>0</v>
      </c>
      <c r="DK39" s="132">
        <f t="shared" si="54"/>
        <v>0</v>
      </c>
      <c r="DL39" s="132">
        <f t="shared" si="54"/>
        <v>0</v>
      </c>
      <c r="DM39" s="134">
        <f t="shared" si="54"/>
        <v>0</v>
      </c>
      <c r="DN39" s="115">
        <f t="shared" si="54"/>
        <v>0</v>
      </c>
      <c r="DO39" s="115">
        <f t="shared" si="54"/>
        <v>0</v>
      </c>
      <c r="DP39" s="115">
        <f t="shared" si="54"/>
        <v>0</v>
      </c>
      <c r="DQ39" s="115">
        <f t="shared" si="54"/>
        <v>0</v>
      </c>
      <c r="DR39" s="115">
        <f t="shared" si="54"/>
        <v>0</v>
      </c>
      <c r="DS39" s="115">
        <f t="shared" si="54"/>
        <v>0</v>
      </c>
      <c r="DT39" s="115">
        <f t="shared" si="54"/>
        <v>0</v>
      </c>
      <c r="DU39" s="115">
        <f t="shared" si="54"/>
        <v>0</v>
      </c>
      <c r="DV39" s="115">
        <f t="shared" si="54"/>
        <v>0</v>
      </c>
      <c r="DW39" s="115">
        <f t="shared" si="54"/>
        <v>0</v>
      </c>
      <c r="DX39" s="115">
        <f t="shared" si="54"/>
        <v>0</v>
      </c>
      <c r="DY39" s="115">
        <f t="shared" si="54"/>
        <v>0</v>
      </c>
    </row>
    <row r="40" spans="1:129" x14ac:dyDescent="0.35">
      <c r="B40" s="6" t="str">
        <f t="shared" si="19"/>
        <v/>
      </c>
      <c r="C40" s="137"/>
      <c r="D40" s="155"/>
      <c r="E40" s="145"/>
      <c r="F40" s="118">
        <f t="shared" si="20"/>
        <v>0</v>
      </c>
      <c r="G40" s="146"/>
      <c r="H40" s="347">
        <f t="shared" si="21"/>
        <v>0</v>
      </c>
      <c r="I40" s="148"/>
      <c r="J40" s="156"/>
      <c r="K40" s="116"/>
      <c r="L40" s="118"/>
      <c r="O40" s="155"/>
      <c r="P40" s="145"/>
      <c r="Q40" s="118">
        <f t="shared" si="17"/>
        <v>0</v>
      </c>
      <c r="R40" s="146"/>
      <c r="S40" s="347">
        <f t="shared" si="22"/>
        <v>0</v>
      </c>
      <c r="T40" s="148"/>
      <c r="U40" s="156"/>
      <c r="AK40" s="115"/>
      <c r="DB40" s="133">
        <f t="shared" ref="DB40:DY40" si="55">IF(AND($O22&lt;=DB$8,$P22&gt;=DB$8),(($R22*$N22)/12),0)</f>
        <v>0</v>
      </c>
      <c r="DC40" s="132">
        <f t="shared" si="55"/>
        <v>0</v>
      </c>
      <c r="DD40" s="132">
        <f t="shared" si="55"/>
        <v>0</v>
      </c>
      <c r="DE40" s="132">
        <f t="shared" si="55"/>
        <v>0</v>
      </c>
      <c r="DF40" s="132">
        <f t="shared" si="55"/>
        <v>0</v>
      </c>
      <c r="DG40" s="132">
        <f t="shared" si="55"/>
        <v>0</v>
      </c>
      <c r="DH40" s="132">
        <f t="shared" si="55"/>
        <v>0</v>
      </c>
      <c r="DI40" s="132">
        <f t="shared" si="55"/>
        <v>0</v>
      </c>
      <c r="DJ40" s="132">
        <f t="shared" si="55"/>
        <v>0</v>
      </c>
      <c r="DK40" s="132">
        <f t="shared" si="55"/>
        <v>0</v>
      </c>
      <c r="DL40" s="132">
        <f t="shared" si="55"/>
        <v>0</v>
      </c>
      <c r="DM40" s="134">
        <f t="shared" si="55"/>
        <v>0</v>
      </c>
      <c r="DN40" s="115">
        <f t="shared" si="55"/>
        <v>0</v>
      </c>
      <c r="DO40" s="115">
        <f t="shared" si="55"/>
        <v>0</v>
      </c>
      <c r="DP40" s="115">
        <f t="shared" si="55"/>
        <v>0</v>
      </c>
      <c r="DQ40" s="115">
        <f t="shared" si="55"/>
        <v>0</v>
      </c>
      <c r="DR40" s="115">
        <f t="shared" si="55"/>
        <v>0</v>
      </c>
      <c r="DS40" s="115">
        <f t="shared" si="55"/>
        <v>0</v>
      </c>
      <c r="DT40" s="115">
        <f t="shared" si="55"/>
        <v>0</v>
      </c>
      <c r="DU40" s="115">
        <f t="shared" si="55"/>
        <v>0</v>
      </c>
      <c r="DV40" s="115">
        <f t="shared" si="55"/>
        <v>0</v>
      </c>
      <c r="DW40" s="115">
        <f t="shared" si="55"/>
        <v>0</v>
      </c>
      <c r="DX40" s="115">
        <f t="shared" si="55"/>
        <v>0</v>
      </c>
      <c r="DY40" s="115">
        <f t="shared" si="55"/>
        <v>0</v>
      </c>
    </row>
    <row r="41" spans="1:129" x14ac:dyDescent="0.35">
      <c r="B41" s="6" t="str">
        <f t="shared" si="19"/>
        <v/>
      </c>
      <c r="C41" s="137"/>
      <c r="D41" s="155"/>
      <c r="E41" s="145"/>
      <c r="F41" s="118">
        <f t="shared" si="20"/>
        <v>0</v>
      </c>
      <c r="G41" s="146"/>
      <c r="H41" s="347">
        <f t="shared" si="21"/>
        <v>0</v>
      </c>
      <c r="I41" s="148"/>
      <c r="J41" s="156"/>
      <c r="K41" s="116"/>
      <c r="L41" s="118"/>
      <c r="M41" s="6"/>
      <c r="N41" s="123"/>
      <c r="O41" s="155"/>
      <c r="P41" s="145"/>
      <c r="Q41" s="118">
        <f t="shared" si="17"/>
        <v>0</v>
      </c>
      <c r="R41" s="146"/>
      <c r="S41" s="347">
        <f t="shared" si="22"/>
        <v>0</v>
      </c>
      <c r="T41" s="148"/>
      <c r="U41" s="156"/>
      <c r="DB41" s="133">
        <f t="shared" ref="DB41:DY41" si="56">IF(AND($O23&lt;=DB$8,$P23&gt;=DB$8),(($R23*$N23)/12),0)</f>
        <v>0</v>
      </c>
      <c r="DC41" s="132">
        <f t="shared" si="56"/>
        <v>0</v>
      </c>
      <c r="DD41" s="132">
        <f t="shared" si="56"/>
        <v>0</v>
      </c>
      <c r="DE41" s="132">
        <f t="shared" si="56"/>
        <v>0</v>
      </c>
      <c r="DF41" s="132">
        <f t="shared" si="56"/>
        <v>0</v>
      </c>
      <c r="DG41" s="132">
        <f t="shared" si="56"/>
        <v>0</v>
      </c>
      <c r="DH41" s="132">
        <f t="shared" si="56"/>
        <v>0</v>
      </c>
      <c r="DI41" s="132">
        <f t="shared" si="56"/>
        <v>0</v>
      </c>
      <c r="DJ41" s="132">
        <f t="shared" si="56"/>
        <v>0</v>
      </c>
      <c r="DK41" s="132">
        <f t="shared" si="56"/>
        <v>0</v>
      </c>
      <c r="DL41" s="132">
        <f t="shared" si="56"/>
        <v>0</v>
      </c>
      <c r="DM41" s="134">
        <f t="shared" si="56"/>
        <v>0</v>
      </c>
      <c r="DN41" s="115">
        <f t="shared" si="56"/>
        <v>0</v>
      </c>
      <c r="DO41" s="115">
        <f t="shared" si="56"/>
        <v>0</v>
      </c>
      <c r="DP41" s="115">
        <f t="shared" si="56"/>
        <v>0</v>
      </c>
      <c r="DQ41" s="115">
        <f t="shared" si="56"/>
        <v>0</v>
      </c>
      <c r="DR41" s="115">
        <f t="shared" si="56"/>
        <v>0</v>
      </c>
      <c r="DS41" s="115">
        <f t="shared" si="56"/>
        <v>0</v>
      </c>
      <c r="DT41" s="115">
        <f t="shared" si="56"/>
        <v>0</v>
      </c>
      <c r="DU41" s="115">
        <f t="shared" si="56"/>
        <v>0</v>
      </c>
      <c r="DV41" s="115">
        <f t="shared" si="56"/>
        <v>0</v>
      </c>
      <c r="DW41" s="115">
        <f t="shared" si="56"/>
        <v>0</v>
      </c>
      <c r="DX41" s="115">
        <f t="shared" si="56"/>
        <v>0</v>
      </c>
      <c r="DY41" s="115">
        <f t="shared" si="56"/>
        <v>0</v>
      </c>
    </row>
    <row r="42" spans="1:129" ht="16.5" thickBot="1" x14ac:dyDescent="0.4">
      <c r="B42" s="6" t="str">
        <f t="shared" si="19"/>
        <v/>
      </c>
      <c r="C42" s="137"/>
      <c r="D42" s="155"/>
      <c r="E42" s="145"/>
      <c r="F42" s="118">
        <f t="shared" si="20"/>
        <v>0</v>
      </c>
      <c r="G42" s="146"/>
      <c r="H42" s="347">
        <f t="shared" si="21"/>
        <v>0</v>
      </c>
      <c r="I42" s="146"/>
      <c r="J42" s="156"/>
      <c r="K42" s="116"/>
      <c r="L42" s="118"/>
      <c r="M42" s="6"/>
      <c r="N42" s="123"/>
      <c r="O42" s="155"/>
      <c r="P42" s="145"/>
      <c r="Q42" s="118">
        <f t="shared" si="17"/>
        <v>0</v>
      </c>
      <c r="R42" s="146"/>
      <c r="S42" s="347">
        <f t="shared" si="22"/>
        <v>0</v>
      </c>
      <c r="T42" s="146"/>
      <c r="U42" s="156"/>
      <c r="DB42" s="122">
        <f t="shared" ref="DB42:DY42" si="57">SUM(DB27:DB41)</f>
        <v>0</v>
      </c>
      <c r="DC42" s="122">
        <f t="shared" si="57"/>
        <v>0</v>
      </c>
      <c r="DD42" s="122">
        <f t="shared" si="57"/>
        <v>0</v>
      </c>
      <c r="DE42" s="122">
        <f t="shared" si="57"/>
        <v>0</v>
      </c>
      <c r="DF42" s="122">
        <f t="shared" si="57"/>
        <v>0</v>
      </c>
      <c r="DG42" s="122">
        <f t="shared" si="57"/>
        <v>0</v>
      </c>
      <c r="DH42" s="122">
        <f t="shared" si="57"/>
        <v>0</v>
      </c>
      <c r="DI42" s="122">
        <f t="shared" si="57"/>
        <v>0</v>
      </c>
      <c r="DJ42" s="122">
        <f t="shared" si="57"/>
        <v>0</v>
      </c>
      <c r="DK42" s="122">
        <f t="shared" si="57"/>
        <v>1772.8333333333333</v>
      </c>
      <c r="DL42" s="122">
        <f t="shared" si="57"/>
        <v>1772.8333333333333</v>
      </c>
      <c r="DM42" s="122">
        <f t="shared" si="57"/>
        <v>3056.1666666666665</v>
      </c>
      <c r="DN42" s="122">
        <f t="shared" si="57"/>
        <v>3056.1666666666665</v>
      </c>
      <c r="DO42" s="122">
        <f t="shared" si="57"/>
        <v>3056.1666666666665</v>
      </c>
      <c r="DP42" s="122">
        <f t="shared" si="57"/>
        <v>3056.1666666666665</v>
      </c>
      <c r="DQ42" s="122">
        <f t="shared" si="57"/>
        <v>3056.1666666666665</v>
      </c>
      <c r="DR42" s="122">
        <f t="shared" si="57"/>
        <v>3056.1666666666665</v>
      </c>
      <c r="DS42" s="122">
        <f t="shared" si="57"/>
        <v>3056.1666666666665</v>
      </c>
      <c r="DT42" s="122">
        <f t="shared" si="57"/>
        <v>3056.1666666666665</v>
      </c>
      <c r="DU42" s="122">
        <f t="shared" si="57"/>
        <v>3056.1666666666665</v>
      </c>
      <c r="DV42" s="122">
        <f t="shared" si="57"/>
        <v>3056.1666666666665</v>
      </c>
      <c r="DW42" s="122">
        <f t="shared" si="57"/>
        <v>3056.1666666666665</v>
      </c>
      <c r="DX42" s="122">
        <f t="shared" si="57"/>
        <v>3056.1666666666665</v>
      </c>
      <c r="DY42" s="122">
        <f t="shared" si="57"/>
        <v>3056.1666666666665</v>
      </c>
    </row>
    <row r="43" spans="1:129" ht="17" thickTop="1" thickBot="1" x14ac:dyDescent="0.4">
      <c r="B43" s="6" t="str">
        <f>IF(A43&lt;&gt;"","VACANT","")</f>
        <v/>
      </c>
      <c r="C43" s="137"/>
      <c r="D43" s="155"/>
      <c r="E43" s="145"/>
      <c r="F43" s="118">
        <f t="shared" si="20"/>
        <v>0</v>
      </c>
      <c r="G43" s="146"/>
      <c r="H43" s="347">
        <f t="shared" si="21"/>
        <v>0</v>
      </c>
      <c r="I43" s="146"/>
      <c r="J43" s="156"/>
      <c r="K43" s="118"/>
      <c r="L43" s="118"/>
      <c r="M43" s="6"/>
      <c r="N43" s="123"/>
      <c r="O43" s="155"/>
      <c r="P43" s="145"/>
      <c r="Q43" s="118">
        <f t="shared" si="17"/>
        <v>0</v>
      </c>
      <c r="R43" s="146"/>
      <c r="S43" s="347">
        <f t="shared" si="22"/>
        <v>0</v>
      </c>
      <c r="T43" s="146"/>
      <c r="U43" s="156"/>
      <c r="DC43" s="121"/>
    </row>
    <row r="44" spans="1:129" ht="18.5" thickBot="1" x14ac:dyDescent="0.4">
      <c r="B44" s="6" t="str">
        <f t="shared" si="19"/>
        <v/>
      </c>
      <c r="C44" s="137"/>
      <c r="D44" s="155"/>
      <c r="E44" s="145"/>
      <c r="F44" s="118">
        <f t="shared" si="20"/>
        <v>0</v>
      </c>
      <c r="G44" s="146"/>
      <c r="H44" s="347">
        <f t="shared" si="21"/>
        <v>0</v>
      </c>
      <c r="I44" s="146"/>
      <c r="J44" s="156"/>
      <c r="K44" s="118"/>
      <c r="L44" s="118"/>
      <c r="M44" s="6"/>
      <c r="N44" s="123"/>
      <c r="O44" s="155"/>
      <c r="P44" s="145"/>
      <c r="Q44" s="118">
        <f t="shared" si="17"/>
        <v>0</v>
      </c>
      <c r="R44" s="146"/>
      <c r="S44" s="347">
        <f t="shared" si="22"/>
        <v>0</v>
      </c>
      <c r="T44" s="146"/>
      <c r="U44" s="156"/>
      <c r="DB44" s="164">
        <f t="shared" ref="DB44:DY44" si="58">DB24+DB42</f>
        <v>0</v>
      </c>
      <c r="DC44" s="165">
        <f t="shared" si="58"/>
        <v>0</v>
      </c>
      <c r="DD44" s="165">
        <f t="shared" si="58"/>
        <v>0</v>
      </c>
      <c r="DE44" s="165">
        <f t="shared" si="58"/>
        <v>0</v>
      </c>
      <c r="DF44" s="165">
        <f t="shared" si="58"/>
        <v>0</v>
      </c>
      <c r="DG44" s="165">
        <f t="shared" si="58"/>
        <v>0</v>
      </c>
      <c r="DH44" s="165">
        <f t="shared" si="58"/>
        <v>0</v>
      </c>
      <c r="DI44" s="165">
        <f t="shared" si="58"/>
        <v>0</v>
      </c>
      <c r="DJ44" s="165">
        <f t="shared" si="58"/>
        <v>0</v>
      </c>
      <c r="DK44" s="165">
        <f t="shared" si="58"/>
        <v>1772.8333333333333</v>
      </c>
      <c r="DL44" s="165">
        <f t="shared" si="58"/>
        <v>1772.8333333333333</v>
      </c>
      <c r="DM44" s="165">
        <f t="shared" si="58"/>
        <v>3056.1666666666665</v>
      </c>
      <c r="DN44" s="165">
        <f t="shared" si="58"/>
        <v>3056.1666666666665</v>
      </c>
      <c r="DO44" s="165">
        <f t="shared" si="58"/>
        <v>3056.1666666666665</v>
      </c>
      <c r="DP44" s="165">
        <f t="shared" si="58"/>
        <v>3056.1666666666665</v>
      </c>
      <c r="DQ44" s="165">
        <f t="shared" si="58"/>
        <v>3056.1666666666665</v>
      </c>
      <c r="DR44" s="165">
        <f t="shared" si="58"/>
        <v>3056.1666666666665</v>
      </c>
      <c r="DS44" s="165">
        <f t="shared" si="58"/>
        <v>4306.1666666666661</v>
      </c>
      <c r="DT44" s="165">
        <f t="shared" si="58"/>
        <v>4306.1666666666661</v>
      </c>
      <c r="DU44" s="165">
        <f t="shared" si="58"/>
        <v>4306.1666666666661</v>
      </c>
      <c r="DV44" s="165">
        <f t="shared" si="58"/>
        <v>4306.1666666666661</v>
      </c>
      <c r="DW44" s="165">
        <f t="shared" si="58"/>
        <v>4306.1666666666661</v>
      </c>
      <c r="DX44" s="165">
        <f t="shared" si="58"/>
        <v>4306.1666666666661</v>
      </c>
      <c r="DY44" s="166">
        <f t="shared" si="58"/>
        <v>4306.1666666666661</v>
      </c>
    </row>
    <row r="45" spans="1:129" x14ac:dyDescent="0.35">
      <c r="A45" s="129"/>
      <c r="B45" s="15" t="str">
        <f t="shared" si="19"/>
        <v/>
      </c>
      <c r="C45" s="138"/>
      <c r="D45" s="157"/>
      <c r="E45" s="149"/>
      <c r="F45" s="129">
        <f t="shared" si="20"/>
        <v>0</v>
      </c>
      <c r="G45" s="150"/>
      <c r="H45" s="348">
        <f t="shared" si="21"/>
        <v>0</v>
      </c>
      <c r="I45" s="150"/>
      <c r="J45" s="158"/>
      <c r="K45" s="118"/>
      <c r="L45" s="129"/>
      <c r="M45" s="15"/>
      <c r="N45" s="130"/>
      <c r="O45" s="157"/>
      <c r="P45" s="149"/>
      <c r="Q45" s="129">
        <f t="shared" si="17"/>
        <v>0</v>
      </c>
      <c r="R45" s="150"/>
      <c r="S45" s="348">
        <f t="shared" si="22"/>
        <v>0</v>
      </c>
      <c r="T45" s="150"/>
      <c r="U45" s="158"/>
      <c r="DC45" s="121"/>
    </row>
    <row r="46" spans="1:129" ht="16.5" thickBot="1" x14ac:dyDescent="0.35">
      <c r="A46" s="117"/>
      <c r="B46" s="16" t="s">
        <v>301</v>
      </c>
      <c r="C46" s="139">
        <f>SUM(C31:C45)</f>
        <v>0</v>
      </c>
      <c r="D46" s="125"/>
      <c r="E46" s="125"/>
      <c r="F46" s="135"/>
      <c r="G46" s="126"/>
      <c r="H46" s="126"/>
      <c r="I46" s="126"/>
      <c r="J46" s="127"/>
      <c r="K46" s="118"/>
      <c r="L46" s="117"/>
      <c r="M46" s="16" t="s">
        <v>304</v>
      </c>
      <c r="N46" s="139">
        <f>SUM(N31:N45)</f>
        <v>0</v>
      </c>
      <c r="O46" s="125"/>
      <c r="P46" s="125"/>
      <c r="Q46" s="135"/>
      <c r="R46" s="126"/>
      <c r="S46" s="126"/>
      <c r="T46" s="126"/>
      <c r="U46" s="127"/>
      <c r="DC46" s="121"/>
    </row>
    <row r="47" spans="1:129" s="179" customFormat="1" ht="18.5" thickTop="1" thickBot="1" x14ac:dyDescent="0.3">
      <c r="A47" s="178"/>
      <c r="F47" s="178"/>
      <c r="K47" s="180"/>
      <c r="AK47" s="180"/>
      <c r="DB47" s="418"/>
      <c r="DC47" s="418"/>
      <c r="DD47" s="418"/>
      <c r="DE47" s="418"/>
      <c r="DF47" s="418"/>
      <c r="DG47" s="418"/>
      <c r="DH47" s="418"/>
      <c r="DI47" s="418"/>
      <c r="DJ47" s="418"/>
      <c r="DK47" s="418"/>
      <c r="DL47" s="418"/>
      <c r="DM47" s="418"/>
    </row>
    <row r="48" spans="1:129" x14ac:dyDescent="0.25">
      <c r="K48" s="117"/>
    </row>
    <row r="49" spans="1:129" ht="18" x14ac:dyDescent="0.35">
      <c r="A49" s="143">
        <f>'2300'!B1</f>
        <v>2300</v>
      </c>
      <c r="B49" s="6"/>
      <c r="C49" s="119"/>
      <c r="D49" s="117"/>
      <c r="E49" s="117"/>
      <c r="F49" s="117"/>
      <c r="G49" s="117"/>
      <c r="I49" s="117"/>
      <c r="J49" s="117"/>
      <c r="K49" s="117"/>
    </row>
    <row r="50" spans="1:129" ht="17.5" x14ac:dyDescent="0.25">
      <c r="A50" s="181">
        <f>'2300'!B4</f>
        <v>61572</v>
      </c>
      <c r="B50" s="182">
        <f>(A50-C68)/A50</f>
        <v>1</v>
      </c>
      <c r="D50" s="183" t="str">
        <f>"Vacancies - "&amp;A49</f>
        <v>Vacancies - 2300</v>
      </c>
      <c r="E50" s="153"/>
      <c r="F50" s="153"/>
      <c r="G50" s="153"/>
      <c r="H50" s="153"/>
      <c r="I50" s="153"/>
      <c r="J50" s="152"/>
      <c r="K50" s="117"/>
      <c r="O50" s="183" t="str">
        <f>"Renewals - "&amp;A49</f>
        <v>Renewals - 2300</v>
      </c>
      <c r="P50" s="153"/>
      <c r="Q50" s="153"/>
      <c r="R50" s="153"/>
      <c r="S50" s="153"/>
      <c r="T50" s="153"/>
      <c r="U50" s="152"/>
    </row>
    <row r="51" spans="1:129" ht="18" x14ac:dyDescent="0.25">
      <c r="A51" s="114"/>
      <c r="D51" s="414" t="s">
        <v>306</v>
      </c>
      <c r="E51" s="415"/>
      <c r="F51" s="415"/>
      <c r="G51" s="415"/>
      <c r="H51" s="415"/>
      <c r="I51" s="415"/>
      <c r="J51" s="416"/>
      <c r="O51" s="414" t="s">
        <v>306</v>
      </c>
      <c r="P51" s="415"/>
      <c r="Q51" s="415"/>
      <c r="R51" s="415"/>
      <c r="S51" s="415"/>
      <c r="T51" s="415"/>
      <c r="U51" s="416"/>
      <c r="W51" s="142">
        <f>A49</f>
        <v>2300</v>
      </c>
      <c r="X51" s="417">
        <v>2025</v>
      </c>
      <c r="Y51" s="417"/>
      <c r="Z51" s="417"/>
      <c r="AA51" s="417"/>
      <c r="AB51" s="417"/>
      <c r="AC51" s="417"/>
      <c r="AD51" s="417"/>
      <c r="AE51" s="417"/>
      <c r="AF51" s="417"/>
      <c r="AG51" s="417"/>
      <c r="AH51" s="417"/>
      <c r="AI51" s="417"/>
      <c r="AJ51" s="417">
        <f>X51+1</f>
        <v>2026</v>
      </c>
      <c r="AK51" s="417"/>
      <c r="AL51" s="417"/>
      <c r="AM51" s="417"/>
      <c r="AN51" s="417"/>
      <c r="AO51" s="417"/>
      <c r="AP51" s="417"/>
      <c r="AQ51" s="417"/>
      <c r="AR51" s="417"/>
      <c r="AS51" s="417"/>
      <c r="AT51" s="417"/>
      <c r="AU51" s="417"/>
      <c r="DB51" s="412" t="str">
        <f>+$DB$7</f>
        <v>2025</v>
      </c>
      <c r="DC51" s="412"/>
      <c r="DD51" s="412"/>
      <c r="DE51" s="412"/>
      <c r="DF51" s="412"/>
      <c r="DG51" s="412"/>
      <c r="DH51" s="412"/>
      <c r="DI51" s="412"/>
      <c r="DJ51" s="412"/>
      <c r="DK51" s="412"/>
      <c r="DL51" s="412"/>
      <c r="DM51" s="412"/>
      <c r="DN51" s="412" t="str">
        <f>+$DN$7</f>
        <v>2026</v>
      </c>
      <c r="DO51" s="412"/>
      <c r="DP51" s="412"/>
      <c r="DQ51" s="412"/>
      <c r="DR51" s="412"/>
      <c r="DS51" s="412"/>
      <c r="DT51" s="412"/>
      <c r="DU51" s="412"/>
      <c r="DV51" s="412"/>
      <c r="DW51" s="412"/>
      <c r="DX51" s="412"/>
      <c r="DY51" s="412"/>
    </row>
    <row r="52" spans="1:129" x14ac:dyDescent="0.35">
      <c r="A52" s="129" t="s">
        <v>206</v>
      </c>
      <c r="B52" s="15" t="s">
        <v>302</v>
      </c>
      <c r="C52" s="136" t="s">
        <v>203</v>
      </c>
      <c r="D52" s="159" t="s">
        <v>307</v>
      </c>
      <c r="E52" s="129" t="s">
        <v>308</v>
      </c>
      <c r="F52" s="129"/>
      <c r="G52" s="128" t="s">
        <v>202</v>
      </c>
      <c r="H52" s="141" t="s">
        <v>526</v>
      </c>
      <c r="I52" s="141" t="s">
        <v>303</v>
      </c>
      <c r="J52" s="131" t="s">
        <v>201</v>
      </c>
      <c r="K52" s="118"/>
      <c r="L52" s="129" t="s">
        <v>206</v>
      </c>
      <c r="M52" s="15" t="s">
        <v>302</v>
      </c>
      <c r="N52" s="136" t="s">
        <v>203</v>
      </c>
      <c r="O52" s="159" t="s">
        <v>307</v>
      </c>
      <c r="P52" s="129" t="s">
        <v>308</v>
      </c>
      <c r="Q52" s="129"/>
      <c r="R52" s="128" t="s">
        <v>202</v>
      </c>
      <c r="S52" s="141" t="s">
        <v>526</v>
      </c>
      <c r="T52" s="141" t="s">
        <v>303</v>
      </c>
      <c r="U52" s="131" t="s">
        <v>201</v>
      </c>
      <c r="X52" s="160">
        <f>X$8</f>
        <v>45658</v>
      </c>
      <c r="Y52" s="5">
        <f t="shared" ref="Y52:AU52" si="59">Y$8</f>
        <v>45689</v>
      </c>
      <c r="Z52" s="5">
        <f t="shared" si="59"/>
        <v>45717</v>
      </c>
      <c r="AA52" s="5">
        <f t="shared" si="59"/>
        <v>45748</v>
      </c>
      <c r="AB52" s="5">
        <f t="shared" si="59"/>
        <v>45778</v>
      </c>
      <c r="AC52" s="5">
        <f t="shared" si="59"/>
        <v>45809</v>
      </c>
      <c r="AD52" s="5">
        <f t="shared" si="59"/>
        <v>45839</v>
      </c>
      <c r="AE52" s="5">
        <f t="shared" si="59"/>
        <v>45870</v>
      </c>
      <c r="AF52" s="5">
        <f t="shared" si="59"/>
        <v>45901</v>
      </c>
      <c r="AG52" s="5">
        <f t="shared" si="59"/>
        <v>45931</v>
      </c>
      <c r="AH52" s="5">
        <f t="shared" si="59"/>
        <v>45962</v>
      </c>
      <c r="AI52" s="161">
        <f t="shared" si="59"/>
        <v>45992</v>
      </c>
      <c r="AJ52" s="5">
        <f t="shared" si="59"/>
        <v>46023</v>
      </c>
      <c r="AK52" s="5">
        <f t="shared" si="59"/>
        <v>46054</v>
      </c>
      <c r="AL52" s="5">
        <f t="shared" si="59"/>
        <v>46082</v>
      </c>
      <c r="AM52" s="5">
        <f t="shared" si="59"/>
        <v>46113</v>
      </c>
      <c r="AN52" s="5">
        <f t="shared" si="59"/>
        <v>46143</v>
      </c>
      <c r="AO52" s="5">
        <f t="shared" si="59"/>
        <v>46174</v>
      </c>
      <c r="AP52" s="5">
        <f t="shared" si="59"/>
        <v>46204</v>
      </c>
      <c r="AQ52" s="5">
        <f t="shared" si="59"/>
        <v>46235</v>
      </c>
      <c r="AR52" s="5">
        <f t="shared" si="59"/>
        <v>46266</v>
      </c>
      <c r="AS52" s="5">
        <f t="shared" si="59"/>
        <v>46296</v>
      </c>
      <c r="AT52" s="5">
        <f t="shared" si="59"/>
        <v>46327</v>
      </c>
      <c r="AU52" s="5">
        <f t="shared" si="59"/>
        <v>46357</v>
      </c>
      <c r="AV52" s="210" t="str">
        <f>AJ51&amp;" - Totals"</f>
        <v>2026 - Totals</v>
      </c>
      <c r="DB52" s="160">
        <f t="shared" ref="DB52:DY52" si="60">DB$8</f>
        <v>45658</v>
      </c>
      <c r="DC52" s="5">
        <f t="shared" si="60"/>
        <v>45689</v>
      </c>
      <c r="DD52" s="5">
        <f t="shared" si="60"/>
        <v>45717</v>
      </c>
      <c r="DE52" s="5">
        <f t="shared" si="60"/>
        <v>45748</v>
      </c>
      <c r="DF52" s="5">
        <f t="shared" si="60"/>
        <v>45778</v>
      </c>
      <c r="DG52" s="5">
        <f t="shared" si="60"/>
        <v>45809</v>
      </c>
      <c r="DH52" s="5">
        <f t="shared" si="60"/>
        <v>45839</v>
      </c>
      <c r="DI52" s="5">
        <f t="shared" si="60"/>
        <v>45870</v>
      </c>
      <c r="DJ52" s="5">
        <f t="shared" si="60"/>
        <v>45901</v>
      </c>
      <c r="DK52" s="5">
        <f t="shared" si="60"/>
        <v>45931</v>
      </c>
      <c r="DL52" s="5">
        <f t="shared" si="60"/>
        <v>45962</v>
      </c>
      <c r="DM52" s="161">
        <f t="shared" si="60"/>
        <v>45992</v>
      </c>
      <c r="DN52" s="5">
        <f t="shared" si="60"/>
        <v>46023</v>
      </c>
      <c r="DO52" s="5">
        <f t="shared" si="60"/>
        <v>46054</v>
      </c>
      <c r="DP52" s="5">
        <f t="shared" si="60"/>
        <v>46082</v>
      </c>
      <c r="DQ52" s="5">
        <f t="shared" si="60"/>
        <v>46113</v>
      </c>
      <c r="DR52" s="5">
        <f t="shared" si="60"/>
        <v>46143</v>
      </c>
      <c r="DS52" s="5">
        <f t="shared" si="60"/>
        <v>46174</v>
      </c>
      <c r="DT52" s="5">
        <f t="shared" si="60"/>
        <v>46204</v>
      </c>
      <c r="DU52" s="5">
        <f t="shared" si="60"/>
        <v>46235</v>
      </c>
      <c r="DV52" s="5">
        <f t="shared" si="60"/>
        <v>46266</v>
      </c>
      <c r="DW52" s="5">
        <f t="shared" si="60"/>
        <v>46296</v>
      </c>
      <c r="DX52" s="5">
        <f t="shared" si="60"/>
        <v>46327</v>
      </c>
      <c r="DY52" s="5">
        <f t="shared" si="60"/>
        <v>46357</v>
      </c>
    </row>
    <row r="53" spans="1:129" x14ac:dyDescent="0.35">
      <c r="A53" s="245"/>
      <c r="B53" s="45"/>
      <c r="C53" s="137"/>
      <c r="D53" s="155"/>
      <c r="E53" s="145"/>
      <c r="F53" s="172">
        <f>IFERROR(ROUNDUP(((DATEDIF(D53,E53,"d"))/365),1),0)</f>
        <v>0</v>
      </c>
      <c r="G53" s="146"/>
      <c r="H53" s="347">
        <f>(G53*C53)/12</f>
        <v>0</v>
      </c>
      <c r="I53" s="146"/>
      <c r="J53" s="156"/>
      <c r="K53" s="163"/>
      <c r="L53" s="245" t="s">
        <v>370</v>
      </c>
      <c r="M53" s="6" t="s">
        <v>329</v>
      </c>
      <c r="N53" s="137">
        <v>1280</v>
      </c>
      <c r="O53" s="155">
        <v>46204</v>
      </c>
      <c r="P53" s="145">
        <v>48029</v>
      </c>
      <c r="Q53" s="282">
        <f t="shared" ref="Q53:Q67" si="61">IFERROR(ROUNDUP(((DATEDIF(O53,P53,"d"))/365),1),0)</f>
        <v>5</v>
      </c>
      <c r="R53" s="146">
        <v>30</v>
      </c>
      <c r="S53" s="347">
        <f>(R53*N53)/12</f>
        <v>3200</v>
      </c>
      <c r="T53" s="146">
        <v>0</v>
      </c>
      <c r="U53" s="156">
        <v>0</v>
      </c>
      <c r="W53" s="114" t="s">
        <v>314</v>
      </c>
      <c r="X53" s="199" cm="1">
        <f t="array" ref="X53:AI53">_xlfn.LET(
  _xlpm.months, X52:AI52,
  _xlpm.totalSqft, A50,
  _xlpm.vacSF, C53:C67,
  _xlpm.vacStart, D53:D67,
  _xlpm.vacEnd, E53:E67,
  _xlpm.renSF, N53:N67,
  _xlpm.renEnd, P53:P67,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Y53" s="200">
        <v>1</v>
      </c>
      <c r="Z53" s="200">
        <v>1</v>
      </c>
      <c r="AA53" s="200">
        <v>1</v>
      </c>
      <c r="AB53" s="200">
        <v>1</v>
      </c>
      <c r="AC53" s="200">
        <v>1</v>
      </c>
      <c r="AD53" s="200">
        <v>1</v>
      </c>
      <c r="AE53" s="200">
        <v>1</v>
      </c>
      <c r="AF53" s="200">
        <v>1</v>
      </c>
      <c r="AG53" s="200">
        <v>1</v>
      </c>
      <c r="AH53" s="200">
        <v>1</v>
      </c>
      <c r="AI53" s="200">
        <v>1</v>
      </c>
      <c r="AJ53" s="199" cm="1">
        <f t="array" ref="AJ53:AU53">_xlfn.LET(
  _xlpm.months, AJ52:AU52,
  _xlpm.totalSqft, A50,
  _xlpm.vacSF, C53:C67,
  _xlpm.vacStart, D53:D67,
  _xlpm.vacEnd, E53:E67,
  _xlpm.renSF, N53:N67,
  _xlpm.renEnd, P53:P67,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AK53" s="200">
        <v>1</v>
      </c>
      <c r="AL53" s="200">
        <v>1</v>
      </c>
      <c r="AM53" s="200">
        <v>1</v>
      </c>
      <c r="AN53" s="200">
        <v>1</v>
      </c>
      <c r="AO53" s="200">
        <v>1</v>
      </c>
      <c r="AP53" s="200">
        <v>1</v>
      </c>
      <c r="AQ53" s="200">
        <v>1</v>
      </c>
      <c r="AR53" s="200">
        <v>1</v>
      </c>
      <c r="AS53" s="200">
        <v>1</v>
      </c>
      <c r="AT53" s="200">
        <v>1</v>
      </c>
      <c r="AU53" s="200">
        <v>1</v>
      </c>
      <c r="AV53" s="208"/>
      <c r="DB53" s="133">
        <f t="shared" ref="DB53:DY53" si="62">IF(AND($D53&lt;=DB52,$E53&gt;=DB52),(($G53*$C53)/12),0)</f>
        <v>0</v>
      </c>
      <c r="DC53" s="132">
        <f t="shared" si="62"/>
        <v>0</v>
      </c>
      <c r="DD53" s="132">
        <f t="shared" si="62"/>
        <v>0</v>
      </c>
      <c r="DE53" s="132">
        <f t="shared" si="62"/>
        <v>0</v>
      </c>
      <c r="DF53" s="132">
        <f t="shared" si="62"/>
        <v>0</v>
      </c>
      <c r="DG53" s="132">
        <f t="shared" si="62"/>
        <v>0</v>
      </c>
      <c r="DH53" s="132">
        <f t="shared" si="62"/>
        <v>0</v>
      </c>
      <c r="DI53" s="132">
        <f t="shared" si="62"/>
        <v>0</v>
      </c>
      <c r="DJ53" s="132">
        <f t="shared" si="62"/>
        <v>0</v>
      </c>
      <c r="DK53" s="132">
        <f t="shared" si="62"/>
        <v>0</v>
      </c>
      <c r="DL53" s="132">
        <f t="shared" si="62"/>
        <v>0</v>
      </c>
      <c r="DM53" s="134">
        <f t="shared" si="62"/>
        <v>0</v>
      </c>
      <c r="DN53" s="115">
        <f t="shared" si="62"/>
        <v>0</v>
      </c>
      <c r="DO53" s="115">
        <f t="shared" si="62"/>
        <v>0</v>
      </c>
      <c r="DP53" s="115">
        <f t="shared" si="62"/>
        <v>0</v>
      </c>
      <c r="DQ53" s="115">
        <f t="shared" si="62"/>
        <v>0</v>
      </c>
      <c r="DR53" s="115">
        <f t="shared" si="62"/>
        <v>0</v>
      </c>
      <c r="DS53" s="115">
        <f t="shared" si="62"/>
        <v>0</v>
      </c>
      <c r="DT53" s="115">
        <f t="shared" si="62"/>
        <v>0</v>
      </c>
      <c r="DU53" s="115">
        <f t="shared" si="62"/>
        <v>0</v>
      </c>
      <c r="DV53" s="115">
        <f t="shared" si="62"/>
        <v>0</v>
      </c>
      <c r="DW53" s="115">
        <f t="shared" si="62"/>
        <v>0</v>
      </c>
      <c r="DX53" s="115">
        <f t="shared" si="62"/>
        <v>0</v>
      </c>
      <c r="DY53" s="115">
        <f t="shared" si="62"/>
        <v>0</v>
      </c>
    </row>
    <row r="54" spans="1:129" x14ac:dyDescent="0.35">
      <c r="B54" s="6" t="str">
        <f t="shared" ref="B54:B67" si="63">IF(A54&lt;&gt;"","VACANT","")</f>
        <v/>
      </c>
      <c r="C54" s="137"/>
      <c r="D54" s="155"/>
      <c r="E54" s="145"/>
      <c r="F54" s="118">
        <f t="shared" ref="F54:F67" si="64">IFERROR(ROUNDUP(((DATEDIF(D54,E54,"d"))/365),1),0)</f>
        <v>0</v>
      </c>
      <c r="G54" s="146"/>
      <c r="H54" s="347">
        <f t="shared" ref="H54:H67" si="65">(G54*C54)/12</f>
        <v>0</v>
      </c>
      <c r="I54" s="146"/>
      <c r="J54" s="156"/>
      <c r="K54" s="116"/>
      <c r="L54" s="245"/>
      <c r="M54" s="6"/>
      <c r="N54" s="137"/>
      <c r="O54" s="155"/>
      <c r="P54" s="145"/>
      <c r="Q54" s="118">
        <f t="shared" si="61"/>
        <v>0</v>
      </c>
      <c r="R54" s="146"/>
      <c r="S54" s="347">
        <f t="shared" ref="S54:S67" si="66">(R54*N54)/12</f>
        <v>0</v>
      </c>
      <c r="T54" s="146"/>
      <c r="U54" s="156"/>
      <c r="W54" s="114" t="s">
        <v>312</v>
      </c>
      <c r="X54" s="133" cm="1">
        <f t="array" ref="X54">((SUMPRODUCT(($D53:$D67&lt;=X$8) * ($E53:$E67&gt;=X$8) * ($G53:$G67 * $C53:$C67)))+(SUMPRODUCT(($O53:$O67&lt;=X$8) * ($P53:$P67&gt;=X$8) * ($R53:$R67 * $N53:$N67))))/12</f>
        <v>0</v>
      </c>
      <c r="Y54" s="115" cm="1">
        <f t="array" ref="Y54">((SUMPRODUCT(($D53:$D67&lt;=Y$8) * ($E53:$E67&gt;=Y$8) * ($G53:$G67 * $C53:$C67)))+(SUMPRODUCT(($O53:$O67&lt;=Y$8) * ($P53:$P67&gt;=Y$8) * ($R53:$R67 * $N53:$N67))))/12</f>
        <v>0</v>
      </c>
      <c r="Z54" s="115" cm="1">
        <f t="array" ref="Z54">((SUMPRODUCT(($D53:$D67&lt;=Z$8) * ($E53:$E67&gt;=Z$8) * ($G53:$G67 * $C53:$C67)))+(SUMPRODUCT(($O53:$O67&lt;=Z$8) * ($P53:$P67&gt;=Z$8) * ($R53:$R67 * $N53:$N67))))/12</f>
        <v>0</v>
      </c>
      <c r="AA54" s="115" cm="1">
        <f t="array" ref="AA54">((SUMPRODUCT(($D53:$D67&lt;=AA$8) * ($E53:$E67&gt;=AA$8) * ($G53:$G67 * $C53:$C67)))+(SUMPRODUCT(($O53:$O67&lt;=AA$8) * ($P53:$P67&gt;=AA$8) * ($R53:$R67 * $N53:$N67))))/12</f>
        <v>0</v>
      </c>
      <c r="AB54" s="115" cm="1">
        <f t="array" ref="AB54">((SUMPRODUCT(($D53:$D67&lt;=AB$8) * ($E53:$E67&gt;=AB$8) * ($G53:$G67 * $C53:$C67)))+(SUMPRODUCT(($O53:$O67&lt;=AB$8) * ($P53:$P67&gt;=AB$8) * ($R53:$R67 * $N53:$N67))))/12</f>
        <v>0</v>
      </c>
      <c r="AC54" s="115" cm="1">
        <f t="array" ref="AC54">((SUMPRODUCT(($D53:$D67&lt;=AC$8) * ($E53:$E67&gt;=AC$8) * ($G53:$G67 * $C53:$C67)))+(SUMPRODUCT(($O53:$O67&lt;=AC$8) * ($P53:$P67&gt;=AC$8) * ($R53:$R67 * $N53:$N67))))/12</f>
        <v>0</v>
      </c>
      <c r="AD54" s="115" cm="1">
        <f t="array" ref="AD54">((SUMPRODUCT(($D53:$D67&lt;=AD$8) * ($E53:$E67&gt;=AD$8) * ($G53:$G67 * $C53:$C67)))+(SUMPRODUCT(($O53:$O67&lt;=AD$8) * ($P53:$P67&gt;=AD$8) * ($R53:$R67 * $N53:$N67))))/12</f>
        <v>0</v>
      </c>
      <c r="AE54" s="115" cm="1">
        <f t="array" ref="AE54">((SUMPRODUCT(($D53:$D67&lt;=AE$8) * ($E53:$E67&gt;=AE$8) * ($G53:$G67 * $C53:$C67)))+(SUMPRODUCT(($O53:$O67&lt;=AE$8) * ($P53:$P67&gt;=AE$8) * ($R53:$R67 * $N53:$N67))))/12</f>
        <v>0</v>
      </c>
      <c r="AF54" s="115" cm="1">
        <f t="array" ref="AF54">((SUMPRODUCT(($D53:$D67&lt;=AF$8) * ($E53:$E67&gt;=AF$8) * ($G53:$G67 * $C53:$C67)))+(SUMPRODUCT(($O53:$O67&lt;=AF$8) * ($P53:$P67&gt;=AF$8) * ($R53:$R67 * $N53:$N67))))/12</f>
        <v>0</v>
      </c>
      <c r="AG54" s="115" cm="1">
        <f t="array" ref="AG54">((SUMPRODUCT(($D53:$D67&lt;=AG$8) * ($E53:$E67&gt;=AG$8) * ($G53:$G67 * $C53:$C67)))+(SUMPRODUCT(($O53:$O67&lt;=AG$8) * ($P53:$P67&gt;=AG$8) * ($R53:$R67 * $N53:$N67))))/12</f>
        <v>0</v>
      </c>
      <c r="AH54" s="115" cm="1">
        <f t="array" ref="AH54">((SUMPRODUCT(($D53:$D67&lt;=AH$8) * ($E53:$E67&gt;=AH$8) * ($G53:$G67 * $C53:$C67)))+(SUMPRODUCT(($O53:$O67&lt;=AH$8) * ($P53:$P67&gt;=AH$8) * ($R53:$R67 * $N53:$N67))))/12</f>
        <v>0</v>
      </c>
      <c r="AI54" s="115" cm="1">
        <f t="array" ref="AI54">((SUMPRODUCT(($D53:$D67&lt;=AI$8) * ($E53:$E67&gt;=AI$8) * ($G53:$G67 * $C53:$C67)))+(SUMPRODUCT(($O53:$O67&lt;=AI$8) * ($P53:$P67&gt;=AI$8) * ($R53:$R67 * $N53:$N67))))/12</f>
        <v>0</v>
      </c>
      <c r="AJ54" s="133" cm="1">
        <f t="array" ref="AJ54">((SUMPRODUCT(($D53:$D67&lt;=AJ$8) * ($E53:$E67&gt;=AJ$8) * ($G53:$G67 * $C53:$C67)))+(SUMPRODUCT(($O53:$O67&lt;=AJ$8) * ($P53:$P67&gt;=AJ$8) * ($R53:$R67 * $N53:$N67))))/12</f>
        <v>0</v>
      </c>
      <c r="AK54" s="115" cm="1">
        <f t="array" ref="AK54">((SUMPRODUCT(($D53:$D67&lt;=AK$8) * ($E53:$E67&gt;=AK$8) * ($G53:$G67 * $C53:$C67)))+(SUMPRODUCT(($O53:$O67&lt;=AK$8) * ($P53:$P67&gt;=AK$8) * ($R53:$R67 * $N53:$N67))))/12</f>
        <v>0</v>
      </c>
      <c r="AL54" s="115" cm="1">
        <f t="array" ref="AL54">((SUMPRODUCT(($D53:$D67&lt;=AL$8) * ($E53:$E67&gt;=AL$8) * ($G53:$G67 * $C53:$C67)))+(SUMPRODUCT(($O53:$O67&lt;=AL$8) * ($P53:$P67&gt;=AL$8) * ($R53:$R67 * $N53:$N67))))/12</f>
        <v>0</v>
      </c>
      <c r="AM54" s="115" cm="1">
        <f t="array" ref="AM54">((SUMPRODUCT(($D53:$D67&lt;=AM$8) * ($E53:$E67&gt;=AM$8) * ($G53:$G67 * $C53:$C67)))+(SUMPRODUCT(($O53:$O67&lt;=AM$8) * ($P53:$P67&gt;=AM$8) * ($R53:$R67 * $N53:$N67))))/12</f>
        <v>0</v>
      </c>
      <c r="AN54" s="115" cm="1">
        <f t="array" ref="AN54">((SUMPRODUCT(($D53:$D67&lt;=AN$8) * ($E53:$E67&gt;=AN$8) * ($G53:$G67 * $C53:$C67)))+(SUMPRODUCT(($O53:$O67&lt;=AN$8) * ($P53:$P67&gt;=AN$8) * ($R53:$R67 * $N53:$N67))))/12</f>
        <v>0</v>
      </c>
      <c r="AO54" s="115" cm="1">
        <f t="array" ref="AO54">((SUMPRODUCT(($D53:$D67&lt;=AO$8) * ($E53:$E67&gt;=AO$8) * ($G53:$G67 * $C53:$C67)))+(SUMPRODUCT(($O53:$O67&lt;=AO$8) * ($P53:$P67&gt;=AO$8) * ($R53:$R67 * $N53:$N67))))/12</f>
        <v>0</v>
      </c>
      <c r="AP54" s="115" cm="1">
        <f t="array" ref="AP54">((SUMPRODUCT(($D53:$D67&lt;=AP$8) * ($E53:$E67&gt;=AP$8) * ($G53:$G67 * $C53:$C67)))+(SUMPRODUCT(($O53:$O67&lt;=AP$8) * ($P53:$P67&gt;=AP$8) * ($R53:$R67 * $N53:$N67))))/12</f>
        <v>3200</v>
      </c>
      <c r="AQ54" s="115" cm="1">
        <f t="array" ref="AQ54">((SUMPRODUCT(($D53:$D67&lt;=AQ$8) * ($E53:$E67&gt;=AQ$8) * ($G53:$G67 * $C53:$C67)))+(SUMPRODUCT(($O53:$O67&lt;=AQ$8) * ($P53:$P67&gt;=AQ$8) * ($R53:$R67 * $N53:$N67))))/12</f>
        <v>3200</v>
      </c>
      <c r="AR54" s="115" cm="1">
        <f t="array" ref="AR54">((SUMPRODUCT(($D53:$D67&lt;=AR$8) * ($E53:$E67&gt;=AR$8) * ($G53:$G67 * $C53:$C67)))+(SUMPRODUCT(($O53:$O67&lt;=AR$8) * ($P53:$P67&gt;=AR$8) * ($R53:$R67 * $N53:$N67))))/12</f>
        <v>3200</v>
      </c>
      <c r="AS54" s="115" cm="1">
        <f t="array" ref="AS54">((SUMPRODUCT(($D53:$D67&lt;=AS$8) * ($E53:$E67&gt;=AS$8) * ($G53:$G67 * $C53:$C67)))+(SUMPRODUCT(($O53:$O67&lt;=AS$8) * ($P53:$P67&gt;=AS$8) * ($R53:$R67 * $N53:$N67))))/12</f>
        <v>3200</v>
      </c>
      <c r="AT54" s="115" cm="1">
        <f t="array" ref="AT54">((SUMPRODUCT(($D53:$D67&lt;=AT$8) * ($E53:$E67&gt;=AT$8) * ($G53:$G67 * $C53:$C67)))+(SUMPRODUCT(($O53:$O67&lt;=AT$8) * ($P53:$P67&gt;=AT$8) * ($R53:$R67 * $N53:$N67))))/12</f>
        <v>3200</v>
      </c>
      <c r="AU54" s="115" cm="1">
        <f t="array" ref="AU54">((SUMPRODUCT(($D53:$D67&lt;=AU$8) * ($E53:$E67&gt;=AU$8) * ($G53:$G67 * $C53:$C67)))+(SUMPRODUCT(($O53:$O67&lt;=AU$8) * ($P53:$P67&gt;=AU$8) * ($R53:$R67 * $N53:$N67))))/12</f>
        <v>3200</v>
      </c>
      <c r="AV54" s="209">
        <f>SUM(AJ54:AU54)</f>
        <v>19200</v>
      </c>
      <c r="DB54" s="133">
        <f t="shared" ref="DB54:DK67" si="67">IF(AND($D54&lt;=DB$8,$E54&gt;=DB$8),(($G54*$C54)/12),0)</f>
        <v>0</v>
      </c>
      <c r="DC54" s="132">
        <f t="shared" si="67"/>
        <v>0</v>
      </c>
      <c r="DD54" s="132">
        <f t="shared" si="67"/>
        <v>0</v>
      </c>
      <c r="DE54" s="132">
        <f t="shared" si="67"/>
        <v>0</v>
      </c>
      <c r="DF54" s="132">
        <f t="shared" si="67"/>
        <v>0</v>
      </c>
      <c r="DG54" s="132">
        <f t="shared" si="67"/>
        <v>0</v>
      </c>
      <c r="DH54" s="132">
        <f t="shared" si="67"/>
        <v>0</v>
      </c>
      <c r="DI54" s="132">
        <f t="shared" si="67"/>
        <v>0</v>
      </c>
      <c r="DJ54" s="132">
        <f t="shared" si="67"/>
        <v>0</v>
      </c>
      <c r="DK54" s="132">
        <f t="shared" si="67"/>
        <v>0</v>
      </c>
      <c r="DL54" s="132">
        <f t="shared" ref="DL54:DY67" si="68">IF(AND($D54&lt;=DL$8,$E54&gt;=DL$8),(($G54*$C54)/12),0)</f>
        <v>0</v>
      </c>
      <c r="DM54" s="134">
        <f t="shared" si="68"/>
        <v>0</v>
      </c>
      <c r="DN54" s="115">
        <f t="shared" si="68"/>
        <v>0</v>
      </c>
      <c r="DO54" s="115">
        <f t="shared" si="68"/>
        <v>0</v>
      </c>
      <c r="DP54" s="115">
        <f t="shared" si="68"/>
        <v>0</v>
      </c>
      <c r="DQ54" s="115">
        <f t="shared" si="68"/>
        <v>0</v>
      </c>
      <c r="DR54" s="115">
        <f t="shared" si="68"/>
        <v>0</v>
      </c>
      <c r="DS54" s="115">
        <f t="shared" si="68"/>
        <v>0</v>
      </c>
      <c r="DT54" s="115">
        <f t="shared" si="68"/>
        <v>0</v>
      </c>
      <c r="DU54" s="115">
        <f t="shared" si="68"/>
        <v>0</v>
      </c>
      <c r="DV54" s="115">
        <f t="shared" si="68"/>
        <v>0</v>
      </c>
      <c r="DW54" s="115">
        <f t="shared" si="68"/>
        <v>0</v>
      </c>
      <c r="DX54" s="115">
        <f t="shared" si="68"/>
        <v>0</v>
      </c>
      <c r="DY54" s="115">
        <f t="shared" si="68"/>
        <v>0</v>
      </c>
    </row>
    <row r="55" spans="1:129" x14ac:dyDescent="0.35">
      <c r="B55" s="6" t="str">
        <f t="shared" si="63"/>
        <v/>
      </c>
      <c r="C55" s="137"/>
      <c r="D55" s="155"/>
      <c r="E55" s="145"/>
      <c r="F55" s="118">
        <f t="shared" si="64"/>
        <v>0</v>
      </c>
      <c r="G55" s="146"/>
      <c r="H55" s="347">
        <f t="shared" si="65"/>
        <v>0</v>
      </c>
      <c r="I55" s="146"/>
      <c r="J55" s="156"/>
      <c r="K55" s="116"/>
      <c r="L55" s="118"/>
      <c r="M55" s="6"/>
      <c r="N55" s="137"/>
      <c r="O55" s="155"/>
      <c r="P55" s="145"/>
      <c r="Q55" s="118">
        <f t="shared" si="61"/>
        <v>0</v>
      </c>
      <c r="R55" s="146"/>
      <c r="S55" s="347">
        <f t="shared" si="66"/>
        <v>0</v>
      </c>
      <c r="T55" s="146"/>
      <c r="U55" s="156"/>
      <c r="W55" s="114" t="s">
        <v>309</v>
      </c>
      <c r="X55" s="133" cm="1">
        <f t="array" ref="X55">(SUMPRODUCT((TEXT($O53:$O67,"yyyymm")=TEXT(X$8,"yyyymm")) * ($T53:$T67 * $N53:$N67)))+(SUMPRODUCT((TEXT($D53:$D67,"yyyymm")=TEXT(X$8,"yyyymm")) * ($I53:$I67 * $C53:$C67)))</f>
        <v>0</v>
      </c>
      <c r="Y55" s="115" cm="1">
        <f t="array" ref="Y55">(SUMPRODUCT((TEXT($O53:$O67,"yyyymm")=TEXT(Y$8,"yyyymm")) * ($T53:$T67 * $N53:$N67)))+(SUMPRODUCT((TEXT($D53:$D67,"yyyymm")=TEXT(Y$8,"yyyymm")) * ($I53:$I67 * $C53:$C67)))</f>
        <v>0</v>
      </c>
      <c r="Z55" s="115" cm="1">
        <f t="array" ref="Z55">(SUMPRODUCT((TEXT($O53:$O67,"yyyymm")=TEXT(Z$8,"yyyymm")) * ($T53:$T67 * $N53:$N67)))+(SUMPRODUCT((TEXT($D53:$D67,"yyyymm")=TEXT(Z$8,"yyyymm")) * ($I53:$I67 * $C53:$C67)))</f>
        <v>0</v>
      </c>
      <c r="AA55" s="115" cm="1">
        <f t="array" ref="AA55">(SUMPRODUCT((TEXT($O53:$O67,"yyyymm")=TEXT(AA$8,"yyyymm")) * ($T53:$T67 * $N53:$N67)))+(SUMPRODUCT((TEXT($D53:$D67,"yyyymm")=TEXT(AA$8,"yyyymm")) * ($I53:$I67 * $C53:$C67)))</f>
        <v>0</v>
      </c>
      <c r="AB55" s="115" cm="1">
        <f t="array" ref="AB55">(SUMPRODUCT((TEXT($O53:$O67,"yyyymm")=TEXT(AB$8,"yyyymm")) * ($T53:$T67 * $N53:$N67)))+(SUMPRODUCT((TEXT($D53:$D67,"yyyymm")=TEXT(AB$8,"yyyymm")) * ($I53:$I67 * $C53:$C67)))</f>
        <v>0</v>
      </c>
      <c r="AC55" s="115" cm="1">
        <f t="array" ref="AC55">(SUMPRODUCT((TEXT($O53:$O67,"yyyymm")=TEXT(AC$8,"yyyymm")) * ($T53:$T67 * $N53:$N67)))+(SUMPRODUCT((TEXT($D53:$D67,"yyyymm")=TEXT(AC$8,"yyyymm")) * ($I53:$I67 * $C53:$C67)))</f>
        <v>0</v>
      </c>
      <c r="AD55" s="115" cm="1">
        <f t="array" ref="AD55">(SUMPRODUCT((TEXT($O53:$O67,"yyyymm")=TEXT(AD$8,"yyyymm")) * ($T53:$T67 * $N53:$N67)))+(SUMPRODUCT((TEXT($D53:$D67,"yyyymm")=TEXT(AD$8,"yyyymm")) * ($I53:$I67 * $C53:$C67)))</f>
        <v>0</v>
      </c>
      <c r="AE55" s="115" cm="1">
        <f t="array" ref="AE55">(SUMPRODUCT((TEXT($O53:$O67,"yyyymm")=TEXT(AE$8,"yyyymm")) * ($T53:$T67 * $N53:$N67)))+(SUMPRODUCT((TEXT($D53:$D67,"yyyymm")=TEXT(AE$8,"yyyymm")) * ($I53:$I67 * $C53:$C67)))</f>
        <v>0</v>
      </c>
      <c r="AF55" s="115" cm="1">
        <f t="array" ref="AF55">(SUMPRODUCT((TEXT($O53:$O67,"yyyymm")=TEXT(AF$8,"yyyymm")) * ($T53:$T67 * $N53:$N67)))+(SUMPRODUCT((TEXT($D53:$D67,"yyyymm")=TEXT(AF$8,"yyyymm")) * ($I53:$I67 * $C53:$C67)))</f>
        <v>0</v>
      </c>
      <c r="AG55" s="115" cm="1">
        <f t="array" ref="AG55">(SUMPRODUCT((TEXT($O53:$O67,"yyyymm")=TEXT(AG$8,"yyyymm")) * ($T53:$T67 * $N53:$N67)))+(SUMPRODUCT((TEXT($D53:$D67,"yyyymm")=TEXT(AG$8,"yyyymm")) * ($I53:$I67 * $C53:$C67)))</f>
        <v>0</v>
      </c>
      <c r="AH55" s="115" cm="1">
        <f t="array" ref="AH55">(SUMPRODUCT((TEXT($O53:$O67,"yyyymm")=TEXT(AH$8,"yyyymm")) * ($T53:$T67 * $N53:$N67)))+(SUMPRODUCT((TEXT($D53:$D67,"yyyymm")=TEXT(AH$8,"yyyymm")) * ($I53:$I67 * $C53:$C67)))</f>
        <v>0</v>
      </c>
      <c r="AI55" s="115" cm="1">
        <f t="array" ref="AI55">(SUMPRODUCT((TEXT($O53:$O67,"yyyymm")=TEXT(AI$8,"yyyymm")) * ($T53:$T67 * $N53:$N67)))+(SUMPRODUCT((TEXT($D53:$D67,"yyyymm")=TEXT(AI$8,"yyyymm")) * ($I53:$I67 * $C53:$C67)))</f>
        <v>0</v>
      </c>
      <c r="AJ55" s="133" cm="1">
        <f t="array" ref="AJ55">(SUMPRODUCT((TEXT($O53:$O67,"yyyymm")=TEXT(AJ$8,"yyyymm")) * ($T53:$T67 * $N53:$N67)))+(SUMPRODUCT((TEXT($D53:$D67,"yyyymm")=TEXT(AJ$8,"yyyymm")) * ($I53:$I67 * $C53:$C67)))</f>
        <v>0</v>
      </c>
      <c r="AK55" s="115" cm="1">
        <f t="array" ref="AK55">(SUMPRODUCT((TEXT($O53:$O67,"yyyymm")=TEXT(AK$8,"yyyymm")) * ($T53:$T67 * $N53:$N67)))+(SUMPRODUCT((TEXT($D53:$D67,"yyyymm")=TEXT(AK$8,"yyyymm")) * ($I53:$I67 * $C53:$C67)))</f>
        <v>0</v>
      </c>
      <c r="AL55" s="115" cm="1">
        <f t="array" ref="AL55">(SUMPRODUCT((TEXT($O53:$O67,"yyyymm")=TEXT(AL$8,"yyyymm")) * ($T53:$T67 * $N53:$N67)))+(SUMPRODUCT((TEXT($D53:$D67,"yyyymm")=TEXT(AL$8,"yyyymm")) * ($I53:$I67 * $C53:$C67)))</f>
        <v>0</v>
      </c>
      <c r="AM55" s="115" cm="1">
        <f t="array" ref="AM55">(SUMPRODUCT((TEXT($O53:$O67,"yyyymm")=TEXT(AM$8,"yyyymm")) * ($T53:$T67 * $N53:$N67)))+(SUMPRODUCT((TEXT($D53:$D67,"yyyymm")=TEXT(AM$8,"yyyymm")) * ($I53:$I67 * $C53:$C67)))</f>
        <v>0</v>
      </c>
      <c r="AN55" s="115" cm="1">
        <f t="array" ref="AN55">(SUMPRODUCT((TEXT($O53:$O67,"yyyymm")=TEXT(AN$8,"yyyymm")) * ($T53:$T67 * $N53:$N67)))+(SUMPRODUCT((TEXT($D53:$D67,"yyyymm")=TEXT(AN$8,"yyyymm")) * ($I53:$I67 * $C53:$C67)))</f>
        <v>0</v>
      </c>
      <c r="AO55" s="115" cm="1">
        <f t="array" ref="AO55">(SUMPRODUCT((TEXT($O53:$O67,"yyyymm")=TEXT(AO$8,"yyyymm")) * ($T53:$T67 * $N53:$N67)))+(SUMPRODUCT((TEXT($D53:$D67,"yyyymm")=TEXT(AO$8,"yyyymm")) * ($I53:$I67 * $C53:$C67)))</f>
        <v>0</v>
      </c>
      <c r="AP55" s="115" cm="1">
        <f t="array" ref="AP55">(SUMPRODUCT((TEXT($O53:$O67,"yyyymm")=TEXT(AP$8,"yyyymm")) * ($T53:$T67 * $N53:$N67)))+(SUMPRODUCT((TEXT($D53:$D67,"yyyymm")=TEXT(AP$8,"yyyymm")) * ($I53:$I67 * $C53:$C67)))</f>
        <v>0</v>
      </c>
      <c r="AQ55" s="115" cm="1">
        <f t="array" ref="AQ55">(SUMPRODUCT((TEXT($O53:$O67,"yyyymm")=TEXT(AQ$8,"yyyymm")) * ($T53:$T67 * $N53:$N67)))+(SUMPRODUCT((TEXT($D53:$D67,"yyyymm")=TEXT(AQ$8,"yyyymm")) * ($I53:$I67 * $C53:$C67)))</f>
        <v>0</v>
      </c>
      <c r="AR55" s="115" cm="1">
        <f t="array" ref="AR55">(SUMPRODUCT((TEXT($O53:$O67,"yyyymm")=TEXT(AR$8,"yyyymm")) * ($T53:$T67 * $N53:$N67)))+(SUMPRODUCT((TEXT($D53:$D67,"yyyymm")=TEXT(AR$8,"yyyymm")) * ($I53:$I67 * $C53:$C67)))</f>
        <v>0</v>
      </c>
      <c r="AS55" s="115" cm="1">
        <f t="array" ref="AS55">(SUMPRODUCT((TEXT($O53:$O67,"yyyymm")=TEXT(AS$8,"yyyymm")) * ($T53:$T67 * $N53:$N67)))+(SUMPRODUCT((TEXT($D53:$D67,"yyyymm")=TEXT(AS$8,"yyyymm")) * ($I53:$I67 * $C53:$C67)))</f>
        <v>0</v>
      </c>
      <c r="AT55" s="115" cm="1">
        <f t="array" ref="AT55">(SUMPRODUCT((TEXT($O53:$O67,"yyyymm")=TEXT(AT$8,"yyyymm")) * ($T53:$T67 * $N53:$N67)))+(SUMPRODUCT((TEXT($D53:$D67,"yyyymm")=TEXT(AT$8,"yyyymm")) * ($I53:$I67 * $C53:$C67)))</f>
        <v>0</v>
      </c>
      <c r="AU55" s="115" cm="1">
        <f t="array" ref="AU55">(SUMPRODUCT((TEXT($O53:$O67,"yyyymm")=TEXT(AU$8,"yyyymm")) * ($T53:$T67 * $N53:$N67)))+(SUMPRODUCT((TEXT($D53:$D67,"yyyymm")=TEXT(AU$8,"yyyymm")) * ($I53:$I67 * $C53:$C67)))</f>
        <v>0</v>
      </c>
      <c r="AV55" s="209">
        <f t="shared" ref="AV55:AV56" si="69">SUM(AJ55:AU55)</f>
        <v>0</v>
      </c>
      <c r="DB55" s="133">
        <f t="shared" si="67"/>
        <v>0</v>
      </c>
      <c r="DC55" s="132">
        <f t="shared" si="67"/>
        <v>0</v>
      </c>
      <c r="DD55" s="132">
        <f t="shared" si="67"/>
        <v>0</v>
      </c>
      <c r="DE55" s="132">
        <f t="shared" si="67"/>
        <v>0</v>
      </c>
      <c r="DF55" s="132">
        <f t="shared" si="67"/>
        <v>0</v>
      </c>
      <c r="DG55" s="132">
        <f t="shared" si="67"/>
        <v>0</v>
      </c>
      <c r="DH55" s="132">
        <f t="shared" si="67"/>
        <v>0</v>
      </c>
      <c r="DI55" s="132">
        <f t="shared" si="67"/>
        <v>0</v>
      </c>
      <c r="DJ55" s="132">
        <f t="shared" si="67"/>
        <v>0</v>
      </c>
      <c r="DK55" s="132">
        <f t="shared" si="67"/>
        <v>0</v>
      </c>
      <c r="DL55" s="132">
        <f t="shared" si="68"/>
        <v>0</v>
      </c>
      <c r="DM55" s="134">
        <f t="shared" si="68"/>
        <v>0</v>
      </c>
      <c r="DN55" s="115">
        <f t="shared" si="68"/>
        <v>0</v>
      </c>
      <c r="DO55" s="115">
        <f t="shared" si="68"/>
        <v>0</v>
      </c>
      <c r="DP55" s="115">
        <f t="shared" si="68"/>
        <v>0</v>
      </c>
      <c r="DQ55" s="115">
        <f t="shared" si="68"/>
        <v>0</v>
      </c>
      <c r="DR55" s="115">
        <f t="shared" si="68"/>
        <v>0</v>
      </c>
      <c r="DS55" s="115">
        <f t="shared" si="68"/>
        <v>0</v>
      </c>
      <c r="DT55" s="115">
        <f t="shared" si="68"/>
        <v>0</v>
      </c>
      <c r="DU55" s="115">
        <f t="shared" si="68"/>
        <v>0</v>
      </c>
      <c r="DV55" s="115">
        <f t="shared" si="68"/>
        <v>0</v>
      </c>
      <c r="DW55" s="115">
        <f t="shared" si="68"/>
        <v>0</v>
      </c>
      <c r="DX55" s="115">
        <f t="shared" si="68"/>
        <v>0</v>
      </c>
      <c r="DY55" s="115">
        <f t="shared" si="68"/>
        <v>0</v>
      </c>
    </row>
    <row r="56" spans="1:129" x14ac:dyDescent="0.35">
      <c r="B56" s="6" t="str">
        <f t="shared" si="63"/>
        <v/>
      </c>
      <c r="C56" s="137"/>
      <c r="D56" s="155"/>
      <c r="E56" s="147"/>
      <c r="F56" s="118">
        <f t="shared" si="64"/>
        <v>0</v>
      </c>
      <c r="G56" s="148"/>
      <c r="H56" s="347">
        <f t="shared" si="65"/>
        <v>0</v>
      </c>
      <c r="I56" s="146"/>
      <c r="J56" s="156"/>
      <c r="K56" s="116"/>
      <c r="L56" s="118"/>
      <c r="M56" s="6"/>
      <c r="N56" s="137"/>
      <c r="O56" s="155"/>
      <c r="P56" s="147"/>
      <c r="Q56" s="118">
        <f t="shared" si="61"/>
        <v>0</v>
      </c>
      <c r="R56" s="148"/>
      <c r="S56" s="347">
        <f t="shared" si="66"/>
        <v>0</v>
      </c>
      <c r="T56" s="146"/>
      <c r="U56" s="156"/>
      <c r="W56" s="114" t="s">
        <v>313</v>
      </c>
      <c r="X56" s="133" cm="1">
        <f t="array" ref="X56">IFERROR((SUMPRODUCT((TEXT($O53:$O67,"yyyymm")=TEXT(X$8,"yyyymm")) * ($U53:$U67 * $N53:$N67*$R53:$R67*$Q53:$Q67)))+(SUMPRODUCT((TEXT($D53:$D67,"yyyymm")=TEXT(X$8,"yyyymm")) * ($J53:$J67 * $C53:$C67*$G53:$G67*$F53:$F67))),0)</f>
        <v>0</v>
      </c>
      <c r="Y56" s="115" cm="1">
        <f t="array" ref="Y56">IFERROR((SUMPRODUCT((TEXT($O53:$O67,"yyyymm")=TEXT(Y$8,"yyyymm")) * ($U53:$U67 * $N53:$N67*$R53:$R67*$Q53:$Q67)))+(SUMPRODUCT((TEXT($D53:$D67,"yyyymm")=TEXT(Y$8,"yyyymm")) * ($J53:$J67 * $C53:$C67*$G53:$G67*$F53:$F67))),0)</f>
        <v>0</v>
      </c>
      <c r="Z56" s="115" cm="1">
        <f t="array" ref="Z56">IFERROR((SUMPRODUCT((TEXT($O53:$O67,"yyyymm")=TEXT(Z$8,"yyyymm")) * ($U53:$U67 * $N53:$N67*$R53:$R67*$Q53:$Q67)))+(SUMPRODUCT((TEXT($D53:$D67,"yyyymm")=TEXT(Z$8,"yyyymm")) * ($J53:$J67 * $C53:$C67*$G53:$G67*$F53:$F67))),0)</f>
        <v>0</v>
      </c>
      <c r="AA56" s="115" cm="1">
        <f t="array" ref="AA56">IFERROR((SUMPRODUCT((TEXT($O53:$O67,"yyyymm")=TEXT(AA$8,"yyyymm")) * ($U53:$U67 * $N53:$N67*$R53:$R67*$Q53:$Q67)))+(SUMPRODUCT((TEXT($D53:$D67,"yyyymm")=TEXT(AA$8,"yyyymm")) * ($J53:$J67 * $C53:$C67*$G53:$G67*$F53:$F67))),0)</f>
        <v>0</v>
      </c>
      <c r="AB56" s="115" cm="1">
        <f t="array" ref="AB56">IFERROR((SUMPRODUCT((TEXT($O53:$O67,"yyyymm")=TEXT(AB$8,"yyyymm")) * ($U53:$U67 * $N53:$N67*$R53:$R67*$Q53:$Q67)))+(SUMPRODUCT((TEXT($D53:$D67,"yyyymm")=TEXT(AB$8,"yyyymm")) * ($J53:$J67 * $C53:$C67*$G53:$G67*$F53:$F67))),0)</f>
        <v>0</v>
      </c>
      <c r="AC56" s="115" cm="1">
        <f t="array" ref="AC56">IFERROR((SUMPRODUCT((TEXT($O53:$O67,"yyyymm")=TEXT(AC$8,"yyyymm")) * ($U53:$U67 * $N53:$N67*$R53:$R67*$Q53:$Q67)))+(SUMPRODUCT((TEXT($D53:$D67,"yyyymm")=TEXT(AC$8,"yyyymm")) * ($J53:$J67 * $C53:$C67*$G53:$G67*$F53:$F67))),0)</f>
        <v>0</v>
      </c>
      <c r="AD56" s="115" cm="1">
        <f t="array" ref="AD56">IFERROR((SUMPRODUCT((TEXT($O53:$O67,"yyyymm")=TEXT(AD$8,"yyyymm")) * ($U53:$U67 * $N53:$N67*$R53:$R67*$Q53:$Q67)))+(SUMPRODUCT((TEXT($D53:$D67,"yyyymm")=TEXT(AD$8,"yyyymm")) * ($J53:$J67 * $C53:$C67*$G53:$G67*$F53:$F67))),0)</f>
        <v>0</v>
      </c>
      <c r="AE56" s="115" cm="1">
        <f t="array" ref="AE56">IFERROR((SUMPRODUCT((TEXT($O53:$O67,"yyyymm")=TEXT(AE$8,"yyyymm")) * ($U53:$U67 * $N53:$N67*$R53:$R67*$Q53:$Q67)))+(SUMPRODUCT((TEXT($D53:$D67,"yyyymm")=TEXT(AE$8,"yyyymm")) * ($J53:$J67 * $C53:$C67*$G53:$G67*$F53:$F67))),0)</f>
        <v>0</v>
      </c>
      <c r="AF56" s="115" cm="1">
        <f t="array" ref="AF56">IFERROR((SUMPRODUCT((TEXT($O53:$O67,"yyyymm")=TEXT(AF$8,"yyyymm")) * ($U53:$U67 * $N53:$N67*$R53:$R67*$Q53:$Q67)))+(SUMPRODUCT((TEXT($D53:$D67,"yyyymm")=TEXT(AF$8,"yyyymm")) * ($J53:$J67 * $C53:$C67*$G53:$G67*$F53:$F67))),0)</f>
        <v>0</v>
      </c>
      <c r="AG56" s="115" cm="1">
        <f t="array" ref="AG56">IFERROR((SUMPRODUCT((TEXT($O53:$O67,"yyyymm")=TEXT(AG$8,"yyyymm")) * ($U53:$U67 * $N53:$N67*$R53:$R67*$Q53:$Q67)))+(SUMPRODUCT((TEXT($D53:$D67,"yyyymm")=TEXT(AG$8,"yyyymm")) * ($J53:$J67 * $C53:$C67*$G53:$G67*$F53:$F67))),0)</f>
        <v>0</v>
      </c>
      <c r="AH56" s="115" cm="1">
        <f t="array" ref="AH56">IFERROR((SUMPRODUCT((TEXT($O53:$O67,"yyyymm")=TEXT(AH$8,"yyyymm")) * ($U53:$U67 * $N53:$N67*$R53:$R67*$Q53:$Q67)))+(SUMPRODUCT((TEXT($D53:$D67,"yyyymm")=TEXT(AH$8,"yyyymm")) * ($J53:$J67 * $C53:$C67*$G53:$G67*$F53:$F67))),0)</f>
        <v>0</v>
      </c>
      <c r="AI56" s="115" cm="1">
        <f t="array" ref="AI56">IFERROR((SUMPRODUCT((TEXT($O53:$O67,"yyyymm")=TEXT(AI$8,"yyyymm")) * ($U53:$U67 * $N53:$N67*$R53:$R67*$Q53:$Q67)))+(SUMPRODUCT((TEXT($D53:$D67,"yyyymm")=TEXT(AI$8,"yyyymm")) * ($J53:$J67 * $C53:$C67*$G53:$G67*$F53:$F67))),0)</f>
        <v>0</v>
      </c>
      <c r="AJ56" s="133" cm="1">
        <f t="array" ref="AJ56">IFERROR((SUMPRODUCT((TEXT($O53:$O67,"yyyymm")=TEXT(AJ$8,"yyyymm")) * ($U53:$U67 * $N53:$N67*$R53:$R67*$Q53:$Q67)))+(SUMPRODUCT((TEXT($D53:$D67,"yyyymm")=TEXT(AJ$8,"yyyymm")) * ($J53:$J67 * $C53:$C67*$G53:$G67*$F53:$F67))),0)</f>
        <v>0</v>
      </c>
      <c r="AK56" s="115" cm="1">
        <f t="array" ref="AK56">IFERROR((SUMPRODUCT((TEXT($O53:$O67,"yyyymm")=TEXT(AK$8,"yyyymm")) * ($U53:$U67 * $N53:$N67*$R53:$R67*$Q53:$Q67)))+(SUMPRODUCT((TEXT($D53:$D67,"yyyymm")=TEXT(AK$8,"yyyymm")) * ($J53:$J67 * $C53:$C67*$G53:$G67*$F53:$F67))),0)</f>
        <v>0</v>
      </c>
      <c r="AL56" s="115" cm="1">
        <f t="array" ref="AL56">IFERROR((SUMPRODUCT((TEXT($O53:$O67,"yyyymm")=TEXT(AL$8,"yyyymm")) * ($U53:$U67 * $N53:$N67*$R53:$R67*$Q53:$Q67)))+(SUMPRODUCT((TEXT($D53:$D67,"yyyymm")=TEXT(AL$8,"yyyymm")) * ($J53:$J67 * $C53:$C67*$G53:$G67*$F53:$F67))),0)</f>
        <v>0</v>
      </c>
      <c r="AM56" s="115" cm="1">
        <f t="array" ref="AM56">IFERROR((SUMPRODUCT((TEXT($O53:$O67,"yyyymm")=TEXT(AM$8,"yyyymm")) * ($U53:$U67 * $N53:$N67*$R53:$R67*$Q53:$Q67)))+(SUMPRODUCT((TEXT($D53:$D67,"yyyymm")=TEXT(AM$8,"yyyymm")) * ($J53:$J67 * $C53:$C67*$G53:$G67*$F53:$F67))),0)</f>
        <v>0</v>
      </c>
      <c r="AN56" s="115" cm="1">
        <f t="array" ref="AN56">IFERROR((SUMPRODUCT((TEXT($O53:$O67,"yyyymm")=TEXT(AN$8,"yyyymm")) * ($U53:$U67 * $N53:$N67*$R53:$R67*$Q53:$Q67)))+(SUMPRODUCT((TEXT($D53:$D67,"yyyymm")=TEXT(AN$8,"yyyymm")) * ($J53:$J67 * $C53:$C67*$G53:$G67*$F53:$F67))),0)</f>
        <v>0</v>
      </c>
      <c r="AO56" s="115" cm="1">
        <f t="array" ref="AO56">IFERROR((SUMPRODUCT((TEXT($O53:$O67,"yyyymm")=TEXT(AO$8,"yyyymm")) * ($U53:$U67 * $N53:$N67*$R53:$R67*$Q53:$Q67)))+(SUMPRODUCT((TEXT($D53:$D67,"yyyymm")=TEXT(AO$8,"yyyymm")) * ($J53:$J67 * $C53:$C67*$G53:$G67*$F53:$F67))),0)</f>
        <v>0</v>
      </c>
      <c r="AP56" s="115" cm="1">
        <f t="array" ref="AP56">IFERROR((SUMPRODUCT((TEXT($O53:$O67,"yyyymm")=TEXT(AP$8,"yyyymm")) * ($U53:$U67 * $N53:$N67*$R53:$R67*$Q53:$Q67)))+(SUMPRODUCT((TEXT($D53:$D67,"yyyymm")=TEXT(AP$8,"yyyymm")) * ($J53:$J67 * $C53:$C67*$G53:$G67*$F53:$F67))),0)</f>
        <v>0</v>
      </c>
      <c r="AQ56" s="115" cm="1">
        <f t="array" ref="AQ56">IFERROR((SUMPRODUCT((TEXT($O53:$O67,"yyyymm")=TEXT(AQ$8,"yyyymm")) * ($U53:$U67 * $N53:$N67*$R53:$R67*$Q53:$Q67)))+(SUMPRODUCT((TEXT($D53:$D67,"yyyymm")=TEXT(AQ$8,"yyyymm")) * ($J53:$J67 * $C53:$C67*$G53:$G67*$F53:$F67))),0)</f>
        <v>0</v>
      </c>
      <c r="AR56" s="115" cm="1">
        <f t="array" ref="AR56">IFERROR((SUMPRODUCT((TEXT($O53:$O67,"yyyymm")=TEXT(AR$8,"yyyymm")) * ($U53:$U67 * $N53:$N67*$R53:$R67*$Q53:$Q67)))+(SUMPRODUCT((TEXT($D53:$D67,"yyyymm")=TEXT(AR$8,"yyyymm")) * ($J53:$J67 * $C53:$C67*$G53:$G67*$F53:$F67))),0)</f>
        <v>0</v>
      </c>
      <c r="AS56" s="115" cm="1">
        <f t="array" ref="AS56">IFERROR((SUMPRODUCT((TEXT($O53:$O67,"yyyymm")=TEXT(AS$8,"yyyymm")) * ($U53:$U67 * $N53:$N67*$R53:$R67*$Q53:$Q67)))+(SUMPRODUCT((TEXT($D53:$D67,"yyyymm")=TEXT(AS$8,"yyyymm")) * ($J53:$J67 * $C53:$C67*$G53:$G67*$F53:$F67))),0)</f>
        <v>0</v>
      </c>
      <c r="AT56" s="115" cm="1">
        <f t="array" ref="AT56">IFERROR((SUMPRODUCT((TEXT($O53:$O67,"yyyymm")=TEXT(AT$8,"yyyymm")) * ($U53:$U67 * $N53:$N67*$R53:$R67*$Q53:$Q67)))+(SUMPRODUCT((TEXT($D53:$D67,"yyyymm")=TEXT(AT$8,"yyyymm")) * ($J53:$J67 * $C53:$C67*$G53:$G67*$F53:$F67))),0)</f>
        <v>0</v>
      </c>
      <c r="AU56" s="115" cm="1">
        <f t="array" ref="AU56">IFERROR((SUMPRODUCT((TEXT($O53:$O67,"yyyymm")=TEXT(AU$8,"yyyymm")) * ($U53:$U67 * $N53:$N67*$R53:$R67*$Q53:$Q67)))+(SUMPRODUCT((TEXT($D53:$D67,"yyyymm")=TEXT(AU$8,"yyyymm")) * ($J53:$J67 * $C53:$C67*$G53:$G67*$F53:$F67))),0)</f>
        <v>0</v>
      </c>
      <c r="AV56" s="209">
        <f t="shared" si="69"/>
        <v>0</v>
      </c>
      <c r="DB56" s="133">
        <f t="shared" si="67"/>
        <v>0</v>
      </c>
      <c r="DC56" s="132">
        <f t="shared" si="67"/>
        <v>0</v>
      </c>
      <c r="DD56" s="132">
        <f t="shared" si="67"/>
        <v>0</v>
      </c>
      <c r="DE56" s="132">
        <f t="shared" si="67"/>
        <v>0</v>
      </c>
      <c r="DF56" s="132">
        <f t="shared" si="67"/>
        <v>0</v>
      </c>
      <c r="DG56" s="132">
        <f t="shared" si="67"/>
        <v>0</v>
      </c>
      <c r="DH56" s="132">
        <f t="shared" si="67"/>
        <v>0</v>
      </c>
      <c r="DI56" s="132">
        <f t="shared" si="67"/>
        <v>0</v>
      </c>
      <c r="DJ56" s="132">
        <f t="shared" si="67"/>
        <v>0</v>
      </c>
      <c r="DK56" s="132">
        <f t="shared" si="67"/>
        <v>0</v>
      </c>
      <c r="DL56" s="132">
        <f t="shared" si="68"/>
        <v>0</v>
      </c>
      <c r="DM56" s="134">
        <f t="shared" si="68"/>
        <v>0</v>
      </c>
      <c r="DN56" s="115">
        <f t="shared" si="68"/>
        <v>0</v>
      </c>
      <c r="DO56" s="115">
        <f t="shared" si="68"/>
        <v>0</v>
      </c>
      <c r="DP56" s="115">
        <f t="shared" si="68"/>
        <v>0</v>
      </c>
      <c r="DQ56" s="115">
        <f t="shared" si="68"/>
        <v>0</v>
      </c>
      <c r="DR56" s="115">
        <f t="shared" si="68"/>
        <v>0</v>
      </c>
      <c r="DS56" s="115">
        <f t="shared" si="68"/>
        <v>0</v>
      </c>
      <c r="DT56" s="115">
        <f t="shared" si="68"/>
        <v>0</v>
      </c>
      <c r="DU56" s="115">
        <f t="shared" si="68"/>
        <v>0</v>
      </c>
      <c r="DV56" s="115">
        <f t="shared" si="68"/>
        <v>0</v>
      </c>
      <c r="DW56" s="115">
        <f t="shared" si="68"/>
        <v>0</v>
      </c>
      <c r="DX56" s="115">
        <f t="shared" si="68"/>
        <v>0</v>
      </c>
      <c r="DY56" s="115">
        <f t="shared" si="68"/>
        <v>0</v>
      </c>
    </row>
    <row r="57" spans="1:129" ht="17.5" x14ac:dyDescent="0.35">
      <c r="B57" s="6" t="str">
        <f t="shared" si="63"/>
        <v/>
      </c>
      <c r="C57" s="137"/>
      <c r="D57" s="155"/>
      <c r="E57" s="145"/>
      <c r="F57" s="118">
        <f t="shared" si="64"/>
        <v>0</v>
      </c>
      <c r="G57" s="146"/>
      <c r="H57" s="347">
        <f t="shared" si="65"/>
        <v>0</v>
      </c>
      <c r="I57" s="146"/>
      <c r="J57" s="156"/>
      <c r="K57" s="116"/>
      <c r="L57" s="118"/>
      <c r="M57" s="6"/>
      <c r="N57" s="137"/>
      <c r="O57" s="155"/>
      <c r="P57" s="145"/>
      <c r="Q57" s="118">
        <f t="shared" si="61"/>
        <v>0</v>
      </c>
      <c r="R57" s="146"/>
      <c r="S57" s="347">
        <f t="shared" si="66"/>
        <v>0</v>
      </c>
      <c r="T57" s="146"/>
      <c r="U57" s="156"/>
      <c r="W57" s="176" t="s">
        <v>273</v>
      </c>
      <c r="X57" s="90">
        <f t="shared" ref="X57:AU57" si="70">SUM(X54:X56)</f>
        <v>0</v>
      </c>
      <c r="Y57" s="90">
        <f t="shared" si="70"/>
        <v>0</v>
      </c>
      <c r="Z57" s="90">
        <f t="shared" si="70"/>
        <v>0</v>
      </c>
      <c r="AA57" s="90">
        <f t="shared" si="70"/>
        <v>0</v>
      </c>
      <c r="AB57" s="90">
        <f t="shared" si="70"/>
        <v>0</v>
      </c>
      <c r="AC57" s="90">
        <f t="shared" si="70"/>
        <v>0</v>
      </c>
      <c r="AD57" s="90">
        <f t="shared" si="70"/>
        <v>0</v>
      </c>
      <c r="AE57" s="90">
        <f t="shared" si="70"/>
        <v>0</v>
      </c>
      <c r="AF57" s="90">
        <f t="shared" si="70"/>
        <v>0</v>
      </c>
      <c r="AG57" s="90">
        <f t="shared" si="70"/>
        <v>0</v>
      </c>
      <c r="AH57" s="90">
        <f t="shared" si="70"/>
        <v>0</v>
      </c>
      <c r="AI57" s="90">
        <f t="shared" si="70"/>
        <v>0</v>
      </c>
      <c r="AJ57" s="90">
        <f t="shared" si="70"/>
        <v>0</v>
      </c>
      <c r="AK57" s="90">
        <f t="shared" si="70"/>
        <v>0</v>
      </c>
      <c r="AL57" s="90">
        <f t="shared" si="70"/>
        <v>0</v>
      </c>
      <c r="AM57" s="90">
        <f t="shared" si="70"/>
        <v>0</v>
      </c>
      <c r="AN57" s="90">
        <f t="shared" si="70"/>
        <v>0</v>
      </c>
      <c r="AO57" s="90">
        <f t="shared" si="70"/>
        <v>0</v>
      </c>
      <c r="AP57" s="90">
        <f t="shared" si="70"/>
        <v>3200</v>
      </c>
      <c r="AQ57" s="90">
        <f t="shared" si="70"/>
        <v>3200</v>
      </c>
      <c r="AR57" s="90">
        <f t="shared" si="70"/>
        <v>3200</v>
      </c>
      <c r="AS57" s="90">
        <f t="shared" si="70"/>
        <v>3200</v>
      </c>
      <c r="AT57" s="90">
        <f t="shared" si="70"/>
        <v>3200</v>
      </c>
      <c r="AU57" s="177">
        <f t="shared" si="70"/>
        <v>3200</v>
      </c>
      <c r="AV57" s="90">
        <f t="shared" ref="AV57" si="71">SUM(AV54:AV56)</f>
        <v>19200</v>
      </c>
      <c r="DB57" s="133">
        <f t="shared" si="67"/>
        <v>0</v>
      </c>
      <c r="DC57" s="132">
        <f t="shared" si="67"/>
        <v>0</v>
      </c>
      <c r="DD57" s="132">
        <f t="shared" si="67"/>
        <v>0</v>
      </c>
      <c r="DE57" s="132">
        <f t="shared" si="67"/>
        <v>0</v>
      </c>
      <c r="DF57" s="132">
        <f t="shared" si="67"/>
        <v>0</v>
      </c>
      <c r="DG57" s="132">
        <f t="shared" si="67"/>
        <v>0</v>
      </c>
      <c r="DH57" s="132">
        <f t="shared" si="67"/>
        <v>0</v>
      </c>
      <c r="DI57" s="132">
        <f t="shared" si="67"/>
        <v>0</v>
      </c>
      <c r="DJ57" s="132">
        <f t="shared" si="67"/>
        <v>0</v>
      </c>
      <c r="DK57" s="132">
        <f t="shared" si="67"/>
        <v>0</v>
      </c>
      <c r="DL57" s="132">
        <f t="shared" si="68"/>
        <v>0</v>
      </c>
      <c r="DM57" s="134">
        <f t="shared" si="68"/>
        <v>0</v>
      </c>
      <c r="DN57" s="115">
        <f t="shared" si="68"/>
        <v>0</v>
      </c>
      <c r="DO57" s="115">
        <f t="shared" si="68"/>
        <v>0</v>
      </c>
      <c r="DP57" s="115">
        <f t="shared" si="68"/>
        <v>0</v>
      </c>
      <c r="DQ57" s="115">
        <f t="shared" si="68"/>
        <v>0</v>
      </c>
      <c r="DR57" s="115">
        <f t="shared" si="68"/>
        <v>0</v>
      </c>
      <c r="DS57" s="115">
        <f t="shared" si="68"/>
        <v>0</v>
      </c>
      <c r="DT57" s="115">
        <f t="shared" si="68"/>
        <v>0</v>
      </c>
      <c r="DU57" s="115">
        <f t="shared" si="68"/>
        <v>0</v>
      </c>
      <c r="DV57" s="115">
        <f t="shared" si="68"/>
        <v>0</v>
      </c>
      <c r="DW57" s="115">
        <f t="shared" si="68"/>
        <v>0</v>
      </c>
      <c r="DX57" s="115">
        <f t="shared" si="68"/>
        <v>0</v>
      </c>
      <c r="DY57" s="115">
        <f t="shared" si="68"/>
        <v>0</v>
      </c>
    </row>
    <row r="58" spans="1:129" x14ac:dyDescent="0.35">
      <c r="B58" s="6" t="str">
        <f t="shared" si="63"/>
        <v/>
      </c>
      <c r="D58" s="155"/>
      <c r="E58" s="145"/>
      <c r="F58" s="118">
        <f t="shared" si="64"/>
        <v>0</v>
      </c>
      <c r="G58" s="146"/>
      <c r="H58" s="347">
        <f t="shared" si="65"/>
        <v>0</v>
      </c>
      <c r="I58" s="146"/>
      <c r="J58" s="156"/>
      <c r="L58" s="118"/>
      <c r="O58" s="155"/>
      <c r="P58" s="145"/>
      <c r="Q58" s="118">
        <f t="shared" si="61"/>
        <v>0</v>
      </c>
      <c r="R58" s="146"/>
      <c r="S58" s="347">
        <f t="shared" si="66"/>
        <v>0</v>
      </c>
      <c r="T58" s="146"/>
      <c r="U58" s="156"/>
      <c r="DB58" s="133">
        <f t="shared" si="67"/>
        <v>0</v>
      </c>
      <c r="DC58" s="132">
        <f t="shared" si="67"/>
        <v>0</v>
      </c>
      <c r="DD58" s="132">
        <f t="shared" si="67"/>
        <v>0</v>
      </c>
      <c r="DE58" s="132">
        <f t="shared" si="67"/>
        <v>0</v>
      </c>
      <c r="DF58" s="132">
        <f t="shared" si="67"/>
        <v>0</v>
      </c>
      <c r="DG58" s="132">
        <f t="shared" si="67"/>
        <v>0</v>
      </c>
      <c r="DH58" s="132">
        <f t="shared" si="67"/>
        <v>0</v>
      </c>
      <c r="DI58" s="132">
        <f t="shared" si="67"/>
        <v>0</v>
      </c>
      <c r="DJ58" s="132">
        <f t="shared" si="67"/>
        <v>0</v>
      </c>
      <c r="DK58" s="132">
        <f t="shared" si="67"/>
        <v>0</v>
      </c>
      <c r="DL58" s="132">
        <f t="shared" si="68"/>
        <v>0</v>
      </c>
      <c r="DM58" s="134">
        <f t="shared" si="68"/>
        <v>0</v>
      </c>
      <c r="DN58" s="115">
        <f t="shared" si="68"/>
        <v>0</v>
      </c>
      <c r="DO58" s="115">
        <f t="shared" si="68"/>
        <v>0</v>
      </c>
      <c r="DP58" s="115">
        <f t="shared" si="68"/>
        <v>0</v>
      </c>
      <c r="DQ58" s="115">
        <f t="shared" si="68"/>
        <v>0</v>
      </c>
      <c r="DR58" s="115">
        <f t="shared" si="68"/>
        <v>0</v>
      </c>
      <c r="DS58" s="115">
        <f t="shared" si="68"/>
        <v>0</v>
      </c>
      <c r="DT58" s="115">
        <f t="shared" si="68"/>
        <v>0</v>
      </c>
      <c r="DU58" s="115">
        <f t="shared" si="68"/>
        <v>0</v>
      </c>
      <c r="DV58" s="115">
        <f t="shared" si="68"/>
        <v>0</v>
      </c>
      <c r="DW58" s="115">
        <f t="shared" si="68"/>
        <v>0</v>
      </c>
      <c r="DX58" s="115">
        <f t="shared" si="68"/>
        <v>0</v>
      </c>
      <c r="DY58" s="115">
        <f t="shared" si="68"/>
        <v>0</v>
      </c>
    </row>
    <row r="59" spans="1:129" x14ac:dyDescent="0.35">
      <c r="B59" s="6" t="str">
        <f t="shared" si="63"/>
        <v/>
      </c>
      <c r="C59" s="137"/>
      <c r="D59" s="155"/>
      <c r="E59" s="145"/>
      <c r="F59" s="118">
        <f t="shared" si="64"/>
        <v>0</v>
      </c>
      <c r="G59" s="146"/>
      <c r="H59" s="347">
        <f t="shared" si="65"/>
        <v>0</v>
      </c>
      <c r="I59" s="148"/>
      <c r="J59" s="156"/>
      <c r="K59" s="116"/>
      <c r="L59" s="118"/>
      <c r="M59" s="6"/>
      <c r="N59" s="137"/>
      <c r="O59" s="155"/>
      <c r="P59" s="145"/>
      <c r="Q59" s="118">
        <f t="shared" si="61"/>
        <v>0</v>
      </c>
      <c r="R59" s="146"/>
      <c r="S59" s="347">
        <f t="shared" si="66"/>
        <v>0</v>
      </c>
      <c r="T59" s="148"/>
      <c r="U59" s="156"/>
      <c r="W59" s="171" t="s">
        <v>315</v>
      </c>
      <c r="AK59" s="115"/>
      <c r="DB59" s="133">
        <f t="shared" si="67"/>
        <v>0</v>
      </c>
      <c r="DC59" s="132">
        <f t="shared" si="67"/>
        <v>0</v>
      </c>
      <c r="DD59" s="132">
        <f t="shared" si="67"/>
        <v>0</v>
      </c>
      <c r="DE59" s="132">
        <f t="shared" si="67"/>
        <v>0</v>
      </c>
      <c r="DF59" s="132">
        <f t="shared" si="67"/>
        <v>0</v>
      </c>
      <c r="DG59" s="132">
        <f t="shared" si="67"/>
        <v>0</v>
      </c>
      <c r="DH59" s="132">
        <f t="shared" si="67"/>
        <v>0</v>
      </c>
      <c r="DI59" s="132">
        <f t="shared" si="67"/>
        <v>0</v>
      </c>
      <c r="DJ59" s="132">
        <f t="shared" si="67"/>
        <v>0</v>
      </c>
      <c r="DK59" s="132">
        <f t="shared" si="67"/>
        <v>0</v>
      </c>
      <c r="DL59" s="132">
        <f t="shared" si="68"/>
        <v>0</v>
      </c>
      <c r="DM59" s="134">
        <f t="shared" si="68"/>
        <v>0</v>
      </c>
      <c r="DN59" s="115">
        <f t="shared" si="68"/>
        <v>0</v>
      </c>
      <c r="DO59" s="115">
        <f t="shared" si="68"/>
        <v>0</v>
      </c>
      <c r="DP59" s="115">
        <f t="shared" si="68"/>
        <v>0</v>
      </c>
      <c r="DQ59" s="115">
        <f t="shared" si="68"/>
        <v>0</v>
      </c>
      <c r="DR59" s="115">
        <f t="shared" si="68"/>
        <v>0</v>
      </c>
      <c r="DS59" s="115">
        <f t="shared" si="68"/>
        <v>0</v>
      </c>
      <c r="DT59" s="115">
        <f t="shared" si="68"/>
        <v>0</v>
      </c>
      <c r="DU59" s="115">
        <f t="shared" si="68"/>
        <v>0</v>
      </c>
      <c r="DV59" s="115">
        <f t="shared" si="68"/>
        <v>0</v>
      </c>
      <c r="DW59" s="115">
        <f t="shared" si="68"/>
        <v>0</v>
      </c>
      <c r="DX59" s="115">
        <f t="shared" si="68"/>
        <v>0</v>
      </c>
      <c r="DY59" s="115">
        <f t="shared" si="68"/>
        <v>0</v>
      </c>
    </row>
    <row r="60" spans="1:129" x14ac:dyDescent="0.35">
      <c r="B60" s="6" t="str">
        <f>IF(A60&lt;&gt;"","VACANT","")</f>
        <v/>
      </c>
      <c r="C60" s="137"/>
      <c r="D60" s="155"/>
      <c r="E60" s="145"/>
      <c r="F60" s="118">
        <f t="shared" si="64"/>
        <v>0</v>
      </c>
      <c r="G60" s="146"/>
      <c r="H60" s="347">
        <f t="shared" si="65"/>
        <v>0</v>
      </c>
      <c r="I60" s="148"/>
      <c r="J60" s="156"/>
      <c r="K60" s="116"/>
      <c r="L60" s="118"/>
      <c r="M60" s="6"/>
      <c r="N60" s="137"/>
      <c r="O60" s="155"/>
      <c r="P60" s="145"/>
      <c r="Q60" s="118">
        <f t="shared" si="61"/>
        <v>0</v>
      </c>
      <c r="R60" s="146"/>
      <c r="S60" s="347">
        <f t="shared" si="66"/>
        <v>0</v>
      </c>
      <c r="T60" s="148"/>
      <c r="U60" s="156"/>
      <c r="W60" s="171" t="s">
        <v>316</v>
      </c>
      <c r="AK60" s="115"/>
      <c r="DB60" s="133">
        <f t="shared" si="67"/>
        <v>0</v>
      </c>
      <c r="DC60" s="132">
        <f t="shared" si="67"/>
        <v>0</v>
      </c>
      <c r="DD60" s="132">
        <f t="shared" si="67"/>
        <v>0</v>
      </c>
      <c r="DE60" s="132">
        <f t="shared" si="67"/>
        <v>0</v>
      </c>
      <c r="DF60" s="132">
        <f t="shared" si="67"/>
        <v>0</v>
      </c>
      <c r="DG60" s="132">
        <f t="shared" si="67"/>
        <v>0</v>
      </c>
      <c r="DH60" s="132">
        <f t="shared" si="67"/>
        <v>0</v>
      </c>
      <c r="DI60" s="132">
        <f t="shared" si="67"/>
        <v>0</v>
      </c>
      <c r="DJ60" s="132">
        <f t="shared" si="67"/>
        <v>0</v>
      </c>
      <c r="DK60" s="132">
        <f t="shared" si="67"/>
        <v>0</v>
      </c>
      <c r="DL60" s="132">
        <f t="shared" si="68"/>
        <v>0</v>
      </c>
      <c r="DM60" s="134">
        <f t="shared" si="68"/>
        <v>0</v>
      </c>
      <c r="DN60" s="115">
        <f t="shared" si="68"/>
        <v>0</v>
      </c>
      <c r="DO60" s="115">
        <f t="shared" si="68"/>
        <v>0</v>
      </c>
      <c r="DP60" s="115">
        <f t="shared" si="68"/>
        <v>0</v>
      </c>
      <c r="DQ60" s="115">
        <f t="shared" si="68"/>
        <v>0</v>
      </c>
      <c r="DR60" s="115">
        <f t="shared" si="68"/>
        <v>0</v>
      </c>
      <c r="DS60" s="115">
        <f t="shared" si="68"/>
        <v>0</v>
      </c>
      <c r="DT60" s="115">
        <f t="shared" si="68"/>
        <v>0</v>
      </c>
      <c r="DU60" s="115">
        <f t="shared" si="68"/>
        <v>0</v>
      </c>
      <c r="DV60" s="115">
        <f t="shared" si="68"/>
        <v>0</v>
      </c>
      <c r="DW60" s="115">
        <f t="shared" si="68"/>
        <v>0</v>
      </c>
      <c r="DX60" s="115">
        <f t="shared" si="68"/>
        <v>0</v>
      </c>
      <c r="DY60" s="115">
        <f t="shared" si="68"/>
        <v>0</v>
      </c>
    </row>
    <row r="61" spans="1:129" x14ac:dyDescent="0.35">
      <c r="B61" s="6" t="str">
        <f t="shared" si="63"/>
        <v/>
      </c>
      <c r="C61" s="137"/>
      <c r="D61" s="155"/>
      <c r="E61" s="145"/>
      <c r="F61" s="118">
        <f t="shared" si="64"/>
        <v>0</v>
      </c>
      <c r="G61" s="146"/>
      <c r="H61" s="347">
        <f t="shared" si="65"/>
        <v>0</v>
      </c>
      <c r="I61" s="148"/>
      <c r="J61" s="156"/>
      <c r="K61" s="116"/>
      <c r="L61" s="118"/>
      <c r="M61" s="6"/>
      <c r="N61" s="137"/>
      <c r="O61" s="155"/>
      <c r="P61" s="145"/>
      <c r="Q61" s="118">
        <f t="shared" si="61"/>
        <v>0</v>
      </c>
      <c r="R61" s="146"/>
      <c r="S61" s="347">
        <f t="shared" si="66"/>
        <v>0</v>
      </c>
      <c r="T61" s="148"/>
      <c r="U61" s="156"/>
      <c r="AK61" s="115"/>
      <c r="DB61" s="133">
        <f t="shared" si="67"/>
        <v>0</v>
      </c>
      <c r="DC61" s="132">
        <f t="shared" si="67"/>
        <v>0</v>
      </c>
      <c r="DD61" s="132">
        <f t="shared" si="67"/>
        <v>0</v>
      </c>
      <c r="DE61" s="132">
        <f t="shared" si="67"/>
        <v>0</v>
      </c>
      <c r="DF61" s="132">
        <f t="shared" si="67"/>
        <v>0</v>
      </c>
      <c r="DG61" s="132">
        <f t="shared" si="67"/>
        <v>0</v>
      </c>
      <c r="DH61" s="132">
        <f t="shared" si="67"/>
        <v>0</v>
      </c>
      <c r="DI61" s="132">
        <f t="shared" si="67"/>
        <v>0</v>
      </c>
      <c r="DJ61" s="132">
        <f t="shared" si="67"/>
        <v>0</v>
      </c>
      <c r="DK61" s="132">
        <f t="shared" si="67"/>
        <v>0</v>
      </c>
      <c r="DL61" s="132">
        <f t="shared" si="68"/>
        <v>0</v>
      </c>
      <c r="DM61" s="134">
        <f t="shared" si="68"/>
        <v>0</v>
      </c>
      <c r="DN61" s="115">
        <f t="shared" si="68"/>
        <v>0</v>
      </c>
      <c r="DO61" s="115">
        <f t="shared" si="68"/>
        <v>0</v>
      </c>
      <c r="DP61" s="115">
        <f t="shared" si="68"/>
        <v>0</v>
      </c>
      <c r="DQ61" s="115">
        <f t="shared" si="68"/>
        <v>0</v>
      </c>
      <c r="DR61" s="115">
        <f t="shared" si="68"/>
        <v>0</v>
      </c>
      <c r="DS61" s="115">
        <f t="shared" si="68"/>
        <v>0</v>
      </c>
      <c r="DT61" s="115">
        <f t="shared" si="68"/>
        <v>0</v>
      </c>
      <c r="DU61" s="115">
        <f t="shared" si="68"/>
        <v>0</v>
      </c>
      <c r="DV61" s="115">
        <f t="shared" si="68"/>
        <v>0</v>
      </c>
      <c r="DW61" s="115">
        <f t="shared" si="68"/>
        <v>0</v>
      </c>
      <c r="DX61" s="115">
        <f t="shared" si="68"/>
        <v>0</v>
      </c>
      <c r="DY61" s="115">
        <f t="shared" si="68"/>
        <v>0</v>
      </c>
    </row>
    <row r="62" spans="1:129" x14ac:dyDescent="0.35">
      <c r="B62" s="6" t="str">
        <f t="shared" si="63"/>
        <v/>
      </c>
      <c r="C62" s="137"/>
      <c r="D62" s="155"/>
      <c r="E62" s="145"/>
      <c r="F62" s="118">
        <f t="shared" si="64"/>
        <v>0</v>
      </c>
      <c r="G62" s="146"/>
      <c r="H62" s="347">
        <f t="shared" si="65"/>
        <v>0</v>
      </c>
      <c r="I62" s="148"/>
      <c r="J62" s="156"/>
      <c r="K62" s="116"/>
      <c r="L62" s="118"/>
      <c r="M62" s="6"/>
      <c r="N62" s="137"/>
      <c r="O62" s="155"/>
      <c r="P62" s="145"/>
      <c r="Q62" s="118">
        <f t="shared" si="61"/>
        <v>0</v>
      </c>
      <c r="R62" s="146"/>
      <c r="S62" s="347">
        <f t="shared" si="66"/>
        <v>0</v>
      </c>
      <c r="T62" s="148"/>
      <c r="U62" s="156"/>
      <c r="AP62" s="115"/>
      <c r="DB62" s="133">
        <f t="shared" si="67"/>
        <v>0</v>
      </c>
      <c r="DC62" s="132">
        <f t="shared" si="67"/>
        <v>0</v>
      </c>
      <c r="DD62" s="132">
        <f t="shared" si="67"/>
        <v>0</v>
      </c>
      <c r="DE62" s="132">
        <f t="shared" si="67"/>
        <v>0</v>
      </c>
      <c r="DF62" s="132">
        <f t="shared" si="67"/>
        <v>0</v>
      </c>
      <c r="DG62" s="132">
        <f t="shared" si="67"/>
        <v>0</v>
      </c>
      <c r="DH62" s="132">
        <f t="shared" si="67"/>
        <v>0</v>
      </c>
      <c r="DI62" s="132">
        <f t="shared" si="67"/>
        <v>0</v>
      </c>
      <c r="DJ62" s="132">
        <f t="shared" si="67"/>
        <v>0</v>
      </c>
      <c r="DK62" s="132">
        <f t="shared" si="67"/>
        <v>0</v>
      </c>
      <c r="DL62" s="132">
        <f t="shared" si="68"/>
        <v>0</v>
      </c>
      <c r="DM62" s="134">
        <f t="shared" si="68"/>
        <v>0</v>
      </c>
      <c r="DN62" s="115">
        <f t="shared" si="68"/>
        <v>0</v>
      </c>
      <c r="DO62" s="115">
        <f t="shared" si="68"/>
        <v>0</v>
      </c>
      <c r="DP62" s="115">
        <f t="shared" si="68"/>
        <v>0</v>
      </c>
      <c r="DQ62" s="115">
        <f t="shared" si="68"/>
        <v>0</v>
      </c>
      <c r="DR62" s="115">
        <f t="shared" si="68"/>
        <v>0</v>
      </c>
      <c r="DS62" s="115">
        <f t="shared" si="68"/>
        <v>0</v>
      </c>
      <c r="DT62" s="115">
        <f t="shared" si="68"/>
        <v>0</v>
      </c>
      <c r="DU62" s="115">
        <f t="shared" si="68"/>
        <v>0</v>
      </c>
      <c r="DV62" s="115">
        <f t="shared" si="68"/>
        <v>0</v>
      </c>
      <c r="DW62" s="115">
        <f t="shared" si="68"/>
        <v>0</v>
      </c>
      <c r="DX62" s="115">
        <f t="shared" si="68"/>
        <v>0</v>
      </c>
      <c r="DY62" s="115">
        <f t="shared" si="68"/>
        <v>0</v>
      </c>
    </row>
    <row r="63" spans="1:129" x14ac:dyDescent="0.35">
      <c r="B63" s="6" t="str">
        <f t="shared" si="63"/>
        <v/>
      </c>
      <c r="C63" s="137"/>
      <c r="D63" s="155"/>
      <c r="E63" s="145"/>
      <c r="F63" s="118">
        <f t="shared" si="64"/>
        <v>0</v>
      </c>
      <c r="G63" s="146"/>
      <c r="H63" s="347">
        <f t="shared" si="65"/>
        <v>0</v>
      </c>
      <c r="I63" s="148"/>
      <c r="J63" s="156"/>
      <c r="K63" s="116"/>
      <c r="L63" s="118"/>
      <c r="M63" s="6"/>
      <c r="N63" s="137"/>
      <c r="O63" s="155"/>
      <c r="P63" s="145"/>
      <c r="Q63" s="118">
        <f t="shared" si="61"/>
        <v>0</v>
      </c>
      <c r="R63" s="146"/>
      <c r="S63" s="347">
        <f t="shared" si="66"/>
        <v>0</v>
      </c>
      <c r="T63" s="148"/>
      <c r="U63" s="156"/>
      <c r="DB63" s="133">
        <f t="shared" si="67"/>
        <v>0</v>
      </c>
      <c r="DC63" s="132">
        <f t="shared" si="67"/>
        <v>0</v>
      </c>
      <c r="DD63" s="132">
        <f t="shared" si="67"/>
        <v>0</v>
      </c>
      <c r="DE63" s="132">
        <f t="shared" si="67"/>
        <v>0</v>
      </c>
      <c r="DF63" s="132">
        <f t="shared" si="67"/>
        <v>0</v>
      </c>
      <c r="DG63" s="132">
        <f t="shared" si="67"/>
        <v>0</v>
      </c>
      <c r="DH63" s="132">
        <f t="shared" si="67"/>
        <v>0</v>
      </c>
      <c r="DI63" s="132">
        <f t="shared" si="67"/>
        <v>0</v>
      </c>
      <c r="DJ63" s="132">
        <f t="shared" si="67"/>
        <v>0</v>
      </c>
      <c r="DK63" s="132">
        <f t="shared" si="67"/>
        <v>0</v>
      </c>
      <c r="DL63" s="132">
        <f t="shared" si="68"/>
        <v>0</v>
      </c>
      <c r="DM63" s="134">
        <f t="shared" si="68"/>
        <v>0</v>
      </c>
      <c r="DN63" s="115">
        <f t="shared" si="68"/>
        <v>0</v>
      </c>
      <c r="DO63" s="115">
        <f t="shared" si="68"/>
        <v>0</v>
      </c>
      <c r="DP63" s="115">
        <f t="shared" si="68"/>
        <v>0</v>
      </c>
      <c r="DQ63" s="115">
        <f t="shared" si="68"/>
        <v>0</v>
      </c>
      <c r="DR63" s="115">
        <f t="shared" si="68"/>
        <v>0</v>
      </c>
      <c r="DS63" s="115">
        <f t="shared" si="68"/>
        <v>0</v>
      </c>
      <c r="DT63" s="115">
        <f t="shared" si="68"/>
        <v>0</v>
      </c>
      <c r="DU63" s="115">
        <f t="shared" si="68"/>
        <v>0</v>
      </c>
      <c r="DV63" s="115">
        <f t="shared" si="68"/>
        <v>0</v>
      </c>
      <c r="DW63" s="115">
        <f t="shared" si="68"/>
        <v>0</v>
      </c>
      <c r="DX63" s="115">
        <f t="shared" si="68"/>
        <v>0</v>
      </c>
      <c r="DY63" s="115">
        <f t="shared" si="68"/>
        <v>0</v>
      </c>
    </row>
    <row r="64" spans="1:129" x14ac:dyDescent="0.35">
      <c r="B64" s="6" t="str">
        <f t="shared" si="63"/>
        <v/>
      </c>
      <c r="C64" s="137"/>
      <c r="D64" s="155"/>
      <c r="E64" s="145"/>
      <c r="F64" s="118">
        <f t="shared" si="64"/>
        <v>0</v>
      </c>
      <c r="G64" s="146"/>
      <c r="H64" s="347">
        <f t="shared" si="65"/>
        <v>0</v>
      </c>
      <c r="I64" s="146"/>
      <c r="J64" s="156"/>
      <c r="K64" s="116"/>
      <c r="L64" s="118"/>
      <c r="M64" s="6"/>
      <c r="N64" s="137"/>
      <c r="O64" s="155"/>
      <c r="P64" s="145"/>
      <c r="Q64" s="118">
        <f t="shared" si="61"/>
        <v>0</v>
      </c>
      <c r="R64" s="146"/>
      <c r="S64" s="347">
        <f t="shared" si="66"/>
        <v>0</v>
      </c>
      <c r="T64" s="146"/>
      <c r="U64" s="156"/>
      <c r="DB64" s="133">
        <f t="shared" si="67"/>
        <v>0</v>
      </c>
      <c r="DC64" s="132">
        <f t="shared" si="67"/>
        <v>0</v>
      </c>
      <c r="DD64" s="132">
        <f t="shared" si="67"/>
        <v>0</v>
      </c>
      <c r="DE64" s="132">
        <f t="shared" si="67"/>
        <v>0</v>
      </c>
      <c r="DF64" s="132">
        <f t="shared" si="67"/>
        <v>0</v>
      </c>
      <c r="DG64" s="132">
        <f t="shared" si="67"/>
        <v>0</v>
      </c>
      <c r="DH64" s="132">
        <f t="shared" si="67"/>
        <v>0</v>
      </c>
      <c r="DI64" s="132">
        <f t="shared" si="67"/>
        <v>0</v>
      </c>
      <c r="DJ64" s="132">
        <f t="shared" si="67"/>
        <v>0</v>
      </c>
      <c r="DK64" s="132">
        <f t="shared" si="67"/>
        <v>0</v>
      </c>
      <c r="DL64" s="132">
        <f t="shared" si="68"/>
        <v>0</v>
      </c>
      <c r="DM64" s="134">
        <f t="shared" si="68"/>
        <v>0</v>
      </c>
      <c r="DN64" s="115">
        <f t="shared" si="68"/>
        <v>0</v>
      </c>
      <c r="DO64" s="115">
        <f t="shared" si="68"/>
        <v>0</v>
      </c>
      <c r="DP64" s="115">
        <f t="shared" si="68"/>
        <v>0</v>
      </c>
      <c r="DQ64" s="115">
        <f t="shared" si="68"/>
        <v>0</v>
      </c>
      <c r="DR64" s="115">
        <f t="shared" si="68"/>
        <v>0</v>
      </c>
      <c r="DS64" s="115">
        <f t="shared" si="68"/>
        <v>0</v>
      </c>
      <c r="DT64" s="115">
        <f t="shared" si="68"/>
        <v>0</v>
      </c>
      <c r="DU64" s="115">
        <f t="shared" si="68"/>
        <v>0</v>
      </c>
      <c r="DV64" s="115">
        <f t="shared" si="68"/>
        <v>0</v>
      </c>
      <c r="DW64" s="115">
        <f t="shared" si="68"/>
        <v>0</v>
      </c>
      <c r="DX64" s="115">
        <f t="shared" si="68"/>
        <v>0</v>
      </c>
      <c r="DY64" s="115">
        <f t="shared" si="68"/>
        <v>0</v>
      </c>
    </row>
    <row r="65" spans="1:129" x14ac:dyDescent="0.35">
      <c r="B65" s="6" t="str">
        <f>IF(A65&lt;&gt;"","VACANT","")</f>
        <v/>
      </c>
      <c r="C65" s="137"/>
      <c r="D65" s="155"/>
      <c r="E65" s="145"/>
      <c r="F65" s="118">
        <f t="shared" si="64"/>
        <v>0</v>
      </c>
      <c r="G65" s="146"/>
      <c r="H65" s="347">
        <f t="shared" si="65"/>
        <v>0</v>
      </c>
      <c r="I65" s="146"/>
      <c r="J65" s="156"/>
      <c r="K65" s="116"/>
      <c r="L65" s="118"/>
      <c r="M65" s="6"/>
      <c r="N65" s="137"/>
      <c r="O65" s="155"/>
      <c r="P65" s="145"/>
      <c r="Q65" s="118">
        <f t="shared" si="61"/>
        <v>0</v>
      </c>
      <c r="R65" s="146"/>
      <c r="S65" s="347">
        <f t="shared" si="66"/>
        <v>0</v>
      </c>
      <c r="T65" s="146"/>
      <c r="U65" s="156"/>
      <c r="DB65" s="133">
        <f t="shared" si="67"/>
        <v>0</v>
      </c>
      <c r="DC65" s="132">
        <f t="shared" si="67"/>
        <v>0</v>
      </c>
      <c r="DD65" s="132">
        <f t="shared" si="67"/>
        <v>0</v>
      </c>
      <c r="DE65" s="132">
        <f t="shared" si="67"/>
        <v>0</v>
      </c>
      <c r="DF65" s="132">
        <f t="shared" si="67"/>
        <v>0</v>
      </c>
      <c r="DG65" s="132">
        <f t="shared" si="67"/>
        <v>0</v>
      </c>
      <c r="DH65" s="132">
        <f t="shared" si="67"/>
        <v>0</v>
      </c>
      <c r="DI65" s="132">
        <f t="shared" si="67"/>
        <v>0</v>
      </c>
      <c r="DJ65" s="132">
        <f t="shared" si="67"/>
        <v>0</v>
      </c>
      <c r="DK65" s="132">
        <f t="shared" si="67"/>
        <v>0</v>
      </c>
      <c r="DL65" s="132">
        <f t="shared" si="68"/>
        <v>0</v>
      </c>
      <c r="DM65" s="134">
        <f t="shared" si="68"/>
        <v>0</v>
      </c>
      <c r="DN65" s="115">
        <f t="shared" si="68"/>
        <v>0</v>
      </c>
      <c r="DO65" s="115">
        <f t="shared" si="68"/>
        <v>0</v>
      </c>
      <c r="DP65" s="115">
        <f t="shared" si="68"/>
        <v>0</v>
      </c>
      <c r="DQ65" s="115">
        <f t="shared" si="68"/>
        <v>0</v>
      </c>
      <c r="DR65" s="115">
        <f t="shared" si="68"/>
        <v>0</v>
      </c>
      <c r="DS65" s="115">
        <f t="shared" si="68"/>
        <v>0</v>
      </c>
      <c r="DT65" s="115">
        <f t="shared" si="68"/>
        <v>0</v>
      </c>
      <c r="DU65" s="115">
        <f t="shared" si="68"/>
        <v>0</v>
      </c>
      <c r="DV65" s="115">
        <f t="shared" si="68"/>
        <v>0</v>
      </c>
      <c r="DW65" s="115">
        <f t="shared" si="68"/>
        <v>0</v>
      </c>
      <c r="DX65" s="115">
        <f t="shared" si="68"/>
        <v>0</v>
      </c>
      <c r="DY65" s="115">
        <f t="shared" si="68"/>
        <v>0</v>
      </c>
    </row>
    <row r="66" spans="1:129" x14ac:dyDescent="0.35">
      <c r="B66" s="6" t="str">
        <f t="shared" si="63"/>
        <v/>
      </c>
      <c r="C66" s="137"/>
      <c r="D66" s="155"/>
      <c r="E66" s="145"/>
      <c r="F66" s="118">
        <f t="shared" si="64"/>
        <v>0</v>
      </c>
      <c r="G66" s="146"/>
      <c r="H66" s="347">
        <f t="shared" si="65"/>
        <v>0</v>
      </c>
      <c r="I66" s="146"/>
      <c r="J66" s="156"/>
      <c r="K66" s="116"/>
      <c r="L66" s="118"/>
      <c r="M66" s="6"/>
      <c r="N66" s="137"/>
      <c r="O66" s="155"/>
      <c r="P66" s="145"/>
      <c r="Q66" s="118">
        <f t="shared" si="61"/>
        <v>0</v>
      </c>
      <c r="R66" s="146"/>
      <c r="S66" s="347">
        <f t="shared" si="66"/>
        <v>0</v>
      </c>
      <c r="T66" s="146"/>
      <c r="U66" s="156"/>
      <c r="DB66" s="133">
        <f t="shared" si="67"/>
        <v>0</v>
      </c>
      <c r="DC66" s="132">
        <f t="shared" si="67"/>
        <v>0</v>
      </c>
      <c r="DD66" s="132">
        <f t="shared" si="67"/>
        <v>0</v>
      </c>
      <c r="DE66" s="132">
        <f t="shared" si="67"/>
        <v>0</v>
      </c>
      <c r="DF66" s="132">
        <f t="shared" si="67"/>
        <v>0</v>
      </c>
      <c r="DG66" s="132">
        <f t="shared" si="67"/>
        <v>0</v>
      </c>
      <c r="DH66" s="132">
        <f t="shared" si="67"/>
        <v>0</v>
      </c>
      <c r="DI66" s="132">
        <f t="shared" si="67"/>
        <v>0</v>
      </c>
      <c r="DJ66" s="132">
        <f t="shared" si="67"/>
        <v>0</v>
      </c>
      <c r="DK66" s="132">
        <f t="shared" si="67"/>
        <v>0</v>
      </c>
      <c r="DL66" s="132">
        <f t="shared" si="68"/>
        <v>0</v>
      </c>
      <c r="DM66" s="134">
        <f t="shared" si="68"/>
        <v>0</v>
      </c>
      <c r="DN66" s="115">
        <f t="shared" si="68"/>
        <v>0</v>
      </c>
      <c r="DO66" s="115">
        <f t="shared" si="68"/>
        <v>0</v>
      </c>
      <c r="DP66" s="115">
        <f t="shared" si="68"/>
        <v>0</v>
      </c>
      <c r="DQ66" s="115">
        <f t="shared" si="68"/>
        <v>0</v>
      </c>
      <c r="DR66" s="115">
        <f t="shared" si="68"/>
        <v>0</v>
      </c>
      <c r="DS66" s="115">
        <f t="shared" si="68"/>
        <v>0</v>
      </c>
      <c r="DT66" s="115">
        <f t="shared" si="68"/>
        <v>0</v>
      </c>
      <c r="DU66" s="115">
        <f t="shared" si="68"/>
        <v>0</v>
      </c>
      <c r="DV66" s="115">
        <f t="shared" si="68"/>
        <v>0</v>
      </c>
      <c r="DW66" s="115">
        <f t="shared" si="68"/>
        <v>0</v>
      </c>
      <c r="DX66" s="115">
        <f t="shared" si="68"/>
        <v>0</v>
      </c>
      <c r="DY66" s="115">
        <f t="shared" si="68"/>
        <v>0</v>
      </c>
    </row>
    <row r="67" spans="1:129" x14ac:dyDescent="0.35">
      <c r="A67" s="129"/>
      <c r="B67" s="15" t="str">
        <f t="shared" si="63"/>
        <v/>
      </c>
      <c r="C67" s="138"/>
      <c r="D67" s="157"/>
      <c r="E67" s="149"/>
      <c r="F67" s="129">
        <f t="shared" si="64"/>
        <v>0</v>
      </c>
      <c r="G67" s="150"/>
      <c r="H67" s="348">
        <f t="shared" si="65"/>
        <v>0</v>
      </c>
      <c r="I67" s="150"/>
      <c r="J67" s="158"/>
      <c r="K67" s="116"/>
      <c r="L67" s="129"/>
      <c r="M67" s="15"/>
      <c r="N67" s="138"/>
      <c r="O67" s="157"/>
      <c r="P67" s="149"/>
      <c r="Q67" s="129">
        <f t="shared" si="61"/>
        <v>0</v>
      </c>
      <c r="R67" s="150"/>
      <c r="S67" s="348">
        <f t="shared" si="66"/>
        <v>0</v>
      </c>
      <c r="T67" s="150"/>
      <c r="U67" s="158"/>
      <c r="DB67" s="133">
        <f t="shared" si="67"/>
        <v>0</v>
      </c>
      <c r="DC67" s="132">
        <f t="shared" si="67"/>
        <v>0</v>
      </c>
      <c r="DD67" s="132">
        <f t="shared" si="67"/>
        <v>0</v>
      </c>
      <c r="DE67" s="132">
        <f t="shared" si="67"/>
        <v>0</v>
      </c>
      <c r="DF67" s="132">
        <f t="shared" si="67"/>
        <v>0</v>
      </c>
      <c r="DG67" s="132">
        <f t="shared" si="67"/>
        <v>0</v>
      </c>
      <c r="DH67" s="132">
        <f t="shared" si="67"/>
        <v>0</v>
      </c>
      <c r="DI67" s="132">
        <f t="shared" si="67"/>
        <v>0</v>
      </c>
      <c r="DJ67" s="132">
        <f t="shared" si="67"/>
        <v>0</v>
      </c>
      <c r="DK67" s="132">
        <f t="shared" si="67"/>
        <v>0</v>
      </c>
      <c r="DL67" s="132">
        <f t="shared" si="68"/>
        <v>0</v>
      </c>
      <c r="DM67" s="134">
        <f t="shared" si="68"/>
        <v>0</v>
      </c>
      <c r="DN67" s="115">
        <f t="shared" si="68"/>
        <v>0</v>
      </c>
      <c r="DO67" s="115">
        <f t="shared" si="68"/>
        <v>0</v>
      </c>
      <c r="DP67" s="115">
        <f t="shared" si="68"/>
        <v>0</v>
      </c>
      <c r="DQ67" s="115">
        <f t="shared" si="68"/>
        <v>0</v>
      </c>
      <c r="DR67" s="115">
        <f t="shared" si="68"/>
        <v>0</v>
      </c>
      <c r="DS67" s="115">
        <f t="shared" si="68"/>
        <v>0</v>
      </c>
      <c r="DT67" s="115">
        <f t="shared" si="68"/>
        <v>0</v>
      </c>
      <c r="DU67" s="115">
        <f t="shared" si="68"/>
        <v>0</v>
      </c>
      <c r="DV67" s="115">
        <f t="shared" si="68"/>
        <v>0</v>
      </c>
      <c r="DW67" s="115">
        <f t="shared" si="68"/>
        <v>0</v>
      </c>
      <c r="DX67" s="115">
        <f t="shared" si="68"/>
        <v>0</v>
      </c>
      <c r="DY67" s="115">
        <f t="shared" si="68"/>
        <v>0</v>
      </c>
    </row>
    <row r="68" spans="1:129" ht="16.5" thickBot="1" x14ac:dyDescent="0.35">
      <c r="A68" s="117"/>
      <c r="B68" s="16" t="s">
        <v>301</v>
      </c>
      <c r="C68" s="139">
        <f>SUM(C53:C67)</f>
        <v>0</v>
      </c>
      <c r="D68" s="125"/>
      <c r="E68" s="125"/>
      <c r="F68" s="135"/>
      <c r="G68" s="126"/>
      <c r="H68" s="126"/>
      <c r="I68" s="126"/>
      <c r="J68" s="127"/>
      <c r="K68" s="116"/>
      <c r="L68" s="117"/>
      <c r="M68" s="16" t="s">
        <v>304</v>
      </c>
      <c r="N68" s="139">
        <f>SUM(N53:N67)</f>
        <v>1280</v>
      </c>
      <c r="O68" s="125"/>
      <c r="P68" s="125"/>
      <c r="Q68" s="135"/>
      <c r="R68" s="126"/>
      <c r="S68" s="126"/>
      <c r="T68" s="126"/>
      <c r="U68" s="127"/>
      <c r="DB68" s="122">
        <f>SUM(DB53:DB67)</f>
        <v>0</v>
      </c>
      <c r="DC68" s="122">
        <f t="shared" ref="DC68:DY68" si="72">SUM(DC53:DC67)</f>
        <v>0</v>
      </c>
      <c r="DD68" s="122">
        <f t="shared" si="72"/>
        <v>0</v>
      </c>
      <c r="DE68" s="122">
        <f t="shared" si="72"/>
        <v>0</v>
      </c>
      <c r="DF68" s="122">
        <f t="shared" si="72"/>
        <v>0</v>
      </c>
      <c r="DG68" s="122">
        <f t="shared" si="72"/>
        <v>0</v>
      </c>
      <c r="DH68" s="122">
        <f t="shared" si="72"/>
        <v>0</v>
      </c>
      <c r="DI68" s="122">
        <f t="shared" si="72"/>
        <v>0</v>
      </c>
      <c r="DJ68" s="122">
        <f t="shared" si="72"/>
        <v>0</v>
      </c>
      <c r="DK68" s="122">
        <f t="shared" si="72"/>
        <v>0</v>
      </c>
      <c r="DL68" s="122">
        <f t="shared" si="72"/>
        <v>0</v>
      </c>
      <c r="DM68" s="122">
        <f t="shared" si="72"/>
        <v>0</v>
      </c>
      <c r="DN68" s="122">
        <f t="shared" si="72"/>
        <v>0</v>
      </c>
      <c r="DO68" s="122">
        <f t="shared" si="72"/>
        <v>0</v>
      </c>
      <c r="DP68" s="122">
        <f t="shared" si="72"/>
        <v>0</v>
      </c>
      <c r="DQ68" s="122">
        <f t="shared" si="72"/>
        <v>0</v>
      </c>
      <c r="DR68" s="122">
        <f t="shared" si="72"/>
        <v>0</v>
      </c>
      <c r="DS68" s="122">
        <f t="shared" si="72"/>
        <v>0</v>
      </c>
      <c r="DT68" s="122">
        <f t="shared" si="72"/>
        <v>0</v>
      </c>
      <c r="DU68" s="122">
        <f t="shared" si="72"/>
        <v>0</v>
      </c>
      <c r="DV68" s="122">
        <f t="shared" si="72"/>
        <v>0</v>
      </c>
      <c r="DW68" s="122">
        <f t="shared" si="72"/>
        <v>0</v>
      </c>
      <c r="DX68" s="122">
        <f t="shared" si="72"/>
        <v>0</v>
      </c>
      <c r="DY68" s="122">
        <f t="shared" si="72"/>
        <v>0</v>
      </c>
    </row>
    <row r="69" spans="1:129" s="179" customFormat="1" ht="18.5" thickTop="1" thickBot="1" x14ac:dyDescent="0.3">
      <c r="A69" s="178"/>
      <c r="F69" s="178"/>
      <c r="K69" s="180"/>
      <c r="AK69" s="180"/>
      <c r="DB69" s="418"/>
      <c r="DC69" s="418"/>
      <c r="DD69" s="418"/>
      <c r="DE69" s="418"/>
      <c r="DF69" s="418"/>
      <c r="DG69" s="418"/>
      <c r="DH69" s="418"/>
      <c r="DI69" s="418"/>
      <c r="DJ69" s="418"/>
      <c r="DK69" s="418"/>
      <c r="DL69" s="418"/>
      <c r="DM69" s="418"/>
    </row>
    <row r="70" spans="1:129" x14ac:dyDescent="0.35">
      <c r="A70" s="114"/>
      <c r="F70" s="114"/>
      <c r="K70" s="118"/>
      <c r="DB70" s="160">
        <f t="shared" ref="DB70:DY70" si="73">DB$8</f>
        <v>45658</v>
      </c>
      <c r="DC70" s="5">
        <f t="shared" si="73"/>
        <v>45689</v>
      </c>
      <c r="DD70" s="5">
        <f t="shared" si="73"/>
        <v>45717</v>
      </c>
      <c r="DE70" s="5">
        <f t="shared" si="73"/>
        <v>45748</v>
      </c>
      <c r="DF70" s="5">
        <f t="shared" si="73"/>
        <v>45778</v>
      </c>
      <c r="DG70" s="5">
        <f t="shared" si="73"/>
        <v>45809</v>
      </c>
      <c r="DH70" s="5">
        <f t="shared" si="73"/>
        <v>45839</v>
      </c>
      <c r="DI70" s="5">
        <f t="shared" si="73"/>
        <v>45870</v>
      </c>
      <c r="DJ70" s="5">
        <f t="shared" si="73"/>
        <v>45901</v>
      </c>
      <c r="DK70" s="5">
        <f t="shared" si="73"/>
        <v>45931</v>
      </c>
      <c r="DL70" s="5">
        <f t="shared" si="73"/>
        <v>45962</v>
      </c>
      <c r="DM70" s="161">
        <f t="shared" si="73"/>
        <v>45992</v>
      </c>
      <c r="DN70" s="5">
        <f t="shared" si="73"/>
        <v>46023</v>
      </c>
      <c r="DO70" s="5">
        <f t="shared" si="73"/>
        <v>46054</v>
      </c>
      <c r="DP70" s="5">
        <f t="shared" si="73"/>
        <v>46082</v>
      </c>
      <c r="DQ70" s="5">
        <f t="shared" si="73"/>
        <v>46113</v>
      </c>
      <c r="DR70" s="5">
        <f t="shared" si="73"/>
        <v>46143</v>
      </c>
      <c r="DS70" s="5">
        <f t="shared" si="73"/>
        <v>46174</v>
      </c>
      <c r="DT70" s="5">
        <f t="shared" si="73"/>
        <v>46204</v>
      </c>
      <c r="DU70" s="5">
        <f t="shared" si="73"/>
        <v>46235</v>
      </c>
      <c r="DV70" s="5">
        <f t="shared" si="73"/>
        <v>46266</v>
      </c>
      <c r="DW70" s="5">
        <f t="shared" si="73"/>
        <v>46296</v>
      </c>
      <c r="DX70" s="5">
        <f t="shared" si="73"/>
        <v>46327</v>
      </c>
      <c r="DY70" s="5">
        <f t="shared" si="73"/>
        <v>46357</v>
      </c>
    </row>
    <row r="71" spans="1:129" ht="18" x14ac:dyDescent="0.35">
      <c r="A71" s="143">
        <f>'4500'!B1</f>
        <v>4500</v>
      </c>
      <c r="B71" s="6"/>
      <c r="C71" s="119"/>
      <c r="D71" s="117"/>
      <c r="E71" s="117"/>
      <c r="F71" s="117"/>
      <c r="G71" s="117"/>
      <c r="I71" s="117"/>
      <c r="J71" s="117"/>
      <c r="K71" s="117"/>
    </row>
    <row r="72" spans="1:129" ht="17.5" x14ac:dyDescent="0.25">
      <c r="A72" s="181">
        <f>'4500'!B4</f>
        <v>82809</v>
      </c>
      <c r="B72" s="182">
        <f>(A72-C90)/A72</f>
        <v>0.97101764300981774</v>
      </c>
      <c r="D72" s="183" t="str">
        <f>"Vacancies - "&amp;A71</f>
        <v>Vacancies - 4500</v>
      </c>
      <c r="E72" s="153"/>
      <c r="F72" s="153"/>
      <c r="G72" s="153"/>
      <c r="H72" s="153"/>
      <c r="I72" s="153"/>
      <c r="J72" s="152"/>
      <c r="K72" s="117"/>
      <c r="O72" s="183" t="str">
        <f>"Renewals - "&amp;A71</f>
        <v>Renewals - 4500</v>
      </c>
      <c r="P72" s="153"/>
      <c r="Q72" s="153"/>
      <c r="R72" s="153"/>
      <c r="S72" s="153"/>
      <c r="T72" s="153"/>
      <c r="U72" s="152"/>
    </row>
    <row r="73" spans="1:129" ht="18" x14ac:dyDescent="0.25">
      <c r="A73" s="114"/>
      <c r="D73" s="414" t="s">
        <v>306</v>
      </c>
      <c r="E73" s="415"/>
      <c r="F73" s="415"/>
      <c r="G73" s="415"/>
      <c r="H73" s="415"/>
      <c r="I73" s="415"/>
      <c r="J73" s="416"/>
      <c r="O73" s="414" t="s">
        <v>306</v>
      </c>
      <c r="P73" s="415"/>
      <c r="Q73" s="415"/>
      <c r="R73" s="415"/>
      <c r="S73" s="415"/>
      <c r="T73" s="415"/>
      <c r="U73" s="416"/>
      <c r="W73" s="142">
        <f>A71</f>
        <v>4500</v>
      </c>
      <c r="X73" s="417">
        <v>2025</v>
      </c>
      <c r="Y73" s="417"/>
      <c r="Z73" s="417"/>
      <c r="AA73" s="417"/>
      <c r="AB73" s="417"/>
      <c r="AC73" s="417"/>
      <c r="AD73" s="417"/>
      <c r="AE73" s="417"/>
      <c r="AF73" s="417"/>
      <c r="AG73" s="417"/>
      <c r="AH73" s="417"/>
      <c r="AI73" s="417"/>
      <c r="AJ73" s="417">
        <f>X73+1</f>
        <v>2026</v>
      </c>
      <c r="AK73" s="417"/>
      <c r="AL73" s="417"/>
      <c r="AM73" s="417"/>
      <c r="AN73" s="417"/>
      <c r="AO73" s="417"/>
      <c r="AP73" s="417"/>
      <c r="AQ73" s="417"/>
      <c r="AR73" s="417"/>
      <c r="AS73" s="417"/>
      <c r="AT73" s="417"/>
      <c r="AU73" s="417"/>
      <c r="DB73" s="412" t="str">
        <f>+$DB$7</f>
        <v>2025</v>
      </c>
      <c r="DC73" s="412"/>
      <c r="DD73" s="412"/>
      <c r="DE73" s="412"/>
      <c r="DF73" s="412"/>
      <c r="DG73" s="412"/>
      <c r="DH73" s="412"/>
      <c r="DI73" s="412"/>
      <c r="DJ73" s="412"/>
      <c r="DK73" s="412"/>
      <c r="DL73" s="412"/>
      <c r="DM73" s="412"/>
      <c r="DN73" s="412" t="str">
        <f>+$DN$7</f>
        <v>2026</v>
      </c>
      <c r="DO73" s="412"/>
      <c r="DP73" s="412"/>
      <c r="DQ73" s="412"/>
      <c r="DR73" s="412"/>
      <c r="DS73" s="412"/>
      <c r="DT73" s="412"/>
      <c r="DU73" s="412"/>
      <c r="DV73" s="412"/>
      <c r="DW73" s="412"/>
      <c r="DX73" s="412"/>
      <c r="DY73" s="412"/>
    </row>
    <row r="74" spans="1:129" x14ac:dyDescent="0.35">
      <c r="A74" s="129" t="s">
        <v>206</v>
      </c>
      <c r="B74" s="15" t="s">
        <v>302</v>
      </c>
      <c r="C74" s="136" t="s">
        <v>203</v>
      </c>
      <c r="D74" s="159" t="s">
        <v>307</v>
      </c>
      <c r="E74" s="129" t="s">
        <v>308</v>
      </c>
      <c r="F74" s="129"/>
      <c r="G74" s="128" t="s">
        <v>202</v>
      </c>
      <c r="H74" s="141" t="s">
        <v>526</v>
      </c>
      <c r="I74" s="141" t="s">
        <v>303</v>
      </c>
      <c r="J74" s="131" t="s">
        <v>201</v>
      </c>
      <c r="K74" s="118"/>
      <c r="L74" s="129" t="s">
        <v>206</v>
      </c>
      <c r="M74" s="15" t="s">
        <v>302</v>
      </c>
      <c r="N74" s="136" t="s">
        <v>203</v>
      </c>
      <c r="O74" s="159" t="s">
        <v>307</v>
      </c>
      <c r="P74" s="129" t="s">
        <v>308</v>
      </c>
      <c r="Q74" s="129"/>
      <c r="R74" s="128" t="s">
        <v>202</v>
      </c>
      <c r="S74" s="141" t="s">
        <v>526</v>
      </c>
      <c r="T74" s="141" t="s">
        <v>303</v>
      </c>
      <c r="U74" s="131" t="s">
        <v>201</v>
      </c>
      <c r="X74" s="160">
        <f>X$8</f>
        <v>45658</v>
      </c>
      <c r="Y74" s="5">
        <f t="shared" ref="Y74:AU74" si="74">Y$8</f>
        <v>45689</v>
      </c>
      <c r="Z74" s="5">
        <f t="shared" si="74"/>
        <v>45717</v>
      </c>
      <c r="AA74" s="5">
        <f t="shared" si="74"/>
        <v>45748</v>
      </c>
      <c r="AB74" s="5">
        <f t="shared" si="74"/>
        <v>45778</v>
      </c>
      <c r="AC74" s="5">
        <f t="shared" si="74"/>
        <v>45809</v>
      </c>
      <c r="AD74" s="5">
        <f t="shared" si="74"/>
        <v>45839</v>
      </c>
      <c r="AE74" s="5">
        <f t="shared" si="74"/>
        <v>45870</v>
      </c>
      <c r="AF74" s="5">
        <f t="shared" si="74"/>
        <v>45901</v>
      </c>
      <c r="AG74" s="5">
        <f t="shared" si="74"/>
        <v>45931</v>
      </c>
      <c r="AH74" s="5">
        <f t="shared" si="74"/>
        <v>45962</v>
      </c>
      <c r="AI74" s="161">
        <f t="shared" si="74"/>
        <v>45992</v>
      </c>
      <c r="AJ74" s="5">
        <f t="shared" si="74"/>
        <v>46023</v>
      </c>
      <c r="AK74" s="5">
        <f t="shared" si="74"/>
        <v>46054</v>
      </c>
      <c r="AL74" s="5">
        <f t="shared" si="74"/>
        <v>46082</v>
      </c>
      <c r="AM74" s="5">
        <f t="shared" si="74"/>
        <v>46113</v>
      </c>
      <c r="AN74" s="5">
        <f t="shared" si="74"/>
        <v>46143</v>
      </c>
      <c r="AO74" s="5">
        <f t="shared" si="74"/>
        <v>46174</v>
      </c>
      <c r="AP74" s="5">
        <f t="shared" si="74"/>
        <v>46204</v>
      </c>
      <c r="AQ74" s="5">
        <f t="shared" si="74"/>
        <v>46235</v>
      </c>
      <c r="AR74" s="5">
        <f t="shared" si="74"/>
        <v>46266</v>
      </c>
      <c r="AS74" s="5">
        <f t="shared" si="74"/>
        <v>46296</v>
      </c>
      <c r="AT74" s="5">
        <f t="shared" si="74"/>
        <v>46327</v>
      </c>
      <c r="AU74" s="5">
        <f t="shared" si="74"/>
        <v>46357</v>
      </c>
      <c r="AV74" s="210" t="str">
        <f>AJ73&amp;" - Totals"</f>
        <v>2026 - Totals</v>
      </c>
      <c r="DB74" s="160">
        <f t="shared" ref="DB74:DY74" si="75">DB$8</f>
        <v>45658</v>
      </c>
      <c r="DC74" s="5">
        <f t="shared" si="75"/>
        <v>45689</v>
      </c>
      <c r="DD74" s="5">
        <f t="shared" si="75"/>
        <v>45717</v>
      </c>
      <c r="DE74" s="5">
        <f t="shared" si="75"/>
        <v>45748</v>
      </c>
      <c r="DF74" s="5">
        <f t="shared" si="75"/>
        <v>45778</v>
      </c>
      <c r="DG74" s="5">
        <f t="shared" si="75"/>
        <v>45809</v>
      </c>
      <c r="DH74" s="5">
        <f t="shared" si="75"/>
        <v>45839</v>
      </c>
      <c r="DI74" s="5">
        <f t="shared" si="75"/>
        <v>45870</v>
      </c>
      <c r="DJ74" s="5">
        <f t="shared" si="75"/>
        <v>45901</v>
      </c>
      <c r="DK74" s="5">
        <f t="shared" si="75"/>
        <v>45931</v>
      </c>
      <c r="DL74" s="5">
        <f t="shared" si="75"/>
        <v>45962</v>
      </c>
      <c r="DM74" s="161">
        <f t="shared" si="75"/>
        <v>45992</v>
      </c>
      <c r="DN74" s="5">
        <f t="shared" si="75"/>
        <v>46023</v>
      </c>
      <c r="DO74" s="5">
        <f t="shared" si="75"/>
        <v>46054</v>
      </c>
      <c r="DP74" s="5">
        <f t="shared" si="75"/>
        <v>46082</v>
      </c>
      <c r="DQ74" s="5">
        <f t="shared" si="75"/>
        <v>46113</v>
      </c>
      <c r="DR74" s="5">
        <f t="shared" si="75"/>
        <v>46143</v>
      </c>
      <c r="DS74" s="5">
        <f t="shared" si="75"/>
        <v>46174</v>
      </c>
      <c r="DT74" s="5">
        <f t="shared" si="75"/>
        <v>46204</v>
      </c>
      <c r="DU74" s="5">
        <f t="shared" si="75"/>
        <v>46235</v>
      </c>
      <c r="DV74" s="5">
        <f t="shared" si="75"/>
        <v>46266</v>
      </c>
      <c r="DW74" s="5">
        <f t="shared" si="75"/>
        <v>46296</v>
      </c>
      <c r="DX74" s="5">
        <f t="shared" si="75"/>
        <v>46327</v>
      </c>
      <c r="DY74" s="5">
        <f t="shared" si="75"/>
        <v>46357</v>
      </c>
    </row>
    <row r="75" spans="1:129" x14ac:dyDescent="0.35">
      <c r="A75" s="118" t="s">
        <v>509</v>
      </c>
      <c r="B75" s="6" t="s">
        <v>518</v>
      </c>
      <c r="C75" s="137">
        <v>2400</v>
      </c>
      <c r="D75" s="155">
        <v>46143</v>
      </c>
      <c r="E75" s="145" t="s">
        <v>519</v>
      </c>
      <c r="F75" s="172">
        <f>IFERROR(ROUNDUP(((DATEDIF(D75,E75,"d"))/365),1),0)</f>
        <v>0</v>
      </c>
      <c r="G75" s="146">
        <v>26</v>
      </c>
      <c r="H75" s="347">
        <f>G75*C75/12</f>
        <v>5200</v>
      </c>
      <c r="I75" s="146"/>
      <c r="J75" s="156"/>
      <c r="K75" s="163"/>
      <c r="L75" s="118"/>
      <c r="M75" s="6"/>
      <c r="N75" s="137"/>
      <c r="O75" s="155"/>
      <c r="P75" s="145"/>
      <c r="Q75" s="172">
        <f t="shared" ref="Q75:Q89" si="76">IFERROR(ROUNDUP(((DATEDIF(O75,P75,"d"))/365),1),0)</f>
        <v>0</v>
      </c>
      <c r="R75" s="146"/>
      <c r="S75" s="347">
        <f>(R75*N75)/12</f>
        <v>0</v>
      </c>
      <c r="T75" s="146"/>
      <c r="U75" s="156"/>
      <c r="W75" s="114" t="s">
        <v>314</v>
      </c>
      <c r="X75" s="199" cm="1">
        <f t="array" ref="X75:AI75">_xlfn.LET(
  _xlpm.months, X74:AI74,
  _xlpm.totalSqft, A72,
  _xlpm.vacSF, C75:C89,
  _xlpm.vacStart, D75:D89,
  _xlpm.vacEnd, E75:E89,
  _xlpm.renSF, N75:N89,
  _xlpm.renEnd, P75:P89,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0.97099999999999997</v>
      </c>
      <c r="Y75" s="200">
        <v>0.97099999999999997</v>
      </c>
      <c r="Z75" s="200">
        <v>0.97099999999999997</v>
      </c>
      <c r="AA75" s="200">
        <v>0.97099999999999997</v>
      </c>
      <c r="AB75" s="200">
        <v>0.97099999999999997</v>
      </c>
      <c r="AC75" s="200">
        <v>0.97099999999999997</v>
      </c>
      <c r="AD75" s="200">
        <v>0.97099999999999997</v>
      </c>
      <c r="AE75" s="200">
        <v>0.97099999999999997</v>
      </c>
      <c r="AF75" s="200">
        <v>0.97099999999999997</v>
      </c>
      <c r="AG75" s="200">
        <v>0.97099999999999997</v>
      </c>
      <c r="AH75" s="200">
        <v>0.97099999999999997</v>
      </c>
      <c r="AI75" s="200">
        <v>0.97099999999999997</v>
      </c>
      <c r="AJ75" s="199" cm="1">
        <f t="array" ref="AJ75:AU75">_xlfn.LET(
  _xlpm.months, AJ74:AU74,
  _xlpm.totalSqft, A72,
  _xlpm.vacSF, C75:C89,
  _xlpm.vacStart, D75:D89,
  _xlpm.vacEnd, E75:E89,
  _xlpm.renSF, N75:N89,
  _xlpm.renEnd, P75:P89,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0.97099999999999997</v>
      </c>
      <c r="AK75" s="200">
        <v>0.97099999999999997</v>
      </c>
      <c r="AL75" s="200">
        <v>0.97099999999999997</v>
      </c>
      <c r="AM75" s="200">
        <v>0.97099999999999997</v>
      </c>
      <c r="AN75" s="200">
        <v>1</v>
      </c>
      <c r="AO75" s="200">
        <v>1</v>
      </c>
      <c r="AP75" s="200">
        <v>1</v>
      </c>
      <c r="AQ75" s="200">
        <v>1</v>
      </c>
      <c r="AR75" s="200">
        <v>1</v>
      </c>
      <c r="AS75" s="200">
        <v>1</v>
      </c>
      <c r="AT75" s="200">
        <v>1</v>
      </c>
      <c r="AU75" s="200">
        <v>1</v>
      </c>
      <c r="AV75" s="208"/>
      <c r="DB75" s="133">
        <f t="shared" ref="DB75:DY75" si="77">IF(AND($D75&lt;=DB74,$E75&gt;=DB74),(($G75*$C75)/12),0)</f>
        <v>0</v>
      </c>
      <c r="DC75" s="132">
        <f t="shared" si="77"/>
        <v>0</v>
      </c>
      <c r="DD75" s="132">
        <f t="shared" si="77"/>
        <v>0</v>
      </c>
      <c r="DE75" s="132">
        <f t="shared" si="77"/>
        <v>0</v>
      </c>
      <c r="DF75" s="132">
        <f t="shared" si="77"/>
        <v>0</v>
      </c>
      <c r="DG75" s="132">
        <f t="shared" si="77"/>
        <v>0</v>
      </c>
      <c r="DH75" s="132">
        <f t="shared" si="77"/>
        <v>0</v>
      </c>
      <c r="DI75" s="132">
        <f t="shared" si="77"/>
        <v>0</v>
      </c>
      <c r="DJ75" s="132">
        <f t="shared" si="77"/>
        <v>0</v>
      </c>
      <c r="DK75" s="132">
        <f t="shared" si="77"/>
        <v>0</v>
      </c>
      <c r="DL75" s="132">
        <f t="shared" si="77"/>
        <v>0</v>
      </c>
      <c r="DM75" s="134">
        <f t="shared" si="77"/>
        <v>0</v>
      </c>
      <c r="DN75" s="115">
        <f t="shared" si="77"/>
        <v>0</v>
      </c>
      <c r="DO75" s="115">
        <f t="shared" si="77"/>
        <v>0</v>
      </c>
      <c r="DP75" s="115">
        <f t="shared" si="77"/>
        <v>0</v>
      </c>
      <c r="DQ75" s="115">
        <f t="shared" si="77"/>
        <v>0</v>
      </c>
      <c r="DR75" s="115">
        <f t="shared" si="77"/>
        <v>5200</v>
      </c>
      <c r="DS75" s="115">
        <f t="shared" si="77"/>
        <v>5200</v>
      </c>
      <c r="DT75" s="115">
        <f t="shared" si="77"/>
        <v>5200</v>
      </c>
      <c r="DU75" s="115">
        <f t="shared" si="77"/>
        <v>5200</v>
      </c>
      <c r="DV75" s="115">
        <f t="shared" si="77"/>
        <v>5200</v>
      </c>
      <c r="DW75" s="115">
        <f t="shared" si="77"/>
        <v>5200</v>
      </c>
      <c r="DX75" s="115">
        <f t="shared" si="77"/>
        <v>5200</v>
      </c>
      <c r="DY75" s="115">
        <f t="shared" si="77"/>
        <v>5200</v>
      </c>
    </row>
    <row r="76" spans="1:129" x14ac:dyDescent="0.35">
      <c r="B76" s="6" t="str">
        <f t="shared" ref="B76:B85" si="78">IF(A76&lt;&gt;"","VACANT","")</f>
        <v/>
      </c>
      <c r="C76" s="137"/>
      <c r="D76" s="155"/>
      <c r="E76" s="145"/>
      <c r="F76" s="118">
        <f t="shared" ref="F76:F89" si="79">IFERROR(ROUNDUP(((DATEDIF(D76,E76,"d"))/365),1),0)</f>
        <v>0</v>
      </c>
      <c r="G76" s="146"/>
      <c r="H76" s="347">
        <f t="shared" ref="H76:H89" si="80">(G76*C76)/12</f>
        <v>0</v>
      </c>
      <c r="I76" s="146"/>
      <c r="J76" s="156"/>
      <c r="K76" s="116"/>
      <c r="L76" s="118"/>
      <c r="M76" s="6"/>
      <c r="N76" s="137"/>
      <c r="O76" s="155"/>
      <c r="P76" s="145"/>
      <c r="Q76" s="118">
        <f t="shared" si="76"/>
        <v>0</v>
      </c>
      <c r="R76" s="146"/>
      <c r="S76" s="347">
        <f t="shared" ref="S76:S89" si="81">(R76*N76)/12</f>
        <v>0</v>
      </c>
      <c r="T76" s="146"/>
      <c r="U76" s="156"/>
      <c r="W76" s="114" t="s">
        <v>312</v>
      </c>
      <c r="X76" s="133" cm="1">
        <f t="array" ref="X76">((SUMPRODUCT(($D75:$D89&lt;=X$8) * ($E75:$E89&gt;=X$8) * ($G75:$G89 * $C75:$C89)))+(SUMPRODUCT(($O75:$O89&lt;=X$8) * ($P75:$P89&gt;=X$8) * ($R75:$R89 * $N75:$N89))))/12</f>
        <v>0</v>
      </c>
      <c r="Y76" s="115" cm="1">
        <f t="array" ref="Y76">((SUMPRODUCT(($D75:$D89&lt;=Y$8) * ($E75:$E89&gt;=Y$8) * ($G75:$G89 * $C75:$C89)))+(SUMPRODUCT(($O75:$O89&lt;=Y$8) * ($P75:$P89&gt;=Y$8) * ($R75:$R89 * $N75:$N89))))/12</f>
        <v>0</v>
      </c>
      <c r="Z76" s="115" cm="1">
        <f t="array" ref="Z76">((SUMPRODUCT(($D75:$D89&lt;=Z$8) * ($E75:$E89&gt;=Z$8) * ($G75:$G89 * $C75:$C89)))+(SUMPRODUCT(($O75:$O89&lt;=Z$8) * ($P75:$P89&gt;=Z$8) * ($R75:$R89 * $N75:$N89))))/12</f>
        <v>0</v>
      </c>
      <c r="AA76" s="115" cm="1">
        <f t="array" ref="AA76">((SUMPRODUCT(($D75:$D89&lt;=AA$8) * ($E75:$E89&gt;=AA$8) * ($G75:$G89 * $C75:$C89)))+(SUMPRODUCT(($O75:$O89&lt;=AA$8) * ($P75:$P89&gt;=AA$8) * ($R75:$R89 * $N75:$N89))))/12</f>
        <v>0</v>
      </c>
      <c r="AB76" s="115" cm="1">
        <f t="array" ref="AB76">((SUMPRODUCT(($D75:$D89&lt;=AB$8) * ($E75:$E89&gt;=AB$8) * ($G75:$G89 * $C75:$C89)))+(SUMPRODUCT(($O75:$O89&lt;=AB$8) * ($P75:$P89&gt;=AB$8) * ($R75:$R89 * $N75:$N89))))/12</f>
        <v>0</v>
      </c>
      <c r="AC76" s="115" cm="1">
        <f t="array" ref="AC76">((SUMPRODUCT(($D75:$D89&lt;=AC$8) * ($E75:$E89&gt;=AC$8) * ($G75:$G89 * $C75:$C89)))+(SUMPRODUCT(($O75:$O89&lt;=AC$8) * ($P75:$P89&gt;=AC$8) * ($R75:$R89 * $N75:$N89))))/12</f>
        <v>0</v>
      </c>
      <c r="AD76" s="115" cm="1">
        <f t="array" ref="AD76">((SUMPRODUCT(($D75:$D89&lt;=AD$8) * ($E75:$E89&gt;=AD$8) * ($G75:$G89 * $C75:$C89)))+(SUMPRODUCT(($O75:$O89&lt;=AD$8) * ($P75:$P89&gt;=AD$8) * ($R75:$R89 * $N75:$N89))))/12</f>
        <v>0</v>
      </c>
      <c r="AE76" s="115" cm="1">
        <f t="array" ref="AE76">((SUMPRODUCT(($D75:$D89&lt;=AE$8) * ($E75:$E89&gt;=AE$8) * ($G75:$G89 * $C75:$C89)))+(SUMPRODUCT(($O75:$O89&lt;=AE$8) * ($P75:$P89&gt;=AE$8) * ($R75:$R89 * $N75:$N89))))/12</f>
        <v>0</v>
      </c>
      <c r="AF76" s="115" cm="1">
        <f t="array" ref="AF76">((SUMPRODUCT(($D75:$D89&lt;=AF$8) * ($E75:$E89&gt;=AF$8) * ($G75:$G89 * $C75:$C89)))+(SUMPRODUCT(($O75:$O89&lt;=AF$8) * ($P75:$P89&gt;=AF$8) * ($R75:$R89 * $N75:$N89))))/12</f>
        <v>0</v>
      </c>
      <c r="AG76" s="115" cm="1">
        <f t="array" ref="AG76">((SUMPRODUCT(($D75:$D89&lt;=AG$8) * ($E75:$E89&gt;=AG$8) * ($G75:$G89 * $C75:$C89)))+(SUMPRODUCT(($O75:$O89&lt;=AG$8) * ($P75:$P89&gt;=AG$8) * ($R75:$R89 * $N75:$N89))))/12</f>
        <v>0</v>
      </c>
      <c r="AH76" s="115" cm="1">
        <f t="array" ref="AH76">((SUMPRODUCT(($D75:$D89&lt;=AH$8) * ($E75:$E89&gt;=AH$8) * ($G75:$G89 * $C75:$C89)))+(SUMPRODUCT(($O75:$O89&lt;=AH$8) * ($P75:$P89&gt;=AH$8) * ($R75:$R89 * $N75:$N89))))/12</f>
        <v>0</v>
      </c>
      <c r="AI76" s="115" cm="1">
        <f t="array" ref="AI76">((SUMPRODUCT(($D75:$D89&lt;=AI$8) * ($E75:$E89&gt;=AI$8) * ($G75:$G89 * $C75:$C89)))+(SUMPRODUCT(($O75:$O89&lt;=AI$8) * ($P75:$P89&gt;=AI$8) * ($R75:$R89 * $N75:$N89))))/12</f>
        <v>0</v>
      </c>
      <c r="AJ76" s="133" cm="1">
        <f t="array" ref="AJ76">((SUMPRODUCT(($D75:$D89&lt;=AJ$8) * ($E75:$E89&gt;=AJ$8) * ($G75:$G89 * $C75:$C89)))+(SUMPRODUCT(($O75:$O89&lt;=AJ$8) * ($P75:$P89&gt;=AJ$8) * ($R75:$R89 * $N75:$N89))))/12</f>
        <v>0</v>
      </c>
      <c r="AK76" s="115" cm="1">
        <f t="array" ref="AK76">((SUMPRODUCT(($D75:$D89&lt;=AK$8) * ($E75:$E89&gt;=AK$8) * ($G75:$G89 * $C75:$C89)))+(SUMPRODUCT(($O75:$O89&lt;=AK$8) * ($P75:$P89&gt;=AK$8) * ($R75:$R89 * $N75:$N89))))/12</f>
        <v>0</v>
      </c>
      <c r="AL76" s="115" cm="1">
        <f t="array" ref="AL76">((SUMPRODUCT(($D75:$D89&lt;=AL$8) * ($E75:$E89&gt;=AL$8) * ($G75:$G89 * $C75:$C89)))+(SUMPRODUCT(($O75:$O89&lt;=AL$8) * ($P75:$P89&gt;=AL$8) * ($R75:$R89 * $N75:$N89))))/12</f>
        <v>0</v>
      </c>
      <c r="AM76" s="115" cm="1">
        <f t="array" ref="AM76">((SUMPRODUCT(($D75:$D89&lt;=AM$8) * ($E75:$E89&gt;=AM$8) * ($G75:$G89 * $C75:$C89)))+(SUMPRODUCT(($O75:$O89&lt;=AM$8) * ($P75:$P89&gt;=AM$8) * ($R75:$R89 * $N75:$N89))))/12</f>
        <v>0</v>
      </c>
      <c r="AN76" s="115" cm="1">
        <f t="array" ref="AN76">((SUMPRODUCT(($D75:$D89&lt;=AN$8) * ($E75:$E89&gt;=AN$8) * ($G75:$G89 * $C75:$C89)))+(SUMPRODUCT(($O75:$O89&lt;=AN$8) * ($P75:$P89&gt;=AN$8) * ($R75:$R89 * $N75:$N89))))/12</f>
        <v>5200</v>
      </c>
      <c r="AO76" s="115" cm="1">
        <f t="array" ref="AO76">((SUMPRODUCT(($D75:$D89&lt;=AO$8) * ($E75:$E89&gt;=AO$8) * ($G75:$G89 * $C75:$C89)))+(SUMPRODUCT(($O75:$O89&lt;=AO$8) * ($P75:$P89&gt;=AO$8) * ($R75:$R89 * $N75:$N89))))/12</f>
        <v>5200</v>
      </c>
      <c r="AP76" s="115" cm="1">
        <f t="array" ref="AP76">((SUMPRODUCT(($D75:$D89&lt;=AP$8) * ($E75:$E89&gt;=AP$8) * ($G75:$G89 * $C75:$C89)))+(SUMPRODUCT(($O75:$O89&lt;=AP$8) * ($P75:$P89&gt;=AP$8) * ($R75:$R89 * $N75:$N89))))/12</f>
        <v>5200</v>
      </c>
      <c r="AQ76" s="115" cm="1">
        <f t="array" ref="AQ76">((SUMPRODUCT(($D75:$D89&lt;=AQ$8) * ($E75:$E89&gt;=AQ$8) * ($G75:$G89 * $C75:$C89)))+(SUMPRODUCT(($O75:$O89&lt;=AQ$8) * ($P75:$P89&gt;=AQ$8) * ($R75:$R89 * $N75:$N89))))/12</f>
        <v>5200</v>
      </c>
      <c r="AR76" s="115" cm="1">
        <f t="array" ref="AR76">((SUMPRODUCT(($D75:$D89&lt;=AR$8) * ($E75:$E89&gt;=AR$8) * ($G75:$G89 * $C75:$C89)))+(SUMPRODUCT(($O75:$O89&lt;=AR$8) * ($P75:$P89&gt;=AR$8) * ($R75:$R89 * $N75:$N89))))/12</f>
        <v>5200</v>
      </c>
      <c r="AS76" s="115" cm="1">
        <f t="array" ref="AS76">((SUMPRODUCT(($D75:$D89&lt;=AS$8) * ($E75:$E89&gt;=AS$8) * ($G75:$G89 * $C75:$C89)))+(SUMPRODUCT(($O75:$O89&lt;=AS$8) * ($P75:$P89&gt;=AS$8) * ($R75:$R89 * $N75:$N89))))/12</f>
        <v>5200</v>
      </c>
      <c r="AT76" s="115" cm="1">
        <f t="array" ref="AT76">((SUMPRODUCT(($D75:$D89&lt;=AT$8) * ($E75:$E89&gt;=AT$8) * ($G75:$G89 * $C75:$C89)))+(SUMPRODUCT(($O75:$O89&lt;=AT$8) * ($P75:$P89&gt;=AT$8) * ($R75:$R89 * $N75:$N89))))/12</f>
        <v>5200</v>
      </c>
      <c r="AU76" s="115" cm="1">
        <f t="array" ref="AU76">((SUMPRODUCT(($D75:$D89&lt;=AU$8) * ($E75:$E89&gt;=AU$8) * ($G75:$G89 * $C75:$C89)))+(SUMPRODUCT(($O75:$O89&lt;=AU$8) * ($P75:$P89&gt;=AU$8) * ($R75:$R89 * $N75:$N89))))/12</f>
        <v>5200</v>
      </c>
      <c r="AV76" s="209">
        <f>SUM(AJ76:AU76)</f>
        <v>41600</v>
      </c>
      <c r="DB76" s="133">
        <f t="shared" ref="DB76:DK89" si="82">IF(AND($D76&lt;=DB$8,$E76&gt;=DB$8),(($G76*$C76)/12),0)</f>
        <v>0</v>
      </c>
      <c r="DC76" s="132">
        <f t="shared" si="82"/>
        <v>0</v>
      </c>
      <c r="DD76" s="132">
        <f t="shared" si="82"/>
        <v>0</v>
      </c>
      <c r="DE76" s="132">
        <f t="shared" si="82"/>
        <v>0</v>
      </c>
      <c r="DF76" s="132">
        <f t="shared" si="82"/>
        <v>0</v>
      </c>
      <c r="DG76" s="132">
        <f t="shared" si="82"/>
        <v>0</v>
      </c>
      <c r="DH76" s="132">
        <f t="shared" si="82"/>
        <v>0</v>
      </c>
      <c r="DI76" s="132">
        <f t="shared" si="82"/>
        <v>0</v>
      </c>
      <c r="DJ76" s="132">
        <f t="shared" si="82"/>
        <v>0</v>
      </c>
      <c r="DK76" s="132">
        <f t="shared" si="82"/>
        <v>0</v>
      </c>
      <c r="DL76" s="132">
        <f t="shared" ref="DL76:DY89" si="83">IF(AND($D76&lt;=DL$8,$E76&gt;=DL$8),(($G76*$C76)/12),0)</f>
        <v>0</v>
      </c>
      <c r="DM76" s="134">
        <f t="shared" si="83"/>
        <v>0</v>
      </c>
      <c r="DN76" s="115">
        <f t="shared" si="83"/>
        <v>0</v>
      </c>
      <c r="DO76" s="115">
        <f t="shared" si="83"/>
        <v>0</v>
      </c>
      <c r="DP76" s="115">
        <f t="shared" si="83"/>
        <v>0</v>
      </c>
      <c r="DQ76" s="115">
        <f t="shared" si="83"/>
        <v>0</v>
      </c>
      <c r="DR76" s="115">
        <f t="shared" si="83"/>
        <v>0</v>
      </c>
      <c r="DS76" s="115">
        <f t="shared" si="83"/>
        <v>0</v>
      </c>
      <c r="DT76" s="115">
        <f t="shared" si="83"/>
        <v>0</v>
      </c>
      <c r="DU76" s="115">
        <f t="shared" si="83"/>
        <v>0</v>
      </c>
      <c r="DV76" s="115">
        <f t="shared" si="83"/>
        <v>0</v>
      </c>
      <c r="DW76" s="115">
        <f t="shared" si="83"/>
        <v>0</v>
      </c>
      <c r="DX76" s="115">
        <f t="shared" si="83"/>
        <v>0</v>
      </c>
      <c r="DY76" s="115">
        <f t="shared" si="83"/>
        <v>0</v>
      </c>
    </row>
    <row r="77" spans="1:129" x14ac:dyDescent="0.35">
      <c r="B77" s="6" t="str">
        <f t="shared" si="78"/>
        <v/>
      </c>
      <c r="C77" s="137"/>
      <c r="D77" s="155"/>
      <c r="E77" s="145"/>
      <c r="F77" s="118">
        <f t="shared" si="79"/>
        <v>0</v>
      </c>
      <c r="G77" s="146"/>
      <c r="H77" s="347">
        <f t="shared" si="80"/>
        <v>0</v>
      </c>
      <c r="I77" s="146"/>
      <c r="J77" s="156"/>
      <c r="K77" s="116"/>
      <c r="L77" s="118"/>
      <c r="M77" s="6"/>
      <c r="N77" s="137"/>
      <c r="O77" s="155"/>
      <c r="P77" s="145"/>
      <c r="Q77" s="118">
        <f t="shared" si="76"/>
        <v>0</v>
      </c>
      <c r="R77" s="146"/>
      <c r="S77" s="347">
        <f t="shared" si="81"/>
        <v>0</v>
      </c>
      <c r="T77" s="146"/>
      <c r="U77" s="156"/>
      <c r="W77" s="114" t="s">
        <v>309</v>
      </c>
      <c r="X77" s="133" cm="1">
        <f t="array" ref="X77">(SUMPRODUCT((TEXT($O75:$O89,"yyyymm")=TEXT(X$8,"yyyymm")) * ($T75:$T89 * $N75:$N89)))+(SUMPRODUCT((TEXT($D75:$D89,"yyyymm")=TEXT(X$8,"yyyymm")) * ($I75:$I89 * $C75:$C89)))</f>
        <v>0</v>
      </c>
      <c r="Y77" s="115" cm="1">
        <f t="array" ref="Y77">(SUMPRODUCT((TEXT($O75:$O89,"yyyymm")=TEXT(Y$8,"yyyymm")) * ($T75:$T89 * $N75:$N89)))+(SUMPRODUCT((TEXT($D75:$D89,"yyyymm")=TEXT(Y$8,"yyyymm")) * ($I75:$I89 * $C75:$C89)))</f>
        <v>0</v>
      </c>
      <c r="Z77" s="115" cm="1">
        <f t="array" ref="Z77">(SUMPRODUCT((TEXT($O75:$O89,"yyyymm")=TEXT(Z$8,"yyyymm")) * ($T75:$T89 * $N75:$N89)))+(SUMPRODUCT((TEXT($D75:$D89,"yyyymm")=TEXT(Z$8,"yyyymm")) * ($I75:$I89 * $C75:$C89)))</f>
        <v>0</v>
      </c>
      <c r="AA77" s="115" cm="1">
        <f t="array" ref="AA77">(SUMPRODUCT((TEXT($O75:$O89,"yyyymm")=TEXT(AA$8,"yyyymm")) * ($T75:$T89 * $N75:$N89)))+(SUMPRODUCT((TEXT($D75:$D89,"yyyymm")=TEXT(AA$8,"yyyymm")) * ($I75:$I89 * $C75:$C89)))</f>
        <v>0</v>
      </c>
      <c r="AB77" s="115" cm="1">
        <f t="array" ref="AB77">(SUMPRODUCT((TEXT($O75:$O89,"yyyymm")=TEXT(AB$8,"yyyymm")) * ($T75:$T89 * $N75:$N89)))+(SUMPRODUCT((TEXT($D75:$D89,"yyyymm")=TEXT(AB$8,"yyyymm")) * ($I75:$I89 * $C75:$C89)))</f>
        <v>0</v>
      </c>
      <c r="AC77" s="115" cm="1">
        <f t="array" ref="AC77">(SUMPRODUCT((TEXT($O75:$O89,"yyyymm")=TEXT(AC$8,"yyyymm")) * ($T75:$T89 * $N75:$N89)))+(SUMPRODUCT((TEXT($D75:$D89,"yyyymm")=TEXT(AC$8,"yyyymm")) * ($I75:$I89 * $C75:$C89)))</f>
        <v>0</v>
      </c>
      <c r="AD77" s="115" cm="1">
        <f t="array" ref="AD77">(SUMPRODUCT((TEXT($O75:$O89,"yyyymm")=TEXT(AD$8,"yyyymm")) * ($T75:$T89 * $N75:$N89)))+(SUMPRODUCT((TEXT($D75:$D89,"yyyymm")=TEXT(AD$8,"yyyymm")) * ($I75:$I89 * $C75:$C89)))</f>
        <v>0</v>
      </c>
      <c r="AE77" s="115" cm="1">
        <f t="array" ref="AE77">(SUMPRODUCT((TEXT($O75:$O89,"yyyymm")=TEXT(AE$8,"yyyymm")) * ($T75:$T89 * $N75:$N89)))+(SUMPRODUCT((TEXT($D75:$D89,"yyyymm")=TEXT(AE$8,"yyyymm")) * ($I75:$I89 * $C75:$C89)))</f>
        <v>0</v>
      </c>
      <c r="AF77" s="115" cm="1">
        <f t="array" ref="AF77">(SUMPRODUCT((TEXT($O75:$O89,"yyyymm")=TEXT(AF$8,"yyyymm")) * ($T75:$T89 * $N75:$N89)))+(SUMPRODUCT((TEXT($D75:$D89,"yyyymm")=TEXT(AF$8,"yyyymm")) * ($I75:$I89 * $C75:$C89)))</f>
        <v>0</v>
      </c>
      <c r="AG77" s="115" cm="1">
        <f t="array" ref="AG77">(SUMPRODUCT((TEXT($O75:$O89,"yyyymm")=TEXT(AG$8,"yyyymm")) * ($T75:$T89 * $N75:$N89)))+(SUMPRODUCT((TEXT($D75:$D89,"yyyymm")=TEXT(AG$8,"yyyymm")) * ($I75:$I89 * $C75:$C89)))</f>
        <v>0</v>
      </c>
      <c r="AH77" s="115" cm="1">
        <f t="array" ref="AH77">(SUMPRODUCT((TEXT($O75:$O89,"yyyymm")=TEXT(AH$8,"yyyymm")) * ($T75:$T89 * $N75:$N89)))+(SUMPRODUCT((TEXT($D75:$D89,"yyyymm")=TEXT(AH$8,"yyyymm")) * ($I75:$I89 * $C75:$C89)))</f>
        <v>0</v>
      </c>
      <c r="AI77" s="115" cm="1">
        <f t="array" ref="AI77">(SUMPRODUCT((TEXT($O75:$O89,"yyyymm")=TEXT(AI$8,"yyyymm")) * ($T75:$T89 * $N75:$N89)))+(SUMPRODUCT((TEXT($D75:$D89,"yyyymm")=TEXT(AI$8,"yyyymm")) * ($I75:$I89 * $C75:$C89)))</f>
        <v>0</v>
      </c>
      <c r="AJ77" s="133" cm="1">
        <f t="array" ref="AJ77">(SUMPRODUCT((TEXT($O75:$O89,"yyyymm")=TEXT(AJ$8,"yyyymm")) * ($T75:$T89 * $N75:$N89)))+(SUMPRODUCT((TEXT($D75:$D89,"yyyymm")=TEXT(AJ$8,"yyyymm")) * ($I75:$I89 * $C75:$C89)))</f>
        <v>0</v>
      </c>
      <c r="AK77" s="115" cm="1">
        <f t="array" ref="AK77">(SUMPRODUCT((TEXT($O75:$O89,"yyyymm")=TEXT(AK$8,"yyyymm")) * ($T75:$T89 * $N75:$N89)))+(SUMPRODUCT((TEXT($D75:$D89,"yyyymm")=TEXT(AK$8,"yyyymm")) * ($I75:$I89 * $C75:$C89)))</f>
        <v>0</v>
      </c>
      <c r="AL77" s="115" cm="1">
        <f t="array" ref="AL77">(SUMPRODUCT((TEXT($O75:$O89,"yyyymm")=TEXT(AL$8,"yyyymm")) * ($T75:$T89 * $N75:$N89)))+(SUMPRODUCT((TEXT($D75:$D89,"yyyymm")=TEXT(AL$8,"yyyymm")) * ($I75:$I89 * $C75:$C89)))</f>
        <v>0</v>
      </c>
      <c r="AM77" s="115" cm="1">
        <f t="array" ref="AM77">(SUMPRODUCT((TEXT($O75:$O89,"yyyymm")=TEXT(AM$8,"yyyymm")) * ($T75:$T89 * $N75:$N89)))+(SUMPRODUCT((TEXT($D75:$D89,"yyyymm")=TEXT(AM$8,"yyyymm")) * ($I75:$I89 * $C75:$C89)))</f>
        <v>0</v>
      </c>
      <c r="AN77" s="115" cm="1">
        <f t="array" ref="AN77">(SUMPRODUCT((TEXT($O75:$O89,"yyyymm")=TEXT(AN$8,"yyyymm")) * ($T75:$T89 * $N75:$N89)))+(SUMPRODUCT((TEXT($D75:$D89,"yyyymm")=TEXT(AN$8,"yyyymm")) * ($I75:$I89 * $C75:$C89)))</f>
        <v>0</v>
      </c>
      <c r="AO77" s="115" cm="1">
        <f t="array" ref="AO77">(SUMPRODUCT((TEXT($O75:$O89,"yyyymm")=TEXT(AO$8,"yyyymm")) * ($T75:$T89 * $N75:$N89)))+(SUMPRODUCT((TEXT($D75:$D89,"yyyymm")=TEXT(AO$8,"yyyymm")) * ($I75:$I89 * $C75:$C89)))</f>
        <v>0</v>
      </c>
      <c r="AP77" s="115" cm="1">
        <f t="array" ref="AP77">(SUMPRODUCT((TEXT($O75:$O89,"yyyymm")=TEXT(AP$8,"yyyymm")) * ($T75:$T89 * $N75:$N89)))+(SUMPRODUCT((TEXT($D75:$D89,"yyyymm")=TEXT(AP$8,"yyyymm")) * ($I75:$I89 * $C75:$C89)))</f>
        <v>0</v>
      </c>
      <c r="AQ77" s="115" cm="1">
        <f t="array" ref="AQ77">(SUMPRODUCT((TEXT($O75:$O89,"yyyymm")=TEXT(AQ$8,"yyyymm")) * ($T75:$T89 * $N75:$N89)))+(SUMPRODUCT((TEXT($D75:$D89,"yyyymm")=TEXT(AQ$8,"yyyymm")) * ($I75:$I89 * $C75:$C89)))</f>
        <v>0</v>
      </c>
      <c r="AR77" s="115" cm="1">
        <f t="array" ref="AR77">(SUMPRODUCT((TEXT($O75:$O89,"yyyymm")=TEXT(AR$8,"yyyymm")) * ($T75:$T89 * $N75:$N89)))+(SUMPRODUCT((TEXT($D75:$D89,"yyyymm")=TEXT(AR$8,"yyyymm")) * ($I75:$I89 * $C75:$C89)))</f>
        <v>0</v>
      </c>
      <c r="AS77" s="115" cm="1">
        <f t="array" ref="AS77">(SUMPRODUCT((TEXT($O75:$O89,"yyyymm")=TEXT(AS$8,"yyyymm")) * ($T75:$T89 * $N75:$N89)))+(SUMPRODUCT((TEXT($D75:$D89,"yyyymm")=TEXT(AS$8,"yyyymm")) * ($I75:$I89 * $C75:$C89)))</f>
        <v>0</v>
      </c>
      <c r="AT77" s="115" cm="1">
        <f t="array" ref="AT77">(SUMPRODUCT((TEXT($O75:$O89,"yyyymm")=TEXT(AT$8,"yyyymm")) * ($T75:$T89 * $N75:$N89)))+(SUMPRODUCT((TEXT($D75:$D89,"yyyymm")=TEXT(AT$8,"yyyymm")) * ($I75:$I89 * $C75:$C89)))</f>
        <v>0</v>
      </c>
      <c r="AU77" s="115" cm="1">
        <f t="array" ref="AU77">(SUMPRODUCT((TEXT($O75:$O89,"yyyymm")=TEXT(AU$8,"yyyymm")) * ($T75:$T89 * $N75:$N89)))+(SUMPRODUCT((TEXT($D75:$D89,"yyyymm")=TEXT(AU$8,"yyyymm")) * ($I75:$I89 * $C75:$C89)))</f>
        <v>0</v>
      </c>
      <c r="AV77" s="209">
        <f t="shared" ref="AV77:AV78" si="84">SUM(AJ77:AU77)</f>
        <v>0</v>
      </c>
      <c r="DB77" s="133">
        <f t="shared" si="82"/>
        <v>0</v>
      </c>
      <c r="DC77" s="132">
        <f t="shared" si="82"/>
        <v>0</v>
      </c>
      <c r="DD77" s="132">
        <f t="shared" si="82"/>
        <v>0</v>
      </c>
      <c r="DE77" s="132">
        <f t="shared" si="82"/>
        <v>0</v>
      </c>
      <c r="DF77" s="132">
        <f t="shared" si="82"/>
        <v>0</v>
      </c>
      <c r="DG77" s="132">
        <f t="shared" si="82"/>
        <v>0</v>
      </c>
      <c r="DH77" s="132">
        <f t="shared" si="82"/>
        <v>0</v>
      </c>
      <c r="DI77" s="132">
        <f t="shared" si="82"/>
        <v>0</v>
      </c>
      <c r="DJ77" s="132">
        <f t="shared" si="82"/>
        <v>0</v>
      </c>
      <c r="DK77" s="132">
        <f t="shared" si="82"/>
        <v>0</v>
      </c>
      <c r="DL77" s="132">
        <f t="shared" si="83"/>
        <v>0</v>
      </c>
      <c r="DM77" s="134">
        <f t="shared" si="83"/>
        <v>0</v>
      </c>
      <c r="DN77" s="115">
        <f t="shared" si="83"/>
        <v>0</v>
      </c>
      <c r="DO77" s="115">
        <f t="shared" si="83"/>
        <v>0</v>
      </c>
      <c r="DP77" s="115">
        <f t="shared" si="83"/>
        <v>0</v>
      </c>
      <c r="DQ77" s="115">
        <f t="shared" si="83"/>
        <v>0</v>
      </c>
      <c r="DR77" s="115">
        <f t="shared" si="83"/>
        <v>0</v>
      </c>
      <c r="DS77" s="115">
        <f t="shared" si="83"/>
        <v>0</v>
      </c>
      <c r="DT77" s="115">
        <f t="shared" si="83"/>
        <v>0</v>
      </c>
      <c r="DU77" s="115">
        <f t="shared" si="83"/>
        <v>0</v>
      </c>
      <c r="DV77" s="115">
        <f t="shared" si="83"/>
        <v>0</v>
      </c>
      <c r="DW77" s="115">
        <f t="shared" si="83"/>
        <v>0</v>
      </c>
      <c r="DX77" s="115">
        <f t="shared" si="83"/>
        <v>0</v>
      </c>
      <c r="DY77" s="115">
        <f t="shared" si="83"/>
        <v>0</v>
      </c>
    </row>
    <row r="78" spans="1:129" x14ac:dyDescent="0.35">
      <c r="B78" s="6" t="str">
        <f t="shared" si="78"/>
        <v/>
      </c>
      <c r="C78" s="137"/>
      <c r="D78" s="155"/>
      <c r="E78" s="147"/>
      <c r="F78" s="118">
        <f t="shared" si="79"/>
        <v>0</v>
      </c>
      <c r="G78" s="148"/>
      <c r="H78" s="347">
        <f t="shared" si="80"/>
        <v>0</v>
      </c>
      <c r="I78" s="146"/>
      <c r="J78" s="156"/>
      <c r="K78" s="116"/>
      <c r="L78" s="118"/>
      <c r="M78" s="6"/>
      <c r="N78" s="137"/>
      <c r="O78" s="155"/>
      <c r="P78" s="147"/>
      <c r="Q78" s="118">
        <f t="shared" si="76"/>
        <v>0</v>
      </c>
      <c r="R78" s="148"/>
      <c r="S78" s="347">
        <f t="shared" si="81"/>
        <v>0</v>
      </c>
      <c r="T78" s="146"/>
      <c r="U78" s="156"/>
      <c r="W78" s="114" t="s">
        <v>313</v>
      </c>
      <c r="X78" s="133" cm="1">
        <f t="array" ref="X78">IFERROR((SUMPRODUCT((TEXT($O75:$O89,"yyyymm")=TEXT(X$8,"yyyymm")) * ($U75:$U89 * $N75:$N89*$R75:$R89*$Q75:$Q89)))+(SUMPRODUCT((TEXT($D75:$D89,"yyyymm")=TEXT(X$8,"yyyymm")) * ($J75:$J89 * $C75:$C89*$G75:$G89*$F75:$F89))),0)</f>
        <v>0</v>
      </c>
      <c r="Y78" s="115" cm="1">
        <f t="array" ref="Y78">IFERROR((SUMPRODUCT((TEXT($O75:$O89,"yyyymm")=TEXT(Y$8,"yyyymm")) * ($U75:$U89 * $N75:$N89*$R75:$R89*$Q75:$Q89)))+(SUMPRODUCT((TEXT($D75:$D89,"yyyymm")=TEXT(Y$8,"yyyymm")) * ($J75:$J89 * $C75:$C89*$G75:$G89*$F75:$F89))),0)</f>
        <v>0</v>
      </c>
      <c r="Z78" s="115" cm="1">
        <f t="array" ref="Z78">IFERROR((SUMPRODUCT((TEXT($O75:$O89,"yyyymm")=TEXT(Z$8,"yyyymm")) * ($U75:$U89 * $N75:$N89*$R75:$R89*$Q75:$Q89)))+(SUMPRODUCT((TEXT($D75:$D89,"yyyymm")=TEXT(Z$8,"yyyymm")) * ($J75:$J89 * $C75:$C89*$G75:$G89*$F75:$F89))),0)</f>
        <v>0</v>
      </c>
      <c r="AA78" s="115" cm="1">
        <f t="array" ref="AA78">IFERROR((SUMPRODUCT((TEXT($O75:$O89,"yyyymm")=TEXT(AA$8,"yyyymm")) * ($U75:$U89 * $N75:$N89*$R75:$R89*$Q75:$Q89)))+(SUMPRODUCT((TEXT($D75:$D89,"yyyymm")=TEXT(AA$8,"yyyymm")) * ($J75:$J89 * $C75:$C89*$G75:$G89*$F75:$F89))),0)</f>
        <v>0</v>
      </c>
      <c r="AB78" s="115" cm="1">
        <f t="array" ref="AB78">IFERROR((SUMPRODUCT((TEXT($O75:$O89,"yyyymm")=TEXT(AB$8,"yyyymm")) * ($U75:$U89 * $N75:$N89*$R75:$R89*$Q75:$Q89)))+(SUMPRODUCT((TEXT($D75:$D89,"yyyymm")=TEXT(AB$8,"yyyymm")) * ($J75:$J89 * $C75:$C89*$G75:$G89*$F75:$F89))),0)</f>
        <v>0</v>
      </c>
      <c r="AC78" s="115" cm="1">
        <f t="array" ref="AC78">IFERROR((SUMPRODUCT((TEXT($O75:$O89,"yyyymm")=TEXT(AC$8,"yyyymm")) * ($U75:$U89 * $N75:$N89*$R75:$R89*$Q75:$Q89)))+(SUMPRODUCT((TEXT($D75:$D89,"yyyymm")=TEXT(AC$8,"yyyymm")) * ($J75:$J89 * $C75:$C89*$G75:$G89*$F75:$F89))),0)</f>
        <v>0</v>
      </c>
      <c r="AD78" s="115" cm="1">
        <f t="array" ref="AD78">IFERROR((SUMPRODUCT((TEXT($O75:$O89,"yyyymm")=TEXT(AD$8,"yyyymm")) * ($U75:$U89 * $N75:$N89*$R75:$R89*$Q75:$Q89)))+(SUMPRODUCT((TEXT($D75:$D89,"yyyymm")=TEXT(AD$8,"yyyymm")) * ($J75:$J89 * $C75:$C89*$G75:$G89*$F75:$F89))),0)</f>
        <v>0</v>
      </c>
      <c r="AE78" s="115" cm="1">
        <f t="array" ref="AE78">IFERROR((SUMPRODUCT((TEXT($O75:$O89,"yyyymm")=TEXT(AE$8,"yyyymm")) * ($U75:$U89 * $N75:$N89*$R75:$R89*$Q75:$Q89)))+(SUMPRODUCT((TEXT($D75:$D89,"yyyymm")=TEXT(AE$8,"yyyymm")) * ($J75:$J89 * $C75:$C89*$G75:$G89*$F75:$F89))),0)</f>
        <v>0</v>
      </c>
      <c r="AF78" s="115" cm="1">
        <f t="array" ref="AF78">IFERROR((SUMPRODUCT((TEXT($O75:$O89,"yyyymm")=TEXT(AF$8,"yyyymm")) * ($U75:$U89 * $N75:$N89*$R75:$R89*$Q75:$Q89)))+(SUMPRODUCT((TEXT($D75:$D89,"yyyymm")=TEXT(AF$8,"yyyymm")) * ($J75:$J89 * $C75:$C89*$G75:$G89*$F75:$F89))),0)</f>
        <v>0</v>
      </c>
      <c r="AG78" s="115" cm="1">
        <f t="array" ref="AG78">IFERROR((SUMPRODUCT((TEXT($O75:$O89,"yyyymm")=TEXT(AG$8,"yyyymm")) * ($U75:$U89 * $N75:$N89*$R75:$R89*$Q75:$Q89)))+(SUMPRODUCT((TEXT($D75:$D89,"yyyymm")=TEXT(AG$8,"yyyymm")) * ($J75:$J89 * $C75:$C89*$G75:$G89*$F75:$F89))),0)</f>
        <v>0</v>
      </c>
      <c r="AH78" s="115" cm="1">
        <f t="array" ref="AH78">IFERROR((SUMPRODUCT((TEXT($O75:$O89,"yyyymm")=TEXT(AH$8,"yyyymm")) * ($U75:$U89 * $N75:$N89*$R75:$R89*$Q75:$Q89)))+(SUMPRODUCT((TEXT($D75:$D89,"yyyymm")=TEXT(AH$8,"yyyymm")) * ($J75:$J89 * $C75:$C89*$G75:$G89*$F75:$F89))),0)</f>
        <v>0</v>
      </c>
      <c r="AI78" s="115" cm="1">
        <f t="array" ref="AI78">IFERROR((SUMPRODUCT((TEXT($O75:$O89,"yyyymm")=TEXT(AI$8,"yyyymm")) * ($U75:$U89 * $N75:$N89*$R75:$R89*$Q75:$Q89)))+(SUMPRODUCT((TEXT($D75:$D89,"yyyymm")=TEXT(AI$8,"yyyymm")) * ($J75:$J89 * $C75:$C89*$G75:$G89*$F75:$F89))),0)</f>
        <v>0</v>
      </c>
      <c r="AJ78" s="133" cm="1">
        <f t="array" ref="AJ78">IFERROR((SUMPRODUCT((TEXT($O75:$O89,"yyyymm")=TEXT(AJ$8,"yyyymm")) * ($U75:$U89 * $N75:$N89*$R75:$R89*$Q75:$Q89)))+(SUMPRODUCT((TEXT($D75:$D89,"yyyymm")=TEXT(AJ$8,"yyyymm")) * ($J75:$J89 * $C75:$C89*$G75:$G89*$F75:$F89))),0)</f>
        <v>0</v>
      </c>
      <c r="AK78" s="115" cm="1">
        <f t="array" ref="AK78">IFERROR((SUMPRODUCT((TEXT($O75:$O89,"yyyymm")=TEXT(AK$8,"yyyymm")) * ($U75:$U89 * $N75:$N89*$R75:$R89*$Q75:$Q89)))+(SUMPRODUCT((TEXT($D75:$D89,"yyyymm")=TEXT(AK$8,"yyyymm")) * ($J75:$J89 * $C75:$C89*$G75:$G89*$F75:$F89))),0)</f>
        <v>0</v>
      </c>
      <c r="AL78" s="115" cm="1">
        <f t="array" ref="AL78">IFERROR((SUMPRODUCT((TEXT($O75:$O89,"yyyymm")=TEXT(AL$8,"yyyymm")) * ($U75:$U89 * $N75:$N89*$R75:$R89*$Q75:$Q89)))+(SUMPRODUCT((TEXT($D75:$D89,"yyyymm")=TEXT(AL$8,"yyyymm")) * ($J75:$J89 * $C75:$C89*$G75:$G89*$F75:$F89))),0)</f>
        <v>0</v>
      </c>
      <c r="AM78" s="115" cm="1">
        <f t="array" ref="AM78">IFERROR((SUMPRODUCT((TEXT($O75:$O89,"yyyymm")=TEXT(AM$8,"yyyymm")) * ($U75:$U89 * $N75:$N89*$R75:$R89*$Q75:$Q89)))+(SUMPRODUCT((TEXT($D75:$D89,"yyyymm")=TEXT(AM$8,"yyyymm")) * ($J75:$J89 * $C75:$C89*$G75:$G89*$F75:$F89))),0)</f>
        <v>0</v>
      </c>
      <c r="AN78" s="115" cm="1">
        <f t="array" ref="AN78">IFERROR((SUMPRODUCT((TEXT($O75:$O89,"yyyymm")=TEXT(AN$8,"yyyymm")) * ($U75:$U89 * $N75:$N89*$R75:$R89*$Q75:$Q89)))+(SUMPRODUCT((TEXT($D75:$D89,"yyyymm")=TEXT(AN$8,"yyyymm")) * ($J75:$J89 * $C75:$C89*$G75:$G89*$F75:$F89))),0)</f>
        <v>0</v>
      </c>
      <c r="AO78" s="115" cm="1">
        <f t="array" ref="AO78">IFERROR((SUMPRODUCT((TEXT($O75:$O89,"yyyymm")=TEXT(AO$8,"yyyymm")) * ($U75:$U89 * $N75:$N89*$R75:$R89*$Q75:$Q89)))+(SUMPRODUCT((TEXT($D75:$D89,"yyyymm")=TEXT(AO$8,"yyyymm")) * ($J75:$J89 * $C75:$C89*$G75:$G89*$F75:$F89))),0)</f>
        <v>0</v>
      </c>
      <c r="AP78" s="115" cm="1">
        <f t="array" ref="AP78">IFERROR((SUMPRODUCT((TEXT($O75:$O89,"yyyymm")=TEXT(AP$8,"yyyymm")) * ($U75:$U89 * $N75:$N89*$R75:$R89*$Q75:$Q89)))+(SUMPRODUCT((TEXT($D75:$D89,"yyyymm")=TEXT(AP$8,"yyyymm")) * ($J75:$J89 * $C75:$C89*$G75:$G89*$F75:$F89))),0)</f>
        <v>0</v>
      </c>
      <c r="AQ78" s="115" cm="1">
        <f t="array" ref="AQ78">IFERROR((SUMPRODUCT((TEXT($O75:$O89,"yyyymm")=TEXT(AQ$8,"yyyymm")) * ($U75:$U89 * $N75:$N89*$R75:$R89*$Q75:$Q89)))+(SUMPRODUCT((TEXT($D75:$D89,"yyyymm")=TEXT(AQ$8,"yyyymm")) * ($J75:$J89 * $C75:$C89*$G75:$G89*$F75:$F89))),0)</f>
        <v>0</v>
      </c>
      <c r="AR78" s="115" cm="1">
        <f t="array" ref="AR78">IFERROR((SUMPRODUCT((TEXT($O75:$O89,"yyyymm")=TEXT(AR$8,"yyyymm")) * ($U75:$U89 * $N75:$N89*$R75:$R89*$Q75:$Q89)))+(SUMPRODUCT((TEXT($D75:$D89,"yyyymm")=TEXT(AR$8,"yyyymm")) * ($J75:$J89 * $C75:$C89*$G75:$G89*$F75:$F89))),0)</f>
        <v>0</v>
      </c>
      <c r="AS78" s="115" cm="1">
        <f t="array" ref="AS78">IFERROR((SUMPRODUCT((TEXT($O75:$O89,"yyyymm")=TEXT(AS$8,"yyyymm")) * ($U75:$U89 * $N75:$N89*$R75:$R89*$Q75:$Q89)))+(SUMPRODUCT((TEXT($D75:$D89,"yyyymm")=TEXT(AS$8,"yyyymm")) * ($J75:$J89 * $C75:$C89*$G75:$G89*$F75:$F89))),0)</f>
        <v>0</v>
      </c>
      <c r="AT78" s="115" cm="1">
        <f t="array" ref="AT78">IFERROR((SUMPRODUCT((TEXT($O75:$O89,"yyyymm")=TEXT(AT$8,"yyyymm")) * ($U75:$U89 * $N75:$N89*$R75:$R89*$Q75:$Q89)))+(SUMPRODUCT((TEXT($D75:$D89,"yyyymm")=TEXT(AT$8,"yyyymm")) * ($J75:$J89 * $C75:$C89*$G75:$G89*$F75:$F89))),0)</f>
        <v>0</v>
      </c>
      <c r="AU78" s="115" cm="1">
        <f t="array" ref="AU78">IFERROR((SUMPRODUCT((TEXT($O75:$O89,"yyyymm")=TEXT(AU$8,"yyyymm")) * ($U75:$U89 * $N75:$N89*$R75:$R89*$Q75:$Q89)))+(SUMPRODUCT((TEXT($D75:$D89,"yyyymm")=TEXT(AU$8,"yyyymm")) * ($J75:$J89 * $C75:$C89*$G75:$G89*$F75:$F89))),0)</f>
        <v>0</v>
      </c>
      <c r="AV78" s="209">
        <f t="shared" si="84"/>
        <v>0</v>
      </c>
      <c r="DB78" s="133">
        <f t="shared" si="82"/>
        <v>0</v>
      </c>
      <c r="DC78" s="132">
        <f t="shared" si="82"/>
        <v>0</v>
      </c>
      <c r="DD78" s="132">
        <f t="shared" si="82"/>
        <v>0</v>
      </c>
      <c r="DE78" s="132">
        <f t="shared" si="82"/>
        <v>0</v>
      </c>
      <c r="DF78" s="132">
        <f t="shared" si="82"/>
        <v>0</v>
      </c>
      <c r="DG78" s="132">
        <f t="shared" si="82"/>
        <v>0</v>
      </c>
      <c r="DH78" s="132">
        <f t="shared" si="82"/>
        <v>0</v>
      </c>
      <c r="DI78" s="132">
        <f t="shared" si="82"/>
        <v>0</v>
      </c>
      <c r="DJ78" s="132">
        <f t="shared" si="82"/>
        <v>0</v>
      </c>
      <c r="DK78" s="132">
        <f t="shared" si="82"/>
        <v>0</v>
      </c>
      <c r="DL78" s="132">
        <f t="shared" si="83"/>
        <v>0</v>
      </c>
      <c r="DM78" s="134">
        <f t="shared" si="83"/>
        <v>0</v>
      </c>
      <c r="DN78" s="115">
        <f t="shared" si="83"/>
        <v>0</v>
      </c>
      <c r="DO78" s="115">
        <f t="shared" si="83"/>
        <v>0</v>
      </c>
      <c r="DP78" s="115">
        <f t="shared" si="83"/>
        <v>0</v>
      </c>
      <c r="DQ78" s="115">
        <f t="shared" si="83"/>
        <v>0</v>
      </c>
      <c r="DR78" s="115">
        <f t="shared" si="83"/>
        <v>0</v>
      </c>
      <c r="DS78" s="115">
        <f t="shared" si="83"/>
        <v>0</v>
      </c>
      <c r="DT78" s="115">
        <f t="shared" si="83"/>
        <v>0</v>
      </c>
      <c r="DU78" s="115">
        <f t="shared" si="83"/>
        <v>0</v>
      </c>
      <c r="DV78" s="115">
        <f t="shared" si="83"/>
        <v>0</v>
      </c>
      <c r="DW78" s="115">
        <f t="shared" si="83"/>
        <v>0</v>
      </c>
      <c r="DX78" s="115">
        <f t="shared" si="83"/>
        <v>0</v>
      </c>
      <c r="DY78" s="115">
        <f t="shared" si="83"/>
        <v>0</v>
      </c>
    </row>
    <row r="79" spans="1:129" ht="17.5" x14ac:dyDescent="0.35">
      <c r="B79" s="6" t="str">
        <f t="shared" si="78"/>
        <v/>
      </c>
      <c r="C79" s="137"/>
      <c r="D79" s="155"/>
      <c r="E79" s="145"/>
      <c r="F79" s="118">
        <f t="shared" si="79"/>
        <v>0</v>
      </c>
      <c r="G79" s="146"/>
      <c r="H79" s="347">
        <f t="shared" si="80"/>
        <v>0</v>
      </c>
      <c r="I79" s="146"/>
      <c r="J79" s="156"/>
      <c r="K79" s="116"/>
      <c r="L79" s="118"/>
      <c r="M79" s="6"/>
      <c r="N79" s="137"/>
      <c r="O79" s="155"/>
      <c r="P79" s="145"/>
      <c r="Q79" s="118">
        <f t="shared" si="76"/>
        <v>0</v>
      </c>
      <c r="R79" s="146"/>
      <c r="S79" s="347">
        <f t="shared" si="81"/>
        <v>0</v>
      </c>
      <c r="T79" s="146"/>
      <c r="U79" s="156"/>
      <c r="W79" s="176" t="s">
        <v>273</v>
      </c>
      <c r="X79" s="90">
        <f t="shared" ref="X79:AU79" si="85">SUM(X76:X78)</f>
        <v>0</v>
      </c>
      <c r="Y79" s="90">
        <f t="shared" si="85"/>
        <v>0</v>
      </c>
      <c r="Z79" s="90">
        <f t="shared" si="85"/>
        <v>0</v>
      </c>
      <c r="AA79" s="90">
        <f t="shared" si="85"/>
        <v>0</v>
      </c>
      <c r="AB79" s="90">
        <f t="shared" si="85"/>
        <v>0</v>
      </c>
      <c r="AC79" s="90">
        <f t="shared" si="85"/>
        <v>0</v>
      </c>
      <c r="AD79" s="90">
        <f t="shared" si="85"/>
        <v>0</v>
      </c>
      <c r="AE79" s="90">
        <f t="shared" si="85"/>
        <v>0</v>
      </c>
      <c r="AF79" s="90">
        <f t="shared" si="85"/>
        <v>0</v>
      </c>
      <c r="AG79" s="90">
        <f t="shared" si="85"/>
        <v>0</v>
      </c>
      <c r="AH79" s="90">
        <f t="shared" si="85"/>
        <v>0</v>
      </c>
      <c r="AI79" s="90">
        <f t="shared" si="85"/>
        <v>0</v>
      </c>
      <c r="AJ79" s="90">
        <f t="shared" si="85"/>
        <v>0</v>
      </c>
      <c r="AK79" s="90">
        <f t="shared" si="85"/>
        <v>0</v>
      </c>
      <c r="AL79" s="90">
        <f t="shared" si="85"/>
        <v>0</v>
      </c>
      <c r="AM79" s="90">
        <f t="shared" si="85"/>
        <v>0</v>
      </c>
      <c r="AN79" s="90">
        <f t="shared" si="85"/>
        <v>5200</v>
      </c>
      <c r="AO79" s="90">
        <f t="shared" si="85"/>
        <v>5200</v>
      </c>
      <c r="AP79" s="90">
        <f t="shared" si="85"/>
        <v>5200</v>
      </c>
      <c r="AQ79" s="90">
        <f t="shared" si="85"/>
        <v>5200</v>
      </c>
      <c r="AR79" s="90">
        <f t="shared" si="85"/>
        <v>5200</v>
      </c>
      <c r="AS79" s="90">
        <f t="shared" si="85"/>
        <v>5200</v>
      </c>
      <c r="AT79" s="90">
        <f t="shared" si="85"/>
        <v>5200</v>
      </c>
      <c r="AU79" s="177">
        <f t="shared" si="85"/>
        <v>5200</v>
      </c>
      <c r="AV79" s="90">
        <f t="shared" ref="AV79" si="86">SUM(AV76:AV78)</f>
        <v>41600</v>
      </c>
      <c r="DB79" s="133">
        <f t="shared" si="82"/>
        <v>0</v>
      </c>
      <c r="DC79" s="132">
        <f t="shared" si="82"/>
        <v>0</v>
      </c>
      <c r="DD79" s="132">
        <f t="shared" si="82"/>
        <v>0</v>
      </c>
      <c r="DE79" s="132">
        <f t="shared" si="82"/>
        <v>0</v>
      </c>
      <c r="DF79" s="132">
        <f t="shared" si="82"/>
        <v>0</v>
      </c>
      <c r="DG79" s="132">
        <f t="shared" si="82"/>
        <v>0</v>
      </c>
      <c r="DH79" s="132">
        <f t="shared" si="82"/>
        <v>0</v>
      </c>
      <c r="DI79" s="132">
        <f t="shared" si="82"/>
        <v>0</v>
      </c>
      <c r="DJ79" s="132">
        <f t="shared" si="82"/>
        <v>0</v>
      </c>
      <c r="DK79" s="132">
        <f t="shared" si="82"/>
        <v>0</v>
      </c>
      <c r="DL79" s="132">
        <f t="shared" si="83"/>
        <v>0</v>
      </c>
      <c r="DM79" s="134">
        <f t="shared" si="83"/>
        <v>0</v>
      </c>
      <c r="DN79" s="115">
        <f t="shared" si="83"/>
        <v>0</v>
      </c>
      <c r="DO79" s="115">
        <f t="shared" si="83"/>
        <v>0</v>
      </c>
      <c r="DP79" s="115">
        <f t="shared" si="83"/>
        <v>0</v>
      </c>
      <c r="DQ79" s="115">
        <f t="shared" si="83"/>
        <v>0</v>
      </c>
      <c r="DR79" s="115">
        <f t="shared" si="83"/>
        <v>0</v>
      </c>
      <c r="DS79" s="115">
        <f t="shared" si="83"/>
        <v>0</v>
      </c>
      <c r="DT79" s="115">
        <f t="shared" si="83"/>
        <v>0</v>
      </c>
      <c r="DU79" s="115">
        <f t="shared" si="83"/>
        <v>0</v>
      </c>
      <c r="DV79" s="115">
        <f t="shared" si="83"/>
        <v>0</v>
      </c>
      <c r="DW79" s="115">
        <f t="shared" si="83"/>
        <v>0</v>
      </c>
      <c r="DX79" s="115">
        <f t="shared" si="83"/>
        <v>0</v>
      </c>
      <c r="DY79" s="115">
        <f t="shared" si="83"/>
        <v>0</v>
      </c>
    </row>
    <row r="80" spans="1:129" x14ac:dyDescent="0.35">
      <c r="B80" s="6" t="str">
        <f t="shared" si="78"/>
        <v/>
      </c>
      <c r="D80" s="155"/>
      <c r="E80" s="145"/>
      <c r="F80" s="118">
        <f t="shared" si="79"/>
        <v>0</v>
      </c>
      <c r="G80" s="146"/>
      <c r="H80" s="347">
        <f t="shared" si="80"/>
        <v>0</v>
      </c>
      <c r="I80" s="146"/>
      <c r="J80" s="156"/>
      <c r="L80" s="118"/>
      <c r="O80" s="155"/>
      <c r="P80" s="145"/>
      <c r="Q80" s="118">
        <f t="shared" si="76"/>
        <v>0</v>
      </c>
      <c r="R80" s="146"/>
      <c r="S80" s="347">
        <f t="shared" si="81"/>
        <v>0</v>
      </c>
      <c r="T80" s="146"/>
      <c r="U80" s="156"/>
      <c r="AK80" s="115"/>
      <c r="DB80" s="133">
        <f t="shared" si="82"/>
        <v>0</v>
      </c>
      <c r="DC80" s="132">
        <f t="shared" si="82"/>
        <v>0</v>
      </c>
      <c r="DD80" s="132">
        <f t="shared" si="82"/>
        <v>0</v>
      </c>
      <c r="DE80" s="132">
        <f t="shared" si="82"/>
        <v>0</v>
      </c>
      <c r="DF80" s="132">
        <f t="shared" si="82"/>
        <v>0</v>
      </c>
      <c r="DG80" s="132">
        <f t="shared" si="82"/>
        <v>0</v>
      </c>
      <c r="DH80" s="132">
        <f t="shared" si="82"/>
        <v>0</v>
      </c>
      <c r="DI80" s="132">
        <f t="shared" si="82"/>
        <v>0</v>
      </c>
      <c r="DJ80" s="132">
        <f t="shared" si="82"/>
        <v>0</v>
      </c>
      <c r="DK80" s="132">
        <f t="shared" si="82"/>
        <v>0</v>
      </c>
      <c r="DL80" s="132">
        <f t="shared" si="83"/>
        <v>0</v>
      </c>
      <c r="DM80" s="134">
        <f t="shared" si="83"/>
        <v>0</v>
      </c>
      <c r="DN80" s="115">
        <f t="shared" si="83"/>
        <v>0</v>
      </c>
      <c r="DO80" s="115">
        <f t="shared" si="83"/>
        <v>0</v>
      </c>
      <c r="DP80" s="115">
        <f t="shared" si="83"/>
        <v>0</v>
      </c>
      <c r="DQ80" s="115">
        <f t="shared" si="83"/>
        <v>0</v>
      </c>
      <c r="DR80" s="115">
        <f t="shared" si="83"/>
        <v>0</v>
      </c>
      <c r="DS80" s="115">
        <f t="shared" si="83"/>
        <v>0</v>
      </c>
      <c r="DT80" s="115">
        <f t="shared" si="83"/>
        <v>0</v>
      </c>
      <c r="DU80" s="115">
        <f t="shared" si="83"/>
        <v>0</v>
      </c>
      <c r="DV80" s="115">
        <f t="shared" si="83"/>
        <v>0</v>
      </c>
      <c r="DW80" s="115">
        <f t="shared" si="83"/>
        <v>0</v>
      </c>
      <c r="DX80" s="115">
        <f t="shared" si="83"/>
        <v>0</v>
      </c>
      <c r="DY80" s="115">
        <f t="shared" si="83"/>
        <v>0</v>
      </c>
    </row>
    <row r="81" spans="1:129" x14ac:dyDescent="0.35">
      <c r="B81" s="6" t="str">
        <f t="shared" si="78"/>
        <v/>
      </c>
      <c r="C81" s="137"/>
      <c r="D81" s="155"/>
      <c r="E81" s="145"/>
      <c r="F81" s="118">
        <f t="shared" si="79"/>
        <v>0</v>
      </c>
      <c r="G81" s="146"/>
      <c r="H81" s="347">
        <f t="shared" si="80"/>
        <v>0</v>
      </c>
      <c r="I81" s="148"/>
      <c r="J81" s="156"/>
      <c r="K81" s="116"/>
      <c r="L81" s="118"/>
      <c r="M81" s="6"/>
      <c r="N81" s="137"/>
      <c r="O81" s="155"/>
      <c r="P81" s="145"/>
      <c r="Q81" s="118">
        <f t="shared" si="76"/>
        <v>0</v>
      </c>
      <c r="R81" s="146"/>
      <c r="S81" s="347">
        <f t="shared" si="81"/>
        <v>0</v>
      </c>
      <c r="T81" s="148"/>
      <c r="U81" s="156"/>
      <c r="W81" s="171" t="s">
        <v>315</v>
      </c>
      <c r="AK81" s="115"/>
      <c r="DB81" s="133">
        <f t="shared" si="82"/>
        <v>0</v>
      </c>
      <c r="DC81" s="132">
        <f t="shared" si="82"/>
        <v>0</v>
      </c>
      <c r="DD81" s="132">
        <f t="shared" si="82"/>
        <v>0</v>
      </c>
      <c r="DE81" s="132">
        <f t="shared" si="82"/>
        <v>0</v>
      </c>
      <c r="DF81" s="132">
        <f t="shared" si="82"/>
        <v>0</v>
      </c>
      <c r="DG81" s="132">
        <f t="shared" si="82"/>
        <v>0</v>
      </c>
      <c r="DH81" s="132">
        <f t="shared" si="82"/>
        <v>0</v>
      </c>
      <c r="DI81" s="132">
        <f t="shared" si="82"/>
        <v>0</v>
      </c>
      <c r="DJ81" s="132">
        <f t="shared" si="82"/>
        <v>0</v>
      </c>
      <c r="DK81" s="132">
        <f t="shared" si="82"/>
        <v>0</v>
      </c>
      <c r="DL81" s="132">
        <f t="shared" si="83"/>
        <v>0</v>
      </c>
      <c r="DM81" s="134">
        <f t="shared" si="83"/>
        <v>0</v>
      </c>
      <c r="DN81" s="115">
        <f t="shared" si="83"/>
        <v>0</v>
      </c>
      <c r="DO81" s="115">
        <f t="shared" si="83"/>
        <v>0</v>
      </c>
      <c r="DP81" s="115">
        <f t="shared" si="83"/>
        <v>0</v>
      </c>
      <c r="DQ81" s="115">
        <f t="shared" si="83"/>
        <v>0</v>
      </c>
      <c r="DR81" s="115">
        <f t="shared" si="83"/>
        <v>0</v>
      </c>
      <c r="DS81" s="115">
        <f t="shared" si="83"/>
        <v>0</v>
      </c>
      <c r="DT81" s="115">
        <f t="shared" si="83"/>
        <v>0</v>
      </c>
      <c r="DU81" s="115">
        <f t="shared" si="83"/>
        <v>0</v>
      </c>
      <c r="DV81" s="115">
        <f t="shared" si="83"/>
        <v>0</v>
      </c>
      <c r="DW81" s="115">
        <f t="shared" si="83"/>
        <v>0</v>
      </c>
      <c r="DX81" s="115">
        <f t="shared" si="83"/>
        <v>0</v>
      </c>
      <c r="DY81" s="115">
        <f t="shared" si="83"/>
        <v>0</v>
      </c>
    </row>
    <row r="82" spans="1:129" x14ac:dyDescent="0.35">
      <c r="B82" s="6" t="str">
        <f t="shared" si="78"/>
        <v/>
      </c>
      <c r="C82" s="137"/>
      <c r="D82" s="155"/>
      <c r="E82" s="145"/>
      <c r="F82" s="118">
        <f t="shared" si="79"/>
        <v>0</v>
      </c>
      <c r="G82" s="146"/>
      <c r="H82" s="347">
        <f t="shared" si="80"/>
        <v>0</v>
      </c>
      <c r="I82" s="148"/>
      <c r="J82" s="156"/>
      <c r="K82" s="116"/>
      <c r="L82" s="118"/>
      <c r="M82" s="6"/>
      <c r="N82" s="137"/>
      <c r="O82" s="155"/>
      <c r="P82" s="145"/>
      <c r="Q82" s="118">
        <f t="shared" si="76"/>
        <v>0</v>
      </c>
      <c r="R82" s="146"/>
      <c r="S82" s="347">
        <f t="shared" si="81"/>
        <v>0</v>
      </c>
      <c r="T82" s="148"/>
      <c r="U82" s="156"/>
      <c r="W82" s="171" t="s">
        <v>316</v>
      </c>
      <c r="AK82" s="115"/>
      <c r="DB82" s="133">
        <f t="shared" si="82"/>
        <v>0</v>
      </c>
      <c r="DC82" s="132">
        <f t="shared" si="82"/>
        <v>0</v>
      </c>
      <c r="DD82" s="132">
        <f t="shared" si="82"/>
        <v>0</v>
      </c>
      <c r="DE82" s="132">
        <f t="shared" si="82"/>
        <v>0</v>
      </c>
      <c r="DF82" s="132">
        <f t="shared" si="82"/>
        <v>0</v>
      </c>
      <c r="DG82" s="132">
        <f t="shared" si="82"/>
        <v>0</v>
      </c>
      <c r="DH82" s="132">
        <f t="shared" si="82"/>
        <v>0</v>
      </c>
      <c r="DI82" s="132">
        <f t="shared" si="82"/>
        <v>0</v>
      </c>
      <c r="DJ82" s="132">
        <f t="shared" si="82"/>
        <v>0</v>
      </c>
      <c r="DK82" s="132">
        <f t="shared" si="82"/>
        <v>0</v>
      </c>
      <c r="DL82" s="132">
        <f t="shared" si="83"/>
        <v>0</v>
      </c>
      <c r="DM82" s="134">
        <f t="shared" si="83"/>
        <v>0</v>
      </c>
      <c r="DN82" s="115">
        <f t="shared" si="83"/>
        <v>0</v>
      </c>
      <c r="DO82" s="115">
        <f t="shared" si="83"/>
        <v>0</v>
      </c>
      <c r="DP82" s="115">
        <f t="shared" si="83"/>
        <v>0</v>
      </c>
      <c r="DQ82" s="115">
        <f t="shared" si="83"/>
        <v>0</v>
      </c>
      <c r="DR82" s="115">
        <f t="shared" si="83"/>
        <v>0</v>
      </c>
      <c r="DS82" s="115">
        <f t="shared" si="83"/>
        <v>0</v>
      </c>
      <c r="DT82" s="115">
        <f t="shared" si="83"/>
        <v>0</v>
      </c>
      <c r="DU82" s="115">
        <f t="shared" si="83"/>
        <v>0</v>
      </c>
      <c r="DV82" s="115">
        <f t="shared" si="83"/>
        <v>0</v>
      </c>
      <c r="DW82" s="115">
        <f t="shared" si="83"/>
        <v>0</v>
      </c>
      <c r="DX82" s="115">
        <f t="shared" si="83"/>
        <v>0</v>
      </c>
      <c r="DY82" s="115">
        <f t="shared" si="83"/>
        <v>0</v>
      </c>
    </row>
    <row r="83" spans="1:129" x14ac:dyDescent="0.35">
      <c r="B83" s="6" t="str">
        <f t="shared" si="78"/>
        <v/>
      </c>
      <c r="C83" s="137"/>
      <c r="D83" s="155"/>
      <c r="E83" s="145"/>
      <c r="F83" s="118">
        <f t="shared" si="79"/>
        <v>0</v>
      </c>
      <c r="G83" s="146"/>
      <c r="H83" s="347">
        <f t="shared" si="80"/>
        <v>0</v>
      </c>
      <c r="I83" s="148"/>
      <c r="J83" s="156"/>
      <c r="K83" s="116"/>
      <c r="L83" s="118"/>
      <c r="M83" s="6"/>
      <c r="N83" s="137"/>
      <c r="O83" s="155"/>
      <c r="P83" s="145"/>
      <c r="Q83" s="118">
        <f t="shared" si="76"/>
        <v>0</v>
      </c>
      <c r="R83" s="146"/>
      <c r="S83" s="347">
        <f t="shared" si="81"/>
        <v>0</v>
      </c>
      <c r="T83" s="148"/>
      <c r="U83" s="156"/>
      <c r="AK83" s="115"/>
      <c r="DB83" s="133">
        <f t="shared" si="82"/>
        <v>0</v>
      </c>
      <c r="DC83" s="132">
        <f t="shared" si="82"/>
        <v>0</v>
      </c>
      <c r="DD83" s="132">
        <f t="shared" si="82"/>
        <v>0</v>
      </c>
      <c r="DE83" s="132">
        <f t="shared" si="82"/>
        <v>0</v>
      </c>
      <c r="DF83" s="132">
        <f t="shared" si="82"/>
        <v>0</v>
      </c>
      <c r="DG83" s="132">
        <f t="shared" si="82"/>
        <v>0</v>
      </c>
      <c r="DH83" s="132">
        <f t="shared" si="82"/>
        <v>0</v>
      </c>
      <c r="DI83" s="132">
        <f t="shared" si="82"/>
        <v>0</v>
      </c>
      <c r="DJ83" s="132">
        <f t="shared" si="82"/>
        <v>0</v>
      </c>
      <c r="DK83" s="132">
        <f t="shared" si="82"/>
        <v>0</v>
      </c>
      <c r="DL83" s="132">
        <f t="shared" si="83"/>
        <v>0</v>
      </c>
      <c r="DM83" s="134">
        <f t="shared" si="83"/>
        <v>0</v>
      </c>
      <c r="DN83" s="115">
        <f t="shared" si="83"/>
        <v>0</v>
      </c>
      <c r="DO83" s="115">
        <f t="shared" si="83"/>
        <v>0</v>
      </c>
      <c r="DP83" s="115">
        <f t="shared" si="83"/>
        <v>0</v>
      </c>
      <c r="DQ83" s="115">
        <f t="shared" si="83"/>
        <v>0</v>
      </c>
      <c r="DR83" s="115">
        <f t="shared" si="83"/>
        <v>0</v>
      </c>
      <c r="DS83" s="115">
        <f t="shared" si="83"/>
        <v>0</v>
      </c>
      <c r="DT83" s="115">
        <f t="shared" si="83"/>
        <v>0</v>
      </c>
      <c r="DU83" s="115">
        <f t="shared" si="83"/>
        <v>0</v>
      </c>
      <c r="DV83" s="115">
        <f t="shared" si="83"/>
        <v>0</v>
      </c>
      <c r="DW83" s="115">
        <f t="shared" si="83"/>
        <v>0</v>
      </c>
      <c r="DX83" s="115">
        <f t="shared" si="83"/>
        <v>0</v>
      </c>
      <c r="DY83" s="115">
        <f t="shared" si="83"/>
        <v>0</v>
      </c>
    </row>
    <row r="84" spans="1:129" x14ac:dyDescent="0.35">
      <c r="B84" s="6" t="str">
        <f t="shared" si="78"/>
        <v/>
      </c>
      <c r="C84" s="137"/>
      <c r="D84" s="155"/>
      <c r="E84" s="145"/>
      <c r="F84" s="118">
        <f t="shared" si="79"/>
        <v>0</v>
      </c>
      <c r="G84" s="146"/>
      <c r="H84" s="347">
        <f t="shared" si="80"/>
        <v>0</v>
      </c>
      <c r="I84" s="148"/>
      <c r="J84" s="156"/>
      <c r="K84" s="116"/>
      <c r="L84" s="118"/>
      <c r="M84" s="6"/>
      <c r="N84" s="137"/>
      <c r="O84" s="155"/>
      <c r="P84" s="145"/>
      <c r="Q84" s="118">
        <f t="shared" si="76"/>
        <v>0</v>
      </c>
      <c r="R84" s="146"/>
      <c r="S84" s="347">
        <f t="shared" si="81"/>
        <v>0</v>
      </c>
      <c r="T84" s="148"/>
      <c r="U84" s="156"/>
      <c r="AK84" s="115"/>
      <c r="DB84" s="133">
        <f t="shared" si="82"/>
        <v>0</v>
      </c>
      <c r="DC84" s="132">
        <f t="shared" si="82"/>
        <v>0</v>
      </c>
      <c r="DD84" s="132">
        <f t="shared" si="82"/>
        <v>0</v>
      </c>
      <c r="DE84" s="132">
        <f t="shared" si="82"/>
        <v>0</v>
      </c>
      <c r="DF84" s="132">
        <f t="shared" si="82"/>
        <v>0</v>
      </c>
      <c r="DG84" s="132">
        <f t="shared" si="82"/>
        <v>0</v>
      </c>
      <c r="DH84" s="132">
        <f t="shared" si="82"/>
        <v>0</v>
      </c>
      <c r="DI84" s="132">
        <f t="shared" si="82"/>
        <v>0</v>
      </c>
      <c r="DJ84" s="132">
        <f t="shared" si="82"/>
        <v>0</v>
      </c>
      <c r="DK84" s="132">
        <f t="shared" si="82"/>
        <v>0</v>
      </c>
      <c r="DL84" s="132">
        <f t="shared" si="83"/>
        <v>0</v>
      </c>
      <c r="DM84" s="134">
        <f t="shared" si="83"/>
        <v>0</v>
      </c>
      <c r="DN84" s="115">
        <f t="shared" si="83"/>
        <v>0</v>
      </c>
      <c r="DO84" s="115">
        <f t="shared" si="83"/>
        <v>0</v>
      </c>
      <c r="DP84" s="115">
        <f t="shared" si="83"/>
        <v>0</v>
      </c>
      <c r="DQ84" s="115">
        <f t="shared" si="83"/>
        <v>0</v>
      </c>
      <c r="DR84" s="115">
        <f t="shared" si="83"/>
        <v>0</v>
      </c>
      <c r="DS84" s="115">
        <f t="shared" si="83"/>
        <v>0</v>
      </c>
      <c r="DT84" s="115">
        <f t="shared" si="83"/>
        <v>0</v>
      </c>
      <c r="DU84" s="115">
        <f t="shared" si="83"/>
        <v>0</v>
      </c>
      <c r="DV84" s="115">
        <f t="shared" si="83"/>
        <v>0</v>
      </c>
      <c r="DW84" s="115">
        <f t="shared" si="83"/>
        <v>0</v>
      </c>
      <c r="DX84" s="115">
        <f t="shared" si="83"/>
        <v>0</v>
      </c>
      <c r="DY84" s="115">
        <f t="shared" si="83"/>
        <v>0</v>
      </c>
    </row>
    <row r="85" spans="1:129" x14ac:dyDescent="0.35">
      <c r="B85" s="6" t="str">
        <f t="shared" si="78"/>
        <v/>
      </c>
      <c r="C85" s="137"/>
      <c r="D85" s="155"/>
      <c r="E85" s="145"/>
      <c r="F85" s="118">
        <f t="shared" si="79"/>
        <v>0</v>
      </c>
      <c r="G85" s="146"/>
      <c r="H85" s="347">
        <f t="shared" si="80"/>
        <v>0</v>
      </c>
      <c r="I85" s="148"/>
      <c r="J85" s="156"/>
      <c r="K85" s="116"/>
      <c r="L85" s="118"/>
      <c r="M85" s="6"/>
      <c r="N85" s="137"/>
      <c r="O85" s="155"/>
      <c r="P85" s="145"/>
      <c r="Q85" s="118">
        <f t="shared" si="76"/>
        <v>0</v>
      </c>
      <c r="R85" s="146"/>
      <c r="S85" s="347">
        <f t="shared" si="81"/>
        <v>0</v>
      </c>
      <c r="T85" s="148"/>
      <c r="U85" s="156"/>
      <c r="AK85" s="115"/>
      <c r="DB85" s="133">
        <f t="shared" si="82"/>
        <v>0</v>
      </c>
      <c r="DC85" s="132">
        <f t="shared" si="82"/>
        <v>0</v>
      </c>
      <c r="DD85" s="132">
        <f t="shared" si="82"/>
        <v>0</v>
      </c>
      <c r="DE85" s="132">
        <f t="shared" si="82"/>
        <v>0</v>
      </c>
      <c r="DF85" s="132">
        <f t="shared" si="82"/>
        <v>0</v>
      </c>
      <c r="DG85" s="132">
        <f t="shared" si="82"/>
        <v>0</v>
      </c>
      <c r="DH85" s="132">
        <f t="shared" si="82"/>
        <v>0</v>
      </c>
      <c r="DI85" s="132">
        <f t="shared" si="82"/>
        <v>0</v>
      </c>
      <c r="DJ85" s="132">
        <f t="shared" si="82"/>
        <v>0</v>
      </c>
      <c r="DK85" s="132">
        <f t="shared" si="82"/>
        <v>0</v>
      </c>
      <c r="DL85" s="132">
        <f t="shared" si="83"/>
        <v>0</v>
      </c>
      <c r="DM85" s="134">
        <f t="shared" si="83"/>
        <v>0</v>
      </c>
      <c r="DN85" s="115">
        <f t="shared" si="83"/>
        <v>0</v>
      </c>
      <c r="DO85" s="115">
        <f t="shared" si="83"/>
        <v>0</v>
      </c>
      <c r="DP85" s="115">
        <f t="shared" si="83"/>
        <v>0</v>
      </c>
      <c r="DQ85" s="115">
        <f t="shared" si="83"/>
        <v>0</v>
      </c>
      <c r="DR85" s="115">
        <f t="shared" si="83"/>
        <v>0</v>
      </c>
      <c r="DS85" s="115">
        <f t="shared" si="83"/>
        <v>0</v>
      </c>
      <c r="DT85" s="115">
        <f t="shared" si="83"/>
        <v>0</v>
      </c>
      <c r="DU85" s="115">
        <f t="shared" si="83"/>
        <v>0</v>
      </c>
      <c r="DV85" s="115">
        <f t="shared" si="83"/>
        <v>0</v>
      </c>
      <c r="DW85" s="115">
        <f t="shared" si="83"/>
        <v>0</v>
      </c>
      <c r="DX85" s="115">
        <f t="shared" si="83"/>
        <v>0</v>
      </c>
      <c r="DY85" s="115">
        <f t="shared" si="83"/>
        <v>0</v>
      </c>
    </row>
    <row r="86" spans="1:129" x14ac:dyDescent="0.35">
      <c r="B86" s="6" t="str">
        <f t="shared" ref="B86:B88" si="87">IF(A86&lt;&gt;"","VACANT","")</f>
        <v/>
      </c>
      <c r="C86" s="137"/>
      <c r="D86" s="155"/>
      <c r="E86" s="145"/>
      <c r="F86" s="118">
        <f t="shared" si="79"/>
        <v>0</v>
      </c>
      <c r="G86" s="146"/>
      <c r="H86" s="347">
        <f t="shared" si="80"/>
        <v>0</v>
      </c>
      <c r="I86" s="146"/>
      <c r="J86" s="156"/>
      <c r="K86" s="116"/>
      <c r="L86" s="118"/>
      <c r="M86" s="6"/>
      <c r="N86" s="137"/>
      <c r="O86" s="155"/>
      <c r="P86" s="145"/>
      <c r="Q86" s="118">
        <f t="shared" si="76"/>
        <v>0</v>
      </c>
      <c r="R86" s="146"/>
      <c r="S86" s="347">
        <f t="shared" si="81"/>
        <v>0</v>
      </c>
      <c r="T86" s="146"/>
      <c r="U86" s="156"/>
      <c r="AK86" s="115"/>
      <c r="DB86" s="133">
        <f t="shared" si="82"/>
        <v>0</v>
      </c>
      <c r="DC86" s="132">
        <f t="shared" si="82"/>
        <v>0</v>
      </c>
      <c r="DD86" s="132">
        <f t="shared" si="82"/>
        <v>0</v>
      </c>
      <c r="DE86" s="132">
        <f t="shared" si="82"/>
        <v>0</v>
      </c>
      <c r="DF86" s="132">
        <f t="shared" si="82"/>
        <v>0</v>
      </c>
      <c r="DG86" s="132">
        <f t="shared" si="82"/>
        <v>0</v>
      </c>
      <c r="DH86" s="132">
        <f t="shared" si="82"/>
        <v>0</v>
      </c>
      <c r="DI86" s="132">
        <f t="shared" si="82"/>
        <v>0</v>
      </c>
      <c r="DJ86" s="132">
        <f t="shared" si="82"/>
        <v>0</v>
      </c>
      <c r="DK86" s="132">
        <f t="shared" si="82"/>
        <v>0</v>
      </c>
      <c r="DL86" s="132">
        <f t="shared" si="83"/>
        <v>0</v>
      </c>
      <c r="DM86" s="134">
        <f t="shared" si="83"/>
        <v>0</v>
      </c>
      <c r="DN86" s="115">
        <f t="shared" si="83"/>
        <v>0</v>
      </c>
      <c r="DO86" s="115">
        <f t="shared" si="83"/>
        <v>0</v>
      </c>
      <c r="DP86" s="115">
        <f t="shared" si="83"/>
        <v>0</v>
      </c>
      <c r="DQ86" s="115">
        <f t="shared" si="83"/>
        <v>0</v>
      </c>
      <c r="DR86" s="115">
        <f t="shared" si="83"/>
        <v>0</v>
      </c>
      <c r="DS86" s="115">
        <f t="shared" si="83"/>
        <v>0</v>
      </c>
      <c r="DT86" s="115">
        <f t="shared" si="83"/>
        <v>0</v>
      </c>
      <c r="DU86" s="115">
        <f t="shared" si="83"/>
        <v>0</v>
      </c>
      <c r="DV86" s="115">
        <f t="shared" si="83"/>
        <v>0</v>
      </c>
      <c r="DW86" s="115">
        <f t="shared" si="83"/>
        <v>0</v>
      </c>
      <c r="DX86" s="115">
        <f t="shared" si="83"/>
        <v>0</v>
      </c>
      <c r="DY86" s="115">
        <f t="shared" si="83"/>
        <v>0</v>
      </c>
    </row>
    <row r="87" spans="1:129" x14ac:dyDescent="0.35">
      <c r="B87" s="6" t="str">
        <f t="shared" si="87"/>
        <v/>
      </c>
      <c r="C87" s="137"/>
      <c r="D87" s="155"/>
      <c r="E87" s="145"/>
      <c r="F87" s="118">
        <f t="shared" si="79"/>
        <v>0</v>
      </c>
      <c r="G87" s="146"/>
      <c r="H87" s="347">
        <f t="shared" si="80"/>
        <v>0</v>
      </c>
      <c r="I87" s="146"/>
      <c r="J87" s="156"/>
      <c r="K87" s="116"/>
      <c r="L87" s="118"/>
      <c r="M87" s="6"/>
      <c r="N87" s="137"/>
      <c r="O87" s="155"/>
      <c r="P87" s="145"/>
      <c r="Q87" s="118">
        <f t="shared" si="76"/>
        <v>0</v>
      </c>
      <c r="R87" s="146"/>
      <c r="S87" s="347">
        <f t="shared" si="81"/>
        <v>0</v>
      </c>
      <c r="T87" s="146"/>
      <c r="U87" s="156"/>
      <c r="AK87" s="115"/>
      <c r="DB87" s="133">
        <f t="shared" si="82"/>
        <v>0</v>
      </c>
      <c r="DC87" s="132">
        <f t="shared" si="82"/>
        <v>0</v>
      </c>
      <c r="DD87" s="132">
        <f t="shared" si="82"/>
        <v>0</v>
      </c>
      <c r="DE87" s="132">
        <f t="shared" si="82"/>
        <v>0</v>
      </c>
      <c r="DF87" s="132">
        <f t="shared" si="82"/>
        <v>0</v>
      </c>
      <c r="DG87" s="132">
        <f t="shared" si="82"/>
        <v>0</v>
      </c>
      <c r="DH87" s="132">
        <f t="shared" si="82"/>
        <v>0</v>
      </c>
      <c r="DI87" s="132">
        <f t="shared" si="82"/>
        <v>0</v>
      </c>
      <c r="DJ87" s="132">
        <f t="shared" si="82"/>
        <v>0</v>
      </c>
      <c r="DK87" s="132">
        <f t="shared" si="82"/>
        <v>0</v>
      </c>
      <c r="DL87" s="132">
        <f t="shared" si="83"/>
        <v>0</v>
      </c>
      <c r="DM87" s="134">
        <f t="shared" si="83"/>
        <v>0</v>
      </c>
      <c r="DN87" s="115">
        <f t="shared" si="83"/>
        <v>0</v>
      </c>
      <c r="DO87" s="115">
        <f t="shared" si="83"/>
        <v>0</v>
      </c>
      <c r="DP87" s="115">
        <f t="shared" si="83"/>
        <v>0</v>
      </c>
      <c r="DQ87" s="115">
        <f t="shared" si="83"/>
        <v>0</v>
      </c>
      <c r="DR87" s="115">
        <f t="shared" si="83"/>
        <v>0</v>
      </c>
      <c r="DS87" s="115">
        <f t="shared" si="83"/>
        <v>0</v>
      </c>
      <c r="DT87" s="115">
        <f t="shared" si="83"/>
        <v>0</v>
      </c>
      <c r="DU87" s="115">
        <f t="shared" si="83"/>
        <v>0</v>
      </c>
      <c r="DV87" s="115">
        <f t="shared" si="83"/>
        <v>0</v>
      </c>
      <c r="DW87" s="115">
        <f t="shared" si="83"/>
        <v>0</v>
      </c>
      <c r="DX87" s="115">
        <f t="shared" si="83"/>
        <v>0</v>
      </c>
      <c r="DY87" s="115">
        <f t="shared" si="83"/>
        <v>0</v>
      </c>
    </row>
    <row r="88" spans="1:129" x14ac:dyDescent="0.35">
      <c r="B88" s="6" t="str">
        <f t="shared" si="87"/>
        <v/>
      </c>
      <c r="C88" s="137"/>
      <c r="D88" s="155"/>
      <c r="E88" s="145"/>
      <c r="F88" s="118">
        <f t="shared" si="79"/>
        <v>0</v>
      </c>
      <c r="G88" s="146"/>
      <c r="H88" s="347">
        <f t="shared" si="80"/>
        <v>0</v>
      </c>
      <c r="I88" s="146"/>
      <c r="J88" s="156"/>
      <c r="K88" s="116"/>
      <c r="L88" s="118"/>
      <c r="M88" s="6"/>
      <c r="N88" s="137"/>
      <c r="O88" s="155"/>
      <c r="P88" s="145"/>
      <c r="Q88" s="118">
        <f t="shared" si="76"/>
        <v>0</v>
      </c>
      <c r="R88" s="146"/>
      <c r="S88" s="347">
        <f t="shared" si="81"/>
        <v>0</v>
      </c>
      <c r="T88" s="146"/>
      <c r="U88" s="156"/>
      <c r="AK88" s="115"/>
      <c r="DB88" s="133">
        <f t="shared" si="82"/>
        <v>0</v>
      </c>
      <c r="DC88" s="132">
        <f t="shared" si="82"/>
        <v>0</v>
      </c>
      <c r="DD88" s="132">
        <f t="shared" si="82"/>
        <v>0</v>
      </c>
      <c r="DE88" s="132">
        <f t="shared" si="82"/>
        <v>0</v>
      </c>
      <c r="DF88" s="132">
        <f t="shared" si="82"/>
        <v>0</v>
      </c>
      <c r="DG88" s="132">
        <f t="shared" si="82"/>
        <v>0</v>
      </c>
      <c r="DH88" s="132">
        <f t="shared" si="82"/>
        <v>0</v>
      </c>
      <c r="DI88" s="132">
        <f t="shared" si="82"/>
        <v>0</v>
      </c>
      <c r="DJ88" s="132">
        <f t="shared" si="82"/>
        <v>0</v>
      </c>
      <c r="DK88" s="132">
        <f t="shared" si="82"/>
        <v>0</v>
      </c>
      <c r="DL88" s="132">
        <f t="shared" si="83"/>
        <v>0</v>
      </c>
      <c r="DM88" s="134">
        <f t="shared" si="83"/>
        <v>0</v>
      </c>
      <c r="DN88" s="115">
        <f t="shared" si="83"/>
        <v>0</v>
      </c>
      <c r="DO88" s="115">
        <f t="shared" si="83"/>
        <v>0</v>
      </c>
      <c r="DP88" s="115">
        <f t="shared" si="83"/>
        <v>0</v>
      </c>
      <c r="DQ88" s="115">
        <f t="shared" si="83"/>
        <v>0</v>
      </c>
      <c r="DR88" s="115">
        <f t="shared" si="83"/>
        <v>0</v>
      </c>
      <c r="DS88" s="115">
        <f t="shared" si="83"/>
        <v>0</v>
      </c>
      <c r="DT88" s="115">
        <f t="shared" si="83"/>
        <v>0</v>
      </c>
      <c r="DU88" s="115">
        <f t="shared" si="83"/>
        <v>0</v>
      </c>
      <c r="DV88" s="115">
        <f t="shared" si="83"/>
        <v>0</v>
      </c>
      <c r="DW88" s="115">
        <f t="shared" si="83"/>
        <v>0</v>
      </c>
      <c r="DX88" s="115">
        <f t="shared" si="83"/>
        <v>0</v>
      </c>
      <c r="DY88" s="115">
        <f t="shared" si="83"/>
        <v>0</v>
      </c>
    </row>
    <row r="89" spans="1:129" x14ac:dyDescent="0.35">
      <c r="A89" s="129"/>
      <c r="B89" s="15"/>
      <c r="C89" s="138"/>
      <c r="D89" s="157"/>
      <c r="E89" s="149"/>
      <c r="F89" s="129">
        <f t="shared" si="79"/>
        <v>0</v>
      </c>
      <c r="G89" s="150"/>
      <c r="H89" s="348">
        <f t="shared" si="80"/>
        <v>0</v>
      </c>
      <c r="I89" s="150"/>
      <c r="J89" s="158"/>
      <c r="K89" s="116"/>
      <c r="L89" s="129"/>
      <c r="M89" s="15"/>
      <c r="N89" s="138"/>
      <c r="O89" s="157"/>
      <c r="P89" s="149"/>
      <c r="Q89" s="129">
        <f t="shared" si="76"/>
        <v>0</v>
      </c>
      <c r="R89" s="150"/>
      <c r="S89" s="348">
        <f t="shared" si="81"/>
        <v>0</v>
      </c>
      <c r="T89" s="150"/>
      <c r="U89" s="158"/>
      <c r="AK89" s="115"/>
      <c r="DB89" s="133">
        <f t="shared" si="82"/>
        <v>0</v>
      </c>
      <c r="DC89" s="132">
        <f t="shared" si="82"/>
        <v>0</v>
      </c>
      <c r="DD89" s="132">
        <f t="shared" si="82"/>
        <v>0</v>
      </c>
      <c r="DE89" s="132">
        <f t="shared" si="82"/>
        <v>0</v>
      </c>
      <c r="DF89" s="132">
        <f t="shared" si="82"/>
        <v>0</v>
      </c>
      <c r="DG89" s="132">
        <f t="shared" si="82"/>
        <v>0</v>
      </c>
      <c r="DH89" s="132">
        <f t="shared" si="82"/>
        <v>0</v>
      </c>
      <c r="DI89" s="132">
        <f t="shared" si="82"/>
        <v>0</v>
      </c>
      <c r="DJ89" s="132">
        <f t="shared" si="82"/>
        <v>0</v>
      </c>
      <c r="DK89" s="132">
        <f t="shared" si="82"/>
        <v>0</v>
      </c>
      <c r="DL89" s="132">
        <f t="shared" si="83"/>
        <v>0</v>
      </c>
      <c r="DM89" s="134">
        <f t="shared" si="83"/>
        <v>0</v>
      </c>
      <c r="DN89" s="115">
        <f t="shared" si="83"/>
        <v>0</v>
      </c>
      <c r="DO89" s="115">
        <f t="shared" si="83"/>
        <v>0</v>
      </c>
      <c r="DP89" s="115">
        <f t="shared" si="83"/>
        <v>0</v>
      </c>
      <c r="DQ89" s="115">
        <f t="shared" si="83"/>
        <v>0</v>
      </c>
      <c r="DR89" s="115">
        <f t="shared" si="83"/>
        <v>0</v>
      </c>
      <c r="DS89" s="115">
        <f t="shared" si="83"/>
        <v>0</v>
      </c>
      <c r="DT89" s="115">
        <f t="shared" si="83"/>
        <v>0</v>
      </c>
      <c r="DU89" s="115">
        <f t="shared" si="83"/>
        <v>0</v>
      </c>
      <c r="DV89" s="115">
        <f t="shared" si="83"/>
        <v>0</v>
      </c>
      <c r="DW89" s="115">
        <f t="shared" si="83"/>
        <v>0</v>
      </c>
      <c r="DX89" s="115">
        <f t="shared" si="83"/>
        <v>0</v>
      </c>
      <c r="DY89" s="115">
        <f t="shared" si="83"/>
        <v>0</v>
      </c>
    </row>
    <row r="90" spans="1:129" ht="16.5" thickBot="1" x14ac:dyDescent="0.35">
      <c r="A90" s="117"/>
      <c r="B90" s="16" t="s">
        <v>301</v>
      </c>
      <c r="C90" s="139">
        <f>SUM(C75:C89)</f>
        <v>2400</v>
      </c>
      <c r="D90" s="125"/>
      <c r="E90" s="125"/>
      <c r="F90" s="135"/>
      <c r="G90" s="126"/>
      <c r="H90" s="126"/>
      <c r="I90" s="126"/>
      <c r="J90" s="127"/>
      <c r="K90" s="116"/>
      <c r="L90" s="117"/>
      <c r="M90" s="16" t="s">
        <v>304</v>
      </c>
      <c r="N90" s="139">
        <f>SUM(N75:N89)</f>
        <v>0</v>
      </c>
      <c r="O90" s="125"/>
      <c r="P90" s="125"/>
      <c r="Q90" s="135"/>
      <c r="R90" s="126"/>
      <c r="S90" s="126"/>
      <c r="T90" s="126"/>
      <c r="U90" s="127"/>
      <c r="AK90" s="115"/>
      <c r="DB90" s="122">
        <f>SUM(DB75:DB89)</f>
        <v>0</v>
      </c>
      <c r="DC90" s="122">
        <f t="shared" ref="DC90" si="88">SUM(DC75:DC89)</f>
        <v>0</v>
      </c>
      <c r="DD90" s="122">
        <f t="shared" ref="DD90" si="89">SUM(DD75:DD89)</f>
        <v>0</v>
      </c>
      <c r="DE90" s="122">
        <f t="shared" ref="DE90" si="90">SUM(DE75:DE89)</f>
        <v>0</v>
      </c>
      <c r="DF90" s="122">
        <f t="shared" ref="DF90" si="91">SUM(DF75:DF89)</f>
        <v>0</v>
      </c>
      <c r="DG90" s="122">
        <f t="shared" ref="DG90" si="92">SUM(DG75:DG89)</f>
        <v>0</v>
      </c>
      <c r="DH90" s="122">
        <f t="shared" ref="DH90" si="93">SUM(DH75:DH89)</f>
        <v>0</v>
      </c>
      <c r="DI90" s="122">
        <f t="shared" ref="DI90" si="94">SUM(DI75:DI89)</f>
        <v>0</v>
      </c>
      <c r="DJ90" s="122">
        <f t="shared" ref="DJ90" si="95">SUM(DJ75:DJ89)</f>
        <v>0</v>
      </c>
      <c r="DK90" s="122">
        <f t="shared" ref="DK90" si="96">SUM(DK75:DK89)</f>
        <v>0</v>
      </c>
      <c r="DL90" s="122">
        <f t="shared" ref="DL90" si="97">SUM(DL75:DL89)</f>
        <v>0</v>
      </c>
      <c r="DM90" s="122">
        <f t="shared" ref="DM90" si="98">SUM(DM75:DM89)</f>
        <v>0</v>
      </c>
      <c r="DN90" s="122">
        <f t="shared" ref="DN90" si="99">SUM(DN75:DN89)</f>
        <v>0</v>
      </c>
      <c r="DO90" s="122">
        <f t="shared" ref="DO90" si="100">SUM(DO75:DO89)</f>
        <v>0</v>
      </c>
      <c r="DP90" s="122">
        <f t="shared" ref="DP90" si="101">SUM(DP75:DP89)</f>
        <v>0</v>
      </c>
      <c r="DQ90" s="122">
        <f t="shared" ref="DQ90" si="102">SUM(DQ75:DQ89)</f>
        <v>0</v>
      </c>
      <c r="DR90" s="122">
        <f t="shared" ref="DR90" si="103">SUM(DR75:DR89)</f>
        <v>5200</v>
      </c>
      <c r="DS90" s="122">
        <f t="shared" ref="DS90" si="104">SUM(DS75:DS89)</f>
        <v>5200</v>
      </c>
      <c r="DT90" s="122">
        <f t="shared" ref="DT90" si="105">SUM(DT75:DT89)</f>
        <v>5200</v>
      </c>
      <c r="DU90" s="122">
        <f t="shared" ref="DU90" si="106">SUM(DU75:DU89)</f>
        <v>5200</v>
      </c>
      <c r="DV90" s="122">
        <f t="shared" ref="DV90" si="107">SUM(DV75:DV89)</f>
        <v>5200</v>
      </c>
      <c r="DW90" s="122">
        <f t="shared" ref="DW90" si="108">SUM(DW75:DW89)</f>
        <v>5200</v>
      </c>
      <c r="DX90" s="122">
        <f t="shared" ref="DX90" si="109">SUM(DX75:DX89)</f>
        <v>5200</v>
      </c>
      <c r="DY90" s="122">
        <f t="shared" ref="DY90" si="110">SUM(DY75:DY89)</f>
        <v>5200</v>
      </c>
    </row>
    <row r="91" spans="1:129" s="179" customFormat="1" ht="18.5" thickTop="1" thickBot="1" x14ac:dyDescent="0.3">
      <c r="A91" s="178"/>
      <c r="F91" s="178"/>
      <c r="K91" s="180"/>
      <c r="AK91" s="180"/>
      <c r="DB91" s="418"/>
      <c r="DC91" s="418"/>
      <c r="DD91" s="418"/>
      <c r="DE91" s="418"/>
      <c r="DF91" s="418"/>
      <c r="DG91" s="418"/>
      <c r="DH91" s="418"/>
      <c r="DI91" s="418"/>
      <c r="DJ91" s="418"/>
      <c r="DK91" s="418"/>
      <c r="DL91" s="418"/>
      <c r="DM91" s="418"/>
    </row>
    <row r="92" spans="1:129" x14ac:dyDescent="0.35">
      <c r="A92" s="114"/>
      <c r="F92" s="114"/>
      <c r="K92" s="118"/>
      <c r="AK92" s="120"/>
      <c r="DB92" s="160">
        <f t="shared" ref="DB92:DY92" si="111">DB$8</f>
        <v>45658</v>
      </c>
      <c r="DC92" s="5">
        <f t="shared" si="111"/>
        <v>45689</v>
      </c>
      <c r="DD92" s="5">
        <f t="shared" si="111"/>
        <v>45717</v>
      </c>
      <c r="DE92" s="5">
        <f t="shared" si="111"/>
        <v>45748</v>
      </c>
      <c r="DF92" s="5">
        <f t="shared" si="111"/>
        <v>45778</v>
      </c>
      <c r="DG92" s="5">
        <f t="shared" si="111"/>
        <v>45809</v>
      </c>
      <c r="DH92" s="5">
        <f t="shared" si="111"/>
        <v>45839</v>
      </c>
      <c r="DI92" s="5">
        <f t="shared" si="111"/>
        <v>45870</v>
      </c>
      <c r="DJ92" s="5">
        <f t="shared" si="111"/>
        <v>45901</v>
      </c>
      <c r="DK92" s="5">
        <f t="shared" si="111"/>
        <v>45931</v>
      </c>
      <c r="DL92" s="5">
        <f t="shared" si="111"/>
        <v>45962</v>
      </c>
      <c r="DM92" s="161">
        <f t="shared" si="111"/>
        <v>45992</v>
      </c>
      <c r="DN92" s="5">
        <f t="shared" si="111"/>
        <v>46023</v>
      </c>
      <c r="DO92" s="5">
        <f t="shared" si="111"/>
        <v>46054</v>
      </c>
      <c r="DP92" s="5">
        <f t="shared" si="111"/>
        <v>46082</v>
      </c>
      <c r="DQ92" s="5">
        <f t="shared" si="111"/>
        <v>46113</v>
      </c>
      <c r="DR92" s="5">
        <f t="shared" si="111"/>
        <v>46143</v>
      </c>
      <c r="DS92" s="5">
        <f t="shared" si="111"/>
        <v>46174</v>
      </c>
      <c r="DT92" s="5">
        <f t="shared" si="111"/>
        <v>46204</v>
      </c>
      <c r="DU92" s="5">
        <f t="shared" si="111"/>
        <v>46235</v>
      </c>
      <c r="DV92" s="5">
        <f t="shared" si="111"/>
        <v>46266</v>
      </c>
      <c r="DW92" s="5">
        <f t="shared" si="111"/>
        <v>46296</v>
      </c>
      <c r="DX92" s="5">
        <f t="shared" si="111"/>
        <v>46327</v>
      </c>
      <c r="DY92" s="5">
        <f t="shared" si="111"/>
        <v>46357</v>
      </c>
    </row>
    <row r="93" spans="1:129" ht="18" x14ac:dyDescent="0.35">
      <c r="A93" s="143">
        <f>'5600'!B1</f>
        <v>5600</v>
      </c>
      <c r="B93" s="6"/>
      <c r="C93" s="119"/>
      <c r="D93" s="117"/>
      <c r="E93" s="117"/>
      <c r="F93" s="117"/>
      <c r="G93" s="117"/>
      <c r="I93" s="117"/>
      <c r="J93" s="117"/>
      <c r="K93" s="117"/>
    </row>
    <row r="94" spans="1:129" ht="17.5" x14ac:dyDescent="0.25">
      <c r="A94" s="181">
        <f>'5600'!B4</f>
        <v>1326</v>
      </c>
      <c r="B94" s="182">
        <f>(A94-C112)/A94</f>
        <v>1</v>
      </c>
      <c r="D94" s="183" t="str">
        <f>"Vacancies - "&amp;A93</f>
        <v>Vacancies - 5600</v>
      </c>
      <c r="E94" s="153"/>
      <c r="F94" s="153"/>
      <c r="G94" s="153"/>
      <c r="H94" s="153"/>
      <c r="I94" s="153"/>
      <c r="J94" s="152"/>
      <c r="K94" s="117"/>
      <c r="O94" s="183" t="str">
        <f>"Renewals - "&amp;A93</f>
        <v>Renewals - 5600</v>
      </c>
      <c r="P94" s="153"/>
      <c r="Q94" s="153"/>
      <c r="R94" s="153"/>
      <c r="S94" s="153"/>
      <c r="T94" s="153"/>
      <c r="U94" s="152"/>
    </row>
    <row r="95" spans="1:129" ht="18" x14ac:dyDescent="0.25">
      <c r="A95" s="114"/>
      <c r="D95" s="414" t="s">
        <v>306</v>
      </c>
      <c r="E95" s="415"/>
      <c r="F95" s="415"/>
      <c r="G95" s="415"/>
      <c r="H95" s="415"/>
      <c r="I95" s="415"/>
      <c r="J95" s="416"/>
      <c r="O95" s="414" t="s">
        <v>306</v>
      </c>
      <c r="P95" s="415"/>
      <c r="Q95" s="415"/>
      <c r="R95" s="415"/>
      <c r="S95" s="415"/>
      <c r="T95" s="415"/>
      <c r="U95" s="416"/>
      <c r="W95" s="142">
        <f>A93</f>
        <v>5600</v>
      </c>
      <c r="X95" s="417">
        <v>2025</v>
      </c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>
        <f>X95+1</f>
        <v>2026</v>
      </c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DB95" s="412" t="str">
        <f>+$DB$7</f>
        <v>2025</v>
      </c>
      <c r="DC95" s="412"/>
      <c r="DD95" s="412"/>
      <c r="DE95" s="412"/>
      <c r="DF95" s="412"/>
      <c r="DG95" s="412"/>
      <c r="DH95" s="412"/>
      <c r="DI95" s="412"/>
      <c r="DJ95" s="412"/>
      <c r="DK95" s="412"/>
      <c r="DL95" s="412"/>
      <c r="DM95" s="412"/>
      <c r="DN95" s="412" t="str">
        <f>+$DN$7</f>
        <v>2026</v>
      </c>
      <c r="DO95" s="412"/>
      <c r="DP95" s="412"/>
      <c r="DQ95" s="412"/>
      <c r="DR95" s="412"/>
      <c r="DS95" s="412"/>
      <c r="DT95" s="412"/>
      <c r="DU95" s="412"/>
      <c r="DV95" s="412"/>
      <c r="DW95" s="412"/>
      <c r="DX95" s="412"/>
      <c r="DY95" s="412"/>
    </row>
    <row r="96" spans="1:129" x14ac:dyDescent="0.35">
      <c r="A96" s="129" t="s">
        <v>206</v>
      </c>
      <c r="B96" s="15" t="s">
        <v>302</v>
      </c>
      <c r="C96" s="136" t="s">
        <v>203</v>
      </c>
      <c r="D96" s="159" t="s">
        <v>307</v>
      </c>
      <c r="E96" s="129" t="s">
        <v>308</v>
      </c>
      <c r="F96" s="129"/>
      <c r="G96" s="128" t="s">
        <v>202</v>
      </c>
      <c r="H96" s="141" t="s">
        <v>526</v>
      </c>
      <c r="I96" s="141" t="s">
        <v>303</v>
      </c>
      <c r="J96" s="131" t="s">
        <v>201</v>
      </c>
      <c r="K96" s="118"/>
      <c r="L96" s="129" t="s">
        <v>206</v>
      </c>
      <c r="M96" s="15" t="s">
        <v>302</v>
      </c>
      <c r="N96" s="136" t="s">
        <v>203</v>
      </c>
      <c r="O96" s="159" t="s">
        <v>307</v>
      </c>
      <c r="P96" s="129" t="s">
        <v>308</v>
      </c>
      <c r="Q96" s="129"/>
      <c r="R96" s="128" t="s">
        <v>202</v>
      </c>
      <c r="S96" s="141" t="s">
        <v>526</v>
      </c>
      <c r="T96" s="141" t="s">
        <v>303</v>
      </c>
      <c r="U96" s="131" t="s">
        <v>201</v>
      </c>
      <c r="X96" s="160">
        <f>X$8</f>
        <v>45658</v>
      </c>
      <c r="Y96" s="5">
        <f t="shared" ref="Y96:AU96" si="112">Y$8</f>
        <v>45689</v>
      </c>
      <c r="Z96" s="5">
        <f t="shared" si="112"/>
        <v>45717</v>
      </c>
      <c r="AA96" s="5">
        <f t="shared" si="112"/>
        <v>45748</v>
      </c>
      <c r="AB96" s="5">
        <f t="shared" si="112"/>
        <v>45778</v>
      </c>
      <c r="AC96" s="5">
        <f t="shared" si="112"/>
        <v>45809</v>
      </c>
      <c r="AD96" s="5">
        <f t="shared" si="112"/>
        <v>45839</v>
      </c>
      <c r="AE96" s="5">
        <f t="shared" si="112"/>
        <v>45870</v>
      </c>
      <c r="AF96" s="5">
        <f t="shared" si="112"/>
        <v>45901</v>
      </c>
      <c r="AG96" s="5">
        <f t="shared" si="112"/>
        <v>45931</v>
      </c>
      <c r="AH96" s="5">
        <f t="shared" si="112"/>
        <v>45962</v>
      </c>
      <c r="AI96" s="161">
        <f t="shared" si="112"/>
        <v>45992</v>
      </c>
      <c r="AJ96" s="5">
        <f t="shared" si="112"/>
        <v>46023</v>
      </c>
      <c r="AK96" s="5">
        <f t="shared" si="112"/>
        <v>46054</v>
      </c>
      <c r="AL96" s="5">
        <f t="shared" si="112"/>
        <v>46082</v>
      </c>
      <c r="AM96" s="5">
        <f t="shared" si="112"/>
        <v>46113</v>
      </c>
      <c r="AN96" s="5">
        <f t="shared" si="112"/>
        <v>46143</v>
      </c>
      <c r="AO96" s="5">
        <f t="shared" si="112"/>
        <v>46174</v>
      </c>
      <c r="AP96" s="5">
        <f t="shared" si="112"/>
        <v>46204</v>
      </c>
      <c r="AQ96" s="5">
        <f t="shared" si="112"/>
        <v>46235</v>
      </c>
      <c r="AR96" s="5">
        <f t="shared" si="112"/>
        <v>46266</v>
      </c>
      <c r="AS96" s="5">
        <f t="shared" si="112"/>
        <v>46296</v>
      </c>
      <c r="AT96" s="5">
        <f t="shared" si="112"/>
        <v>46327</v>
      </c>
      <c r="AU96" s="5">
        <f t="shared" si="112"/>
        <v>46357</v>
      </c>
      <c r="AV96" s="210" t="str">
        <f>AJ95&amp;" - Totals"</f>
        <v>2026 - Totals</v>
      </c>
      <c r="DB96" s="160">
        <f t="shared" ref="DB96:DY96" si="113">DB$8</f>
        <v>45658</v>
      </c>
      <c r="DC96" s="5">
        <f t="shared" si="113"/>
        <v>45689</v>
      </c>
      <c r="DD96" s="5">
        <f t="shared" si="113"/>
        <v>45717</v>
      </c>
      <c r="DE96" s="5">
        <f t="shared" si="113"/>
        <v>45748</v>
      </c>
      <c r="DF96" s="5">
        <f t="shared" si="113"/>
        <v>45778</v>
      </c>
      <c r="DG96" s="5">
        <f t="shared" si="113"/>
        <v>45809</v>
      </c>
      <c r="DH96" s="5">
        <f t="shared" si="113"/>
        <v>45839</v>
      </c>
      <c r="DI96" s="5">
        <f t="shared" si="113"/>
        <v>45870</v>
      </c>
      <c r="DJ96" s="5">
        <f t="shared" si="113"/>
        <v>45901</v>
      </c>
      <c r="DK96" s="5">
        <f t="shared" si="113"/>
        <v>45931</v>
      </c>
      <c r="DL96" s="5">
        <f t="shared" si="113"/>
        <v>45962</v>
      </c>
      <c r="DM96" s="161">
        <f t="shared" si="113"/>
        <v>45992</v>
      </c>
      <c r="DN96" s="5">
        <f t="shared" si="113"/>
        <v>46023</v>
      </c>
      <c r="DO96" s="5">
        <f t="shared" si="113"/>
        <v>46054</v>
      </c>
      <c r="DP96" s="5">
        <f t="shared" si="113"/>
        <v>46082</v>
      </c>
      <c r="DQ96" s="5">
        <f t="shared" si="113"/>
        <v>46113</v>
      </c>
      <c r="DR96" s="5">
        <f t="shared" si="113"/>
        <v>46143</v>
      </c>
      <c r="DS96" s="5">
        <f t="shared" si="113"/>
        <v>46174</v>
      </c>
      <c r="DT96" s="5">
        <f t="shared" si="113"/>
        <v>46204</v>
      </c>
      <c r="DU96" s="5">
        <f t="shared" si="113"/>
        <v>46235</v>
      </c>
      <c r="DV96" s="5">
        <f t="shared" si="113"/>
        <v>46266</v>
      </c>
      <c r="DW96" s="5">
        <f t="shared" si="113"/>
        <v>46296</v>
      </c>
      <c r="DX96" s="5">
        <f t="shared" si="113"/>
        <v>46327</v>
      </c>
      <c r="DY96" s="5">
        <f t="shared" si="113"/>
        <v>46357</v>
      </c>
    </row>
    <row r="97" spans="1:129" x14ac:dyDescent="0.35">
      <c r="B97" s="6" t="str">
        <f t="shared" ref="B97:B111" si="114">IF(A97&lt;&gt;"","VACANT","")</f>
        <v/>
      </c>
      <c r="C97" s="137"/>
      <c r="D97" s="155"/>
      <c r="E97" s="145"/>
      <c r="F97" s="172">
        <f>IFERROR(ROUNDUP(((DATEDIF(D97,E97,"d"))/365),1),0)</f>
        <v>0</v>
      </c>
      <c r="G97" s="146"/>
      <c r="H97" s="347">
        <f>(G97*C97)/12</f>
        <v>0</v>
      </c>
      <c r="I97" s="146"/>
      <c r="J97" s="156"/>
      <c r="K97" s="163"/>
      <c r="L97" s="118"/>
      <c r="M97" s="6"/>
      <c r="N97" s="137"/>
      <c r="O97" s="155"/>
      <c r="P97" s="145"/>
      <c r="Q97" s="172">
        <f t="shared" ref="Q97:Q111" si="115">IFERROR(ROUNDUP(((DATEDIF(O97,P97,"d"))/365),1),0)</f>
        <v>0</v>
      </c>
      <c r="R97" s="146"/>
      <c r="S97" s="347">
        <f>(R97*N97)/12</f>
        <v>0</v>
      </c>
      <c r="T97" s="146"/>
      <c r="U97" s="156"/>
      <c r="W97" s="114" t="s">
        <v>314</v>
      </c>
      <c r="X97" s="199" cm="1">
        <f t="array" ref="X97:AI97">_xlfn.LET(
  _xlpm.months, X96:AI96,
  _xlpm.totalSqft, A94,
  _xlpm.vacSF, C97:C111,
  _xlpm.vacStart, D97:D111,
  _xlpm.vacEnd, E97:E111,
  _xlpm.renSF, N97:N111,
  _xlpm.renEnd, P97:P111,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Y97" s="200">
        <v>1</v>
      </c>
      <c r="Z97" s="200">
        <v>1</v>
      </c>
      <c r="AA97" s="200">
        <v>1</v>
      </c>
      <c r="AB97" s="200">
        <v>1</v>
      </c>
      <c r="AC97" s="200">
        <v>1</v>
      </c>
      <c r="AD97" s="200">
        <v>1</v>
      </c>
      <c r="AE97" s="200">
        <v>1</v>
      </c>
      <c r="AF97" s="200">
        <v>1</v>
      </c>
      <c r="AG97" s="200">
        <v>1</v>
      </c>
      <c r="AH97" s="200">
        <v>1</v>
      </c>
      <c r="AI97" s="200">
        <v>1</v>
      </c>
      <c r="AJ97" s="199" cm="1">
        <f t="array" ref="AJ97:AU97">_xlfn.LET(
  _xlpm.months, AJ96:AU96,
  _xlpm.totalSqft, A94,
  _xlpm.vacSF, C97:C111,
  _xlpm.vacStart, D97:D111,
  _xlpm.vacEnd, E97:E111,
  _xlpm.renSF, N97:N111,
  _xlpm.renEnd, P97:P111,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AK97" s="200">
        <v>1</v>
      </c>
      <c r="AL97" s="200">
        <v>1</v>
      </c>
      <c r="AM97" s="200">
        <v>1</v>
      </c>
      <c r="AN97" s="200">
        <v>1</v>
      </c>
      <c r="AO97" s="200">
        <v>1</v>
      </c>
      <c r="AP97" s="200">
        <v>1</v>
      </c>
      <c r="AQ97" s="200">
        <v>1</v>
      </c>
      <c r="AR97" s="200">
        <v>1</v>
      </c>
      <c r="AS97" s="200">
        <v>1</v>
      </c>
      <c r="AT97" s="200">
        <v>1</v>
      </c>
      <c r="AU97" s="200">
        <v>1</v>
      </c>
      <c r="AV97" s="208"/>
      <c r="DB97" s="133">
        <f t="shared" ref="DB97:DY97" si="116">IF(AND($D97&lt;=DB96,$E97&gt;=DB96),(($G97*$C97)/12),0)</f>
        <v>0</v>
      </c>
      <c r="DC97" s="132">
        <f t="shared" si="116"/>
        <v>0</v>
      </c>
      <c r="DD97" s="132">
        <f t="shared" si="116"/>
        <v>0</v>
      </c>
      <c r="DE97" s="132">
        <f t="shared" si="116"/>
        <v>0</v>
      </c>
      <c r="DF97" s="132">
        <f t="shared" si="116"/>
        <v>0</v>
      </c>
      <c r="DG97" s="132">
        <f t="shared" si="116"/>
        <v>0</v>
      </c>
      <c r="DH97" s="132">
        <f t="shared" si="116"/>
        <v>0</v>
      </c>
      <c r="DI97" s="132">
        <f t="shared" si="116"/>
        <v>0</v>
      </c>
      <c r="DJ97" s="132">
        <f t="shared" si="116"/>
        <v>0</v>
      </c>
      <c r="DK97" s="132">
        <f t="shared" si="116"/>
        <v>0</v>
      </c>
      <c r="DL97" s="132">
        <f t="shared" si="116"/>
        <v>0</v>
      </c>
      <c r="DM97" s="134">
        <f t="shared" si="116"/>
        <v>0</v>
      </c>
      <c r="DN97" s="115">
        <f t="shared" si="116"/>
        <v>0</v>
      </c>
      <c r="DO97" s="115">
        <f t="shared" si="116"/>
        <v>0</v>
      </c>
      <c r="DP97" s="115">
        <f t="shared" si="116"/>
        <v>0</v>
      </c>
      <c r="DQ97" s="115">
        <f t="shared" si="116"/>
        <v>0</v>
      </c>
      <c r="DR97" s="115">
        <f t="shared" si="116"/>
        <v>0</v>
      </c>
      <c r="DS97" s="115">
        <f t="shared" si="116"/>
        <v>0</v>
      </c>
      <c r="DT97" s="115">
        <f t="shared" si="116"/>
        <v>0</v>
      </c>
      <c r="DU97" s="115">
        <f t="shared" si="116"/>
        <v>0</v>
      </c>
      <c r="DV97" s="115">
        <f t="shared" si="116"/>
        <v>0</v>
      </c>
      <c r="DW97" s="115">
        <f t="shared" si="116"/>
        <v>0</v>
      </c>
      <c r="DX97" s="115">
        <f t="shared" si="116"/>
        <v>0</v>
      </c>
      <c r="DY97" s="115">
        <f t="shared" si="116"/>
        <v>0</v>
      </c>
    </row>
    <row r="98" spans="1:129" x14ac:dyDescent="0.35">
      <c r="B98" s="6" t="str">
        <f t="shared" si="114"/>
        <v/>
      </c>
      <c r="C98" s="137"/>
      <c r="D98" s="155"/>
      <c r="E98" s="145"/>
      <c r="F98" s="118">
        <f t="shared" ref="F98:F111" si="117">IFERROR(ROUNDUP(((DATEDIF(D98,E98,"d"))/365),1),0)</f>
        <v>0</v>
      </c>
      <c r="G98" s="146"/>
      <c r="H98" s="347">
        <f t="shared" ref="H98:H111" si="118">(G98*C98)/12</f>
        <v>0</v>
      </c>
      <c r="I98" s="146"/>
      <c r="J98" s="156"/>
      <c r="K98" s="116"/>
      <c r="L98" s="118"/>
      <c r="M98" s="6"/>
      <c r="N98" s="137"/>
      <c r="O98" s="155"/>
      <c r="P98" s="145"/>
      <c r="Q98" s="118">
        <f t="shared" si="115"/>
        <v>0</v>
      </c>
      <c r="R98" s="146"/>
      <c r="S98" s="347">
        <f t="shared" ref="S98:S111" si="119">(R98*N98)/12</f>
        <v>0</v>
      </c>
      <c r="T98" s="146"/>
      <c r="U98" s="156"/>
      <c r="W98" s="114" t="s">
        <v>312</v>
      </c>
      <c r="X98" s="133" cm="1">
        <f t="array" ref="X98">((SUMPRODUCT(($D97:$D111&lt;=X$8) * ($E97:$E111&gt;=X$8) * ($G97:$G111 * $C97:$C111)))+(SUMPRODUCT(($O97:$O111&lt;=X$8) * ($P97:$P111&gt;=X$8) * ($R97:$R111 * $N97:$N111))))/12</f>
        <v>0</v>
      </c>
      <c r="Y98" s="115" cm="1">
        <f t="array" ref="Y98">((SUMPRODUCT(($D97:$D111&lt;=Y$8) * ($E97:$E111&gt;=Y$8) * ($G97:$G111 * $C97:$C111)))+(SUMPRODUCT(($O97:$O111&lt;=Y$8) * ($P97:$P111&gt;=Y$8) * ($R97:$R111 * $N97:$N111))))/12</f>
        <v>0</v>
      </c>
      <c r="Z98" s="115" cm="1">
        <f t="array" ref="Z98">((SUMPRODUCT(($D97:$D111&lt;=Z$8) * ($E97:$E111&gt;=Z$8) * ($G97:$G111 * $C97:$C111)))+(SUMPRODUCT(($O97:$O111&lt;=Z$8) * ($P97:$P111&gt;=Z$8) * ($R97:$R111 * $N97:$N111))))/12</f>
        <v>0</v>
      </c>
      <c r="AA98" s="115" cm="1">
        <f t="array" ref="AA98">((SUMPRODUCT(($D97:$D111&lt;=AA$8) * ($E97:$E111&gt;=AA$8) * ($G97:$G111 * $C97:$C111)))+(SUMPRODUCT(($O97:$O111&lt;=AA$8) * ($P97:$P111&gt;=AA$8) * ($R97:$R111 * $N97:$N111))))/12</f>
        <v>0</v>
      </c>
      <c r="AB98" s="115" cm="1">
        <f t="array" ref="AB98">((SUMPRODUCT(($D97:$D111&lt;=AB$8) * ($E97:$E111&gt;=AB$8) * ($G97:$G111 * $C97:$C111)))+(SUMPRODUCT(($O97:$O111&lt;=AB$8) * ($P97:$P111&gt;=AB$8) * ($R97:$R111 * $N97:$N111))))/12</f>
        <v>0</v>
      </c>
      <c r="AC98" s="115" cm="1">
        <f t="array" ref="AC98">((SUMPRODUCT(($D97:$D111&lt;=AC$8) * ($E97:$E111&gt;=AC$8) * ($G97:$G111 * $C97:$C111)))+(SUMPRODUCT(($O97:$O111&lt;=AC$8) * ($P97:$P111&gt;=AC$8) * ($R97:$R111 * $N97:$N111))))/12</f>
        <v>0</v>
      </c>
      <c r="AD98" s="115" cm="1">
        <f t="array" ref="AD98">((SUMPRODUCT(($D97:$D111&lt;=AD$8) * ($E97:$E111&gt;=AD$8) * ($G97:$G111 * $C97:$C111)))+(SUMPRODUCT(($O97:$O111&lt;=AD$8) * ($P97:$P111&gt;=AD$8) * ($R97:$R111 * $N97:$N111))))/12</f>
        <v>0</v>
      </c>
      <c r="AE98" s="115" cm="1">
        <f t="array" ref="AE98">((SUMPRODUCT(($D97:$D111&lt;=AE$8) * ($E97:$E111&gt;=AE$8) * ($G97:$G111 * $C97:$C111)))+(SUMPRODUCT(($O97:$O111&lt;=AE$8) * ($P97:$P111&gt;=AE$8) * ($R97:$R111 * $N97:$N111))))/12</f>
        <v>0</v>
      </c>
      <c r="AF98" s="115" cm="1">
        <f t="array" ref="AF98">((SUMPRODUCT(($D97:$D111&lt;=AF$8) * ($E97:$E111&gt;=AF$8) * ($G97:$G111 * $C97:$C111)))+(SUMPRODUCT(($O97:$O111&lt;=AF$8) * ($P97:$P111&gt;=AF$8) * ($R97:$R111 * $N97:$N111))))/12</f>
        <v>0</v>
      </c>
      <c r="AG98" s="115" cm="1">
        <f t="array" ref="AG98">((SUMPRODUCT(($D97:$D111&lt;=AG$8) * ($E97:$E111&gt;=AG$8) * ($G97:$G111 * $C97:$C111)))+(SUMPRODUCT(($O97:$O111&lt;=AG$8) * ($P97:$P111&gt;=AG$8) * ($R97:$R111 * $N97:$N111))))/12</f>
        <v>0</v>
      </c>
      <c r="AH98" s="115" cm="1">
        <f t="array" ref="AH98">((SUMPRODUCT(($D97:$D111&lt;=AH$8) * ($E97:$E111&gt;=AH$8) * ($G97:$G111 * $C97:$C111)))+(SUMPRODUCT(($O97:$O111&lt;=AH$8) * ($P97:$P111&gt;=AH$8) * ($R97:$R111 * $N97:$N111))))/12</f>
        <v>0</v>
      </c>
      <c r="AI98" s="115" cm="1">
        <f t="array" ref="AI98">((SUMPRODUCT(($D97:$D111&lt;=AI$8) * ($E97:$E111&gt;=AI$8) * ($G97:$G111 * $C97:$C111)))+(SUMPRODUCT(($O97:$O111&lt;=AI$8) * ($P97:$P111&gt;=AI$8) * ($R97:$R111 * $N97:$N111))))/12</f>
        <v>0</v>
      </c>
      <c r="AJ98" s="133" cm="1">
        <f t="array" ref="AJ98">((SUMPRODUCT(($D97:$D111&lt;=AJ$8) * ($E97:$E111&gt;=AJ$8) * ($G97:$G111 * $C97:$C111)))+(SUMPRODUCT(($O97:$O111&lt;=AJ$8) * ($P97:$P111&gt;=AJ$8) * ($R97:$R111 * $N97:$N111))))/12</f>
        <v>0</v>
      </c>
      <c r="AK98" s="115" cm="1">
        <f t="array" ref="AK98">((SUMPRODUCT(($D97:$D111&lt;=AK$8) * ($E97:$E111&gt;=AK$8) * ($G97:$G111 * $C97:$C111)))+(SUMPRODUCT(($O97:$O111&lt;=AK$8) * ($P97:$P111&gt;=AK$8) * ($R97:$R111 * $N97:$N111))))/12</f>
        <v>0</v>
      </c>
      <c r="AL98" s="115" cm="1">
        <f t="array" ref="AL98">((SUMPRODUCT(($D97:$D111&lt;=AL$8) * ($E97:$E111&gt;=AL$8) * ($G97:$G111 * $C97:$C111)))+(SUMPRODUCT(($O97:$O111&lt;=AL$8) * ($P97:$P111&gt;=AL$8) * ($R97:$R111 * $N97:$N111))))/12</f>
        <v>0</v>
      </c>
      <c r="AM98" s="115" cm="1">
        <f t="array" ref="AM98">((SUMPRODUCT(($D97:$D111&lt;=AM$8) * ($E97:$E111&gt;=AM$8) * ($G97:$G111 * $C97:$C111)))+(SUMPRODUCT(($O97:$O111&lt;=AM$8) * ($P97:$P111&gt;=AM$8) * ($R97:$R111 * $N97:$N111))))/12</f>
        <v>0</v>
      </c>
      <c r="AN98" s="115" cm="1">
        <f t="array" ref="AN98">((SUMPRODUCT(($D97:$D111&lt;=AN$8) * ($E97:$E111&gt;=AN$8) * ($G97:$G111 * $C97:$C111)))+(SUMPRODUCT(($O97:$O111&lt;=AN$8) * ($P97:$P111&gt;=AN$8) * ($R97:$R111 * $N97:$N111))))/12</f>
        <v>0</v>
      </c>
      <c r="AO98" s="115" cm="1">
        <f t="array" ref="AO98">((SUMPRODUCT(($D97:$D111&lt;=AO$8) * ($E97:$E111&gt;=AO$8) * ($G97:$G111 * $C97:$C111)))+(SUMPRODUCT(($O97:$O111&lt;=AO$8) * ($P97:$P111&gt;=AO$8) * ($R97:$R111 * $N97:$N111))))/12</f>
        <v>0</v>
      </c>
      <c r="AP98" s="115" cm="1">
        <f t="array" ref="AP98">((SUMPRODUCT(($D97:$D111&lt;=AP$8) * ($E97:$E111&gt;=AP$8) * ($G97:$G111 * $C97:$C111)))+(SUMPRODUCT(($O97:$O111&lt;=AP$8) * ($P97:$P111&gt;=AP$8) * ($R97:$R111 * $N97:$N111))))/12</f>
        <v>0</v>
      </c>
      <c r="AQ98" s="115" cm="1">
        <f t="array" ref="AQ98">((SUMPRODUCT(($D97:$D111&lt;=AQ$8) * ($E97:$E111&gt;=AQ$8) * ($G97:$G111 * $C97:$C111)))+(SUMPRODUCT(($O97:$O111&lt;=AQ$8) * ($P97:$P111&gt;=AQ$8) * ($R97:$R111 * $N97:$N111))))/12</f>
        <v>0</v>
      </c>
      <c r="AR98" s="115" cm="1">
        <f t="array" ref="AR98">((SUMPRODUCT(($D97:$D111&lt;=AR$8) * ($E97:$E111&gt;=AR$8) * ($G97:$G111 * $C97:$C111)))+(SUMPRODUCT(($O97:$O111&lt;=AR$8) * ($P97:$P111&gt;=AR$8) * ($R97:$R111 * $N97:$N111))))/12</f>
        <v>0</v>
      </c>
      <c r="AS98" s="115" cm="1">
        <f t="array" ref="AS98">((SUMPRODUCT(($D97:$D111&lt;=AS$8) * ($E97:$E111&gt;=AS$8) * ($G97:$G111 * $C97:$C111)))+(SUMPRODUCT(($O97:$O111&lt;=AS$8) * ($P97:$P111&gt;=AS$8) * ($R97:$R111 * $N97:$N111))))/12</f>
        <v>0</v>
      </c>
      <c r="AT98" s="115" cm="1">
        <f t="array" ref="AT98">((SUMPRODUCT(($D97:$D111&lt;=AT$8) * ($E97:$E111&gt;=AT$8) * ($G97:$G111 * $C97:$C111)))+(SUMPRODUCT(($O97:$O111&lt;=AT$8) * ($P97:$P111&gt;=AT$8) * ($R97:$R111 * $N97:$N111))))/12</f>
        <v>0</v>
      </c>
      <c r="AU98" s="115" cm="1">
        <f t="array" ref="AU98">((SUMPRODUCT(($D97:$D111&lt;=AU$8) * ($E97:$E111&gt;=AU$8) * ($G97:$G111 * $C97:$C111)))+(SUMPRODUCT(($O97:$O111&lt;=AU$8) * ($P97:$P111&gt;=AU$8) * ($R97:$R111 * $N97:$N111))))/12</f>
        <v>0</v>
      </c>
      <c r="AV98" s="209">
        <f>SUM(AJ98:AU98)</f>
        <v>0</v>
      </c>
      <c r="DB98" s="133">
        <f t="shared" ref="DB98:DK111" si="120">IF(AND($D98&lt;=DB$8,$E98&gt;=DB$8),(($G98*$C98)/12),0)</f>
        <v>0</v>
      </c>
      <c r="DC98" s="132">
        <f t="shared" si="120"/>
        <v>0</v>
      </c>
      <c r="DD98" s="132">
        <f t="shared" si="120"/>
        <v>0</v>
      </c>
      <c r="DE98" s="132">
        <f t="shared" si="120"/>
        <v>0</v>
      </c>
      <c r="DF98" s="132">
        <f t="shared" si="120"/>
        <v>0</v>
      </c>
      <c r="DG98" s="132">
        <f t="shared" si="120"/>
        <v>0</v>
      </c>
      <c r="DH98" s="132">
        <f t="shared" si="120"/>
        <v>0</v>
      </c>
      <c r="DI98" s="132">
        <f t="shared" si="120"/>
        <v>0</v>
      </c>
      <c r="DJ98" s="132">
        <f t="shared" si="120"/>
        <v>0</v>
      </c>
      <c r="DK98" s="132">
        <f t="shared" si="120"/>
        <v>0</v>
      </c>
      <c r="DL98" s="132">
        <f t="shared" ref="DL98:DY111" si="121">IF(AND($D98&lt;=DL$8,$E98&gt;=DL$8),(($G98*$C98)/12),0)</f>
        <v>0</v>
      </c>
      <c r="DM98" s="134">
        <f t="shared" si="121"/>
        <v>0</v>
      </c>
      <c r="DN98" s="115">
        <f t="shared" si="121"/>
        <v>0</v>
      </c>
      <c r="DO98" s="115">
        <f t="shared" si="121"/>
        <v>0</v>
      </c>
      <c r="DP98" s="115">
        <f t="shared" si="121"/>
        <v>0</v>
      </c>
      <c r="DQ98" s="115">
        <f t="shared" si="121"/>
        <v>0</v>
      </c>
      <c r="DR98" s="115">
        <f t="shared" si="121"/>
        <v>0</v>
      </c>
      <c r="DS98" s="115">
        <f t="shared" si="121"/>
        <v>0</v>
      </c>
      <c r="DT98" s="115">
        <f t="shared" si="121"/>
        <v>0</v>
      </c>
      <c r="DU98" s="115">
        <f t="shared" si="121"/>
        <v>0</v>
      </c>
      <c r="DV98" s="115">
        <f t="shared" si="121"/>
        <v>0</v>
      </c>
      <c r="DW98" s="115">
        <f t="shared" si="121"/>
        <v>0</v>
      </c>
      <c r="DX98" s="115">
        <f t="shared" si="121"/>
        <v>0</v>
      </c>
      <c r="DY98" s="115">
        <f t="shared" si="121"/>
        <v>0</v>
      </c>
    </row>
    <row r="99" spans="1:129" x14ac:dyDescent="0.35">
      <c r="B99" s="6" t="str">
        <f t="shared" si="114"/>
        <v/>
      </c>
      <c r="C99" s="137"/>
      <c r="D99" s="155"/>
      <c r="E99" s="145"/>
      <c r="F99" s="118">
        <f t="shared" si="117"/>
        <v>0</v>
      </c>
      <c r="G99" s="146"/>
      <c r="H99" s="347">
        <f t="shared" si="118"/>
        <v>0</v>
      </c>
      <c r="I99" s="146"/>
      <c r="J99" s="156"/>
      <c r="K99" s="116"/>
      <c r="L99" s="118"/>
      <c r="M99" s="6"/>
      <c r="N99" s="137"/>
      <c r="O99" s="155"/>
      <c r="P99" s="145"/>
      <c r="Q99" s="118">
        <f t="shared" si="115"/>
        <v>0</v>
      </c>
      <c r="R99" s="146"/>
      <c r="S99" s="347">
        <f t="shared" si="119"/>
        <v>0</v>
      </c>
      <c r="T99" s="146"/>
      <c r="U99" s="156"/>
      <c r="W99" s="114" t="s">
        <v>309</v>
      </c>
      <c r="X99" s="133" cm="1">
        <f t="array" ref="X99">(SUMPRODUCT((TEXT($O97:$O111,"yyyymm")=TEXT(X$8,"yyyymm")) * ($T97:$T111 * $N97:$N111)))+(SUMPRODUCT((TEXT($D97:$D111,"yyyymm")=TEXT(X$8,"yyyymm")) * ($I97:$I111 * $C97:$C111)))</f>
        <v>0</v>
      </c>
      <c r="Y99" s="115" cm="1">
        <f t="array" ref="Y99">(SUMPRODUCT((TEXT($O97:$O111,"yyyymm")=TEXT(Y$8,"yyyymm")) * ($T97:$T111 * $N97:$N111)))+(SUMPRODUCT((TEXT($D97:$D111,"yyyymm")=TEXT(Y$8,"yyyymm")) * ($I97:$I111 * $C97:$C111)))</f>
        <v>0</v>
      </c>
      <c r="Z99" s="115" cm="1">
        <f t="array" ref="Z99">(SUMPRODUCT((TEXT($O97:$O111,"yyyymm")=TEXT(Z$8,"yyyymm")) * ($T97:$T111 * $N97:$N111)))+(SUMPRODUCT((TEXT($D97:$D111,"yyyymm")=TEXT(Z$8,"yyyymm")) * ($I97:$I111 * $C97:$C111)))</f>
        <v>0</v>
      </c>
      <c r="AA99" s="115" cm="1">
        <f t="array" ref="AA99">(SUMPRODUCT((TEXT($O97:$O111,"yyyymm")=TEXT(AA$8,"yyyymm")) * ($T97:$T111 * $N97:$N111)))+(SUMPRODUCT((TEXT($D97:$D111,"yyyymm")=TEXT(AA$8,"yyyymm")) * ($I97:$I111 * $C97:$C111)))</f>
        <v>0</v>
      </c>
      <c r="AB99" s="115" cm="1">
        <f t="array" ref="AB99">(SUMPRODUCT((TEXT($O97:$O111,"yyyymm")=TEXT(AB$8,"yyyymm")) * ($T97:$T111 * $N97:$N111)))+(SUMPRODUCT((TEXT($D97:$D111,"yyyymm")=TEXT(AB$8,"yyyymm")) * ($I97:$I111 * $C97:$C111)))</f>
        <v>0</v>
      </c>
      <c r="AC99" s="115" cm="1">
        <f t="array" ref="AC99">(SUMPRODUCT((TEXT($O97:$O111,"yyyymm")=TEXT(AC$8,"yyyymm")) * ($T97:$T111 * $N97:$N111)))+(SUMPRODUCT((TEXT($D97:$D111,"yyyymm")=TEXT(AC$8,"yyyymm")) * ($I97:$I111 * $C97:$C111)))</f>
        <v>0</v>
      </c>
      <c r="AD99" s="115" cm="1">
        <f t="array" ref="AD99">(SUMPRODUCT((TEXT($O97:$O111,"yyyymm")=TEXT(AD$8,"yyyymm")) * ($T97:$T111 * $N97:$N111)))+(SUMPRODUCT((TEXT($D97:$D111,"yyyymm")=TEXT(AD$8,"yyyymm")) * ($I97:$I111 * $C97:$C111)))</f>
        <v>0</v>
      </c>
      <c r="AE99" s="115" cm="1">
        <f t="array" ref="AE99">(SUMPRODUCT((TEXT($O97:$O111,"yyyymm")=TEXT(AE$8,"yyyymm")) * ($T97:$T111 * $N97:$N111)))+(SUMPRODUCT((TEXT($D97:$D111,"yyyymm")=TEXT(AE$8,"yyyymm")) * ($I97:$I111 * $C97:$C111)))</f>
        <v>0</v>
      </c>
      <c r="AF99" s="115" cm="1">
        <f t="array" ref="AF99">(SUMPRODUCT((TEXT($O97:$O111,"yyyymm")=TEXT(AF$8,"yyyymm")) * ($T97:$T111 * $N97:$N111)))+(SUMPRODUCT((TEXT($D97:$D111,"yyyymm")=TEXT(AF$8,"yyyymm")) * ($I97:$I111 * $C97:$C111)))</f>
        <v>0</v>
      </c>
      <c r="AG99" s="115" cm="1">
        <f t="array" ref="AG99">(SUMPRODUCT((TEXT($O97:$O111,"yyyymm")=TEXT(AG$8,"yyyymm")) * ($T97:$T111 * $N97:$N111)))+(SUMPRODUCT((TEXT($D97:$D111,"yyyymm")=TEXT(AG$8,"yyyymm")) * ($I97:$I111 * $C97:$C111)))</f>
        <v>0</v>
      </c>
      <c r="AH99" s="115" cm="1">
        <f t="array" ref="AH99">(SUMPRODUCT((TEXT($O97:$O111,"yyyymm")=TEXT(AH$8,"yyyymm")) * ($T97:$T111 * $N97:$N111)))+(SUMPRODUCT((TEXT($D97:$D111,"yyyymm")=TEXT(AH$8,"yyyymm")) * ($I97:$I111 * $C97:$C111)))</f>
        <v>0</v>
      </c>
      <c r="AI99" s="115" cm="1">
        <f t="array" ref="AI99">(SUMPRODUCT((TEXT($O97:$O111,"yyyymm")=TEXT(AI$8,"yyyymm")) * ($T97:$T111 * $N97:$N111)))+(SUMPRODUCT((TEXT($D97:$D111,"yyyymm")=TEXT(AI$8,"yyyymm")) * ($I97:$I111 * $C97:$C111)))</f>
        <v>0</v>
      </c>
      <c r="AJ99" s="133" cm="1">
        <f t="array" ref="AJ99">(SUMPRODUCT((TEXT($O97:$O111,"yyyymm")=TEXT(AJ$8,"yyyymm")) * ($T97:$T111 * $N97:$N111)))+(SUMPRODUCT((TEXT($D97:$D111,"yyyymm")=TEXT(AJ$8,"yyyymm")) * ($I97:$I111 * $C97:$C111)))</f>
        <v>0</v>
      </c>
      <c r="AK99" s="115" cm="1">
        <f t="array" ref="AK99">(SUMPRODUCT((TEXT($O97:$O111,"yyyymm")=TEXT(AK$8,"yyyymm")) * ($T97:$T111 * $N97:$N111)))+(SUMPRODUCT((TEXT($D97:$D111,"yyyymm")=TEXT(AK$8,"yyyymm")) * ($I97:$I111 * $C97:$C111)))</f>
        <v>0</v>
      </c>
      <c r="AL99" s="115" cm="1">
        <f t="array" ref="AL99">(SUMPRODUCT((TEXT($O97:$O111,"yyyymm")=TEXT(AL$8,"yyyymm")) * ($T97:$T111 * $N97:$N111)))+(SUMPRODUCT((TEXT($D97:$D111,"yyyymm")=TEXT(AL$8,"yyyymm")) * ($I97:$I111 * $C97:$C111)))</f>
        <v>0</v>
      </c>
      <c r="AM99" s="115" cm="1">
        <f t="array" ref="AM99">(SUMPRODUCT((TEXT($O97:$O111,"yyyymm")=TEXT(AM$8,"yyyymm")) * ($T97:$T111 * $N97:$N111)))+(SUMPRODUCT((TEXT($D97:$D111,"yyyymm")=TEXT(AM$8,"yyyymm")) * ($I97:$I111 * $C97:$C111)))</f>
        <v>0</v>
      </c>
      <c r="AN99" s="115" cm="1">
        <f t="array" ref="AN99">(SUMPRODUCT((TEXT($O97:$O111,"yyyymm")=TEXT(AN$8,"yyyymm")) * ($T97:$T111 * $N97:$N111)))+(SUMPRODUCT((TEXT($D97:$D111,"yyyymm")=TEXT(AN$8,"yyyymm")) * ($I97:$I111 * $C97:$C111)))</f>
        <v>0</v>
      </c>
      <c r="AO99" s="115" cm="1">
        <f t="array" ref="AO99">(SUMPRODUCT((TEXT($O97:$O111,"yyyymm")=TEXT(AO$8,"yyyymm")) * ($T97:$T111 * $N97:$N111)))+(SUMPRODUCT((TEXT($D97:$D111,"yyyymm")=TEXT(AO$8,"yyyymm")) * ($I97:$I111 * $C97:$C111)))</f>
        <v>0</v>
      </c>
      <c r="AP99" s="115" cm="1">
        <f t="array" ref="AP99">(SUMPRODUCT((TEXT($O97:$O111,"yyyymm")=TEXT(AP$8,"yyyymm")) * ($T97:$T111 * $N97:$N111)))+(SUMPRODUCT((TEXT($D97:$D111,"yyyymm")=TEXT(AP$8,"yyyymm")) * ($I97:$I111 * $C97:$C111)))</f>
        <v>0</v>
      </c>
      <c r="AQ99" s="115" cm="1">
        <f t="array" ref="AQ99">(SUMPRODUCT((TEXT($O97:$O111,"yyyymm")=TEXT(AQ$8,"yyyymm")) * ($T97:$T111 * $N97:$N111)))+(SUMPRODUCT((TEXT($D97:$D111,"yyyymm")=TEXT(AQ$8,"yyyymm")) * ($I97:$I111 * $C97:$C111)))</f>
        <v>0</v>
      </c>
      <c r="AR99" s="115" cm="1">
        <f t="array" ref="AR99">(SUMPRODUCT((TEXT($O97:$O111,"yyyymm")=TEXT(AR$8,"yyyymm")) * ($T97:$T111 * $N97:$N111)))+(SUMPRODUCT((TEXT($D97:$D111,"yyyymm")=TEXT(AR$8,"yyyymm")) * ($I97:$I111 * $C97:$C111)))</f>
        <v>0</v>
      </c>
      <c r="AS99" s="115" cm="1">
        <f t="array" ref="AS99">(SUMPRODUCT((TEXT($O97:$O111,"yyyymm")=TEXT(AS$8,"yyyymm")) * ($T97:$T111 * $N97:$N111)))+(SUMPRODUCT((TEXT($D97:$D111,"yyyymm")=TEXT(AS$8,"yyyymm")) * ($I97:$I111 * $C97:$C111)))</f>
        <v>0</v>
      </c>
      <c r="AT99" s="115" cm="1">
        <f t="array" ref="AT99">(SUMPRODUCT((TEXT($O97:$O111,"yyyymm")=TEXT(AT$8,"yyyymm")) * ($T97:$T111 * $N97:$N111)))+(SUMPRODUCT((TEXT($D97:$D111,"yyyymm")=TEXT(AT$8,"yyyymm")) * ($I97:$I111 * $C97:$C111)))</f>
        <v>0</v>
      </c>
      <c r="AU99" s="115" cm="1">
        <f t="array" ref="AU99">(SUMPRODUCT((TEXT($O97:$O111,"yyyymm")=TEXT(AU$8,"yyyymm")) * ($T97:$T111 * $N97:$N111)))+(SUMPRODUCT((TEXT($D97:$D111,"yyyymm")=TEXT(AU$8,"yyyymm")) * ($I97:$I111 * $C97:$C111)))</f>
        <v>0</v>
      </c>
      <c r="AV99" s="209">
        <f t="shared" ref="AV99:AV100" si="122">SUM(AJ99:AU99)</f>
        <v>0</v>
      </c>
      <c r="DB99" s="133">
        <f t="shared" si="120"/>
        <v>0</v>
      </c>
      <c r="DC99" s="132">
        <f t="shared" si="120"/>
        <v>0</v>
      </c>
      <c r="DD99" s="132">
        <f t="shared" si="120"/>
        <v>0</v>
      </c>
      <c r="DE99" s="132">
        <f t="shared" si="120"/>
        <v>0</v>
      </c>
      <c r="DF99" s="132">
        <f t="shared" si="120"/>
        <v>0</v>
      </c>
      <c r="DG99" s="132">
        <f t="shared" si="120"/>
        <v>0</v>
      </c>
      <c r="DH99" s="132">
        <f t="shared" si="120"/>
        <v>0</v>
      </c>
      <c r="DI99" s="132">
        <f t="shared" si="120"/>
        <v>0</v>
      </c>
      <c r="DJ99" s="132">
        <f t="shared" si="120"/>
        <v>0</v>
      </c>
      <c r="DK99" s="132">
        <f t="shared" si="120"/>
        <v>0</v>
      </c>
      <c r="DL99" s="132">
        <f t="shared" si="121"/>
        <v>0</v>
      </c>
      <c r="DM99" s="134">
        <f t="shared" si="121"/>
        <v>0</v>
      </c>
      <c r="DN99" s="115">
        <f t="shared" si="121"/>
        <v>0</v>
      </c>
      <c r="DO99" s="115">
        <f t="shared" si="121"/>
        <v>0</v>
      </c>
      <c r="DP99" s="115">
        <f t="shared" si="121"/>
        <v>0</v>
      </c>
      <c r="DQ99" s="115">
        <f t="shared" si="121"/>
        <v>0</v>
      </c>
      <c r="DR99" s="115">
        <f t="shared" si="121"/>
        <v>0</v>
      </c>
      <c r="DS99" s="115">
        <f t="shared" si="121"/>
        <v>0</v>
      </c>
      <c r="DT99" s="115">
        <f t="shared" si="121"/>
        <v>0</v>
      </c>
      <c r="DU99" s="115">
        <f t="shared" si="121"/>
        <v>0</v>
      </c>
      <c r="DV99" s="115">
        <f t="shared" si="121"/>
        <v>0</v>
      </c>
      <c r="DW99" s="115">
        <f t="shared" si="121"/>
        <v>0</v>
      </c>
      <c r="DX99" s="115">
        <f t="shared" si="121"/>
        <v>0</v>
      </c>
      <c r="DY99" s="115">
        <f t="shared" si="121"/>
        <v>0</v>
      </c>
    </row>
    <row r="100" spans="1:129" x14ac:dyDescent="0.35">
      <c r="B100" s="6" t="str">
        <f t="shared" si="114"/>
        <v/>
      </c>
      <c r="C100" s="137"/>
      <c r="D100" s="155"/>
      <c r="E100" s="147"/>
      <c r="F100" s="118">
        <f t="shared" si="117"/>
        <v>0</v>
      </c>
      <c r="G100" s="148"/>
      <c r="H100" s="347">
        <f t="shared" si="118"/>
        <v>0</v>
      </c>
      <c r="I100" s="146"/>
      <c r="J100" s="156"/>
      <c r="K100" s="116"/>
      <c r="L100" s="118"/>
      <c r="M100" s="6"/>
      <c r="N100" s="137"/>
      <c r="O100" s="155"/>
      <c r="P100" s="147"/>
      <c r="Q100" s="118">
        <f t="shared" si="115"/>
        <v>0</v>
      </c>
      <c r="R100" s="148"/>
      <c r="S100" s="347">
        <f t="shared" si="119"/>
        <v>0</v>
      </c>
      <c r="T100" s="146"/>
      <c r="U100" s="156"/>
      <c r="W100" s="114" t="s">
        <v>313</v>
      </c>
      <c r="X100" s="133" cm="1">
        <f t="array" ref="X100">IFERROR((SUMPRODUCT((TEXT($O97:$O111,"yyyymm")=TEXT(X$8,"yyyymm")) * ($U97:$U111 * $N97:$N111*$R97:$R111*$Q97:$Q111)))+(SUMPRODUCT((TEXT($D97:$D111,"yyyymm")=TEXT(X$8,"yyyymm")) * ($J97:$J111 * $C97:$C111*$G97:$G111*$F97:$F111))),0)</f>
        <v>0</v>
      </c>
      <c r="Y100" s="115" cm="1">
        <f t="array" ref="Y100">IFERROR((SUMPRODUCT((TEXT($O97:$O111,"yyyymm")=TEXT(Y$8,"yyyymm")) * ($U97:$U111 * $N97:$N111*$R97:$R111*$Q97:$Q111)))+(SUMPRODUCT((TEXT($D97:$D111,"yyyymm")=TEXT(Y$8,"yyyymm")) * ($J97:$J111 * $C97:$C111*$G97:$G111*$F97:$F111))),0)</f>
        <v>0</v>
      </c>
      <c r="Z100" s="115" cm="1">
        <f t="array" ref="Z100">IFERROR((SUMPRODUCT((TEXT($O97:$O111,"yyyymm")=TEXT(Z$8,"yyyymm")) * ($U97:$U111 * $N97:$N111*$R97:$R111*$Q97:$Q111)))+(SUMPRODUCT((TEXT($D97:$D111,"yyyymm")=TEXT(Z$8,"yyyymm")) * ($J97:$J111 * $C97:$C111*$G97:$G111*$F97:$F111))),0)</f>
        <v>0</v>
      </c>
      <c r="AA100" s="115" cm="1">
        <f t="array" ref="AA100">IFERROR((SUMPRODUCT((TEXT($O97:$O111,"yyyymm")=TEXT(AA$8,"yyyymm")) * ($U97:$U111 * $N97:$N111*$R97:$R111*$Q97:$Q111)))+(SUMPRODUCT((TEXT($D97:$D111,"yyyymm")=TEXT(AA$8,"yyyymm")) * ($J97:$J111 * $C97:$C111*$G97:$G111*$F97:$F111))),0)</f>
        <v>0</v>
      </c>
      <c r="AB100" s="115" cm="1">
        <f t="array" ref="AB100">IFERROR((SUMPRODUCT((TEXT($O97:$O111,"yyyymm")=TEXT(AB$8,"yyyymm")) * ($U97:$U111 * $N97:$N111*$R97:$R111*$Q97:$Q111)))+(SUMPRODUCT((TEXT($D97:$D111,"yyyymm")=TEXT(AB$8,"yyyymm")) * ($J97:$J111 * $C97:$C111*$G97:$G111*$F97:$F111))),0)</f>
        <v>0</v>
      </c>
      <c r="AC100" s="115" cm="1">
        <f t="array" ref="AC100">IFERROR((SUMPRODUCT((TEXT($O97:$O111,"yyyymm")=TEXT(AC$8,"yyyymm")) * ($U97:$U111 * $N97:$N111*$R97:$R111*$Q97:$Q111)))+(SUMPRODUCT((TEXT($D97:$D111,"yyyymm")=TEXT(AC$8,"yyyymm")) * ($J97:$J111 * $C97:$C111*$G97:$G111*$F97:$F111))),0)</f>
        <v>0</v>
      </c>
      <c r="AD100" s="115" cm="1">
        <f t="array" ref="AD100">IFERROR((SUMPRODUCT((TEXT($O97:$O111,"yyyymm")=TEXT(AD$8,"yyyymm")) * ($U97:$U111 * $N97:$N111*$R97:$R111*$Q97:$Q111)))+(SUMPRODUCT((TEXT($D97:$D111,"yyyymm")=TEXT(AD$8,"yyyymm")) * ($J97:$J111 * $C97:$C111*$G97:$G111*$F97:$F111))),0)</f>
        <v>0</v>
      </c>
      <c r="AE100" s="115" cm="1">
        <f t="array" ref="AE100">IFERROR((SUMPRODUCT((TEXT($O97:$O111,"yyyymm")=TEXT(AE$8,"yyyymm")) * ($U97:$U111 * $N97:$N111*$R97:$R111*$Q97:$Q111)))+(SUMPRODUCT((TEXT($D97:$D111,"yyyymm")=TEXT(AE$8,"yyyymm")) * ($J97:$J111 * $C97:$C111*$G97:$G111*$F97:$F111))),0)</f>
        <v>0</v>
      </c>
      <c r="AF100" s="115" cm="1">
        <f t="array" ref="AF100">IFERROR((SUMPRODUCT((TEXT($O97:$O111,"yyyymm")=TEXT(AF$8,"yyyymm")) * ($U97:$U111 * $N97:$N111*$R97:$R111*$Q97:$Q111)))+(SUMPRODUCT((TEXT($D97:$D111,"yyyymm")=TEXT(AF$8,"yyyymm")) * ($J97:$J111 * $C97:$C111*$G97:$G111*$F97:$F111))),0)</f>
        <v>0</v>
      </c>
      <c r="AG100" s="115" cm="1">
        <f t="array" ref="AG100">IFERROR((SUMPRODUCT((TEXT($O97:$O111,"yyyymm")=TEXT(AG$8,"yyyymm")) * ($U97:$U111 * $N97:$N111*$R97:$R111*$Q97:$Q111)))+(SUMPRODUCT((TEXT($D97:$D111,"yyyymm")=TEXT(AG$8,"yyyymm")) * ($J97:$J111 * $C97:$C111*$G97:$G111*$F97:$F111))),0)</f>
        <v>0</v>
      </c>
      <c r="AH100" s="115" cm="1">
        <f t="array" ref="AH100">IFERROR((SUMPRODUCT((TEXT($O97:$O111,"yyyymm")=TEXT(AH$8,"yyyymm")) * ($U97:$U111 * $N97:$N111*$R97:$R111*$Q97:$Q111)))+(SUMPRODUCT((TEXT($D97:$D111,"yyyymm")=TEXT(AH$8,"yyyymm")) * ($J97:$J111 * $C97:$C111*$G97:$G111*$F97:$F111))),0)</f>
        <v>0</v>
      </c>
      <c r="AI100" s="115" cm="1">
        <f t="array" ref="AI100">IFERROR((SUMPRODUCT((TEXT($O97:$O111,"yyyymm")=TEXT(AI$8,"yyyymm")) * ($U97:$U111 * $N97:$N111*$R97:$R111*$Q97:$Q111)))+(SUMPRODUCT((TEXT($D97:$D111,"yyyymm")=TEXT(AI$8,"yyyymm")) * ($J97:$J111 * $C97:$C111*$G97:$G111*$F97:$F111))),0)</f>
        <v>0</v>
      </c>
      <c r="AJ100" s="133" cm="1">
        <f t="array" ref="AJ100">IFERROR((SUMPRODUCT((TEXT($O97:$O111,"yyyymm")=TEXT(AJ$8,"yyyymm")) * ($U97:$U111 * $N97:$N111*$R97:$R111*$Q97:$Q111)))+(SUMPRODUCT((TEXT($D97:$D111,"yyyymm")=TEXT(AJ$8,"yyyymm")) * ($J97:$J111 * $C97:$C111*$G97:$G111*$F97:$F111))),0)</f>
        <v>0</v>
      </c>
      <c r="AK100" s="115" cm="1">
        <f t="array" ref="AK100">IFERROR((SUMPRODUCT((TEXT($O97:$O111,"yyyymm")=TEXT(AK$8,"yyyymm")) * ($U97:$U111 * $N97:$N111*$R97:$R111*$Q97:$Q111)))+(SUMPRODUCT((TEXT($D97:$D111,"yyyymm")=TEXT(AK$8,"yyyymm")) * ($J97:$J111 * $C97:$C111*$G97:$G111*$F97:$F111))),0)</f>
        <v>0</v>
      </c>
      <c r="AL100" s="115" cm="1">
        <f t="array" ref="AL100">IFERROR((SUMPRODUCT((TEXT($O97:$O111,"yyyymm")=TEXT(AL$8,"yyyymm")) * ($U97:$U111 * $N97:$N111*$R97:$R111*$Q97:$Q111)))+(SUMPRODUCT((TEXT($D97:$D111,"yyyymm")=TEXT(AL$8,"yyyymm")) * ($J97:$J111 * $C97:$C111*$G97:$G111*$F97:$F111))),0)</f>
        <v>0</v>
      </c>
      <c r="AM100" s="115" cm="1">
        <f t="array" ref="AM100">IFERROR((SUMPRODUCT((TEXT($O97:$O111,"yyyymm")=TEXT(AM$8,"yyyymm")) * ($U97:$U111 * $N97:$N111*$R97:$R111*$Q97:$Q111)))+(SUMPRODUCT((TEXT($D97:$D111,"yyyymm")=TEXT(AM$8,"yyyymm")) * ($J97:$J111 * $C97:$C111*$G97:$G111*$F97:$F111))),0)</f>
        <v>0</v>
      </c>
      <c r="AN100" s="115" cm="1">
        <f t="array" ref="AN100">IFERROR((SUMPRODUCT((TEXT($O97:$O111,"yyyymm")=TEXT(AN$8,"yyyymm")) * ($U97:$U111 * $N97:$N111*$R97:$R111*$Q97:$Q111)))+(SUMPRODUCT((TEXT($D97:$D111,"yyyymm")=TEXT(AN$8,"yyyymm")) * ($J97:$J111 * $C97:$C111*$G97:$G111*$F97:$F111))),0)</f>
        <v>0</v>
      </c>
      <c r="AO100" s="115" cm="1">
        <f t="array" ref="AO100">IFERROR((SUMPRODUCT((TEXT($O97:$O111,"yyyymm")=TEXT(AO$8,"yyyymm")) * ($U97:$U111 * $N97:$N111*$R97:$R111*$Q97:$Q111)))+(SUMPRODUCT((TEXT($D97:$D111,"yyyymm")=TEXT(AO$8,"yyyymm")) * ($J97:$J111 * $C97:$C111*$G97:$G111*$F97:$F111))),0)</f>
        <v>0</v>
      </c>
      <c r="AP100" s="115" cm="1">
        <f t="array" ref="AP100">IFERROR((SUMPRODUCT((TEXT($O97:$O111,"yyyymm")=TEXT(AP$8,"yyyymm")) * ($U97:$U111 * $N97:$N111*$R97:$R111*$Q97:$Q111)))+(SUMPRODUCT((TEXT($D97:$D111,"yyyymm")=TEXT(AP$8,"yyyymm")) * ($J97:$J111 * $C97:$C111*$G97:$G111*$F97:$F111))),0)</f>
        <v>0</v>
      </c>
      <c r="AQ100" s="115" cm="1">
        <f t="array" ref="AQ100">IFERROR((SUMPRODUCT((TEXT($O97:$O111,"yyyymm")=TEXT(AQ$8,"yyyymm")) * ($U97:$U111 * $N97:$N111*$R97:$R111*$Q97:$Q111)))+(SUMPRODUCT((TEXT($D97:$D111,"yyyymm")=TEXT(AQ$8,"yyyymm")) * ($J97:$J111 * $C97:$C111*$G97:$G111*$F97:$F111))),0)</f>
        <v>0</v>
      </c>
      <c r="AR100" s="115" cm="1">
        <f t="array" ref="AR100">IFERROR((SUMPRODUCT((TEXT($O97:$O111,"yyyymm")=TEXT(AR$8,"yyyymm")) * ($U97:$U111 * $N97:$N111*$R97:$R111*$Q97:$Q111)))+(SUMPRODUCT((TEXT($D97:$D111,"yyyymm")=TEXT(AR$8,"yyyymm")) * ($J97:$J111 * $C97:$C111*$G97:$G111*$F97:$F111))),0)</f>
        <v>0</v>
      </c>
      <c r="AS100" s="115" cm="1">
        <f t="array" ref="AS100">IFERROR((SUMPRODUCT((TEXT($O97:$O111,"yyyymm")=TEXT(AS$8,"yyyymm")) * ($U97:$U111 * $N97:$N111*$R97:$R111*$Q97:$Q111)))+(SUMPRODUCT((TEXT($D97:$D111,"yyyymm")=TEXT(AS$8,"yyyymm")) * ($J97:$J111 * $C97:$C111*$G97:$G111*$F97:$F111))),0)</f>
        <v>0</v>
      </c>
      <c r="AT100" s="115" cm="1">
        <f t="array" ref="AT100">IFERROR((SUMPRODUCT((TEXT($O97:$O111,"yyyymm")=TEXT(AT$8,"yyyymm")) * ($U97:$U111 * $N97:$N111*$R97:$R111*$Q97:$Q111)))+(SUMPRODUCT((TEXT($D97:$D111,"yyyymm")=TEXT(AT$8,"yyyymm")) * ($J97:$J111 * $C97:$C111*$G97:$G111*$F97:$F111))),0)</f>
        <v>0</v>
      </c>
      <c r="AU100" s="115" cm="1">
        <f t="array" ref="AU100">IFERROR((SUMPRODUCT((TEXT($O97:$O111,"yyyymm")=TEXT(AU$8,"yyyymm")) * ($U97:$U111 * $N97:$N111*$R97:$R111*$Q97:$Q111)))+(SUMPRODUCT((TEXT($D97:$D111,"yyyymm")=TEXT(AU$8,"yyyymm")) * ($J97:$J111 * $C97:$C111*$G97:$G111*$F97:$F111))),0)</f>
        <v>0</v>
      </c>
      <c r="AV100" s="209">
        <f t="shared" si="122"/>
        <v>0</v>
      </c>
      <c r="DB100" s="133">
        <f t="shared" si="120"/>
        <v>0</v>
      </c>
      <c r="DC100" s="132">
        <f t="shared" si="120"/>
        <v>0</v>
      </c>
      <c r="DD100" s="132">
        <f t="shared" si="120"/>
        <v>0</v>
      </c>
      <c r="DE100" s="132">
        <f t="shared" si="120"/>
        <v>0</v>
      </c>
      <c r="DF100" s="132">
        <f t="shared" si="120"/>
        <v>0</v>
      </c>
      <c r="DG100" s="132">
        <f t="shared" si="120"/>
        <v>0</v>
      </c>
      <c r="DH100" s="132">
        <f t="shared" si="120"/>
        <v>0</v>
      </c>
      <c r="DI100" s="132">
        <f t="shared" si="120"/>
        <v>0</v>
      </c>
      <c r="DJ100" s="132">
        <f t="shared" si="120"/>
        <v>0</v>
      </c>
      <c r="DK100" s="132">
        <f t="shared" si="120"/>
        <v>0</v>
      </c>
      <c r="DL100" s="132">
        <f t="shared" si="121"/>
        <v>0</v>
      </c>
      <c r="DM100" s="134">
        <f t="shared" si="121"/>
        <v>0</v>
      </c>
      <c r="DN100" s="115">
        <f t="shared" si="121"/>
        <v>0</v>
      </c>
      <c r="DO100" s="115">
        <f t="shared" si="121"/>
        <v>0</v>
      </c>
      <c r="DP100" s="115">
        <f t="shared" si="121"/>
        <v>0</v>
      </c>
      <c r="DQ100" s="115">
        <f t="shared" si="121"/>
        <v>0</v>
      </c>
      <c r="DR100" s="115">
        <f t="shared" si="121"/>
        <v>0</v>
      </c>
      <c r="DS100" s="115">
        <f t="shared" si="121"/>
        <v>0</v>
      </c>
      <c r="DT100" s="115">
        <f t="shared" si="121"/>
        <v>0</v>
      </c>
      <c r="DU100" s="115">
        <f t="shared" si="121"/>
        <v>0</v>
      </c>
      <c r="DV100" s="115">
        <f t="shared" si="121"/>
        <v>0</v>
      </c>
      <c r="DW100" s="115">
        <f t="shared" si="121"/>
        <v>0</v>
      </c>
      <c r="DX100" s="115">
        <f t="shared" si="121"/>
        <v>0</v>
      </c>
      <c r="DY100" s="115">
        <f t="shared" si="121"/>
        <v>0</v>
      </c>
    </row>
    <row r="101" spans="1:129" ht="17.5" x14ac:dyDescent="0.35">
      <c r="B101" s="6" t="str">
        <f t="shared" si="114"/>
        <v/>
      </c>
      <c r="C101" s="137"/>
      <c r="D101" s="155"/>
      <c r="E101" s="145"/>
      <c r="F101" s="118">
        <f t="shared" si="117"/>
        <v>0</v>
      </c>
      <c r="G101" s="146"/>
      <c r="H101" s="347">
        <f t="shared" si="118"/>
        <v>0</v>
      </c>
      <c r="I101" s="146"/>
      <c r="J101" s="156"/>
      <c r="K101" s="116"/>
      <c r="L101" s="118"/>
      <c r="M101" s="6"/>
      <c r="N101" s="137"/>
      <c r="O101" s="155"/>
      <c r="P101" s="145"/>
      <c r="Q101" s="118">
        <f t="shared" si="115"/>
        <v>0</v>
      </c>
      <c r="R101" s="146"/>
      <c r="S101" s="347">
        <f t="shared" si="119"/>
        <v>0</v>
      </c>
      <c r="T101" s="146"/>
      <c r="U101" s="156"/>
      <c r="W101" s="176" t="s">
        <v>273</v>
      </c>
      <c r="X101" s="90">
        <f>SUM(X98:X100)</f>
        <v>0</v>
      </c>
      <c r="Y101" s="90">
        <f t="shared" ref="Y101" si="123">SUM(Y98:Y100)</f>
        <v>0</v>
      </c>
      <c r="Z101" s="90">
        <f t="shared" ref="Z101" si="124">SUM(Z98:Z100)</f>
        <v>0</v>
      </c>
      <c r="AA101" s="90">
        <f t="shared" ref="AA101" si="125">SUM(AA98:AA100)</f>
        <v>0</v>
      </c>
      <c r="AB101" s="90">
        <f t="shared" ref="AB101" si="126">SUM(AB98:AB100)</f>
        <v>0</v>
      </c>
      <c r="AC101" s="90">
        <f t="shared" ref="AC101" si="127">SUM(AC98:AC100)</f>
        <v>0</v>
      </c>
      <c r="AD101" s="90">
        <f t="shared" ref="AD101" si="128">SUM(AD98:AD100)</f>
        <v>0</v>
      </c>
      <c r="AE101" s="90">
        <f t="shared" ref="AE101" si="129">SUM(AE98:AE100)</f>
        <v>0</v>
      </c>
      <c r="AF101" s="90">
        <f t="shared" ref="AF101" si="130">SUM(AF98:AF100)</f>
        <v>0</v>
      </c>
      <c r="AG101" s="90">
        <f t="shared" ref="AG101" si="131">SUM(AG98:AG100)</f>
        <v>0</v>
      </c>
      <c r="AH101" s="90">
        <f t="shared" ref="AH101" si="132">SUM(AH98:AH100)</f>
        <v>0</v>
      </c>
      <c r="AI101" s="90">
        <f t="shared" ref="AI101" si="133">SUM(AI98:AI100)</f>
        <v>0</v>
      </c>
      <c r="AJ101" s="90">
        <f t="shared" ref="AJ101" si="134">SUM(AJ98:AJ100)</f>
        <v>0</v>
      </c>
      <c r="AK101" s="90">
        <f t="shared" ref="AK101" si="135">SUM(AK98:AK100)</f>
        <v>0</v>
      </c>
      <c r="AL101" s="90">
        <f t="shared" ref="AL101" si="136">SUM(AL98:AL100)</f>
        <v>0</v>
      </c>
      <c r="AM101" s="90">
        <f t="shared" ref="AM101" si="137">SUM(AM98:AM100)</f>
        <v>0</v>
      </c>
      <c r="AN101" s="90">
        <f t="shared" ref="AN101" si="138">SUM(AN98:AN100)</f>
        <v>0</v>
      </c>
      <c r="AO101" s="90">
        <f t="shared" ref="AO101" si="139">SUM(AO98:AO100)</f>
        <v>0</v>
      </c>
      <c r="AP101" s="90">
        <f t="shared" ref="AP101" si="140">SUM(AP98:AP100)</f>
        <v>0</v>
      </c>
      <c r="AQ101" s="90">
        <f t="shared" ref="AQ101" si="141">SUM(AQ98:AQ100)</f>
        <v>0</v>
      </c>
      <c r="AR101" s="90">
        <f t="shared" ref="AR101" si="142">SUM(AR98:AR100)</f>
        <v>0</v>
      </c>
      <c r="AS101" s="90">
        <f t="shared" ref="AS101" si="143">SUM(AS98:AS100)</f>
        <v>0</v>
      </c>
      <c r="AT101" s="90">
        <f t="shared" ref="AT101" si="144">SUM(AT98:AT100)</f>
        <v>0</v>
      </c>
      <c r="AU101" s="177">
        <f t="shared" ref="AU101:AV101" si="145">SUM(AU98:AU100)</f>
        <v>0</v>
      </c>
      <c r="AV101" s="90">
        <f t="shared" si="145"/>
        <v>0</v>
      </c>
      <c r="DB101" s="133">
        <f t="shared" si="120"/>
        <v>0</v>
      </c>
      <c r="DC101" s="132">
        <f t="shared" si="120"/>
        <v>0</v>
      </c>
      <c r="DD101" s="132">
        <f t="shared" si="120"/>
        <v>0</v>
      </c>
      <c r="DE101" s="132">
        <f t="shared" si="120"/>
        <v>0</v>
      </c>
      <c r="DF101" s="132">
        <f t="shared" si="120"/>
        <v>0</v>
      </c>
      <c r="DG101" s="132">
        <f t="shared" si="120"/>
        <v>0</v>
      </c>
      <c r="DH101" s="132">
        <f t="shared" si="120"/>
        <v>0</v>
      </c>
      <c r="DI101" s="132">
        <f t="shared" si="120"/>
        <v>0</v>
      </c>
      <c r="DJ101" s="132">
        <f t="shared" si="120"/>
        <v>0</v>
      </c>
      <c r="DK101" s="132">
        <f t="shared" si="120"/>
        <v>0</v>
      </c>
      <c r="DL101" s="132">
        <f t="shared" si="121"/>
        <v>0</v>
      </c>
      <c r="DM101" s="134">
        <f t="shared" si="121"/>
        <v>0</v>
      </c>
      <c r="DN101" s="115">
        <f t="shared" si="121"/>
        <v>0</v>
      </c>
      <c r="DO101" s="115">
        <f t="shared" si="121"/>
        <v>0</v>
      </c>
      <c r="DP101" s="115">
        <f t="shared" si="121"/>
        <v>0</v>
      </c>
      <c r="DQ101" s="115">
        <f t="shared" si="121"/>
        <v>0</v>
      </c>
      <c r="DR101" s="115">
        <f t="shared" si="121"/>
        <v>0</v>
      </c>
      <c r="DS101" s="115">
        <f t="shared" si="121"/>
        <v>0</v>
      </c>
      <c r="DT101" s="115">
        <f t="shared" si="121"/>
        <v>0</v>
      </c>
      <c r="DU101" s="115">
        <f t="shared" si="121"/>
        <v>0</v>
      </c>
      <c r="DV101" s="115">
        <f t="shared" si="121"/>
        <v>0</v>
      </c>
      <c r="DW101" s="115">
        <f t="shared" si="121"/>
        <v>0</v>
      </c>
      <c r="DX101" s="115">
        <f t="shared" si="121"/>
        <v>0</v>
      </c>
      <c r="DY101" s="115">
        <f t="shared" si="121"/>
        <v>0</v>
      </c>
    </row>
    <row r="102" spans="1:129" x14ac:dyDescent="0.35">
      <c r="B102" s="6" t="str">
        <f t="shared" si="114"/>
        <v/>
      </c>
      <c r="D102" s="155"/>
      <c r="E102" s="145"/>
      <c r="F102" s="118">
        <f t="shared" si="117"/>
        <v>0</v>
      </c>
      <c r="G102" s="146"/>
      <c r="H102" s="347">
        <f t="shared" si="118"/>
        <v>0</v>
      </c>
      <c r="I102" s="146"/>
      <c r="J102" s="156"/>
      <c r="L102" s="118"/>
      <c r="O102" s="155"/>
      <c r="P102" s="145"/>
      <c r="Q102" s="118">
        <f t="shared" si="115"/>
        <v>0</v>
      </c>
      <c r="R102" s="146"/>
      <c r="S102" s="347">
        <f t="shared" si="119"/>
        <v>0</v>
      </c>
      <c r="T102" s="146"/>
      <c r="U102" s="156"/>
      <c r="DB102" s="133">
        <f t="shared" si="120"/>
        <v>0</v>
      </c>
      <c r="DC102" s="132">
        <f t="shared" si="120"/>
        <v>0</v>
      </c>
      <c r="DD102" s="132">
        <f t="shared" si="120"/>
        <v>0</v>
      </c>
      <c r="DE102" s="132">
        <f t="shared" si="120"/>
        <v>0</v>
      </c>
      <c r="DF102" s="132">
        <f t="shared" si="120"/>
        <v>0</v>
      </c>
      <c r="DG102" s="132">
        <f t="shared" si="120"/>
        <v>0</v>
      </c>
      <c r="DH102" s="132">
        <f t="shared" si="120"/>
        <v>0</v>
      </c>
      <c r="DI102" s="132">
        <f t="shared" si="120"/>
        <v>0</v>
      </c>
      <c r="DJ102" s="132">
        <f t="shared" si="120"/>
        <v>0</v>
      </c>
      <c r="DK102" s="132">
        <f t="shared" si="120"/>
        <v>0</v>
      </c>
      <c r="DL102" s="132">
        <f t="shared" si="121"/>
        <v>0</v>
      </c>
      <c r="DM102" s="134">
        <f t="shared" si="121"/>
        <v>0</v>
      </c>
      <c r="DN102" s="115">
        <f t="shared" si="121"/>
        <v>0</v>
      </c>
      <c r="DO102" s="115">
        <f t="shared" si="121"/>
        <v>0</v>
      </c>
      <c r="DP102" s="115">
        <f t="shared" si="121"/>
        <v>0</v>
      </c>
      <c r="DQ102" s="115">
        <f t="shared" si="121"/>
        <v>0</v>
      </c>
      <c r="DR102" s="115">
        <f t="shared" si="121"/>
        <v>0</v>
      </c>
      <c r="DS102" s="115">
        <f t="shared" si="121"/>
        <v>0</v>
      </c>
      <c r="DT102" s="115">
        <f t="shared" si="121"/>
        <v>0</v>
      </c>
      <c r="DU102" s="115">
        <f t="shared" si="121"/>
        <v>0</v>
      </c>
      <c r="DV102" s="115">
        <f t="shared" si="121"/>
        <v>0</v>
      </c>
      <c r="DW102" s="115">
        <f t="shared" si="121"/>
        <v>0</v>
      </c>
      <c r="DX102" s="115">
        <f t="shared" si="121"/>
        <v>0</v>
      </c>
      <c r="DY102" s="115">
        <f t="shared" si="121"/>
        <v>0</v>
      </c>
    </row>
    <row r="103" spans="1:129" x14ac:dyDescent="0.35">
      <c r="B103" s="6" t="str">
        <f t="shared" si="114"/>
        <v/>
      </c>
      <c r="C103" s="137"/>
      <c r="D103" s="155"/>
      <c r="E103" s="145"/>
      <c r="F103" s="118">
        <f t="shared" si="117"/>
        <v>0</v>
      </c>
      <c r="G103" s="146"/>
      <c r="H103" s="347">
        <f t="shared" si="118"/>
        <v>0</v>
      </c>
      <c r="I103" s="148"/>
      <c r="J103" s="156"/>
      <c r="K103" s="116"/>
      <c r="L103" s="118"/>
      <c r="M103" s="6"/>
      <c r="N103" s="137"/>
      <c r="O103" s="155"/>
      <c r="P103" s="145"/>
      <c r="Q103" s="118">
        <f t="shared" si="115"/>
        <v>0</v>
      </c>
      <c r="R103" s="146"/>
      <c r="S103" s="347">
        <f t="shared" si="119"/>
        <v>0</v>
      </c>
      <c r="T103" s="148"/>
      <c r="U103" s="156"/>
      <c r="W103" s="171" t="s">
        <v>315</v>
      </c>
      <c r="DB103" s="133">
        <f t="shared" si="120"/>
        <v>0</v>
      </c>
      <c r="DC103" s="132">
        <f t="shared" si="120"/>
        <v>0</v>
      </c>
      <c r="DD103" s="132">
        <f t="shared" si="120"/>
        <v>0</v>
      </c>
      <c r="DE103" s="132">
        <f t="shared" si="120"/>
        <v>0</v>
      </c>
      <c r="DF103" s="132">
        <f t="shared" si="120"/>
        <v>0</v>
      </c>
      <c r="DG103" s="132">
        <f t="shared" si="120"/>
        <v>0</v>
      </c>
      <c r="DH103" s="132">
        <f t="shared" si="120"/>
        <v>0</v>
      </c>
      <c r="DI103" s="132">
        <f t="shared" si="120"/>
        <v>0</v>
      </c>
      <c r="DJ103" s="132">
        <f t="shared" si="120"/>
        <v>0</v>
      </c>
      <c r="DK103" s="132">
        <f t="shared" si="120"/>
        <v>0</v>
      </c>
      <c r="DL103" s="132">
        <f t="shared" si="121"/>
        <v>0</v>
      </c>
      <c r="DM103" s="134">
        <f t="shared" si="121"/>
        <v>0</v>
      </c>
      <c r="DN103" s="115">
        <f t="shared" si="121"/>
        <v>0</v>
      </c>
      <c r="DO103" s="115">
        <f t="shared" si="121"/>
        <v>0</v>
      </c>
      <c r="DP103" s="115">
        <f t="shared" si="121"/>
        <v>0</v>
      </c>
      <c r="DQ103" s="115">
        <f t="shared" si="121"/>
        <v>0</v>
      </c>
      <c r="DR103" s="115">
        <f t="shared" si="121"/>
        <v>0</v>
      </c>
      <c r="DS103" s="115">
        <f t="shared" si="121"/>
        <v>0</v>
      </c>
      <c r="DT103" s="115">
        <f t="shared" si="121"/>
        <v>0</v>
      </c>
      <c r="DU103" s="115">
        <f t="shared" si="121"/>
        <v>0</v>
      </c>
      <c r="DV103" s="115">
        <f t="shared" si="121"/>
        <v>0</v>
      </c>
      <c r="DW103" s="115">
        <f t="shared" si="121"/>
        <v>0</v>
      </c>
      <c r="DX103" s="115">
        <f t="shared" si="121"/>
        <v>0</v>
      </c>
      <c r="DY103" s="115">
        <f t="shared" si="121"/>
        <v>0</v>
      </c>
    </row>
    <row r="104" spans="1:129" x14ac:dyDescent="0.35">
      <c r="B104" s="6" t="str">
        <f t="shared" si="114"/>
        <v/>
      </c>
      <c r="C104" s="137"/>
      <c r="D104" s="155"/>
      <c r="E104" s="145"/>
      <c r="F104" s="118">
        <f t="shared" si="117"/>
        <v>0</v>
      </c>
      <c r="G104" s="146"/>
      <c r="H104" s="347">
        <f t="shared" si="118"/>
        <v>0</v>
      </c>
      <c r="I104" s="148"/>
      <c r="J104" s="156"/>
      <c r="K104" s="116"/>
      <c r="L104" s="118"/>
      <c r="M104" s="6"/>
      <c r="N104" s="137"/>
      <c r="O104" s="155"/>
      <c r="P104" s="145"/>
      <c r="Q104" s="118">
        <f t="shared" si="115"/>
        <v>0</v>
      </c>
      <c r="R104" s="146"/>
      <c r="S104" s="347">
        <f t="shared" si="119"/>
        <v>0</v>
      </c>
      <c r="T104" s="148"/>
      <c r="U104" s="156"/>
      <c r="W104" s="171" t="s">
        <v>316</v>
      </c>
      <c r="DB104" s="133">
        <f t="shared" si="120"/>
        <v>0</v>
      </c>
      <c r="DC104" s="132">
        <f t="shared" si="120"/>
        <v>0</v>
      </c>
      <c r="DD104" s="132">
        <f t="shared" si="120"/>
        <v>0</v>
      </c>
      <c r="DE104" s="132">
        <f t="shared" si="120"/>
        <v>0</v>
      </c>
      <c r="DF104" s="132">
        <f t="shared" si="120"/>
        <v>0</v>
      </c>
      <c r="DG104" s="132">
        <f t="shared" si="120"/>
        <v>0</v>
      </c>
      <c r="DH104" s="132">
        <f t="shared" si="120"/>
        <v>0</v>
      </c>
      <c r="DI104" s="132">
        <f t="shared" si="120"/>
        <v>0</v>
      </c>
      <c r="DJ104" s="132">
        <f t="shared" si="120"/>
        <v>0</v>
      </c>
      <c r="DK104" s="132">
        <f t="shared" si="120"/>
        <v>0</v>
      </c>
      <c r="DL104" s="132">
        <f t="shared" si="121"/>
        <v>0</v>
      </c>
      <c r="DM104" s="134">
        <f t="shared" si="121"/>
        <v>0</v>
      </c>
      <c r="DN104" s="115">
        <f t="shared" si="121"/>
        <v>0</v>
      </c>
      <c r="DO104" s="115">
        <f t="shared" si="121"/>
        <v>0</v>
      </c>
      <c r="DP104" s="115">
        <f t="shared" si="121"/>
        <v>0</v>
      </c>
      <c r="DQ104" s="115">
        <f t="shared" si="121"/>
        <v>0</v>
      </c>
      <c r="DR104" s="115">
        <f t="shared" si="121"/>
        <v>0</v>
      </c>
      <c r="DS104" s="115">
        <f t="shared" si="121"/>
        <v>0</v>
      </c>
      <c r="DT104" s="115">
        <f t="shared" si="121"/>
        <v>0</v>
      </c>
      <c r="DU104" s="115">
        <f t="shared" si="121"/>
        <v>0</v>
      </c>
      <c r="DV104" s="115">
        <f t="shared" si="121"/>
        <v>0</v>
      </c>
      <c r="DW104" s="115">
        <f t="shared" si="121"/>
        <v>0</v>
      </c>
      <c r="DX104" s="115">
        <f t="shared" si="121"/>
        <v>0</v>
      </c>
      <c r="DY104" s="115">
        <f t="shared" si="121"/>
        <v>0</v>
      </c>
    </row>
    <row r="105" spans="1:129" x14ac:dyDescent="0.35">
      <c r="B105" s="6" t="str">
        <f t="shared" si="114"/>
        <v/>
      </c>
      <c r="C105" s="137"/>
      <c r="D105" s="155"/>
      <c r="E105" s="145"/>
      <c r="F105" s="118">
        <f t="shared" si="117"/>
        <v>0</v>
      </c>
      <c r="G105" s="146"/>
      <c r="H105" s="347">
        <f t="shared" si="118"/>
        <v>0</v>
      </c>
      <c r="I105" s="148"/>
      <c r="J105" s="156"/>
      <c r="K105" s="116"/>
      <c r="L105" s="118"/>
      <c r="M105" s="6"/>
      <c r="N105" s="137"/>
      <c r="O105" s="155"/>
      <c r="P105" s="145"/>
      <c r="Q105" s="118">
        <f t="shared" si="115"/>
        <v>0</v>
      </c>
      <c r="R105" s="146"/>
      <c r="S105" s="347">
        <f t="shared" si="119"/>
        <v>0</v>
      </c>
      <c r="T105" s="148"/>
      <c r="U105" s="156"/>
      <c r="DB105" s="133">
        <f t="shared" si="120"/>
        <v>0</v>
      </c>
      <c r="DC105" s="132">
        <f t="shared" si="120"/>
        <v>0</v>
      </c>
      <c r="DD105" s="132">
        <f t="shared" si="120"/>
        <v>0</v>
      </c>
      <c r="DE105" s="132">
        <f t="shared" si="120"/>
        <v>0</v>
      </c>
      <c r="DF105" s="132">
        <f t="shared" si="120"/>
        <v>0</v>
      </c>
      <c r="DG105" s="132">
        <f t="shared" si="120"/>
        <v>0</v>
      </c>
      <c r="DH105" s="132">
        <f t="shared" si="120"/>
        <v>0</v>
      </c>
      <c r="DI105" s="132">
        <f t="shared" si="120"/>
        <v>0</v>
      </c>
      <c r="DJ105" s="132">
        <f t="shared" si="120"/>
        <v>0</v>
      </c>
      <c r="DK105" s="132">
        <f t="shared" si="120"/>
        <v>0</v>
      </c>
      <c r="DL105" s="132">
        <f t="shared" si="121"/>
        <v>0</v>
      </c>
      <c r="DM105" s="134">
        <f t="shared" si="121"/>
        <v>0</v>
      </c>
      <c r="DN105" s="115">
        <f t="shared" si="121"/>
        <v>0</v>
      </c>
      <c r="DO105" s="115">
        <f t="shared" si="121"/>
        <v>0</v>
      </c>
      <c r="DP105" s="115">
        <f t="shared" si="121"/>
        <v>0</v>
      </c>
      <c r="DQ105" s="115">
        <f t="shared" si="121"/>
        <v>0</v>
      </c>
      <c r="DR105" s="115">
        <f t="shared" si="121"/>
        <v>0</v>
      </c>
      <c r="DS105" s="115">
        <f t="shared" si="121"/>
        <v>0</v>
      </c>
      <c r="DT105" s="115">
        <f t="shared" si="121"/>
        <v>0</v>
      </c>
      <c r="DU105" s="115">
        <f t="shared" si="121"/>
        <v>0</v>
      </c>
      <c r="DV105" s="115">
        <f t="shared" si="121"/>
        <v>0</v>
      </c>
      <c r="DW105" s="115">
        <f t="shared" si="121"/>
        <v>0</v>
      </c>
      <c r="DX105" s="115">
        <f t="shared" si="121"/>
        <v>0</v>
      </c>
      <c r="DY105" s="115">
        <f t="shared" si="121"/>
        <v>0</v>
      </c>
    </row>
    <row r="106" spans="1:129" x14ac:dyDescent="0.35">
      <c r="B106" s="6" t="str">
        <f t="shared" si="114"/>
        <v/>
      </c>
      <c r="C106" s="137"/>
      <c r="D106" s="155"/>
      <c r="E106" s="145"/>
      <c r="F106" s="118">
        <f t="shared" si="117"/>
        <v>0</v>
      </c>
      <c r="G106" s="146"/>
      <c r="H106" s="347">
        <f t="shared" si="118"/>
        <v>0</v>
      </c>
      <c r="I106" s="148"/>
      <c r="J106" s="156"/>
      <c r="K106" s="116"/>
      <c r="L106" s="118"/>
      <c r="M106" s="6"/>
      <c r="N106" s="137"/>
      <c r="O106" s="155"/>
      <c r="P106" s="145"/>
      <c r="Q106" s="118">
        <f t="shared" si="115"/>
        <v>0</v>
      </c>
      <c r="R106" s="146"/>
      <c r="S106" s="347">
        <f t="shared" si="119"/>
        <v>0</v>
      </c>
      <c r="T106" s="148"/>
      <c r="U106" s="156"/>
      <c r="DB106" s="133">
        <f t="shared" si="120"/>
        <v>0</v>
      </c>
      <c r="DC106" s="132">
        <f t="shared" si="120"/>
        <v>0</v>
      </c>
      <c r="DD106" s="132">
        <f t="shared" si="120"/>
        <v>0</v>
      </c>
      <c r="DE106" s="132">
        <f t="shared" si="120"/>
        <v>0</v>
      </c>
      <c r="DF106" s="132">
        <f t="shared" si="120"/>
        <v>0</v>
      </c>
      <c r="DG106" s="132">
        <f t="shared" si="120"/>
        <v>0</v>
      </c>
      <c r="DH106" s="132">
        <f t="shared" si="120"/>
        <v>0</v>
      </c>
      <c r="DI106" s="132">
        <f t="shared" si="120"/>
        <v>0</v>
      </c>
      <c r="DJ106" s="132">
        <f t="shared" si="120"/>
        <v>0</v>
      </c>
      <c r="DK106" s="132">
        <f t="shared" si="120"/>
        <v>0</v>
      </c>
      <c r="DL106" s="132">
        <f t="shared" si="121"/>
        <v>0</v>
      </c>
      <c r="DM106" s="134">
        <f t="shared" si="121"/>
        <v>0</v>
      </c>
      <c r="DN106" s="115">
        <f t="shared" si="121"/>
        <v>0</v>
      </c>
      <c r="DO106" s="115">
        <f t="shared" si="121"/>
        <v>0</v>
      </c>
      <c r="DP106" s="115">
        <f t="shared" si="121"/>
        <v>0</v>
      </c>
      <c r="DQ106" s="115">
        <f t="shared" si="121"/>
        <v>0</v>
      </c>
      <c r="DR106" s="115">
        <f t="shared" si="121"/>
        <v>0</v>
      </c>
      <c r="DS106" s="115">
        <f t="shared" si="121"/>
        <v>0</v>
      </c>
      <c r="DT106" s="115">
        <f t="shared" si="121"/>
        <v>0</v>
      </c>
      <c r="DU106" s="115">
        <f t="shared" si="121"/>
        <v>0</v>
      </c>
      <c r="DV106" s="115">
        <f t="shared" si="121"/>
        <v>0</v>
      </c>
      <c r="DW106" s="115">
        <f t="shared" si="121"/>
        <v>0</v>
      </c>
      <c r="DX106" s="115">
        <f t="shared" si="121"/>
        <v>0</v>
      </c>
      <c r="DY106" s="115">
        <f t="shared" si="121"/>
        <v>0</v>
      </c>
    </row>
    <row r="107" spans="1:129" x14ac:dyDescent="0.35">
      <c r="B107" s="6" t="str">
        <f t="shared" si="114"/>
        <v/>
      </c>
      <c r="C107" s="137"/>
      <c r="D107" s="155"/>
      <c r="E107" s="145"/>
      <c r="F107" s="118">
        <f t="shared" si="117"/>
        <v>0</v>
      </c>
      <c r="G107" s="146"/>
      <c r="H107" s="347">
        <f t="shared" si="118"/>
        <v>0</v>
      </c>
      <c r="I107" s="148"/>
      <c r="J107" s="156"/>
      <c r="K107" s="116"/>
      <c r="L107" s="118"/>
      <c r="M107" s="6"/>
      <c r="N107" s="137"/>
      <c r="O107" s="155"/>
      <c r="P107" s="145"/>
      <c r="Q107" s="118">
        <f t="shared" si="115"/>
        <v>0</v>
      </c>
      <c r="R107" s="146"/>
      <c r="S107" s="347">
        <f t="shared" si="119"/>
        <v>0</v>
      </c>
      <c r="T107" s="148"/>
      <c r="U107" s="156"/>
      <c r="DB107" s="133">
        <f t="shared" si="120"/>
        <v>0</v>
      </c>
      <c r="DC107" s="132">
        <f t="shared" si="120"/>
        <v>0</v>
      </c>
      <c r="DD107" s="132">
        <f t="shared" si="120"/>
        <v>0</v>
      </c>
      <c r="DE107" s="132">
        <f t="shared" si="120"/>
        <v>0</v>
      </c>
      <c r="DF107" s="132">
        <f t="shared" si="120"/>
        <v>0</v>
      </c>
      <c r="DG107" s="132">
        <f t="shared" si="120"/>
        <v>0</v>
      </c>
      <c r="DH107" s="132">
        <f t="shared" si="120"/>
        <v>0</v>
      </c>
      <c r="DI107" s="132">
        <f t="shared" si="120"/>
        <v>0</v>
      </c>
      <c r="DJ107" s="132">
        <f t="shared" si="120"/>
        <v>0</v>
      </c>
      <c r="DK107" s="132">
        <f t="shared" si="120"/>
        <v>0</v>
      </c>
      <c r="DL107" s="132">
        <f t="shared" si="121"/>
        <v>0</v>
      </c>
      <c r="DM107" s="134">
        <f t="shared" si="121"/>
        <v>0</v>
      </c>
      <c r="DN107" s="115">
        <f t="shared" si="121"/>
        <v>0</v>
      </c>
      <c r="DO107" s="115">
        <f t="shared" si="121"/>
        <v>0</v>
      </c>
      <c r="DP107" s="115">
        <f t="shared" si="121"/>
        <v>0</v>
      </c>
      <c r="DQ107" s="115">
        <f t="shared" si="121"/>
        <v>0</v>
      </c>
      <c r="DR107" s="115">
        <f t="shared" si="121"/>
        <v>0</v>
      </c>
      <c r="DS107" s="115">
        <f t="shared" si="121"/>
        <v>0</v>
      </c>
      <c r="DT107" s="115">
        <f t="shared" si="121"/>
        <v>0</v>
      </c>
      <c r="DU107" s="115">
        <f t="shared" si="121"/>
        <v>0</v>
      </c>
      <c r="DV107" s="115">
        <f t="shared" si="121"/>
        <v>0</v>
      </c>
      <c r="DW107" s="115">
        <f t="shared" si="121"/>
        <v>0</v>
      </c>
      <c r="DX107" s="115">
        <f t="shared" si="121"/>
        <v>0</v>
      </c>
      <c r="DY107" s="115">
        <f t="shared" si="121"/>
        <v>0</v>
      </c>
    </row>
    <row r="108" spans="1:129" x14ac:dyDescent="0.35">
      <c r="B108" s="6" t="str">
        <f t="shared" si="114"/>
        <v/>
      </c>
      <c r="C108" s="137"/>
      <c r="D108" s="155"/>
      <c r="E108" s="145"/>
      <c r="F108" s="118">
        <f t="shared" si="117"/>
        <v>0</v>
      </c>
      <c r="G108" s="146"/>
      <c r="H108" s="347">
        <f t="shared" si="118"/>
        <v>0</v>
      </c>
      <c r="I108" s="146"/>
      <c r="J108" s="156"/>
      <c r="K108" s="116"/>
      <c r="L108" s="118"/>
      <c r="M108" s="6"/>
      <c r="N108" s="137"/>
      <c r="O108" s="155"/>
      <c r="P108" s="145"/>
      <c r="Q108" s="118">
        <f t="shared" si="115"/>
        <v>0</v>
      </c>
      <c r="R108" s="146"/>
      <c r="S108" s="347">
        <f t="shared" si="119"/>
        <v>0</v>
      </c>
      <c r="T108" s="146"/>
      <c r="U108" s="156"/>
      <c r="DB108" s="133">
        <f t="shared" si="120"/>
        <v>0</v>
      </c>
      <c r="DC108" s="132">
        <f t="shared" si="120"/>
        <v>0</v>
      </c>
      <c r="DD108" s="132">
        <f t="shared" si="120"/>
        <v>0</v>
      </c>
      <c r="DE108" s="132">
        <f t="shared" si="120"/>
        <v>0</v>
      </c>
      <c r="DF108" s="132">
        <f t="shared" si="120"/>
        <v>0</v>
      </c>
      <c r="DG108" s="132">
        <f t="shared" si="120"/>
        <v>0</v>
      </c>
      <c r="DH108" s="132">
        <f t="shared" si="120"/>
        <v>0</v>
      </c>
      <c r="DI108" s="132">
        <f t="shared" si="120"/>
        <v>0</v>
      </c>
      <c r="DJ108" s="132">
        <f t="shared" si="120"/>
        <v>0</v>
      </c>
      <c r="DK108" s="132">
        <f t="shared" si="120"/>
        <v>0</v>
      </c>
      <c r="DL108" s="132">
        <f t="shared" si="121"/>
        <v>0</v>
      </c>
      <c r="DM108" s="134">
        <f t="shared" si="121"/>
        <v>0</v>
      </c>
      <c r="DN108" s="115">
        <f t="shared" si="121"/>
        <v>0</v>
      </c>
      <c r="DO108" s="115">
        <f t="shared" si="121"/>
        <v>0</v>
      </c>
      <c r="DP108" s="115">
        <f t="shared" si="121"/>
        <v>0</v>
      </c>
      <c r="DQ108" s="115">
        <f t="shared" si="121"/>
        <v>0</v>
      </c>
      <c r="DR108" s="115">
        <f t="shared" si="121"/>
        <v>0</v>
      </c>
      <c r="DS108" s="115">
        <f t="shared" si="121"/>
        <v>0</v>
      </c>
      <c r="DT108" s="115">
        <f t="shared" si="121"/>
        <v>0</v>
      </c>
      <c r="DU108" s="115">
        <f t="shared" si="121"/>
        <v>0</v>
      </c>
      <c r="DV108" s="115">
        <f t="shared" si="121"/>
        <v>0</v>
      </c>
      <c r="DW108" s="115">
        <f t="shared" si="121"/>
        <v>0</v>
      </c>
      <c r="DX108" s="115">
        <f t="shared" si="121"/>
        <v>0</v>
      </c>
      <c r="DY108" s="115">
        <f t="shared" si="121"/>
        <v>0</v>
      </c>
    </row>
    <row r="109" spans="1:129" x14ac:dyDescent="0.35">
      <c r="B109" s="6" t="str">
        <f t="shared" si="114"/>
        <v/>
      </c>
      <c r="C109" s="137"/>
      <c r="D109" s="155"/>
      <c r="E109" s="145"/>
      <c r="F109" s="118">
        <f t="shared" si="117"/>
        <v>0</v>
      </c>
      <c r="G109" s="146"/>
      <c r="H109" s="347">
        <f t="shared" si="118"/>
        <v>0</v>
      </c>
      <c r="I109" s="146"/>
      <c r="J109" s="156"/>
      <c r="K109" s="116"/>
      <c r="L109" s="118"/>
      <c r="M109" s="6"/>
      <c r="N109" s="137"/>
      <c r="O109" s="155"/>
      <c r="P109" s="145"/>
      <c r="Q109" s="118">
        <f t="shared" si="115"/>
        <v>0</v>
      </c>
      <c r="R109" s="146"/>
      <c r="S109" s="347">
        <f t="shared" si="119"/>
        <v>0</v>
      </c>
      <c r="T109" s="146"/>
      <c r="U109" s="156"/>
      <c r="DB109" s="133">
        <f t="shared" si="120"/>
        <v>0</v>
      </c>
      <c r="DC109" s="132">
        <f t="shared" si="120"/>
        <v>0</v>
      </c>
      <c r="DD109" s="132">
        <f t="shared" si="120"/>
        <v>0</v>
      </c>
      <c r="DE109" s="132">
        <f t="shared" si="120"/>
        <v>0</v>
      </c>
      <c r="DF109" s="132">
        <f t="shared" si="120"/>
        <v>0</v>
      </c>
      <c r="DG109" s="132">
        <f t="shared" si="120"/>
        <v>0</v>
      </c>
      <c r="DH109" s="132">
        <f t="shared" si="120"/>
        <v>0</v>
      </c>
      <c r="DI109" s="132">
        <f t="shared" si="120"/>
        <v>0</v>
      </c>
      <c r="DJ109" s="132">
        <f t="shared" si="120"/>
        <v>0</v>
      </c>
      <c r="DK109" s="132">
        <f t="shared" si="120"/>
        <v>0</v>
      </c>
      <c r="DL109" s="132">
        <f t="shared" si="121"/>
        <v>0</v>
      </c>
      <c r="DM109" s="134">
        <f t="shared" si="121"/>
        <v>0</v>
      </c>
      <c r="DN109" s="115">
        <f t="shared" si="121"/>
        <v>0</v>
      </c>
      <c r="DO109" s="115">
        <f t="shared" si="121"/>
        <v>0</v>
      </c>
      <c r="DP109" s="115">
        <f t="shared" si="121"/>
        <v>0</v>
      </c>
      <c r="DQ109" s="115">
        <f t="shared" si="121"/>
        <v>0</v>
      </c>
      <c r="DR109" s="115">
        <f t="shared" si="121"/>
        <v>0</v>
      </c>
      <c r="DS109" s="115">
        <f t="shared" si="121"/>
        <v>0</v>
      </c>
      <c r="DT109" s="115">
        <f t="shared" si="121"/>
        <v>0</v>
      </c>
      <c r="DU109" s="115">
        <f t="shared" si="121"/>
        <v>0</v>
      </c>
      <c r="DV109" s="115">
        <f t="shared" si="121"/>
        <v>0</v>
      </c>
      <c r="DW109" s="115">
        <f t="shared" si="121"/>
        <v>0</v>
      </c>
      <c r="DX109" s="115">
        <f t="shared" si="121"/>
        <v>0</v>
      </c>
      <c r="DY109" s="115">
        <f t="shared" si="121"/>
        <v>0</v>
      </c>
    </row>
    <row r="110" spans="1:129" x14ac:dyDescent="0.35">
      <c r="B110" s="6" t="str">
        <f t="shared" si="114"/>
        <v/>
      </c>
      <c r="C110" s="137"/>
      <c r="D110" s="155"/>
      <c r="E110" s="145"/>
      <c r="F110" s="118">
        <f t="shared" si="117"/>
        <v>0</v>
      </c>
      <c r="G110" s="146"/>
      <c r="H110" s="347">
        <f t="shared" si="118"/>
        <v>0</v>
      </c>
      <c r="I110" s="146"/>
      <c r="J110" s="156"/>
      <c r="K110" s="116"/>
      <c r="L110" s="118"/>
      <c r="M110" s="6"/>
      <c r="N110" s="137"/>
      <c r="O110" s="155"/>
      <c r="P110" s="145"/>
      <c r="Q110" s="118">
        <f t="shared" si="115"/>
        <v>0</v>
      </c>
      <c r="R110" s="146"/>
      <c r="S110" s="347">
        <f t="shared" si="119"/>
        <v>0</v>
      </c>
      <c r="T110" s="146"/>
      <c r="U110" s="156"/>
      <c r="AK110" s="115"/>
      <c r="DB110" s="133">
        <f t="shared" si="120"/>
        <v>0</v>
      </c>
      <c r="DC110" s="132">
        <f t="shared" si="120"/>
        <v>0</v>
      </c>
      <c r="DD110" s="132">
        <f t="shared" si="120"/>
        <v>0</v>
      </c>
      <c r="DE110" s="132">
        <f t="shared" si="120"/>
        <v>0</v>
      </c>
      <c r="DF110" s="132">
        <f t="shared" si="120"/>
        <v>0</v>
      </c>
      <c r="DG110" s="132">
        <f t="shared" si="120"/>
        <v>0</v>
      </c>
      <c r="DH110" s="132">
        <f t="shared" si="120"/>
        <v>0</v>
      </c>
      <c r="DI110" s="132">
        <f t="shared" si="120"/>
        <v>0</v>
      </c>
      <c r="DJ110" s="132">
        <f t="shared" si="120"/>
        <v>0</v>
      </c>
      <c r="DK110" s="132">
        <f t="shared" si="120"/>
        <v>0</v>
      </c>
      <c r="DL110" s="132">
        <f t="shared" si="121"/>
        <v>0</v>
      </c>
      <c r="DM110" s="134">
        <f t="shared" si="121"/>
        <v>0</v>
      </c>
      <c r="DN110" s="115">
        <f t="shared" si="121"/>
        <v>0</v>
      </c>
      <c r="DO110" s="115">
        <f t="shared" si="121"/>
        <v>0</v>
      </c>
      <c r="DP110" s="115">
        <f t="shared" si="121"/>
        <v>0</v>
      </c>
      <c r="DQ110" s="115">
        <f t="shared" si="121"/>
        <v>0</v>
      </c>
      <c r="DR110" s="115">
        <f t="shared" si="121"/>
        <v>0</v>
      </c>
      <c r="DS110" s="115">
        <f t="shared" si="121"/>
        <v>0</v>
      </c>
      <c r="DT110" s="115">
        <f t="shared" si="121"/>
        <v>0</v>
      </c>
      <c r="DU110" s="115">
        <f t="shared" si="121"/>
        <v>0</v>
      </c>
      <c r="DV110" s="115">
        <f t="shared" si="121"/>
        <v>0</v>
      </c>
      <c r="DW110" s="115">
        <f t="shared" si="121"/>
        <v>0</v>
      </c>
      <c r="DX110" s="115">
        <f t="shared" si="121"/>
        <v>0</v>
      </c>
      <c r="DY110" s="115">
        <f t="shared" si="121"/>
        <v>0</v>
      </c>
    </row>
    <row r="111" spans="1:129" x14ac:dyDescent="0.35">
      <c r="A111" s="129"/>
      <c r="B111" s="15" t="str">
        <f t="shared" si="114"/>
        <v/>
      </c>
      <c r="C111" s="138"/>
      <c r="D111" s="157"/>
      <c r="E111" s="149"/>
      <c r="F111" s="129">
        <f t="shared" si="117"/>
        <v>0</v>
      </c>
      <c r="G111" s="150"/>
      <c r="H111" s="348">
        <f t="shared" si="118"/>
        <v>0</v>
      </c>
      <c r="I111" s="150"/>
      <c r="J111" s="158"/>
      <c r="K111" s="116"/>
      <c r="L111" s="129"/>
      <c r="M111" s="15"/>
      <c r="N111" s="138"/>
      <c r="O111" s="157"/>
      <c r="P111" s="149"/>
      <c r="Q111" s="129">
        <f t="shared" si="115"/>
        <v>0</v>
      </c>
      <c r="R111" s="150"/>
      <c r="S111" s="348">
        <f t="shared" si="119"/>
        <v>0</v>
      </c>
      <c r="T111" s="150"/>
      <c r="U111" s="158"/>
      <c r="AK111" s="115"/>
      <c r="DB111" s="133">
        <f t="shared" si="120"/>
        <v>0</v>
      </c>
      <c r="DC111" s="132">
        <f t="shared" si="120"/>
        <v>0</v>
      </c>
      <c r="DD111" s="132">
        <f t="shared" si="120"/>
        <v>0</v>
      </c>
      <c r="DE111" s="132">
        <f t="shared" si="120"/>
        <v>0</v>
      </c>
      <c r="DF111" s="132">
        <f t="shared" si="120"/>
        <v>0</v>
      </c>
      <c r="DG111" s="132">
        <f t="shared" si="120"/>
        <v>0</v>
      </c>
      <c r="DH111" s="132">
        <f t="shared" si="120"/>
        <v>0</v>
      </c>
      <c r="DI111" s="132">
        <f t="shared" si="120"/>
        <v>0</v>
      </c>
      <c r="DJ111" s="132">
        <f t="shared" si="120"/>
        <v>0</v>
      </c>
      <c r="DK111" s="132">
        <f t="shared" si="120"/>
        <v>0</v>
      </c>
      <c r="DL111" s="132">
        <f t="shared" si="121"/>
        <v>0</v>
      </c>
      <c r="DM111" s="134">
        <f t="shared" si="121"/>
        <v>0</v>
      </c>
      <c r="DN111" s="115">
        <f t="shared" si="121"/>
        <v>0</v>
      </c>
      <c r="DO111" s="115">
        <f t="shared" si="121"/>
        <v>0</v>
      </c>
      <c r="DP111" s="115">
        <f t="shared" si="121"/>
        <v>0</v>
      </c>
      <c r="DQ111" s="115">
        <f t="shared" si="121"/>
        <v>0</v>
      </c>
      <c r="DR111" s="115">
        <f t="shared" si="121"/>
        <v>0</v>
      </c>
      <c r="DS111" s="115">
        <f t="shared" si="121"/>
        <v>0</v>
      </c>
      <c r="DT111" s="115">
        <f t="shared" si="121"/>
        <v>0</v>
      </c>
      <c r="DU111" s="115">
        <f t="shared" si="121"/>
        <v>0</v>
      </c>
      <c r="DV111" s="115">
        <f t="shared" si="121"/>
        <v>0</v>
      </c>
      <c r="DW111" s="115">
        <f t="shared" si="121"/>
        <v>0</v>
      </c>
      <c r="DX111" s="115">
        <f t="shared" si="121"/>
        <v>0</v>
      </c>
      <c r="DY111" s="115">
        <f t="shared" si="121"/>
        <v>0</v>
      </c>
    </row>
    <row r="112" spans="1:129" ht="16.5" thickBot="1" x14ac:dyDescent="0.35">
      <c r="A112" s="117"/>
      <c r="B112" s="16" t="s">
        <v>301</v>
      </c>
      <c r="C112" s="139">
        <f>SUM(C97:C111)</f>
        <v>0</v>
      </c>
      <c r="D112" s="125"/>
      <c r="E112" s="125"/>
      <c r="F112" s="135"/>
      <c r="G112" s="126"/>
      <c r="H112" s="126"/>
      <c r="I112" s="126"/>
      <c r="J112" s="127"/>
      <c r="K112" s="116"/>
      <c r="L112" s="117"/>
      <c r="M112" s="16" t="s">
        <v>304</v>
      </c>
      <c r="N112" s="139">
        <f>SUM(N97:N111)</f>
        <v>0</v>
      </c>
      <c r="O112" s="125"/>
      <c r="P112" s="125"/>
      <c r="Q112" s="135"/>
      <c r="R112" s="126"/>
      <c r="S112" s="126"/>
      <c r="T112" s="126"/>
      <c r="U112" s="127"/>
      <c r="AK112" s="115"/>
      <c r="DB112" s="122">
        <f>SUM(DB97:DB111)</f>
        <v>0</v>
      </c>
      <c r="DC112" s="122">
        <f t="shared" ref="DC112" si="146">SUM(DC97:DC111)</f>
        <v>0</v>
      </c>
      <c r="DD112" s="122">
        <f t="shared" ref="DD112" si="147">SUM(DD97:DD111)</f>
        <v>0</v>
      </c>
      <c r="DE112" s="122">
        <f t="shared" ref="DE112" si="148">SUM(DE97:DE111)</f>
        <v>0</v>
      </c>
      <c r="DF112" s="122">
        <f t="shared" ref="DF112" si="149">SUM(DF97:DF111)</f>
        <v>0</v>
      </c>
      <c r="DG112" s="122">
        <f t="shared" ref="DG112" si="150">SUM(DG97:DG111)</f>
        <v>0</v>
      </c>
      <c r="DH112" s="122">
        <f t="shared" ref="DH112" si="151">SUM(DH97:DH111)</f>
        <v>0</v>
      </c>
      <c r="DI112" s="122">
        <f t="shared" ref="DI112" si="152">SUM(DI97:DI111)</f>
        <v>0</v>
      </c>
      <c r="DJ112" s="122">
        <f t="shared" ref="DJ112" si="153">SUM(DJ97:DJ111)</f>
        <v>0</v>
      </c>
      <c r="DK112" s="122">
        <f t="shared" ref="DK112" si="154">SUM(DK97:DK111)</f>
        <v>0</v>
      </c>
      <c r="DL112" s="122">
        <f t="shared" ref="DL112" si="155">SUM(DL97:DL111)</f>
        <v>0</v>
      </c>
      <c r="DM112" s="122">
        <f t="shared" ref="DM112" si="156">SUM(DM97:DM111)</f>
        <v>0</v>
      </c>
      <c r="DN112" s="122">
        <f t="shared" ref="DN112" si="157">SUM(DN97:DN111)</f>
        <v>0</v>
      </c>
      <c r="DO112" s="122">
        <f t="shared" ref="DO112" si="158">SUM(DO97:DO111)</f>
        <v>0</v>
      </c>
      <c r="DP112" s="122">
        <f t="shared" ref="DP112" si="159">SUM(DP97:DP111)</f>
        <v>0</v>
      </c>
      <c r="DQ112" s="122">
        <f t="shared" ref="DQ112" si="160">SUM(DQ97:DQ111)</f>
        <v>0</v>
      </c>
      <c r="DR112" s="122">
        <f t="shared" ref="DR112" si="161">SUM(DR97:DR111)</f>
        <v>0</v>
      </c>
      <c r="DS112" s="122">
        <f t="shared" ref="DS112" si="162">SUM(DS97:DS111)</f>
        <v>0</v>
      </c>
      <c r="DT112" s="122">
        <f t="shared" ref="DT112" si="163">SUM(DT97:DT111)</f>
        <v>0</v>
      </c>
      <c r="DU112" s="122">
        <f t="shared" ref="DU112" si="164">SUM(DU97:DU111)</f>
        <v>0</v>
      </c>
      <c r="DV112" s="122">
        <f t="shared" ref="DV112" si="165">SUM(DV97:DV111)</f>
        <v>0</v>
      </c>
      <c r="DW112" s="122">
        <f t="shared" ref="DW112" si="166">SUM(DW97:DW111)</f>
        <v>0</v>
      </c>
      <c r="DX112" s="122">
        <f t="shared" ref="DX112" si="167">SUM(DX97:DX111)</f>
        <v>0</v>
      </c>
      <c r="DY112" s="122">
        <f t="shared" ref="DY112" si="168">SUM(DY97:DY111)</f>
        <v>0</v>
      </c>
    </row>
    <row r="113" spans="1:129" s="179" customFormat="1" ht="18.5" thickTop="1" thickBot="1" x14ac:dyDescent="0.3">
      <c r="A113" s="178"/>
      <c r="F113" s="178"/>
      <c r="K113" s="180"/>
      <c r="AK113" s="180"/>
      <c r="DB113" s="418"/>
      <c r="DC113" s="418"/>
      <c r="DD113" s="418"/>
      <c r="DE113" s="418"/>
      <c r="DF113" s="418"/>
      <c r="DG113" s="418"/>
      <c r="DH113" s="418"/>
      <c r="DI113" s="418"/>
      <c r="DJ113" s="418"/>
      <c r="DK113" s="418"/>
      <c r="DL113" s="418"/>
      <c r="DM113" s="418"/>
    </row>
    <row r="114" spans="1:129" x14ac:dyDescent="0.35">
      <c r="A114" s="114"/>
      <c r="F114" s="114"/>
      <c r="K114" s="118"/>
      <c r="AK114" s="120"/>
      <c r="DB114" s="160">
        <f t="shared" ref="DB114:DY114" si="169">DB$8</f>
        <v>45658</v>
      </c>
      <c r="DC114" s="5">
        <f t="shared" si="169"/>
        <v>45689</v>
      </c>
      <c r="DD114" s="5">
        <f t="shared" si="169"/>
        <v>45717</v>
      </c>
      <c r="DE114" s="5">
        <f t="shared" si="169"/>
        <v>45748</v>
      </c>
      <c r="DF114" s="5">
        <f t="shared" si="169"/>
        <v>45778</v>
      </c>
      <c r="DG114" s="5">
        <f t="shared" si="169"/>
        <v>45809</v>
      </c>
      <c r="DH114" s="5">
        <f t="shared" si="169"/>
        <v>45839</v>
      </c>
      <c r="DI114" s="5">
        <f t="shared" si="169"/>
        <v>45870</v>
      </c>
      <c r="DJ114" s="5">
        <f t="shared" si="169"/>
        <v>45901</v>
      </c>
      <c r="DK114" s="5">
        <f t="shared" si="169"/>
        <v>45931</v>
      </c>
      <c r="DL114" s="5">
        <f t="shared" si="169"/>
        <v>45962</v>
      </c>
      <c r="DM114" s="161">
        <f t="shared" si="169"/>
        <v>45992</v>
      </c>
      <c r="DN114" s="5">
        <f t="shared" si="169"/>
        <v>46023</v>
      </c>
      <c r="DO114" s="5">
        <f t="shared" si="169"/>
        <v>46054</v>
      </c>
      <c r="DP114" s="5">
        <f t="shared" si="169"/>
        <v>46082</v>
      </c>
      <c r="DQ114" s="5">
        <f t="shared" si="169"/>
        <v>46113</v>
      </c>
      <c r="DR114" s="5">
        <f t="shared" si="169"/>
        <v>46143</v>
      </c>
      <c r="DS114" s="5">
        <f t="shared" si="169"/>
        <v>46174</v>
      </c>
      <c r="DT114" s="5">
        <f t="shared" si="169"/>
        <v>46204</v>
      </c>
      <c r="DU114" s="5">
        <f t="shared" si="169"/>
        <v>46235</v>
      </c>
      <c r="DV114" s="5">
        <f t="shared" si="169"/>
        <v>46266</v>
      </c>
      <c r="DW114" s="5">
        <f t="shared" si="169"/>
        <v>46296</v>
      </c>
      <c r="DX114" s="5">
        <f t="shared" si="169"/>
        <v>46327</v>
      </c>
      <c r="DY114" s="5">
        <f t="shared" si="169"/>
        <v>46357</v>
      </c>
    </row>
    <row r="115" spans="1:129" ht="18" x14ac:dyDescent="0.35">
      <c r="A115" s="143">
        <f>'7010'!B1</f>
        <v>7010</v>
      </c>
      <c r="B115" s="6"/>
      <c r="C115" s="119"/>
      <c r="D115" s="117"/>
      <c r="E115" s="117"/>
      <c r="F115" s="117"/>
      <c r="G115" s="117"/>
      <c r="I115" s="117"/>
      <c r="J115" s="117"/>
      <c r="K115" s="117"/>
    </row>
    <row r="116" spans="1:129" ht="17.5" x14ac:dyDescent="0.25">
      <c r="A116" s="181">
        <f>'7010'!B4</f>
        <v>73209</v>
      </c>
      <c r="B116" s="182">
        <f>(A116-C134)/A116</f>
        <v>0.75132838858610285</v>
      </c>
      <c r="D116" s="183" t="str">
        <f>"Vacancies - "&amp;A115</f>
        <v>Vacancies - 7010</v>
      </c>
      <c r="E116" s="153"/>
      <c r="F116" s="153"/>
      <c r="G116" s="153"/>
      <c r="H116" s="153"/>
      <c r="I116" s="153"/>
      <c r="J116" s="152"/>
      <c r="K116" s="117"/>
      <c r="O116" s="183" t="str">
        <f>"Renewals - "&amp;A115</f>
        <v>Renewals - 7010</v>
      </c>
      <c r="P116" s="153"/>
      <c r="Q116" s="153"/>
      <c r="R116" s="153"/>
      <c r="S116" s="153"/>
      <c r="T116" s="153"/>
      <c r="U116" s="152"/>
    </row>
    <row r="117" spans="1:129" ht="18" x14ac:dyDescent="0.25">
      <c r="D117" s="414" t="s">
        <v>306</v>
      </c>
      <c r="E117" s="415"/>
      <c r="F117" s="415"/>
      <c r="G117" s="415"/>
      <c r="H117" s="415"/>
      <c r="I117" s="415"/>
      <c r="J117" s="416"/>
      <c r="O117" s="414" t="s">
        <v>306</v>
      </c>
      <c r="P117" s="415"/>
      <c r="Q117" s="415"/>
      <c r="R117" s="415"/>
      <c r="S117" s="415"/>
      <c r="T117" s="415"/>
      <c r="U117" s="416"/>
      <c r="W117" s="142">
        <f>A115</f>
        <v>7010</v>
      </c>
      <c r="X117" s="417">
        <v>2025</v>
      </c>
      <c r="Y117" s="417"/>
      <c r="Z117" s="417"/>
      <c r="AA117" s="417"/>
      <c r="AB117" s="417"/>
      <c r="AC117" s="417"/>
      <c r="AD117" s="417"/>
      <c r="AE117" s="417"/>
      <c r="AF117" s="417"/>
      <c r="AG117" s="417"/>
      <c r="AH117" s="417"/>
      <c r="AI117" s="417"/>
      <c r="AJ117" s="417">
        <f>X117+1</f>
        <v>2026</v>
      </c>
      <c r="AK117" s="417"/>
      <c r="AL117" s="417"/>
      <c r="AM117" s="417"/>
      <c r="AN117" s="417"/>
      <c r="AO117" s="417"/>
      <c r="AP117" s="417"/>
      <c r="AQ117" s="417"/>
      <c r="AR117" s="417"/>
      <c r="AS117" s="417"/>
      <c r="AT117" s="417"/>
      <c r="AU117" s="417"/>
      <c r="DB117" s="412" t="str">
        <f>+$DB$7</f>
        <v>2025</v>
      </c>
      <c r="DC117" s="412"/>
      <c r="DD117" s="412"/>
      <c r="DE117" s="412"/>
      <c r="DF117" s="412"/>
      <c r="DG117" s="412"/>
      <c r="DH117" s="412"/>
      <c r="DI117" s="412"/>
      <c r="DJ117" s="412"/>
      <c r="DK117" s="412"/>
      <c r="DL117" s="412"/>
      <c r="DM117" s="412"/>
      <c r="DN117" s="412" t="str">
        <f>+$DN$7</f>
        <v>2026</v>
      </c>
      <c r="DO117" s="412"/>
      <c r="DP117" s="412"/>
      <c r="DQ117" s="412"/>
      <c r="DR117" s="412"/>
      <c r="DS117" s="412"/>
      <c r="DT117" s="412"/>
      <c r="DU117" s="412"/>
      <c r="DV117" s="412"/>
      <c r="DW117" s="412"/>
      <c r="DX117" s="412"/>
      <c r="DY117" s="412"/>
    </row>
    <row r="118" spans="1:129" x14ac:dyDescent="0.35">
      <c r="A118" s="129" t="s">
        <v>206</v>
      </c>
      <c r="B118" s="15" t="s">
        <v>302</v>
      </c>
      <c r="C118" s="136" t="s">
        <v>203</v>
      </c>
      <c r="D118" s="159" t="s">
        <v>307</v>
      </c>
      <c r="E118" s="129" t="s">
        <v>308</v>
      </c>
      <c r="F118" s="129"/>
      <c r="G118" s="128" t="s">
        <v>202</v>
      </c>
      <c r="H118" s="141" t="s">
        <v>526</v>
      </c>
      <c r="I118" s="141" t="s">
        <v>303</v>
      </c>
      <c r="J118" s="131" t="s">
        <v>201</v>
      </c>
      <c r="K118" s="118"/>
      <c r="L118" s="129" t="s">
        <v>206</v>
      </c>
      <c r="M118" s="15" t="s">
        <v>302</v>
      </c>
      <c r="N118" s="136" t="s">
        <v>203</v>
      </c>
      <c r="O118" s="159" t="s">
        <v>307</v>
      </c>
      <c r="P118" s="129" t="s">
        <v>308</v>
      </c>
      <c r="Q118" s="129"/>
      <c r="R118" s="128" t="s">
        <v>202</v>
      </c>
      <c r="S118" s="141" t="s">
        <v>526</v>
      </c>
      <c r="T118" s="141" t="s">
        <v>303</v>
      </c>
      <c r="U118" s="131" t="s">
        <v>201</v>
      </c>
      <c r="X118" s="160">
        <f>X$8</f>
        <v>45658</v>
      </c>
      <c r="Y118" s="5">
        <f t="shared" ref="Y118:AU118" si="170">Y$8</f>
        <v>45689</v>
      </c>
      <c r="Z118" s="5">
        <f t="shared" si="170"/>
        <v>45717</v>
      </c>
      <c r="AA118" s="5">
        <f t="shared" si="170"/>
        <v>45748</v>
      </c>
      <c r="AB118" s="5">
        <f t="shared" si="170"/>
        <v>45778</v>
      </c>
      <c r="AC118" s="5">
        <f t="shared" si="170"/>
        <v>45809</v>
      </c>
      <c r="AD118" s="5">
        <f t="shared" si="170"/>
        <v>45839</v>
      </c>
      <c r="AE118" s="5">
        <f t="shared" si="170"/>
        <v>45870</v>
      </c>
      <c r="AF118" s="5">
        <f t="shared" si="170"/>
        <v>45901</v>
      </c>
      <c r="AG118" s="5">
        <f t="shared" si="170"/>
        <v>45931</v>
      </c>
      <c r="AH118" s="5">
        <f t="shared" si="170"/>
        <v>45962</v>
      </c>
      <c r="AI118" s="161">
        <f t="shared" si="170"/>
        <v>45992</v>
      </c>
      <c r="AJ118" s="5">
        <f t="shared" si="170"/>
        <v>46023</v>
      </c>
      <c r="AK118" s="5">
        <f t="shared" si="170"/>
        <v>46054</v>
      </c>
      <c r="AL118" s="5">
        <f t="shared" si="170"/>
        <v>46082</v>
      </c>
      <c r="AM118" s="5">
        <f t="shared" si="170"/>
        <v>46113</v>
      </c>
      <c r="AN118" s="5">
        <f t="shared" si="170"/>
        <v>46143</v>
      </c>
      <c r="AO118" s="5">
        <f t="shared" si="170"/>
        <v>46174</v>
      </c>
      <c r="AP118" s="5">
        <f t="shared" si="170"/>
        <v>46204</v>
      </c>
      <c r="AQ118" s="5">
        <f t="shared" si="170"/>
        <v>46235</v>
      </c>
      <c r="AR118" s="5">
        <f t="shared" si="170"/>
        <v>46266</v>
      </c>
      <c r="AS118" s="5">
        <f t="shared" si="170"/>
        <v>46296</v>
      </c>
      <c r="AT118" s="5">
        <f t="shared" si="170"/>
        <v>46327</v>
      </c>
      <c r="AU118" s="5">
        <f t="shared" si="170"/>
        <v>46357</v>
      </c>
      <c r="AV118" s="210" t="str">
        <f>AJ117&amp;" - Totals"</f>
        <v>2026 - Totals</v>
      </c>
      <c r="DB118" s="160">
        <f t="shared" ref="DB118:DY118" si="171">DB$8</f>
        <v>45658</v>
      </c>
      <c r="DC118" s="5">
        <f t="shared" si="171"/>
        <v>45689</v>
      </c>
      <c r="DD118" s="5">
        <f t="shared" si="171"/>
        <v>45717</v>
      </c>
      <c r="DE118" s="5">
        <f t="shared" si="171"/>
        <v>45748</v>
      </c>
      <c r="DF118" s="5">
        <f t="shared" si="171"/>
        <v>45778</v>
      </c>
      <c r="DG118" s="5">
        <f t="shared" si="171"/>
        <v>45809</v>
      </c>
      <c r="DH118" s="5">
        <f t="shared" si="171"/>
        <v>45839</v>
      </c>
      <c r="DI118" s="5">
        <f t="shared" si="171"/>
        <v>45870</v>
      </c>
      <c r="DJ118" s="5">
        <f t="shared" si="171"/>
        <v>45901</v>
      </c>
      <c r="DK118" s="5">
        <f t="shared" si="171"/>
        <v>45931</v>
      </c>
      <c r="DL118" s="5">
        <f t="shared" si="171"/>
        <v>45962</v>
      </c>
      <c r="DM118" s="161">
        <f t="shared" si="171"/>
        <v>45992</v>
      </c>
      <c r="DN118" s="5">
        <f t="shared" si="171"/>
        <v>46023</v>
      </c>
      <c r="DO118" s="5">
        <f t="shared" si="171"/>
        <v>46054</v>
      </c>
      <c r="DP118" s="5">
        <f t="shared" si="171"/>
        <v>46082</v>
      </c>
      <c r="DQ118" s="5">
        <f t="shared" si="171"/>
        <v>46113</v>
      </c>
      <c r="DR118" s="5">
        <f t="shared" si="171"/>
        <v>46143</v>
      </c>
      <c r="DS118" s="5">
        <f t="shared" si="171"/>
        <v>46174</v>
      </c>
      <c r="DT118" s="5">
        <f t="shared" si="171"/>
        <v>46204</v>
      </c>
      <c r="DU118" s="5">
        <f t="shared" si="171"/>
        <v>46235</v>
      </c>
      <c r="DV118" s="5">
        <f t="shared" si="171"/>
        <v>46266</v>
      </c>
      <c r="DW118" s="5">
        <f t="shared" si="171"/>
        <v>46296</v>
      </c>
      <c r="DX118" s="5">
        <f t="shared" si="171"/>
        <v>46327</v>
      </c>
      <c r="DY118" s="5">
        <f t="shared" si="171"/>
        <v>46357</v>
      </c>
    </row>
    <row r="119" spans="1:129" x14ac:dyDescent="0.35">
      <c r="A119" s="118" t="s">
        <v>510</v>
      </c>
      <c r="B119" s="6" t="str">
        <f t="shared" ref="B119:B133" si="172">IF(A119&lt;&gt;"","VACANT","")</f>
        <v>VACANT</v>
      </c>
      <c r="C119" s="137">
        <v>1000</v>
      </c>
      <c r="D119" s="155"/>
      <c r="E119" s="145"/>
      <c r="F119" s="172">
        <f>IFERROR(ROUNDUP(((DATEDIF(D119,E119,"d"))/365),1),0)</f>
        <v>0</v>
      </c>
      <c r="G119" s="146"/>
      <c r="H119" s="347">
        <f>(G119*C119)/12</f>
        <v>0</v>
      </c>
      <c r="I119" s="146"/>
      <c r="J119" s="156"/>
      <c r="K119" s="163"/>
      <c r="L119" s="118" t="s">
        <v>398</v>
      </c>
      <c r="M119" s="6" t="s">
        <v>330</v>
      </c>
      <c r="N119" s="137">
        <v>2471</v>
      </c>
      <c r="O119" s="155">
        <v>46204</v>
      </c>
      <c r="P119" s="145">
        <v>46568</v>
      </c>
      <c r="Q119" s="172">
        <f t="shared" ref="Q119:Q133" si="173">IFERROR(ROUNDUP(((DATEDIF(O119,P119,"d"))/365),1),0)</f>
        <v>1</v>
      </c>
      <c r="R119" s="146">
        <v>25.49</v>
      </c>
      <c r="S119" s="347">
        <f>(R119*N119)/12</f>
        <v>5248.8158333333331</v>
      </c>
      <c r="T119" s="146">
        <v>0</v>
      </c>
      <c r="U119" s="156">
        <v>0</v>
      </c>
      <c r="W119" s="114" t="s">
        <v>314</v>
      </c>
      <c r="X119" s="199" cm="1">
        <f t="array" ref="X119:AI119">_xlfn.LET(
  _xlpm.months, X118:AI118,
  _xlpm.totalSqft, A116,
  _xlpm.vacSF, C119:C133,
  _xlpm.vacStart, D119:D133,
  _xlpm.vacEnd, E119:E133,
  _xlpm.renSF, N119:N133,
  _xlpm.renEnd, P119:P133,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0.75129999999999997</v>
      </c>
      <c r="Y119" s="200">
        <v>0.75129999999999997</v>
      </c>
      <c r="Z119" s="200">
        <v>0.75129999999999997</v>
      </c>
      <c r="AA119" s="200">
        <v>0.75129999999999997</v>
      </c>
      <c r="AB119" s="200">
        <v>0.75129999999999997</v>
      </c>
      <c r="AC119" s="200">
        <v>0.75129999999999997</v>
      </c>
      <c r="AD119" s="200">
        <v>0.75129999999999997</v>
      </c>
      <c r="AE119" s="200">
        <v>0.75129999999999997</v>
      </c>
      <c r="AF119" s="200">
        <v>0.75129999999999997</v>
      </c>
      <c r="AG119" s="200">
        <v>0.75129999999999997</v>
      </c>
      <c r="AH119" s="200">
        <v>0.75129999999999997</v>
      </c>
      <c r="AI119" s="200">
        <v>0.75129999999999997</v>
      </c>
      <c r="AJ119" s="199" cm="1">
        <f t="array" ref="AJ119:AU119">_xlfn.LET(
  _xlpm.months, AJ118:AU118,
  _xlpm.totalSqft, A116,
  _xlpm.vacSF, C119:C133,
  _xlpm.vacStart, D119:D133,
  _xlpm.vacEnd, E119:E133,
  _xlpm.renSF, N119:N133,
  _xlpm.renEnd, P119:P133,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0.75129999999999997</v>
      </c>
      <c r="AK119" s="200">
        <v>0.75129999999999997</v>
      </c>
      <c r="AL119" s="200">
        <v>0.75129999999999997</v>
      </c>
      <c r="AM119" s="200">
        <v>0.75129999999999997</v>
      </c>
      <c r="AN119" s="200">
        <v>0.75129999999999997</v>
      </c>
      <c r="AO119" s="200">
        <v>0.75129999999999997</v>
      </c>
      <c r="AP119" s="200">
        <v>0.75129999999999997</v>
      </c>
      <c r="AQ119" s="200">
        <v>0.75129999999999997</v>
      </c>
      <c r="AR119" s="200">
        <v>0.75129999999999997</v>
      </c>
      <c r="AS119" s="200">
        <v>0.75129999999999997</v>
      </c>
      <c r="AT119" s="200">
        <v>0.75129999999999997</v>
      </c>
      <c r="AU119" s="200">
        <v>0.75129999999999997</v>
      </c>
      <c r="AV119" s="208"/>
      <c r="DB119" s="133">
        <f t="shared" ref="DB119:DY119" si="174">IF(AND($D119&lt;=DB118,$E119&gt;=DB118),(($G119*$C119)/12),0)</f>
        <v>0</v>
      </c>
      <c r="DC119" s="132">
        <f t="shared" si="174"/>
        <v>0</v>
      </c>
      <c r="DD119" s="132">
        <f t="shared" si="174"/>
        <v>0</v>
      </c>
      <c r="DE119" s="132">
        <f t="shared" si="174"/>
        <v>0</v>
      </c>
      <c r="DF119" s="132">
        <f t="shared" si="174"/>
        <v>0</v>
      </c>
      <c r="DG119" s="132">
        <f t="shared" si="174"/>
        <v>0</v>
      </c>
      <c r="DH119" s="132">
        <f t="shared" si="174"/>
        <v>0</v>
      </c>
      <c r="DI119" s="132">
        <f t="shared" si="174"/>
        <v>0</v>
      </c>
      <c r="DJ119" s="132">
        <f t="shared" si="174"/>
        <v>0</v>
      </c>
      <c r="DK119" s="132">
        <f t="shared" si="174"/>
        <v>0</v>
      </c>
      <c r="DL119" s="132">
        <f t="shared" si="174"/>
        <v>0</v>
      </c>
      <c r="DM119" s="134">
        <f t="shared" si="174"/>
        <v>0</v>
      </c>
      <c r="DN119" s="115">
        <f t="shared" si="174"/>
        <v>0</v>
      </c>
      <c r="DO119" s="115">
        <f t="shared" si="174"/>
        <v>0</v>
      </c>
      <c r="DP119" s="115">
        <f t="shared" si="174"/>
        <v>0</v>
      </c>
      <c r="DQ119" s="115">
        <f t="shared" si="174"/>
        <v>0</v>
      </c>
      <c r="DR119" s="115">
        <f t="shared" si="174"/>
        <v>0</v>
      </c>
      <c r="DS119" s="115">
        <f t="shared" si="174"/>
        <v>0</v>
      </c>
      <c r="DT119" s="115">
        <f t="shared" si="174"/>
        <v>0</v>
      </c>
      <c r="DU119" s="115">
        <f t="shared" si="174"/>
        <v>0</v>
      </c>
      <c r="DV119" s="115">
        <f t="shared" si="174"/>
        <v>0</v>
      </c>
      <c r="DW119" s="115">
        <f t="shared" si="174"/>
        <v>0</v>
      </c>
      <c r="DX119" s="115">
        <f t="shared" si="174"/>
        <v>0</v>
      </c>
      <c r="DY119" s="115">
        <f t="shared" si="174"/>
        <v>0</v>
      </c>
    </row>
    <row r="120" spans="1:129" x14ac:dyDescent="0.35">
      <c r="A120" s="118" t="s">
        <v>511</v>
      </c>
      <c r="B120" s="6" t="str">
        <f t="shared" si="172"/>
        <v>VACANT</v>
      </c>
      <c r="C120" s="137">
        <v>1220</v>
      </c>
      <c r="D120" s="155"/>
      <c r="E120" s="145"/>
      <c r="F120" s="118">
        <f t="shared" ref="F120:F133" si="175">IFERROR(ROUNDUP(((DATEDIF(D120,E120,"d"))/365),1),0)</f>
        <v>0</v>
      </c>
      <c r="G120" s="146"/>
      <c r="H120" s="347">
        <f t="shared" ref="H120:H133" si="176">(G120*C120)/12</f>
        <v>0</v>
      </c>
      <c r="I120" s="146"/>
      <c r="J120" s="156"/>
      <c r="K120" s="116"/>
      <c r="L120" s="118" t="s">
        <v>399</v>
      </c>
      <c r="M120" s="6" t="s">
        <v>331</v>
      </c>
      <c r="N120" s="137">
        <v>2157</v>
      </c>
      <c r="O120" s="155">
        <v>46296</v>
      </c>
      <c r="P120" s="145">
        <v>48121</v>
      </c>
      <c r="Q120" s="118">
        <f t="shared" si="173"/>
        <v>5</v>
      </c>
      <c r="R120" s="146">
        <v>17.579999999999998</v>
      </c>
      <c r="S120" s="347">
        <f t="shared" ref="S120:S133" si="177">(R120*N120)/12</f>
        <v>3160.0049999999997</v>
      </c>
      <c r="T120" s="146">
        <v>0</v>
      </c>
      <c r="U120" s="156">
        <v>0</v>
      </c>
      <c r="W120" s="114" t="s">
        <v>312</v>
      </c>
      <c r="X120" s="133" cm="1">
        <f t="array" ref="X120">((SUMPRODUCT(($D119:$D133&lt;=X$8) * ($E119:$E133&gt;=X$8) * ($G119:$G133 * $C119:$C133)))+(SUMPRODUCT(($O119:$O133&lt;=X$8) * ($P119:$P133&gt;=X$8) * ($R119:$R133 * $N119:$N133))))/12</f>
        <v>0</v>
      </c>
      <c r="Y120" s="115" cm="1">
        <f t="array" ref="Y120">((SUMPRODUCT(($D119:$D133&lt;=Y$8) * ($E119:$E133&gt;=Y$8) * ($G119:$G133 * $C119:$C133)))+(SUMPRODUCT(($O119:$O133&lt;=Y$8) * ($P119:$P133&gt;=Y$8) * ($R119:$R133 * $N119:$N133))))/12</f>
        <v>0</v>
      </c>
      <c r="Z120" s="115" cm="1">
        <f t="array" ref="Z120">((SUMPRODUCT(($D119:$D133&lt;=Z$8) * ($E119:$E133&gt;=Z$8) * ($G119:$G133 * $C119:$C133)))+(SUMPRODUCT(($O119:$O133&lt;=Z$8) * ($P119:$P133&gt;=Z$8) * ($R119:$R133 * $N119:$N133))))/12</f>
        <v>0</v>
      </c>
      <c r="AA120" s="115" cm="1">
        <f t="array" ref="AA120">((SUMPRODUCT(($D119:$D133&lt;=AA$8) * ($E119:$E133&gt;=AA$8) * ($G119:$G133 * $C119:$C133)))+(SUMPRODUCT(($O119:$O133&lt;=AA$8) * ($P119:$P133&gt;=AA$8) * ($R119:$R133 * $N119:$N133))))/12</f>
        <v>0</v>
      </c>
      <c r="AB120" s="115" cm="1">
        <f t="array" ref="AB120">((SUMPRODUCT(($D119:$D133&lt;=AB$8) * ($E119:$E133&gt;=AB$8) * ($G119:$G133 * $C119:$C133)))+(SUMPRODUCT(($O119:$O133&lt;=AB$8) * ($P119:$P133&gt;=AB$8) * ($R119:$R133 * $N119:$N133))))/12</f>
        <v>0</v>
      </c>
      <c r="AC120" s="115" cm="1">
        <f t="array" ref="AC120">((SUMPRODUCT(($D119:$D133&lt;=AC$8) * ($E119:$E133&gt;=AC$8) * ($G119:$G133 * $C119:$C133)))+(SUMPRODUCT(($O119:$O133&lt;=AC$8) * ($P119:$P133&gt;=AC$8) * ($R119:$R133 * $N119:$N133))))/12</f>
        <v>0</v>
      </c>
      <c r="AD120" s="115" cm="1">
        <f t="array" ref="AD120">((SUMPRODUCT(($D119:$D133&lt;=AD$8) * ($E119:$E133&gt;=AD$8) * ($G119:$G133 * $C119:$C133)))+(SUMPRODUCT(($O119:$O133&lt;=AD$8) * ($P119:$P133&gt;=AD$8) * ($R119:$R133 * $N119:$N133))))/12</f>
        <v>0</v>
      </c>
      <c r="AE120" s="115" cm="1">
        <f t="array" ref="AE120">((SUMPRODUCT(($D119:$D133&lt;=AE$8) * ($E119:$E133&gt;=AE$8) * ($G119:$G133 * $C119:$C133)))+(SUMPRODUCT(($O119:$O133&lt;=AE$8) * ($P119:$P133&gt;=AE$8) * ($R119:$R133 * $N119:$N133))))/12</f>
        <v>0</v>
      </c>
      <c r="AF120" s="115" cm="1">
        <f t="array" ref="AF120">((SUMPRODUCT(($D119:$D133&lt;=AF$8) * ($E119:$E133&gt;=AF$8) * ($G119:$G133 * $C119:$C133)))+(SUMPRODUCT(($O119:$O133&lt;=AF$8) * ($P119:$P133&gt;=AF$8) * ($R119:$R133 * $N119:$N133))))/12</f>
        <v>0</v>
      </c>
      <c r="AG120" s="115" cm="1">
        <f t="array" ref="AG120">((SUMPRODUCT(($D119:$D133&lt;=AG$8) * ($E119:$E133&gt;=AG$8) * ($G119:$G133 * $C119:$C133)))+(SUMPRODUCT(($O119:$O133&lt;=AG$8) * ($P119:$P133&gt;=AG$8) * ($R119:$R133 * $N119:$N133))))/12</f>
        <v>0</v>
      </c>
      <c r="AH120" s="115" cm="1">
        <f t="array" ref="AH120">((SUMPRODUCT(($D119:$D133&lt;=AH$8) * ($E119:$E133&gt;=AH$8) * ($G119:$G133 * $C119:$C133)))+(SUMPRODUCT(($O119:$O133&lt;=AH$8) * ($P119:$P133&gt;=AH$8) * ($R119:$R133 * $N119:$N133))))/12</f>
        <v>0</v>
      </c>
      <c r="AI120" s="115" cm="1">
        <f t="array" ref="AI120">((SUMPRODUCT(($D119:$D133&lt;=AI$8) * ($E119:$E133&gt;=AI$8) * ($G119:$G133 * $C119:$C133)))+(SUMPRODUCT(($O119:$O133&lt;=AI$8) * ($P119:$P133&gt;=AI$8) * ($R119:$R133 * $N119:$N133))))/12</f>
        <v>2016</v>
      </c>
      <c r="AJ120" s="133" cm="1">
        <f t="array" ref="AJ120">((SUMPRODUCT(($D119:$D133&lt;=AJ$8) * ($E119:$E133&gt;=AJ$8) * ($G119:$G133 * $C119:$C133)))+(SUMPRODUCT(($O119:$O133&lt;=AJ$8) * ($P119:$P133&gt;=AJ$8) * ($R119:$R133 * $N119:$N133))))/12</f>
        <v>5216</v>
      </c>
      <c r="AK120" s="115" cm="1">
        <f t="array" ref="AK120">((SUMPRODUCT(($D119:$D133&lt;=AK$8) * ($E119:$E133&gt;=AK$8) * ($G119:$G133 * $C119:$C133)))+(SUMPRODUCT(($O119:$O133&lt;=AK$8) * ($P119:$P133&gt;=AK$8) * ($R119:$R133 * $N119:$N133))))/12</f>
        <v>5216</v>
      </c>
      <c r="AL120" s="115" cm="1">
        <f t="array" ref="AL120">((SUMPRODUCT(($D119:$D133&lt;=AL$8) * ($E119:$E133&gt;=AL$8) * ($G119:$G133 * $C119:$C133)))+(SUMPRODUCT(($O119:$O133&lt;=AL$8) * ($P119:$P133&gt;=AL$8) * ($R119:$R133 * $N119:$N133))))/12</f>
        <v>5216</v>
      </c>
      <c r="AM120" s="115" cm="1">
        <f t="array" ref="AM120">((SUMPRODUCT(($D119:$D133&lt;=AM$8) * ($E119:$E133&gt;=AM$8) * ($G119:$G133 * $C119:$C133)))+(SUMPRODUCT(($O119:$O133&lt;=AM$8) * ($P119:$P133&gt;=AM$8) * ($R119:$R133 * $N119:$N133))))/12</f>
        <v>8345.4433333333345</v>
      </c>
      <c r="AN120" s="115" cm="1">
        <f t="array" ref="AN120">((SUMPRODUCT(($D119:$D133&lt;=AN$8) * ($E119:$E133&gt;=AN$8) * ($G119:$G133 * $C119:$C133)))+(SUMPRODUCT(($O119:$O133&lt;=AN$8) * ($P119:$P133&gt;=AN$8) * ($R119:$R133 * $N119:$N133))))/12</f>
        <v>8345.4433333333345</v>
      </c>
      <c r="AO120" s="115" cm="1">
        <f t="array" ref="AO120">((SUMPRODUCT(($D119:$D133&lt;=AO$8) * ($E119:$E133&gt;=AO$8) * ($G119:$G133 * $C119:$C133)))+(SUMPRODUCT(($O119:$O133&lt;=AO$8) * ($P119:$P133&gt;=AO$8) * ($R119:$R133 * $N119:$N133))))/12</f>
        <v>8345.4433333333345</v>
      </c>
      <c r="AP120" s="115" cm="1">
        <f t="array" ref="AP120">((SUMPRODUCT(($D119:$D133&lt;=AP$8) * ($E119:$E133&gt;=AP$8) * ($G119:$G133 * $C119:$C133)))+(SUMPRODUCT(($O119:$O133&lt;=AP$8) * ($P119:$P133&gt;=AP$8) * ($R119:$R133 * $N119:$N133))))/12</f>
        <v>13594.259166666665</v>
      </c>
      <c r="AQ120" s="115" cm="1">
        <f t="array" ref="AQ120">((SUMPRODUCT(($D119:$D133&lt;=AQ$8) * ($E119:$E133&gt;=AQ$8) * ($G119:$G133 * $C119:$C133)))+(SUMPRODUCT(($O119:$O133&lt;=AQ$8) * ($P119:$P133&gt;=AQ$8) * ($R119:$R133 * $N119:$N133))))/12</f>
        <v>24212.592499999999</v>
      </c>
      <c r="AR120" s="115" cm="1">
        <f t="array" ref="AR120">((SUMPRODUCT(($D119:$D133&lt;=AR$8) * ($E119:$E133&gt;=AR$8) * ($G119:$G133 * $C119:$C133)))+(SUMPRODUCT(($O119:$O133&lt;=AR$8) * ($P119:$P133&gt;=AR$8) * ($R119:$R133 * $N119:$N133))))/12</f>
        <v>37080.357499999998</v>
      </c>
      <c r="AS120" s="115" cm="1">
        <f t="array" ref="AS120">((SUMPRODUCT(($D119:$D133&lt;=AS$8) * ($E119:$E133&gt;=AS$8) * ($G119:$G133 * $C119:$C133)))+(SUMPRODUCT(($O119:$O133&lt;=AS$8) * ($P119:$P133&gt;=AS$8) * ($R119:$R133 * $N119:$N133))))/12</f>
        <v>42337.029166666667</v>
      </c>
      <c r="AT120" s="115" cm="1">
        <f t="array" ref="AT120">((SUMPRODUCT(($D119:$D133&lt;=AT$8) * ($E119:$E133&gt;=AT$8) * ($G119:$G133 * $C119:$C133)))+(SUMPRODUCT(($O119:$O133&lt;=AT$8) * ($P119:$P133&gt;=AT$8) * ($R119:$R133 * $N119:$N133))))/12</f>
        <v>42337.029166666667</v>
      </c>
      <c r="AU120" s="115" cm="1">
        <f t="array" ref="AU120">((SUMPRODUCT(($D119:$D133&lt;=AU$8) * ($E119:$E133&gt;=AU$8) * ($G119:$G133 * $C119:$C133)))+(SUMPRODUCT(($O119:$O133&lt;=AU$8) * ($P119:$P133&gt;=AU$8) * ($R119:$R133 * $N119:$N133))))/12</f>
        <v>42337.029166666667</v>
      </c>
      <c r="AV120" s="209">
        <f>SUM(AJ120:AU120)</f>
        <v>242582.62666666668</v>
      </c>
      <c r="DB120" s="133">
        <f t="shared" ref="DB120:DK133" si="178">IF(AND($D120&lt;=DB$8,$E120&gt;=DB$8),(($G120*$C120)/12),0)</f>
        <v>0</v>
      </c>
      <c r="DC120" s="132">
        <f t="shared" si="178"/>
        <v>0</v>
      </c>
      <c r="DD120" s="132">
        <f t="shared" si="178"/>
        <v>0</v>
      </c>
      <c r="DE120" s="132">
        <f t="shared" si="178"/>
        <v>0</v>
      </c>
      <c r="DF120" s="132">
        <f t="shared" si="178"/>
        <v>0</v>
      </c>
      <c r="DG120" s="132">
        <f t="shared" si="178"/>
        <v>0</v>
      </c>
      <c r="DH120" s="132">
        <f t="shared" si="178"/>
        <v>0</v>
      </c>
      <c r="DI120" s="132">
        <f t="shared" si="178"/>
        <v>0</v>
      </c>
      <c r="DJ120" s="132">
        <f t="shared" si="178"/>
        <v>0</v>
      </c>
      <c r="DK120" s="132">
        <f t="shared" si="178"/>
        <v>0</v>
      </c>
      <c r="DL120" s="132">
        <f t="shared" ref="DL120:DY133" si="179">IF(AND($D120&lt;=DL$8,$E120&gt;=DL$8),(($G120*$C120)/12),0)</f>
        <v>0</v>
      </c>
      <c r="DM120" s="134">
        <f t="shared" si="179"/>
        <v>0</v>
      </c>
      <c r="DN120" s="115">
        <f t="shared" si="179"/>
        <v>0</v>
      </c>
      <c r="DO120" s="115">
        <f t="shared" si="179"/>
        <v>0</v>
      </c>
      <c r="DP120" s="115">
        <f t="shared" si="179"/>
        <v>0</v>
      </c>
      <c r="DQ120" s="115">
        <f t="shared" si="179"/>
        <v>0</v>
      </c>
      <c r="DR120" s="115">
        <f t="shared" si="179"/>
        <v>0</v>
      </c>
      <c r="DS120" s="115">
        <f t="shared" si="179"/>
        <v>0</v>
      </c>
      <c r="DT120" s="115">
        <f t="shared" si="179"/>
        <v>0</v>
      </c>
      <c r="DU120" s="115">
        <f t="shared" si="179"/>
        <v>0</v>
      </c>
      <c r="DV120" s="115">
        <f t="shared" si="179"/>
        <v>0</v>
      </c>
      <c r="DW120" s="115">
        <f t="shared" si="179"/>
        <v>0</v>
      </c>
      <c r="DX120" s="115">
        <f t="shared" si="179"/>
        <v>0</v>
      </c>
      <c r="DY120" s="115">
        <f t="shared" si="179"/>
        <v>0</v>
      </c>
    </row>
    <row r="121" spans="1:129" x14ac:dyDescent="0.35">
      <c r="A121" s="118" t="s">
        <v>512</v>
      </c>
      <c r="B121" s="6" t="str">
        <f t="shared" si="172"/>
        <v>VACANT</v>
      </c>
      <c r="C121" s="137">
        <v>1075</v>
      </c>
      <c r="D121" s="155"/>
      <c r="E121" s="145"/>
      <c r="F121" s="118">
        <f t="shared" si="175"/>
        <v>0</v>
      </c>
      <c r="G121" s="146"/>
      <c r="H121" s="347">
        <f t="shared" si="176"/>
        <v>0</v>
      </c>
      <c r="I121" s="146"/>
      <c r="J121" s="156"/>
      <c r="K121" s="116"/>
      <c r="L121" s="118" t="s">
        <v>527</v>
      </c>
      <c r="M121" s="6" t="s">
        <v>331</v>
      </c>
      <c r="N121" s="137">
        <v>557</v>
      </c>
      <c r="O121" s="155">
        <v>46296</v>
      </c>
      <c r="P121" s="145">
        <v>48121</v>
      </c>
      <c r="Q121" s="118">
        <f t="shared" si="173"/>
        <v>5</v>
      </c>
      <c r="R121" s="146">
        <v>0</v>
      </c>
      <c r="S121" s="347">
        <f t="shared" si="177"/>
        <v>0</v>
      </c>
      <c r="T121" s="146">
        <v>0</v>
      </c>
      <c r="U121" s="156">
        <v>0</v>
      </c>
      <c r="W121" s="114" t="s">
        <v>309</v>
      </c>
      <c r="X121" s="133" cm="1">
        <f t="array" ref="X121">(SUMPRODUCT((TEXT($O119:$O133,"yyyymm")=TEXT(X$8,"yyyymm")) * ($T119:$T133 * $N119:$N133)))+(SUMPRODUCT((TEXT($D119:$D133,"yyyymm")=TEXT(X$8,"yyyymm")) * ($I119:$I133 * $C119:$C133)))</f>
        <v>0</v>
      </c>
      <c r="Y121" s="115" cm="1">
        <f t="array" ref="Y121">(SUMPRODUCT((TEXT($O119:$O133,"yyyymm")=TEXT(Y$8,"yyyymm")) * ($T119:$T133 * $N119:$N133)))+(SUMPRODUCT((TEXT($D119:$D133,"yyyymm")=TEXT(Y$8,"yyyymm")) * ($I119:$I133 * $C119:$C133)))</f>
        <v>0</v>
      </c>
      <c r="Z121" s="115" cm="1">
        <f t="array" ref="Z121">(SUMPRODUCT((TEXT($O119:$O133,"yyyymm")=TEXT(Z$8,"yyyymm")) * ($T119:$T133 * $N119:$N133)))+(SUMPRODUCT((TEXT($D119:$D133,"yyyymm")=TEXT(Z$8,"yyyymm")) * ($I119:$I133 * $C119:$C133)))</f>
        <v>0</v>
      </c>
      <c r="AA121" s="115" cm="1">
        <f t="array" ref="AA121">(SUMPRODUCT((TEXT($O119:$O133,"yyyymm")=TEXT(AA$8,"yyyymm")) * ($T119:$T133 * $N119:$N133)))+(SUMPRODUCT((TEXT($D119:$D133,"yyyymm")=TEXT(AA$8,"yyyymm")) * ($I119:$I133 * $C119:$C133)))</f>
        <v>0</v>
      </c>
      <c r="AB121" s="115" cm="1">
        <f t="array" ref="AB121">(SUMPRODUCT((TEXT($O119:$O133,"yyyymm")=TEXT(AB$8,"yyyymm")) * ($T119:$T133 * $N119:$N133)))+(SUMPRODUCT((TEXT($D119:$D133,"yyyymm")=TEXT(AB$8,"yyyymm")) * ($I119:$I133 * $C119:$C133)))</f>
        <v>0</v>
      </c>
      <c r="AC121" s="115" cm="1">
        <f t="array" ref="AC121">(SUMPRODUCT((TEXT($O119:$O133,"yyyymm")=TEXT(AC$8,"yyyymm")) * ($T119:$T133 * $N119:$N133)))+(SUMPRODUCT((TEXT($D119:$D133,"yyyymm")=TEXT(AC$8,"yyyymm")) * ($I119:$I133 * $C119:$C133)))</f>
        <v>0</v>
      </c>
      <c r="AD121" s="115" cm="1">
        <f t="array" ref="AD121">(SUMPRODUCT((TEXT($O119:$O133,"yyyymm")=TEXT(AD$8,"yyyymm")) * ($T119:$T133 * $N119:$N133)))+(SUMPRODUCT((TEXT($D119:$D133,"yyyymm")=TEXT(AD$8,"yyyymm")) * ($I119:$I133 * $C119:$C133)))</f>
        <v>0</v>
      </c>
      <c r="AE121" s="115" cm="1">
        <f t="array" ref="AE121">(SUMPRODUCT((TEXT($O119:$O133,"yyyymm")=TEXT(AE$8,"yyyymm")) * ($T119:$T133 * $N119:$N133)))+(SUMPRODUCT((TEXT($D119:$D133,"yyyymm")=TEXT(AE$8,"yyyymm")) * ($I119:$I133 * $C119:$C133)))</f>
        <v>0</v>
      </c>
      <c r="AF121" s="115" cm="1">
        <f t="array" ref="AF121">(SUMPRODUCT((TEXT($O119:$O133,"yyyymm")=TEXT(AF$8,"yyyymm")) * ($T119:$T133 * $N119:$N133)))+(SUMPRODUCT((TEXT($D119:$D133,"yyyymm")=TEXT(AF$8,"yyyymm")) * ($I119:$I133 * $C119:$C133)))</f>
        <v>0</v>
      </c>
      <c r="AG121" s="115" cm="1">
        <f t="array" ref="AG121">(SUMPRODUCT((TEXT($O119:$O133,"yyyymm")=TEXT(AG$8,"yyyymm")) * ($T119:$T133 * $N119:$N133)))+(SUMPRODUCT((TEXT($D119:$D133,"yyyymm")=TEXT(AG$8,"yyyymm")) * ($I119:$I133 * $C119:$C133)))</f>
        <v>0</v>
      </c>
      <c r="AH121" s="115" cm="1">
        <f t="array" ref="AH121">(SUMPRODUCT((TEXT($O119:$O133,"yyyymm")=TEXT(AH$8,"yyyymm")) * ($T119:$T133 * $N119:$N133)))+(SUMPRODUCT((TEXT($D119:$D133,"yyyymm")=TEXT(AH$8,"yyyymm")) * ($I119:$I133 * $C119:$C133)))</f>
        <v>0</v>
      </c>
      <c r="AI121" s="115" cm="1">
        <f t="array" ref="AI121">(SUMPRODUCT((TEXT($O119:$O133,"yyyymm")=TEXT(AI$8,"yyyymm")) * ($T119:$T133 * $N119:$N133)))+(SUMPRODUCT((TEXT($D119:$D133,"yyyymm")=TEXT(AI$8,"yyyymm")) * ($I119:$I133 * $C119:$C133)))</f>
        <v>0</v>
      </c>
      <c r="AJ121" s="133" cm="1">
        <f t="array" ref="AJ121">(SUMPRODUCT((TEXT($O119:$O133,"yyyymm")=TEXT(AJ$8,"yyyymm")) * ($T119:$T133 * $N119:$N133)))+(SUMPRODUCT((TEXT($D119:$D133,"yyyymm")=TEXT(AJ$8,"yyyymm")) * ($I119:$I133 * $C119:$C133)))</f>
        <v>0</v>
      </c>
      <c r="AK121" s="115" cm="1">
        <f t="array" ref="AK121">(SUMPRODUCT((TEXT($O119:$O133,"yyyymm")=TEXT(AK$8,"yyyymm")) * ($T119:$T133 * $N119:$N133)))+(SUMPRODUCT((TEXT($D119:$D133,"yyyymm")=TEXT(AK$8,"yyyymm")) * ($I119:$I133 * $C119:$C133)))</f>
        <v>0</v>
      </c>
      <c r="AL121" s="115" cm="1">
        <f t="array" ref="AL121">(SUMPRODUCT((TEXT($O119:$O133,"yyyymm")=TEXT(AL$8,"yyyymm")) * ($T119:$T133 * $N119:$N133)))+(SUMPRODUCT((TEXT($D119:$D133,"yyyymm")=TEXT(AL$8,"yyyymm")) * ($I119:$I133 * $C119:$C133)))</f>
        <v>0</v>
      </c>
      <c r="AM121" s="115" cm="1">
        <f t="array" ref="AM121">(SUMPRODUCT((TEXT($O119:$O133,"yyyymm")=TEXT(AM$8,"yyyymm")) * ($T119:$T133 * $N119:$N133)))+(SUMPRODUCT((TEXT($D119:$D133,"yyyymm")=TEXT(AM$8,"yyyymm")) * ($I119:$I133 * $C119:$C133)))</f>
        <v>0</v>
      </c>
      <c r="AN121" s="115" cm="1">
        <f t="array" ref="AN121">(SUMPRODUCT((TEXT($O119:$O133,"yyyymm")=TEXT(AN$8,"yyyymm")) * ($T119:$T133 * $N119:$N133)))+(SUMPRODUCT((TEXT($D119:$D133,"yyyymm")=TEXT(AN$8,"yyyymm")) * ($I119:$I133 * $C119:$C133)))</f>
        <v>0</v>
      </c>
      <c r="AO121" s="115" cm="1">
        <f t="array" ref="AO121">(SUMPRODUCT((TEXT($O119:$O133,"yyyymm")=TEXT(AO$8,"yyyymm")) * ($T119:$T133 * $N119:$N133)))+(SUMPRODUCT((TEXT($D119:$D133,"yyyymm")=TEXT(AO$8,"yyyymm")) * ($I119:$I133 * $C119:$C133)))</f>
        <v>0</v>
      </c>
      <c r="AP121" s="115" cm="1">
        <f t="array" ref="AP121">(SUMPRODUCT((TEXT($O119:$O133,"yyyymm")=TEXT(AP$8,"yyyymm")) * ($T119:$T133 * $N119:$N133)))+(SUMPRODUCT((TEXT($D119:$D133,"yyyymm")=TEXT(AP$8,"yyyymm")) * ($I119:$I133 * $C119:$C133)))</f>
        <v>0</v>
      </c>
      <c r="AQ121" s="115" cm="1">
        <f t="array" ref="AQ121">(SUMPRODUCT((TEXT($O119:$O133,"yyyymm")=TEXT(AQ$8,"yyyymm")) * ($T119:$T133 * $N119:$N133)))+(SUMPRODUCT((TEXT($D119:$D133,"yyyymm")=TEXT(AQ$8,"yyyymm")) * ($I119:$I133 * $C119:$C133)))</f>
        <v>16560</v>
      </c>
      <c r="AR121" s="115" cm="1">
        <f t="array" ref="AR121">(SUMPRODUCT((TEXT($O119:$O133,"yyyymm")=TEXT(AR$8,"yyyymm")) * ($T119:$T133 * $N119:$N133)))+(SUMPRODUCT((TEXT($D119:$D133,"yyyymm")=TEXT(AR$8,"yyyymm")) * ($I119:$I133 * $C119:$C133)))</f>
        <v>0</v>
      </c>
      <c r="AS121" s="115" cm="1">
        <f t="array" ref="AS121">(SUMPRODUCT((TEXT($O119:$O133,"yyyymm")=TEXT(AS$8,"yyyymm")) * ($T119:$T133 * $N119:$N133)))+(SUMPRODUCT((TEXT($D119:$D133,"yyyymm")=TEXT(AS$8,"yyyymm")) * ($I119:$I133 * $C119:$C133)))</f>
        <v>0</v>
      </c>
      <c r="AT121" s="115" cm="1">
        <f t="array" ref="AT121">(SUMPRODUCT((TEXT($O119:$O133,"yyyymm")=TEXT(AT$8,"yyyymm")) * ($T119:$T133 * $N119:$N133)))+(SUMPRODUCT((TEXT($D119:$D133,"yyyymm")=TEXT(AT$8,"yyyymm")) * ($I119:$I133 * $C119:$C133)))</f>
        <v>0</v>
      </c>
      <c r="AU121" s="115" cm="1">
        <f t="array" ref="AU121">(SUMPRODUCT((TEXT($O119:$O133,"yyyymm")=TEXT(AU$8,"yyyymm")) * ($T119:$T133 * $N119:$N133)))+(SUMPRODUCT((TEXT($D119:$D133,"yyyymm")=TEXT(AU$8,"yyyymm")) * ($I119:$I133 * $C119:$C133)))</f>
        <v>0</v>
      </c>
      <c r="AV121" s="209">
        <f t="shared" ref="AV121:AV122" si="180">SUM(AJ121:AU121)</f>
        <v>16560</v>
      </c>
      <c r="DB121" s="133">
        <f t="shared" si="178"/>
        <v>0</v>
      </c>
      <c r="DC121" s="132">
        <f t="shared" si="178"/>
        <v>0</v>
      </c>
      <c r="DD121" s="132">
        <f t="shared" si="178"/>
        <v>0</v>
      </c>
      <c r="DE121" s="132">
        <f t="shared" si="178"/>
        <v>0</v>
      </c>
      <c r="DF121" s="132">
        <f t="shared" si="178"/>
        <v>0</v>
      </c>
      <c r="DG121" s="132">
        <f t="shared" si="178"/>
        <v>0</v>
      </c>
      <c r="DH121" s="132">
        <f t="shared" si="178"/>
        <v>0</v>
      </c>
      <c r="DI121" s="132">
        <f t="shared" si="178"/>
        <v>0</v>
      </c>
      <c r="DJ121" s="132">
        <f t="shared" si="178"/>
        <v>0</v>
      </c>
      <c r="DK121" s="132">
        <f t="shared" si="178"/>
        <v>0</v>
      </c>
      <c r="DL121" s="132">
        <f t="shared" si="179"/>
        <v>0</v>
      </c>
      <c r="DM121" s="134">
        <f t="shared" si="179"/>
        <v>0</v>
      </c>
      <c r="DN121" s="115">
        <f t="shared" si="179"/>
        <v>0</v>
      </c>
      <c r="DO121" s="115">
        <f t="shared" si="179"/>
        <v>0</v>
      </c>
      <c r="DP121" s="115">
        <f t="shared" si="179"/>
        <v>0</v>
      </c>
      <c r="DQ121" s="115">
        <f t="shared" si="179"/>
        <v>0</v>
      </c>
      <c r="DR121" s="115">
        <f t="shared" si="179"/>
        <v>0</v>
      </c>
      <c r="DS121" s="115">
        <f t="shared" si="179"/>
        <v>0</v>
      </c>
      <c r="DT121" s="115">
        <f t="shared" si="179"/>
        <v>0</v>
      </c>
      <c r="DU121" s="115">
        <f t="shared" si="179"/>
        <v>0</v>
      </c>
      <c r="DV121" s="115">
        <f t="shared" si="179"/>
        <v>0</v>
      </c>
      <c r="DW121" s="115">
        <f t="shared" si="179"/>
        <v>0</v>
      </c>
      <c r="DX121" s="115">
        <f t="shared" si="179"/>
        <v>0</v>
      </c>
      <c r="DY121" s="115">
        <f t="shared" si="179"/>
        <v>0</v>
      </c>
    </row>
    <row r="122" spans="1:129" x14ac:dyDescent="0.35">
      <c r="A122" s="118" t="s">
        <v>513</v>
      </c>
      <c r="B122" s="6" t="str">
        <f t="shared" si="172"/>
        <v>VACANT</v>
      </c>
      <c r="C122" s="137">
        <v>560</v>
      </c>
      <c r="D122" s="155"/>
      <c r="E122" s="147"/>
      <c r="F122" s="118">
        <f t="shared" si="175"/>
        <v>0</v>
      </c>
      <c r="G122" s="148"/>
      <c r="H122" s="347">
        <f t="shared" si="176"/>
        <v>0</v>
      </c>
      <c r="I122" s="146"/>
      <c r="J122" s="156"/>
      <c r="K122" s="116"/>
      <c r="L122" s="118" t="s">
        <v>401</v>
      </c>
      <c r="M122" s="6" t="s">
        <v>332</v>
      </c>
      <c r="N122" s="137">
        <v>6237</v>
      </c>
      <c r="O122" s="155">
        <v>46266</v>
      </c>
      <c r="P122" s="147">
        <v>48091</v>
      </c>
      <c r="Q122" s="118">
        <f t="shared" si="173"/>
        <v>5</v>
      </c>
      <c r="R122" s="148">
        <v>20.14</v>
      </c>
      <c r="S122" s="347">
        <f t="shared" si="177"/>
        <v>10467.765000000001</v>
      </c>
      <c r="T122" s="146">
        <v>0</v>
      </c>
      <c r="U122" s="156">
        <v>0</v>
      </c>
      <c r="W122" s="114" t="s">
        <v>313</v>
      </c>
      <c r="X122" s="133" cm="1">
        <f t="array" ref="X122">IFERROR((SUMPRODUCT((TEXT($O119:$O133,"yyyymm")=TEXT(X$8,"yyyymm")) * ($U119:$U133 * $N119:$N133*$R119:$R133*$Q119:$Q133)))+(SUMPRODUCT((TEXT($D119:$D133,"yyyymm")=TEXT(X$8,"yyyymm")) * ($J119:$J133 * $C119:$C133*$G119:$G133*$F119:$F133))),0)</f>
        <v>0</v>
      </c>
      <c r="Y122" s="115" cm="1">
        <f t="array" ref="Y122">IFERROR((SUMPRODUCT((TEXT($O119:$O133,"yyyymm")=TEXT(Y$8,"yyyymm")) * ($U119:$U133 * $N119:$N133*$R119:$R133*$Q119:$Q133)))+(SUMPRODUCT((TEXT($D119:$D133,"yyyymm")=TEXT(Y$8,"yyyymm")) * ($J119:$J133 * $C119:$C133*$G119:$G133*$F119:$F133))),0)</f>
        <v>0</v>
      </c>
      <c r="Z122" s="115" cm="1">
        <f t="array" ref="Z122">IFERROR((SUMPRODUCT((TEXT($O119:$O133,"yyyymm")=TEXT(Z$8,"yyyymm")) * ($U119:$U133 * $N119:$N133*$R119:$R133*$Q119:$Q133)))+(SUMPRODUCT((TEXT($D119:$D133,"yyyymm")=TEXT(Z$8,"yyyymm")) * ($J119:$J133 * $C119:$C133*$G119:$G133*$F119:$F133))),0)</f>
        <v>0</v>
      </c>
      <c r="AA122" s="115" cm="1">
        <f t="array" ref="AA122">IFERROR((SUMPRODUCT((TEXT($O119:$O133,"yyyymm")=TEXT(AA$8,"yyyymm")) * ($U119:$U133 * $N119:$N133*$R119:$R133*$Q119:$Q133)))+(SUMPRODUCT((TEXT($D119:$D133,"yyyymm")=TEXT(AA$8,"yyyymm")) * ($J119:$J133 * $C119:$C133*$G119:$G133*$F119:$F133))),0)</f>
        <v>0</v>
      </c>
      <c r="AB122" s="115" cm="1">
        <f t="array" ref="AB122">IFERROR((SUMPRODUCT((TEXT($O119:$O133,"yyyymm")=TEXT(AB$8,"yyyymm")) * ($U119:$U133 * $N119:$N133*$R119:$R133*$Q119:$Q133)))+(SUMPRODUCT((TEXT($D119:$D133,"yyyymm")=TEXT(AB$8,"yyyymm")) * ($J119:$J133 * $C119:$C133*$G119:$G133*$F119:$F133))),0)</f>
        <v>0</v>
      </c>
      <c r="AC122" s="115" cm="1">
        <f t="array" ref="AC122">IFERROR((SUMPRODUCT((TEXT($O119:$O133,"yyyymm")=TEXT(AC$8,"yyyymm")) * ($U119:$U133 * $N119:$N133*$R119:$R133*$Q119:$Q133)))+(SUMPRODUCT((TEXT($D119:$D133,"yyyymm")=TEXT(AC$8,"yyyymm")) * ($J119:$J133 * $C119:$C133*$G119:$G133*$F119:$F133))),0)</f>
        <v>0</v>
      </c>
      <c r="AD122" s="115" cm="1">
        <f t="array" ref="AD122">IFERROR((SUMPRODUCT((TEXT($O119:$O133,"yyyymm")=TEXT(AD$8,"yyyymm")) * ($U119:$U133 * $N119:$N133*$R119:$R133*$Q119:$Q133)))+(SUMPRODUCT((TEXT($D119:$D133,"yyyymm")=TEXT(AD$8,"yyyymm")) * ($J119:$J133 * $C119:$C133*$G119:$G133*$F119:$F133))),0)</f>
        <v>0</v>
      </c>
      <c r="AE122" s="115" cm="1">
        <f t="array" ref="AE122">IFERROR((SUMPRODUCT((TEXT($O119:$O133,"yyyymm")=TEXT(AE$8,"yyyymm")) * ($U119:$U133 * $N119:$N133*$R119:$R133*$Q119:$Q133)))+(SUMPRODUCT((TEXT($D119:$D133,"yyyymm")=TEXT(AE$8,"yyyymm")) * ($J119:$J133 * $C119:$C133*$G119:$G133*$F119:$F133))),0)</f>
        <v>0</v>
      </c>
      <c r="AF122" s="115" cm="1">
        <f t="array" ref="AF122">IFERROR((SUMPRODUCT((TEXT($O119:$O133,"yyyymm")=TEXT(AF$8,"yyyymm")) * ($U119:$U133 * $N119:$N133*$R119:$R133*$Q119:$Q133)))+(SUMPRODUCT((TEXT($D119:$D133,"yyyymm")=TEXT(AF$8,"yyyymm")) * ($J119:$J133 * $C119:$C133*$G119:$G133*$F119:$F133))),0)</f>
        <v>0</v>
      </c>
      <c r="AG122" s="115" cm="1">
        <f t="array" ref="AG122">IFERROR((SUMPRODUCT((TEXT($O119:$O133,"yyyymm")=TEXT(AG$8,"yyyymm")) * ($U119:$U133 * $N119:$N133*$R119:$R133*$Q119:$Q133)))+(SUMPRODUCT((TEXT($D119:$D133,"yyyymm")=TEXT(AG$8,"yyyymm")) * ($J119:$J133 * $C119:$C133*$G119:$G133*$F119:$F133))),0)</f>
        <v>0</v>
      </c>
      <c r="AH122" s="115" cm="1">
        <f t="array" ref="AH122">IFERROR((SUMPRODUCT((TEXT($O119:$O133,"yyyymm")=TEXT(AH$8,"yyyymm")) * ($U119:$U133 * $N119:$N133*$R119:$R133*$Q119:$Q133)))+(SUMPRODUCT((TEXT($D119:$D133,"yyyymm")=TEXT(AH$8,"yyyymm")) * ($J119:$J133 * $C119:$C133*$G119:$G133*$F119:$F133))),0)</f>
        <v>0</v>
      </c>
      <c r="AI122" s="115" cm="1">
        <f t="array" ref="AI122">IFERROR((SUMPRODUCT((TEXT($O119:$O133,"yyyymm")=TEXT(AI$8,"yyyymm")) * ($U119:$U133 * $N119:$N133*$R119:$R133*$Q119:$Q133)))+(SUMPRODUCT((TEXT($D119:$D133,"yyyymm")=TEXT(AI$8,"yyyymm")) * ($J119:$J133 * $C119:$C133*$G119:$G133*$F119:$F133))),0)</f>
        <v>0</v>
      </c>
      <c r="AJ122" s="133" cm="1">
        <f t="array" ref="AJ122">IFERROR((SUMPRODUCT((TEXT($O119:$O133,"yyyymm")=TEXT(AJ$8,"yyyymm")) * ($U119:$U133 * $N119:$N133*$R119:$R133*$Q119:$Q133)))+(SUMPRODUCT((TEXT($D119:$D133,"yyyymm")=TEXT(AJ$8,"yyyymm")) * ($J119:$J133 * $C119:$C133*$G119:$G133*$F119:$F133))),0)</f>
        <v>0</v>
      </c>
      <c r="AK122" s="115" cm="1">
        <f t="array" ref="AK122">IFERROR((SUMPRODUCT((TEXT($O119:$O133,"yyyymm")=TEXT(AK$8,"yyyymm")) * ($U119:$U133 * $N119:$N133*$R119:$R133*$Q119:$Q133)))+(SUMPRODUCT((TEXT($D119:$D133,"yyyymm")=TEXT(AK$8,"yyyymm")) * ($J119:$J133 * $C119:$C133*$G119:$G133*$F119:$F133))),0)</f>
        <v>0</v>
      </c>
      <c r="AL122" s="115" cm="1">
        <f t="array" ref="AL122">IFERROR((SUMPRODUCT((TEXT($O119:$O133,"yyyymm")=TEXT(AL$8,"yyyymm")) * ($U119:$U133 * $N119:$N133*$R119:$R133*$Q119:$Q133)))+(SUMPRODUCT((TEXT($D119:$D133,"yyyymm")=TEXT(AL$8,"yyyymm")) * ($J119:$J133 * $C119:$C133*$G119:$G133*$F119:$F133))),0)</f>
        <v>0</v>
      </c>
      <c r="AM122" s="115" cm="1">
        <f t="array" ref="AM122">IFERROR((SUMPRODUCT((TEXT($O119:$O133,"yyyymm")=TEXT(AM$8,"yyyymm")) * ($U119:$U133 * $N119:$N133*$R119:$R133*$Q119:$Q133)))+(SUMPRODUCT((TEXT($D119:$D133,"yyyymm")=TEXT(AM$8,"yyyymm")) * ($J119:$J133 * $C119:$C133*$G119:$G133*$F119:$F133))),0)</f>
        <v>0</v>
      </c>
      <c r="AN122" s="115" cm="1">
        <f t="array" ref="AN122">IFERROR((SUMPRODUCT((TEXT($O119:$O133,"yyyymm")=TEXT(AN$8,"yyyymm")) * ($U119:$U133 * $N119:$N133*$R119:$R133*$Q119:$Q133)))+(SUMPRODUCT((TEXT($D119:$D133,"yyyymm")=TEXT(AN$8,"yyyymm")) * ($J119:$J133 * $C119:$C133*$G119:$G133*$F119:$F133))),0)</f>
        <v>0</v>
      </c>
      <c r="AO122" s="115" cm="1">
        <f t="array" ref="AO122">IFERROR((SUMPRODUCT((TEXT($O119:$O133,"yyyymm")=TEXT(AO$8,"yyyymm")) * ($U119:$U133 * $N119:$N133*$R119:$R133*$Q119:$Q133)))+(SUMPRODUCT((TEXT($D119:$D133,"yyyymm")=TEXT(AO$8,"yyyymm")) * ($J119:$J133 * $C119:$C133*$G119:$G133*$F119:$F133))),0)</f>
        <v>0</v>
      </c>
      <c r="AP122" s="115" cm="1">
        <f t="array" ref="AP122">IFERROR((SUMPRODUCT((TEXT($O119:$O133,"yyyymm")=TEXT(AP$8,"yyyymm")) * ($U119:$U133 * $N119:$N133*$R119:$R133*$Q119:$Q133)))+(SUMPRODUCT((TEXT($D119:$D133,"yyyymm")=TEXT(AP$8,"yyyymm")) * ($J119:$J133 * $C119:$C133*$G119:$G133*$F119:$F133))),0)</f>
        <v>0</v>
      </c>
      <c r="AQ122" s="115" cm="1">
        <f t="array" ref="AQ122">IFERROR((SUMPRODUCT((TEXT($O119:$O133,"yyyymm")=TEXT(AQ$8,"yyyymm")) * ($U119:$U133 * $N119:$N133*$R119:$R133*$Q119:$Q133)))+(SUMPRODUCT((TEXT($D119:$D133,"yyyymm")=TEXT(AQ$8,"yyyymm")) * ($J119:$J133 * $C119:$C133*$G119:$G133*$F119:$F133))),0)</f>
        <v>0</v>
      </c>
      <c r="AR122" s="115" cm="1">
        <f t="array" ref="AR122">IFERROR((SUMPRODUCT((TEXT($O119:$O133,"yyyymm")=TEXT(AR$8,"yyyymm")) * ($U119:$U133 * $N119:$N133*$R119:$R133*$Q119:$Q133)))+(SUMPRODUCT((TEXT($D119:$D133,"yyyymm")=TEXT(AR$8,"yyyymm")) * ($J119:$J133 * $C119:$C133*$G119:$G133*$F119:$F133))),0)</f>
        <v>0</v>
      </c>
      <c r="AS122" s="115" cm="1">
        <f t="array" ref="AS122">IFERROR((SUMPRODUCT((TEXT($O119:$O133,"yyyymm")=TEXT(AS$8,"yyyymm")) * ($U119:$U133 * $N119:$N133*$R119:$R133*$Q119:$Q133)))+(SUMPRODUCT((TEXT($D119:$D133,"yyyymm")=TEXT(AS$8,"yyyymm")) * ($J119:$J133 * $C119:$C133*$G119:$G133*$F119:$F133))),0)</f>
        <v>0</v>
      </c>
      <c r="AT122" s="115" cm="1">
        <f t="array" ref="AT122">IFERROR((SUMPRODUCT((TEXT($O119:$O133,"yyyymm")=TEXT(AT$8,"yyyymm")) * ($U119:$U133 * $N119:$N133*$R119:$R133*$Q119:$Q133)))+(SUMPRODUCT((TEXT($D119:$D133,"yyyymm")=TEXT(AT$8,"yyyymm")) * ($J119:$J133 * $C119:$C133*$G119:$G133*$F119:$F133))),0)</f>
        <v>0</v>
      </c>
      <c r="AU122" s="115" cm="1">
        <f t="array" ref="AU122">IFERROR((SUMPRODUCT((TEXT($O119:$O133,"yyyymm")=TEXT(AU$8,"yyyymm")) * ($U119:$U133 * $N119:$N133*$R119:$R133*$Q119:$Q133)))+(SUMPRODUCT((TEXT($D119:$D133,"yyyymm")=TEXT(AU$8,"yyyymm")) * ($J119:$J133 * $C119:$C133*$G119:$G133*$F119:$F133))),0)</f>
        <v>0</v>
      </c>
      <c r="AV122" s="209">
        <f t="shared" si="180"/>
        <v>0</v>
      </c>
      <c r="DB122" s="133">
        <f t="shared" si="178"/>
        <v>0</v>
      </c>
      <c r="DC122" s="132">
        <f t="shared" si="178"/>
        <v>0</v>
      </c>
      <c r="DD122" s="132">
        <f t="shared" si="178"/>
        <v>0</v>
      </c>
      <c r="DE122" s="132">
        <f t="shared" si="178"/>
        <v>0</v>
      </c>
      <c r="DF122" s="132">
        <f t="shared" si="178"/>
        <v>0</v>
      </c>
      <c r="DG122" s="132">
        <f t="shared" si="178"/>
        <v>0</v>
      </c>
      <c r="DH122" s="132">
        <f t="shared" si="178"/>
        <v>0</v>
      </c>
      <c r="DI122" s="132">
        <f t="shared" si="178"/>
        <v>0</v>
      </c>
      <c r="DJ122" s="132">
        <f t="shared" si="178"/>
        <v>0</v>
      </c>
      <c r="DK122" s="132">
        <f t="shared" si="178"/>
        <v>0</v>
      </c>
      <c r="DL122" s="132">
        <f t="shared" si="179"/>
        <v>0</v>
      </c>
      <c r="DM122" s="134">
        <f t="shared" si="179"/>
        <v>0</v>
      </c>
      <c r="DN122" s="115">
        <f t="shared" si="179"/>
        <v>0</v>
      </c>
      <c r="DO122" s="115">
        <f t="shared" si="179"/>
        <v>0</v>
      </c>
      <c r="DP122" s="115">
        <f t="shared" si="179"/>
        <v>0</v>
      </c>
      <c r="DQ122" s="115">
        <f t="shared" si="179"/>
        <v>0</v>
      </c>
      <c r="DR122" s="115">
        <f t="shared" si="179"/>
        <v>0</v>
      </c>
      <c r="DS122" s="115">
        <f t="shared" si="179"/>
        <v>0</v>
      </c>
      <c r="DT122" s="115">
        <f t="shared" si="179"/>
        <v>0</v>
      </c>
      <c r="DU122" s="115">
        <f t="shared" si="179"/>
        <v>0</v>
      </c>
      <c r="DV122" s="115">
        <f t="shared" si="179"/>
        <v>0</v>
      </c>
      <c r="DW122" s="115">
        <f t="shared" si="179"/>
        <v>0</v>
      </c>
      <c r="DX122" s="115">
        <f t="shared" si="179"/>
        <v>0</v>
      </c>
      <c r="DY122" s="115">
        <f t="shared" si="179"/>
        <v>0</v>
      </c>
    </row>
    <row r="123" spans="1:129" ht="17.5" x14ac:dyDescent="0.35">
      <c r="A123" s="118" t="s">
        <v>514</v>
      </c>
      <c r="B123" s="6" t="str">
        <f t="shared" si="172"/>
        <v>VACANT</v>
      </c>
      <c r="C123" s="137">
        <v>1845</v>
      </c>
      <c r="D123" s="155"/>
      <c r="E123" s="145"/>
      <c r="F123" s="118">
        <f t="shared" si="175"/>
        <v>0</v>
      </c>
      <c r="G123" s="146"/>
      <c r="H123" s="347">
        <f t="shared" si="176"/>
        <v>0</v>
      </c>
      <c r="I123" s="146"/>
      <c r="J123" s="156"/>
      <c r="K123" s="116"/>
      <c r="L123" s="118" t="s">
        <v>517</v>
      </c>
      <c r="M123" s="6" t="s">
        <v>333</v>
      </c>
      <c r="N123" s="137">
        <v>2400</v>
      </c>
      <c r="O123" s="155">
        <v>46023</v>
      </c>
      <c r="P123" s="145">
        <v>47118</v>
      </c>
      <c r="Q123" s="118">
        <f t="shared" si="173"/>
        <v>3</v>
      </c>
      <c r="R123" s="146">
        <v>16</v>
      </c>
      <c r="S123" s="347">
        <f t="shared" si="177"/>
        <v>3200</v>
      </c>
      <c r="T123" s="146">
        <v>0</v>
      </c>
      <c r="U123" s="156">
        <v>0</v>
      </c>
      <c r="W123" s="176" t="s">
        <v>273</v>
      </c>
      <c r="X123" s="90">
        <f>SUM(X120:X122)</f>
        <v>0</v>
      </c>
      <c r="Y123" s="90">
        <f t="shared" ref="Y123" si="181">SUM(Y120:Y122)</f>
        <v>0</v>
      </c>
      <c r="Z123" s="90">
        <f t="shared" ref="Z123" si="182">SUM(Z120:Z122)</f>
        <v>0</v>
      </c>
      <c r="AA123" s="90">
        <f t="shared" ref="AA123" si="183">SUM(AA120:AA122)</f>
        <v>0</v>
      </c>
      <c r="AB123" s="90">
        <f t="shared" ref="AB123" si="184">SUM(AB120:AB122)</f>
        <v>0</v>
      </c>
      <c r="AC123" s="90">
        <f t="shared" ref="AC123" si="185">SUM(AC120:AC122)</f>
        <v>0</v>
      </c>
      <c r="AD123" s="90">
        <f t="shared" ref="AD123" si="186">SUM(AD120:AD122)</f>
        <v>0</v>
      </c>
      <c r="AE123" s="90">
        <f t="shared" ref="AE123" si="187">SUM(AE120:AE122)</f>
        <v>0</v>
      </c>
      <c r="AF123" s="90">
        <f t="shared" ref="AF123" si="188">SUM(AF120:AF122)</f>
        <v>0</v>
      </c>
      <c r="AG123" s="90">
        <f t="shared" ref="AG123" si="189">SUM(AG120:AG122)</f>
        <v>0</v>
      </c>
      <c r="AH123" s="90">
        <f t="shared" ref="AH123" si="190">SUM(AH120:AH122)</f>
        <v>0</v>
      </c>
      <c r="AI123" s="90">
        <f t="shared" ref="AI123" si="191">SUM(AI120:AI122)</f>
        <v>2016</v>
      </c>
      <c r="AJ123" s="90">
        <f t="shared" ref="AJ123" si="192">SUM(AJ120:AJ122)</f>
        <v>5216</v>
      </c>
      <c r="AK123" s="90">
        <f t="shared" ref="AK123" si="193">SUM(AK120:AK122)</f>
        <v>5216</v>
      </c>
      <c r="AL123" s="90">
        <f t="shared" ref="AL123" si="194">SUM(AL120:AL122)</f>
        <v>5216</v>
      </c>
      <c r="AM123" s="90">
        <f t="shared" ref="AM123" si="195">SUM(AM120:AM122)</f>
        <v>8345.4433333333345</v>
      </c>
      <c r="AN123" s="90">
        <f t="shared" ref="AN123" si="196">SUM(AN120:AN122)</f>
        <v>8345.4433333333345</v>
      </c>
      <c r="AO123" s="90">
        <f t="shared" ref="AO123" si="197">SUM(AO120:AO122)</f>
        <v>8345.4433333333345</v>
      </c>
      <c r="AP123" s="90">
        <f t="shared" ref="AP123" si="198">SUM(AP120:AP122)</f>
        <v>13594.259166666665</v>
      </c>
      <c r="AQ123" s="90">
        <f t="shared" ref="AQ123" si="199">SUM(AQ120:AQ122)</f>
        <v>40772.592499999999</v>
      </c>
      <c r="AR123" s="90">
        <f t="shared" ref="AR123" si="200">SUM(AR120:AR122)</f>
        <v>37080.357499999998</v>
      </c>
      <c r="AS123" s="90">
        <f t="shared" ref="AS123" si="201">SUM(AS120:AS122)</f>
        <v>42337.029166666667</v>
      </c>
      <c r="AT123" s="90">
        <f t="shared" ref="AT123" si="202">SUM(AT120:AT122)</f>
        <v>42337.029166666667</v>
      </c>
      <c r="AU123" s="177">
        <f t="shared" ref="AU123:AV123" si="203">SUM(AU120:AU122)</f>
        <v>42337.029166666667</v>
      </c>
      <c r="AV123" s="90">
        <f t="shared" si="203"/>
        <v>259142.62666666668</v>
      </c>
      <c r="DB123" s="133">
        <f t="shared" si="178"/>
        <v>0</v>
      </c>
      <c r="DC123" s="132">
        <f t="shared" si="178"/>
        <v>0</v>
      </c>
      <c r="DD123" s="132">
        <f t="shared" si="178"/>
        <v>0</v>
      </c>
      <c r="DE123" s="132">
        <f t="shared" si="178"/>
        <v>0</v>
      </c>
      <c r="DF123" s="132">
        <f t="shared" si="178"/>
        <v>0</v>
      </c>
      <c r="DG123" s="132">
        <f t="shared" si="178"/>
        <v>0</v>
      </c>
      <c r="DH123" s="132">
        <f t="shared" si="178"/>
        <v>0</v>
      </c>
      <c r="DI123" s="132">
        <f t="shared" si="178"/>
        <v>0</v>
      </c>
      <c r="DJ123" s="132">
        <f t="shared" si="178"/>
        <v>0</v>
      </c>
      <c r="DK123" s="132">
        <f t="shared" si="178"/>
        <v>0</v>
      </c>
      <c r="DL123" s="132">
        <f t="shared" si="179"/>
        <v>0</v>
      </c>
      <c r="DM123" s="134">
        <f t="shared" si="179"/>
        <v>0</v>
      </c>
      <c r="DN123" s="115">
        <f t="shared" si="179"/>
        <v>0</v>
      </c>
      <c r="DO123" s="115">
        <f t="shared" si="179"/>
        <v>0</v>
      </c>
      <c r="DP123" s="115">
        <f t="shared" si="179"/>
        <v>0</v>
      </c>
      <c r="DQ123" s="115">
        <f t="shared" si="179"/>
        <v>0</v>
      </c>
      <c r="DR123" s="115">
        <f t="shared" si="179"/>
        <v>0</v>
      </c>
      <c r="DS123" s="115">
        <f t="shared" si="179"/>
        <v>0</v>
      </c>
      <c r="DT123" s="115">
        <f t="shared" si="179"/>
        <v>0</v>
      </c>
      <c r="DU123" s="115">
        <f t="shared" si="179"/>
        <v>0</v>
      </c>
      <c r="DV123" s="115">
        <f t="shared" si="179"/>
        <v>0</v>
      </c>
      <c r="DW123" s="115">
        <f t="shared" si="179"/>
        <v>0</v>
      </c>
      <c r="DX123" s="115">
        <f t="shared" si="179"/>
        <v>0</v>
      </c>
      <c r="DY123" s="115">
        <f t="shared" si="179"/>
        <v>0</v>
      </c>
    </row>
    <row r="124" spans="1:129" x14ac:dyDescent="0.35">
      <c r="A124" s="118" t="s">
        <v>515</v>
      </c>
      <c r="B124" s="6" t="str">
        <f t="shared" si="172"/>
        <v>VACANT</v>
      </c>
      <c r="C124" s="114">
        <v>740</v>
      </c>
      <c r="D124" s="155"/>
      <c r="E124" s="145"/>
      <c r="F124" s="118">
        <f t="shared" si="175"/>
        <v>0</v>
      </c>
      <c r="G124" s="146"/>
      <c r="H124" s="347">
        <f t="shared" si="176"/>
        <v>0</v>
      </c>
      <c r="I124" s="146"/>
      <c r="J124" s="156"/>
      <c r="L124" s="118" t="s">
        <v>421</v>
      </c>
      <c r="M124" s="114" t="s">
        <v>334</v>
      </c>
      <c r="N124" s="114">
        <v>1480</v>
      </c>
      <c r="O124" s="155">
        <v>46296</v>
      </c>
      <c r="P124" s="145">
        <v>48121</v>
      </c>
      <c r="Q124" s="118">
        <f t="shared" si="173"/>
        <v>5</v>
      </c>
      <c r="R124" s="146">
        <v>17</v>
      </c>
      <c r="S124" s="347">
        <f t="shared" si="177"/>
        <v>2096.6666666666665</v>
      </c>
      <c r="T124" s="146">
        <v>0</v>
      </c>
      <c r="U124" s="156">
        <v>0</v>
      </c>
      <c r="DB124" s="133">
        <f t="shared" si="178"/>
        <v>0</v>
      </c>
      <c r="DC124" s="132">
        <f t="shared" si="178"/>
        <v>0</v>
      </c>
      <c r="DD124" s="132">
        <f t="shared" si="178"/>
        <v>0</v>
      </c>
      <c r="DE124" s="132">
        <f t="shared" si="178"/>
        <v>0</v>
      </c>
      <c r="DF124" s="132">
        <f t="shared" si="178"/>
        <v>0</v>
      </c>
      <c r="DG124" s="132">
        <f t="shared" si="178"/>
        <v>0</v>
      </c>
      <c r="DH124" s="132">
        <f t="shared" si="178"/>
        <v>0</v>
      </c>
      <c r="DI124" s="132">
        <f t="shared" si="178"/>
        <v>0</v>
      </c>
      <c r="DJ124" s="132">
        <f t="shared" si="178"/>
        <v>0</v>
      </c>
      <c r="DK124" s="132">
        <f t="shared" si="178"/>
        <v>0</v>
      </c>
      <c r="DL124" s="132">
        <f t="shared" si="179"/>
        <v>0</v>
      </c>
      <c r="DM124" s="134">
        <f t="shared" si="179"/>
        <v>0</v>
      </c>
      <c r="DN124" s="115">
        <f t="shared" si="179"/>
        <v>0</v>
      </c>
      <c r="DO124" s="115">
        <f t="shared" si="179"/>
        <v>0</v>
      </c>
      <c r="DP124" s="115">
        <f t="shared" si="179"/>
        <v>0</v>
      </c>
      <c r="DQ124" s="115">
        <f t="shared" si="179"/>
        <v>0</v>
      </c>
      <c r="DR124" s="115">
        <f t="shared" si="179"/>
        <v>0</v>
      </c>
      <c r="DS124" s="115">
        <f t="shared" si="179"/>
        <v>0</v>
      </c>
      <c r="DT124" s="115">
        <f t="shared" si="179"/>
        <v>0</v>
      </c>
      <c r="DU124" s="115">
        <f t="shared" si="179"/>
        <v>0</v>
      </c>
      <c r="DV124" s="115">
        <f t="shared" si="179"/>
        <v>0</v>
      </c>
      <c r="DW124" s="115">
        <f t="shared" si="179"/>
        <v>0</v>
      </c>
      <c r="DX124" s="115">
        <f t="shared" si="179"/>
        <v>0</v>
      </c>
      <c r="DY124" s="115">
        <f t="shared" si="179"/>
        <v>0</v>
      </c>
    </row>
    <row r="125" spans="1:129" x14ac:dyDescent="0.35">
      <c r="A125" s="118" t="s">
        <v>516</v>
      </c>
      <c r="B125" s="6" t="str">
        <f t="shared" si="172"/>
        <v>VACANT</v>
      </c>
      <c r="C125" s="137">
        <v>554</v>
      </c>
      <c r="D125" s="155"/>
      <c r="E125" s="145"/>
      <c r="F125" s="118">
        <f t="shared" si="175"/>
        <v>0</v>
      </c>
      <c r="G125" s="146"/>
      <c r="H125" s="347">
        <f t="shared" si="176"/>
        <v>0</v>
      </c>
      <c r="I125" s="148"/>
      <c r="J125" s="156"/>
      <c r="K125" s="116"/>
      <c r="L125" s="118" t="s">
        <v>422</v>
      </c>
      <c r="M125" s="6" t="s">
        <v>335</v>
      </c>
      <c r="N125" s="137">
        <v>1440</v>
      </c>
      <c r="O125" s="155">
        <v>46266</v>
      </c>
      <c r="P125" s="145">
        <v>48091</v>
      </c>
      <c r="Q125" s="118">
        <f t="shared" si="173"/>
        <v>5</v>
      </c>
      <c r="R125" s="146">
        <v>20</v>
      </c>
      <c r="S125" s="347">
        <f t="shared" si="177"/>
        <v>2400</v>
      </c>
      <c r="T125" s="148">
        <v>0</v>
      </c>
      <c r="U125" s="156">
        <v>0</v>
      </c>
      <c r="W125" s="171" t="s">
        <v>315</v>
      </c>
      <c r="AK125" s="115"/>
      <c r="DB125" s="133">
        <f t="shared" si="178"/>
        <v>0</v>
      </c>
      <c r="DC125" s="132">
        <f t="shared" si="178"/>
        <v>0</v>
      </c>
      <c r="DD125" s="132">
        <f t="shared" si="178"/>
        <v>0</v>
      </c>
      <c r="DE125" s="132">
        <f t="shared" si="178"/>
        <v>0</v>
      </c>
      <c r="DF125" s="132">
        <f t="shared" si="178"/>
        <v>0</v>
      </c>
      <c r="DG125" s="132">
        <f t="shared" si="178"/>
        <v>0</v>
      </c>
      <c r="DH125" s="132">
        <f t="shared" si="178"/>
        <v>0</v>
      </c>
      <c r="DI125" s="132">
        <f t="shared" si="178"/>
        <v>0</v>
      </c>
      <c r="DJ125" s="132">
        <f t="shared" si="178"/>
        <v>0</v>
      </c>
      <c r="DK125" s="132">
        <f t="shared" si="178"/>
        <v>0</v>
      </c>
      <c r="DL125" s="132">
        <f t="shared" si="179"/>
        <v>0</v>
      </c>
      <c r="DM125" s="134">
        <f t="shared" si="179"/>
        <v>0</v>
      </c>
      <c r="DN125" s="115">
        <f t="shared" si="179"/>
        <v>0</v>
      </c>
      <c r="DO125" s="115">
        <f t="shared" si="179"/>
        <v>0</v>
      </c>
      <c r="DP125" s="115">
        <f t="shared" si="179"/>
        <v>0</v>
      </c>
      <c r="DQ125" s="115">
        <f t="shared" si="179"/>
        <v>0</v>
      </c>
      <c r="DR125" s="115">
        <f t="shared" si="179"/>
        <v>0</v>
      </c>
      <c r="DS125" s="115">
        <f t="shared" si="179"/>
        <v>0</v>
      </c>
      <c r="DT125" s="115">
        <f t="shared" si="179"/>
        <v>0</v>
      </c>
      <c r="DU125" s="115">
        <f t="shared" si="179"/>
        <v>0</v>
      </c>
      <c r="DV125" s="115">
        <f t="shared" si="179"/>
        <v>0</v>
      </c>
      <c r="DW125" s="115">
        <f t="shared" si="179"/>
        <v>0</v>
      </c>
      <c r="DX125" s="115">
        <f t="shared" si="179"/>
        <v>0</v>
      </c>
      <c r="DY125" s="115">
        <f t="shared" si="179"/>
        <v>0</v>
      </c>
    </row>
    <row r="126" spans="1:129" x14ac:dyDescent="0.35">
      <c r="A126" s="118" t="s">
        <v>553</v>
      </c>
      <c r="B126" s="6" t="str">
        <f t="shared" si="172"/>
        <v>VACANT</v>
      </c>
      <c r="C126" s="137">
        <v>11211</v>
      </c>
      <c r="D126" s="155"/>
      <c r="E126" s="145"/>
      <c r="F126" s="118">
        <f t="shared" si="175"/>
        <v>0</v>
      </c>
      <c r="G126" s="146"/>
      <c r="H126" s="347">
        <f t="shared" si="176"/>
        <v>0</v>
      </c>
      <c r="I126" s="148"/>
      <c r="J126" s="156"/>
      <c r="K126" s="116"/>
      <c r="L126" s="118" t="s">
        <v>528</v>
      </c>
      <c r="M126" s="6" t="s">
        <v>336</v>
      </c>
      <c r="N126" s="137">
        <v>1152</v>
      </c>
      <c r="O126" s="155">
        <v>45992</v>
      </c>
      <c r="P126" s="145">
        <v>47087</v>
      </c>
      <c r="Q126" s="118">
        <f t="shared" si="173"/>
        <v>3</v>
      </c>
      <c r="R126" s="146">
        <v>21</v>
      </c>
      <c r="S126" s="347">
        <f t="shared" si="177"/>
        <v>2016</v>
      </c>
      <c r="T126" s="148">
        <v>0</v>
      </c>
      <c r="U126" s="156">
        <v>0</v>
      </c>
      <c r="W126" s="171" t="s">
        <v>316</v>
      </c>
      <c r="AK126" s="115"/>
      <c r="DB126" s="133">
        <f t="shared" si="178"/>
        <v>0</v>
      </c>
      <c r="DC126" s="132">
        <f t="shared" si="178"/>
        <v>0</v>
      </c>
      <c r="DD126" s="132">
        <f t="shared" si="178"/>
        <v>0</v>
      </c>
      <c r="DE126" s="132">
        <f t="shared" si="178"/>
        <v>0</v>
      </c>
      <c r="DF126" s="132">
        <f t="shared" si="178"/>
        <v>0</v>
      </c>
      <c r="DG126" s="132">
        <f t="shared" si="178"/>
        <v>0</v>
      </c>
      <c r="DH126" s="132">
        <f t="shared" si="178"/>
        <v>0</v>
      </c>
      <c r="DI126" s="132">
        <f t="shared" si="178"/>
        <v>0</v>
      </c>
      <c r="DJ126" s="132">
        <f t="shared" si="178"/>
        <v>0</v>
      </c>
      <c r="DK126" s="132">
        <f t="shared" si="178"/>
        <v>0</v>
      </c>
      <c r="DL126" s="132">
        <f t="shared" si="179"/>
        <v>0</v>
      </c>
      <c r="DM126" s="134">
        <f t="shared" si="179"/>
        <v>0</v>
      </c>
      <c r="DN126" s="115">
        <f t="shared" si="179"/>
        <v>0</v>
      </c>
      <c r="DO126" s="115">
        <f t="shared" si="179"/>
        <v>0</v>
      </c>
      <c r="DP126" s="115">
        <f t="shared" si="179"/>
        <v>0</v>
      </c>
      <c r="DQ126" s="115">
        <f t="shared" si="179"/>
        <v>0</v>
      </c>
      <c r="DR126" s="115">
        <f t="shared" si="179"/>
        <v>0</v>
      </c>
      <c r="DS126" s="115">
        <f t="shared" si="179"/>
        <v>0</v>
      </c>
      <c r="DT126" s="115">
        <f t="shared" si="179"/>
        <v>0</v>
      </c>
      <c r="DU126" s="115">
        <f t="shared" si="179"/>
        <v>0</v>
      </c>
      <c r="DV126" s="115">
        <f t="shared" si="179"/>
        <v>0</v>
      </c>
      <c r="DW126" s="115">
        <f t="shared" si="179"/>
        <v>0</v>
      </c>
      <c r="DX126" s="115">
        <f t="shared" si="179"/>
        <v>0</v>
      </c>
      <c r="DY126" s="115">
        <f t="shared" si="179"/>
        <v>0</v>
      </c>
    </row>
    <row r="127" spans="1:129" x14ac:dyDescent="0.35">
      <c r="B127" s="6" t="str">
        <f t="shared" si="172"/>
        <v/>
      </c>
      <c r="C127" s="137"/>
      <c r="D127" s="155"/>
      <c r="E127" s="145"/>
      <c r="F127" s="118">
        <f t="shared" si="175"/>
        <v>0</v>
      </c>
      <c r="G127" s="146"/>
      <c r="H127" s="347">
        <f t="shared" si="176"/>
        <v>0</v>
      </c>
      <c r="I127" s="148"/>
      <c r="J127" s="156"/>
      <c r="K127" s="116"/>
      <c r="L127" s="118" t="s">
        <v>430</v>
      </c>
      <c r="M127" s="6" t="s">
        <v>337</v>
      </c>
      <c r="N127" s="137">
        <v>3312</v>
      </c>
      <c r="O127" s="155">
        <v>46235</v>
      </c>
      <c r="P127" s="145">
        <v>48060</v>
      </c>
      <c r="Q127" s="118">
        <f t="shared" si="173"/>
        <v>5</v>
      </c>
      <c r="R127" s="146">
        <v>18.25</v>
      </c>
      <c r="S127" s="347">
        <f t="shared" si="177"/>
        <v>5037</v>
      </c>
      <c r="T127" s="148">
        <v>5</v>
      </c>
      <c r="U127" s="156">
        <v>0</v>
      </c>
      <c r="DB127" s="133">
        <f t="shared" si="178"/>
        <v>0</v>
      </c>
      <c r="DC127" s="132">
        <f t="shared" si="178"/>
        <v>0</v>
      </c>
      <c r="DD127" s="132">
        <f t="shared" si="178"/>
        <v>0</v>
      </c>
      <c r="DE127" s="132">
        <f t="shared" si="178"/>
        <v>0</v>
      </c>
      <c r="DF127" s="132">
        <f t="shared" si="178"/>
        <v>0</v>
      </c>
      <c r="DG127" s="132">
        <f t="shared" si="178"/>
        <v>0</v>
      </c>
      <c r="DH127" s="132">
        <f t="shared" si="178"/>
        <v>0</v>
      </c>
      <c r="DI127" s="132">
        <f t="shared" si="178"/>
        <v>0</v>
      </c>
      <c r="DJ127" s="132">
        <f t="shared" si="178"/>
        <v>0</v>
      </c>
      <c r="DK127" s="132">
        <f t="shared" si="178"/>
        <v>0</v>
      </c>
      <c r="DL127" s="132">
        <f t="shared" si="179"/>
        <v>0</v>
      </c>
      <c r="DM127" s="134">
        <f t="shared" si="179"/>
        <v>0</v>
      </c>
      <c r="DN127" s="115">
        <f t="shared" si="179"/>
        <v>0</v>
      </c>
      <c r="DO127" s="115">
        <f t="shared" si="179"/>
        <v>0</v>
      </c>
      <c r="DP127" s="115">
        <f t="shared" si="179"/>
        <v>0</v>
      </c>
      <c r="DQ127" s="115">
        <f t="shared" si="179"/>
        <v>0</v>
      </c>
      <c r="DR127" s="115">
        <f t="shared" si="179"/>
        <v>0</v>
      </c>
      <c r="DS127" s="115">
        <f t="shared" si="179"/>
        <v>0</v>
      </c>
      <c r="DT127" s="115">
        <f t="shared" si="179"/>
        <v>0</v>
      </c>
      <c r="DU127" s="115">
        <f t="shared" si="179"/>
        <v>0</v>
      </c>
      <c r="DV127" s="115">
        <f t="shared" si="179"/>
        <v>0</v>
      </c>
      <c r="DW127" s="115">
        <f t="shared" si="179"/>
        <v>0</v>
      </c>
      <c r="DX127" s="115">
        <f t="shared" si="179"/>
        <v>0</v>
      </c>
      <c r="DY127" s="115">
        <f t="shared" si="179"/>
        <v>0</v>
      </c>
    </row>
    <row r="128" spans="1:129" x14ac:dyDescent="0.35">
      <c r="B128" s="6" t="str">
        <f t="shared" si="172"/>
        <v/>
      </c>
      <c r="C128" s="137"/>
      <c r="D128" s="155"/>
      <c r="E128" s="145"/>
      <c r="F128" s="118">
        <f t="shared" si="175"/>
        <v>0</v>
      </c>
      <c r="G128" s="146"/>
      <c r="H128" s="347">
        <f t="shared" si="176"/>
        <v>0</v>
      </c>
      <c r="I128" s="148"/>
      <c r="J128" s="156"/>
      <c r="K128" s="116"/>
      <c r="L128" s="118" t="s">
        <v>435</v>
      </c>
      <c r="M128" s="6" t="s">
        <v>338</v>
      </c>
      <c r="N128" s="137">
        <v>1988</v>
      </c>
      <c r="O128" s="155">
        <v>46113</v>
      </c>
      <c r="P128" s="145">
        <v>49765</v>
      </c>
      <c r="Q128" s="118">
        <f t="shared" si="173"/>
        <v>10.1</v>
      </c>
      <c r="R128" s="146">
        <v>18.89</v>
      </c>
      <c r="S128" s="347">
        <f t="shared" si="177"/>
        <v>3129.4433333333332</v>
      </c>
      <c r="T128" s="148">
        <v>0</v>
      </c>
      <c r="U128" s="156">
        <v>0</v>
      </c>
      <c r="DB128" s="133">
        <f t="shared" si="178"/>
        <v>0</v>
      </c>
      <c r="DC128" s="132">
        <f t="shared" si="178"/>
        <v>0</v>
      </c>
      <c r="DD128" s="132">
        <f t="shared" si="178"/>
        <v>0</v>
      </c>
      <c r="DE128" s="132">
        <f t="shared" si="178"/>
        <v>0</v>
      </c>
      <c r="DF128" s="132">
        <f t="shared" si="178"/>
        <v>0</v>
      </c>
      <c r="DG128" s="132">
        <f t="shared" si="178"/>
        <v>0</v>
      </c>
      <c r="DH128" s="132">
        <f t="shared" si="178"/>
        <v>0</v>
      </c>
      <c r="DI128" s="132">
        <f t="shared" si="178"/>
        <v>0</v>
      </c>
      <c r="DJ128" s="132">
        <f t="shared" si="178"/>
        <v>0</v>
      </c>
      <c r="DK128" s="132">
        <f t="shared" si="178"/>
        <v>0</v>
      </c>
      <c r="DL128" s="132">
        <f t="shared" si="179"/>
        <v>0</v>
      </c>
      <c r="DM128" s="134">
        <f t="shared" si="179"/>
        <v>0</v>
      </c>
      <c r="DN128" s="115">
        <f t="shared" si="179"/>
        <v>0</v>
      </c>
      <c r="DO128" s="115">
        <f t="shared" si="179"/>
        <v>0</v>
      </c>
      <c r="DP128" s="115">
        <f t="shared" si="179"/>
        <v>0</v>
      </c>
      <c r="DQ128" s="115">
        <f t="shared" si="179"/>
        <v>0</v>
      </c>
      <c r="DR128" s="115">
        <f t="shared" si="179"/>
        <v>0</v>
      </c>
      <c r="DS128" s="115">
        <f t="shared" si="179"/>
        <v>0</v>
      </c>
      <c r="DT128" s="115">
        <f t="shared" si="179"/>
        <v>0</v>
      </c>
      <c r="DU128" s="115">
        <f t="shared" si="179"/>
        <v>0</v>
      </c>
      <c r="DV128" s="115">
        <f t="shared" si="179"/>
        <v>0</v>
      </c>
      <c r="DW128" s="115">
        <f t="shared" si="179"/>
        <v>0</v>
      </c>
      <c r="DX128" s="115">
        <f t="shared" si="179"/>
        <v>0</v>
      </c>
      <c r="DY128" s="115">
        <f t="shared" si="179"/>
        <v>0</v>
      </c>
    </row>
    <row r="129" spans="1:129" x14ac:dyDescent="0.35">
      <c r="B129" s="6" t="str">
        <f t="shared" si="172"/>
        <v/>
      </c>
      <c r="C129" s="137"/>
      <c r="D129" s="155"/>
      <c r="E129" s="145"/>
      <c r="F129" s="118">
        <f t="shared" si="175"/>
        <v>0</v>
      </c>
      <c r="G129" s="146"/>
      <c r="H129" s="347">
        <f t="shared" si="176"/>
        <v>0</v>
      </c>
      <c r="I129" s="148"/>
      <c r="J129" s="156"/>
      <c r="K129" s="116"/>
      <c r="L129" s="118" t="s">
        <v>436</v>
      </c>
      <c r="M129" s="6" t="s">
        <v>339</v>
      </c>
      <c r="N129" s="137">
        <v>3200</v>
      </c>
      <c r="O129" s="155">
        <v>46235</v>
      </c>
      <c r="P129" s="145">
        <v>48060</v>
      </c>
      <c r="Q129" s="118">
        <f t="shared" si="173"/>
        <v>5</v>
      </c>
      <c r="R129" s="146">
        <v>20.93</v>
      </c>
      <c r="S129" s="347">
        <f t="shared" si="177"/>
        <v>5581.333333333333</v>
      </c>
      <c r="T129" s="148">
        <v>0</v>
      </c>
      <c r="U129" s="156">
        <v>0</v>
      </c>
      <c r="DB129" s="133">
        <f t="shared" si="178"/>
        <v>0</v>
      </c>
      <c r="DC129" s="132">
        <f t="shared" si="178"/>
        <v>0</v>
      </c>
      <c r="DD129" s="132">
        <f t="shared" si="178"/>
        <v>0</v>
      </c>
      <c r="DE129" s="132">
        <f t="shared" si="178"/>
        <v>0</v>
      </c>
      <c r="DF129" s="132">
        <f t="shared" si="178"/>
        <v>0</v>
      </c>
      <c r="DG129" s="132">
        <f t="shared" si="178"/>
        <v>0</v>
      </c>
      <c r="DH129" s="132">
        <f t="shared" si="178"/>
        <v>0</v>
      </c>
      <c r="DI129" s="132">
        <f t="shared" si="178"/>
        <v>0</v>
      </c>
      <c r="DJ129" s="132">
        <f t="shared" si="178"/>
        <v>0</v>
      </c>
      <c r="DK129" s="132">
        <f t="shared" si="178"/>
        <v>0</v>
      </c>
      <c r="DL129" s="132">
        <f t="shared" si="179"/>
        <v>0</v>
      </c>
      <c r="DM129" s="134">
        <f t="shared" si="179"/>
        <v>0</v>
      </c>
      <c r="DN129" s="115">
        <f t="shared" si="179"/>
        <v>0</v>
      </c>
      <c r="DO129" s="115">
        <f t="shared" si="179"/>
        <v>0</v>
      </c>
      <c r="DP129" s="115">
        <f t="shared" si="179"/>
        <v>0</v>
      </c>
      <c r="DQ129" s="115">
        <f t="shared" si="179"/>
        <v>0</v>
      </c>
      <c r="DR129" s="115">
        <f t="shared" si="179"/>
        <v>0</v>
      </c>
      <c r="DS129" s="115">
        <f t="shared" si="179"/>
        <v>0</v>
      </c>
      <c r="DT129" s="115">
        <f t="shared" si="179"/>
        <v>0</v>
      </c>
      <c r="DU129" s="115">
        <f t="shared" si="179"/>
        <v>0</v>
      </c>
      <c r="DV129" s="115">
        <f t="shared" si="179"/>
        <v>0</v>
      </c>
      <c r="DW129" s="115">
        <f t="shared" si="179"/>
        <v>0</v>
      </c>
      <c r="DX129" s="115">
        <f t="shared" si="179"/>
        <v>0</v>
      </c>
      <c r="DY129" s="115">
        <f t="shared" si="179"/>
        <v>0</v>
      </c>
    </row>
    <row r="130" spans="1:129" x14ac:dyDescent="0.35">
      <c r="B130" s="6" t="str">
        <f t="shared" si="172"/>
        <v/>
      </c>
      <c r="C130" s="137"/>
      <c r="D130" s="155"/>
      <c r="E130" s="145"/>
      <c r="F130" s="118">
        <f t="shared" si="175"/>
        <v>0</v>
      </c>
      <c r="G130" s="146"/>
      <c r="H130" s="347">
        <f t="shared" si="176"/>
        <v>0</v>
      </c>
      <c r="I130" s="146"/>
      <c r="J130" s="156"/>
      <c r="K130" s="116"/>
      <c r="L130" s="118"/>
      <c r="M130" s="6"/>
      <c r="N130" s="137"/>
      <c r="O130" s="155"/>
      <c r="P130" s="145"/>
      <c r="Q130" s="118">
        <f t="shared" si="173"/>
        <v>0</v>
      </c>
      <c r="R130" s="146"/>
      <c r="S130" s="347">
        <f t="shared" si="177"/>
        <v>0</v>
      </c>
      <c r="T130" s="146"/>
      <c r="U130" s="156"/>
      <c r="DB130" s="133">
        <f t="shared" si="178"/>
        <v>0</v>
      </c>
      <c r="DC130" s="132">
        <f t="shared" si="178"/>
        <v>0</v>
      </c>
      <c r="DD130" s="132">
        <f t="shared" si="178"/>
        <v>0</v>
      </c>
      <c r="DE130" s="132">
        <f t="shared" si="178"/>
        <v>0</v>
      </c>
      <c r="DF130" s="132">
        <f t="shared" si="178"/>
        <v>0</v>
      </c>
      <c r="DG130" s="132">
        <f t="shared" si="178"/>
        <v>0</v>
      </c>
      <c r="DH130" s="132">
        <f t="shared" si="178"/>
        <v>0</v>
      </c>
      <c r="DI130" s="132">
        <f t="shared" si="178"/>
        <v>0</v>
      </c>
      <c r="DJ130" s="132">
        <f t="shared" si="178"/>
        <v>0</v>
      </c>
      <c r="DK130" s="132">
        <f t="shared" si="178"/>
        <v>0</v>
      </c>
      <c r="DL130" s="132">
        <f t="shared" si="179"/>
        <v>0</v>
      </c>
      <c r="DM130" s="134">
        <f t="shared" si="179"/>
        <v>0</v>
      </c>
      <c r="DN130" s="115">
        <f t="shared" si="179"/>
        <v>0</v>
      </c>
      <c r="DO130" s="115">
        <f t="shared" si="179"/>
        <v>0</v>
      </c>
      <c r="DP130" s="115">
        <f t="shared" si="179"/>
        <v>0</v>
      </c>
      <c r="DQ130" s="115">
        <f t="shared" si="179"/>
        <v>0</v>
      </c>
      <c r="DR130" s="115">
        <f t="shared" si="179"/>
        <v>0</v>
      </c>
      <c r="DS130" s="115">
        <f t="shared" si="179"/>
        <v>0</v>
      </c>
      <c r="DT130" s="115">
        <f t="shared" si="179"/>
        <v>0</v>
      </c>
      <c r="DU130" s="115">
        <f t="shared" si="179"/>
        <v>0</v>
      </c>
      <c r="DV130" s="115">
        <f t="shared" si="179"/>
        <v>0</v>
      </c>
      <c r="DW130" s="115">
        <f t="shared" si="179"/>
        <v>0</v>
      </c>
      <c r="DX130" s="115">
        <f t="shared" si="179"/>
        <v>0</v>
      </c>
      <c r="DY130" s="115">
        <f t="shared" si="179"/>
        <v>0</v>
      </c>
    </row>
    <row r="131" spans="1:129" x14ac:dyDescent="0.35">
      <c r="B131" s="6" t="str">
        <f t="shared" si="172"/>
        <v/>
      </c>
      <c r="C131" s="137"/>
      <c r="D131" s="155"/>
      <c r="E131" s="145"/>
      <c r="F131" s="118">
        <f t="shared" si="175"/>
        <v>0</v>
      </c>
      <c r="G131" s="146"/>
      <c r="H131" s="347">
        <f t="shared" si="176"/>
        <v>0</v>
      </c>
      <c r="I131" s="146"/>
      <c r="J131" s="156"/>
      <c r="K131" s="116"/>
      <c r="L131" s="118"/>
      <c r="M131" s="6"/>
      <c r="N131" s="137"/>
      <c r="O131" s="155"/>
      <c r="P131" s="145"/>
      <c r="Q131" s="118">
        <f t="shared" si="173"/>
        <v>0</v>
      </c>
      <c r="R131" s="146"/>
      <c r="S131" s="347">
        <f t="shared" si="177"/>
        <v>0</v>
      </c>
      <c r="T131" s="146"/>
      <c r="U131" s="156"/>
      <c r="DB131" s="133">
        <f t="shared" si="178"/>
        <v>0</v>
      </c>
      <c r="DC131" s="132">
        <f t="shared" si="178"/>
        <v>0</v>
      </c>
      <c r="DD131" s="132">
        <f t="shared" si="178"/>
        <v>0</v>
      </c>
      <c r="DE131" s="132">
        <f t="shared" si="178"/>
        <v>0</v>
      </c>
      <c r="DF131" s="132">
        <f t="shared" si="178"/>
        <v>0</v>
      </c>
      <c r="DG131" s="132">
        <f t="shared" si="178"/>
        <v>0</v>
      </c>
      <c r="DH131" s="132">
        <f t="shared" si="178"/>
        <v>0</v>
      </c>
      <c r="DI131" s="132">
        <f t="shared" si="178"/>
        <v>0</v>
      </c>
      <c r="DJ131" s="132">
        <f t="shared" si="178"/>
        <v>0</v>
      </c>
      <c r="DK131" s="132">
        <f t="shared" si="178"/>
        <v>0</v>
      </c>
      <c r="DL131" s="132">
        <f t="shared" si="179"/>
        <v>0</v>
      </c>
      <c r="DM131" s="134">
        <f t="shared" si="179"/>
        <v>0</v>
      </c>
      <c r="DN131" s="115">
        <f t="shared" si="179"/>
        <v>0</v>
      </c>
      <c r="DO131" s="115">
        <f t="shared" si="179"/>
        <v>0</v>
      </c>
      <c r="DP131" s="115">
        <f t="shared" si="179"/>
        <v>0</v>
      </c>
      <c r="DQ131" s="115">
        <f t="shared" si="179"/>
        <v>0</v>
      </c>
      <c r="DR131" s="115">
        <f t="shared" si="179"/>
        <v>0</v>
      </c>
      <c r="DS131" s="115">
        <f t="shared" si="179"/>
        <v>0</v>
      </c>
      <c r="DT131" s="115">
        <f t="shared" si="179"/>
        <v>0</v>
      </c>
      <c r="DU131" s="115">
        <f t="shared" si="179"/>
        <v>0</v>
      </c>
      <c r="DV131" s="115">
        <f t="shared" si="179"/>
        <v>0</v>
      </c>
      <c r="DW131" s="115">
        <f t="shared" si="179"/>
        <v>0</v>
      </c>
      <c r="DX131" s="115">
        <f t="shared" si="179"/>
        <v>0</v>
      </c>
      <c r="DY131" s="115">
        <f t="shared" si="179"/>
        <v>0</v>
      </c>
    </row>
    <row r="132" spans="1:129" x14ac:dyDescent="0.35">
      <c r="B132" s="6" t="str">
        <f t="shared" si="172"/>
        <v/>
      </c>
      <c r="C132" s="137"/>
      <c r="D132" s="155"/>
      <c r="E132" s="145"/>
      <c r="F132" s="118">
        <f t="shared" si="175"/>
        <v>0</v>
      </c>
      <c r="G132" s="146"/>
      <c r="H132" s="347">
        <f t="shared" si="176"/>
        <v>0</v>
      </c>
      <c r="I132" s="146"/>
      <c r="J132" s="156"/>
      <c r="K132" s="116"/>
      <c r="L132" s="118"/>
      <c r="M132" s="6"/>
      <c r="N132" s="137"/>
      <c r="O132" s="155"/>
      <c r="P132" s="145"/>
      <c r="Q132" s="118">
        <f t="shared" si="173"/>
        <v>0</v>
      </c>
      <c r="R132" s="146"/>
      <c r="S132" s="347">
        <f t="shared" si="177"/>
        <v>0</v>
      </c>
      <c r="T132" s="146"/>
      <c r="U132" s="156"/>
      <c r="DB132" s="133">
        <f t="shared" si="178"/>
        <v>0</v>
      </c>
      <c r="DC132" s="132">
        <f t="shared" si="178"/>
        <v>0</v>
      </c>
      <c r="DD132" s="132">
        <f t="shared" si="178"/>
        <v>0</v>
      </c>
      <c r="DE132" s="132">
        <f t="shared" si="178"/>
        <v>0</v>
      </c>
      <c r="DF132" s="132">
        <f t="shared" si="178"/>
        <v>0</v>
      </c>
      <c r="DG132" s="132">
        <f t="shared" si="178"/>
        <v>0</v>
      </c>
      <c r="DH132" s="132">
        <f t="shared" si="178"/>
        <v>0</v>
      </c>
      <c r="DI132" s="132">
        <f t="shared" si="178"/>
        <v>0</v>
      </c>
      <c r="DJ132" s="132">
        <f t="shared" si="178"/>
        <v>0</v>
      </c>
      <c r="DK132" s="132">
        <f t="shared" si="178"/>
        <v>0</v>
      </c>
      <c r="DL132" s="132">
        <f t="shared" si="179"/>
        <v>0</v>
      </c>
      <c r="DM132" s="134">
        <f t="shared" si="179"/>
        <v>0</v>
      </c>
      <c r="DN132" s="115">
        <f t="shared" si="179"/>
        <v>0</v>
      </c>
      <c r="DO132" s="115">
        <f t="shared" si="179"/>
        <v>0</v>
      </c>
      <c r="DP132" s="115">
        <f t="shared" si="179"/>
        <v>0</v>
      </c>
      <c r="DQ132" s="115">
        <f t="shared" si="179"/>
        <v>0</v>
      </c>
      <c r="DR132" s="115">
        <f t="shared" si="179"/>
        <v>0</v>
      </c>
      <c r="DS132" s="115">
        <f t="shared" si="179"/>
        <v>0</v>
      </c>
      <c r="DT132" s="115">
        <f t="shared" si="179"/>
        <v>0</v>
      </c>
      <c r="DU132" s="115">
        <f t="shared" si="179"/>
        <v>0</v>
      </c>
      <c r="DV132" s="115">
        <f t="shared" si="179"/>
        <v>0</v>
      </c>
      <c r="DW132" s="115">
        <f t="shared" si="179"/>
        <v>0</v>
      </c>
      <c r="DX132" s="115">
        <f t="shared" si="179"/>
        <v>0</v>
      </c>
      <c r="DY132" s="115">
        <f t="shared" si="179"/>
        <v>0</v>
      </c>
    </row>
    <row r="133" spans="1:129" x14ac:dyDescent="0.35">
      <c r="A133" s="129"/>
      <c r="B133" s="15" t="str">
        <f t="shared" si="172"/>
        <v/>
      </c>
      <c r="C133" s="138"/>
      <c r="D133" s="157"/>
      <c r="E133" s="149"/>
      <c r="F133" s="129">
        <f t="shared" si="175"/>
        <v>0</v>
      </c>
      <c r="G133" s="150"/>
      <c r="H133" s="348">
        <f t="shared" si="176"/>
        <v>0</v>
      </c>
      <c r="I133" s="150"/>
      <c r="J133" s="158"/>
      <c r="K133" s="116"/>
      <c r="L133" s="129"/>
      <c r="M133" s="15"/>
      <c r="N133" s="138"/>
      <c r="O133" s="157"/>
      <c r="P133" s="149"/>
      <c r="Q133" s="129">
        <f t="shared" si="173"/>
        <v>0</v>
      </c>
      <c r="R133" s="150"/>
      <c r="S133" s="348">
        <f t="shared" si="177"/>
        <v>0</v>
      </c>
      <c r="T133" s="150"/>
      <c r="U133" s="158"/>
      <c r="DB133" s="133">
        <f t="shared" si="178"/>
        <v>0</v>
      </c>
      <c r="DC133" s="132">
        <f t="shared" si="178"/>
        <v>0</v>
      </c>
      <c r="DD133" s="132">
        <f t="shared" si="178"/>
        <v>0</v>
      </c>
      <c r="DE133" s="132">
        <f t="shared" si="178"/>
        <v>0</v>
      </c>
      <c r="DF133" s="132">
        <f t="shared" si="178"/>
        <v>0</v>
      </c>
      <c r="DG133" s="132">
        <f t="shared" si="178"/>
        <v>0</v>
      </c>
      <c r="DH133" s="132">
        <f t="shared" si="178"/>
        <v>0</v>
      </c>
      <c r="DI133" s="132">
        <f t="shared" si="178"/>
        <v>0</v>
      </c>
      <c r="DJ133" s="132">
        <f t="shared" si="178"/>
        <v>0</v>
      </c>
      <c r="DK133" s="132">
        <f t="shared" si="178"/>
        <v>0</v>
      </c>
      <c r="DL133" s="132">
        <f t="shared" si="179"/>
        <v>0</v>
      </c>
      <c r="DM133" s="134">
        <f t="shared" si="179"/>
        <v>0</v>
      </c>
      <c r="DN133" s="115">
        <f t="shared" si="179"/>
        <v>0</v>
      </c>
      <c r="DO133" s="115">
        <f t="shared" si="179"/>
        <v>0</v>
      </c>
      <c r="DP133" s="115">
        <f t="shared" si="179"/>
        <v>0</v>
      </c>
      <c r="DQ133" s="115">
        <f t="shared" si="179"/>
        <v>0</v>
      </c>
      <c r="DR133" s="115">
        <f t="shared" si="179"/>
        <v>0</v>
      </c>
      <c r="DS133" s="115">
        <f t="shared" si="179"/>
        <v>0</v>
      </c>
      <c r="DT133" s="115">
        <f t="shared" si="179"/>
        <v>0</v>
      </c>
      <c r="DU133" s="115">
        <f t="shared" si="179"/>
        <v>0</v>
      </c>
      <c r="DV133" s="115">
        <f t="shared" si="179"/>
        <v>0</v>
      </c>
      <c r="DW133" s="115">
        <f t="shared" si="179"/>
        <v>0</v>
      </c>
      <c r="DX133" s="115">
        <f t="shared" si="179"/>
        <v>0</v>
      </c>
      <c r="DY133" s="115">
        <f t="shared" si="179"/>
        <v>0</v>
      </c>
    </row>
    <row r="134" spans="1:129" ht="16.5" thickBot="1" x14ac:dyDescent="0.35">
      <c r="A134" s="117"/>
      <c r="B134" s="16" t="s">
        <v>301</v>
      </c>
      <c r="C134" s="139">
        <f>SUM(C119:C133)</f>
        <v>18205</v>
      </c>
      <c r="D134" s="125"/>
      <c r="E134" s="125"/>
      <c r="F134" s="135"/>
      <c r="G134" s="126"/>
      <c r="H134" s="126"/>
      <c r="I134" s="126"/>
      <c r="J134" s="127"/>
      <c r="K134" s="116"/>
      <c r="L134" s="117"/>
      <c r="M134" s="16" t="s">
        <v>304</v>
      </c>
      <c r="N134" s="139">
        <f>SUM(N119:N133)</f>
        <v>26394</v>
      </c>
      <c r="O134" s="125"/>
      <c r="P134" s="125"/>
      <c r="Q134" s="135"/>
      <c r="R134" s="126"/>
      <c r="S134" s="126"/>
      <c r="T134" s="126"/>
      <c r="U134" s="127"/>
      <c r="DB134" s="122">
        <f>SUM(DB119:DB133)</f>
        <v>0</v>
      </c>
      <c r="DC134" s="122">
        <f t="shared" ref="DC134" si="204">SUM(DC119:DC133)</f>
        <v>0</v>
      </c>
      <c r="DD134" s="122">
        <f t="shared" ref="DD134" si="205">SUM(DD119:DD133)</f>
        <v>0</v>
      </c>
      <c r="DE134" s="122">
        <f t="shared" ref="DE134" si="206">SUM(DE119:DE133)</f>
        <v>0</v>
      </c>
      <c r="DF134" s="122">
        <f t="shared" ref="DF134" si="207">SUM(DF119:DF133)</f>
        <v>0</v>
      </c>
      <c r="DG134" s="122">
        <f t="shared" ref="DG134" si="208">SUM(DG119:DG133)</f>
        <v>0</v>
      </c>
      <c r="DH134" s="122">
        <f t="shared" ref="DH134" si="209">SUM(DH119:DH133)</f>
        <v>0</v>
      </c>
      <c r="DI134" s="122">
        <f t="shared" ref="DI134" si="210">SUM(DI119:DI133)</f>
        <v>0</v>
      </c>
      <c r="DJ134" s="122">
        <f t="shared" ref="DJ134" si="211">SUM(DJ119:DJ133)</f>
        <v>0</v>
      </c>
      <c r="DK134" s="122">
        <f t="shared" ref="DK134" si="212">SUM(DK119:DK133)</f>
        <v>0</v>
      </c>
      <c r="DL134" s="122">
        <f t="shared" ref="DL134" si="213">SUM(DL119:DL133)</f>
        <v>0</v>
      </c>
      <c r="DM134" s="122">
        <f t="shared" ref="DM134" si="214">SUM(DM119:DM133)</f>
        <v>0</v>
      </c>
      <c r="DN134" s="122">
        <f t="shared" ref="DN134" si="215">SUM(DN119:DN133)</f>
        <v>0</v>
      </c>
      <c r="DO134" s="122">
        <f t="shared" ref="DO134" si="216">SUM(DO119:DO133)</f>
        <v>0</v>
      </c>
      <c r="DP134" s="122">
        <f t="shared" ref="DP134" si="217">SUM(DP119:DP133)</f>
        <v>0</v>
      </c>
      <c r="DQ134" s="122">
        <f t="shared" ref="DQ134" si="218">SUM(DQ119:DQ133)</f>
        <v>0</v>
      </c>
      <c r="DR134" s="122">
        <f t="shared" ref="DR134" si="219">SUM(DR119:DR133)</f>
        <v>0</v>
      </c>
      <c r="DS134" s="122">
        <f t="shared" ref="DS134" si="220">SUM(DS119:DS133)</f>
        <v>0</v>
      </c>
      <c r="DT134" s="122">
        <f t="shared" ref="DT134" si="221">SUM(DT119:DT133)</f>
        <v>0</v>
      </c>
      <c r="DU134" s="122">
        <f t="shared" ref="DU134" si="222">SUM(DU119:DU133)</f>
        <v>0</v>
      </c>
      <c r="DV134" s="122">
        <f t="shared" ref="DV134" si="223">SUM(DV119:DV133)</f>
        <v>0</v>
      </c>
      <c r="DW134" s="122">
        <f t="shared" ref="DW134" si="224">SUM(DW119:DW133)</f>
        <v>0</v>
      </c>
      <c r="DX134" s="122">
        <f t="shared" ref="DX134" si="225">SUM(DX119:DX133)</f>
        <v>0</v>
      </c>
      <c r="DY134" s="122">
        <f t="shared" ref="DY134" si="226">SUM(DY119:DY133)</f>
        <v>0</v>
      </c>
    </row>
    <row r="135" spans="1:129" s="179" customFormat="1" ht="18.5" thickTop="1" thickBot="1" x14ac:dyDescent="0.3">
      <c r="A135" s="178"/>
      <c r="F135" s="178"/>
      <c r="K135" s="180"/>
      <c r="AK135" s="180"/>
      <c r="DB135" s="418"/>
      <c r="DC135" s="418"/>
      <c r="DD135" s="418"/>
      <c r="DE135" s="418"/>
      <c r="DF135" s="418"/>
      <c r="DG135" s="418"/>
      <c r="DH135" s="418"/>
      <c r="DI135" s="418"/>
      <c r="DJ135" s="418"/>
      <c r="DK135" s="418"/>
      <c r="DL135" s="418"/>
      <c r="DM135" s="418"/>
    </row>
    <row r="136" spans="1:129" x14ac:dyDescent="0.35">
      <c r="A136" s="114"/>
      <c r="F136" s="114"/>
      <c r="K136" s="118"/>
      <c r="AK136" s="120"/>
      <c r="DB136" s="160">
        <f t="shared" ref="DB136:DY136" si="227">DB$8</f>
        <v>45658</v>
      </c>
      <c r="DC136" s="5">
        <f t="shared" si="227"/>
        <v>45689</v>
      </c>
      <c r="DD136" s="5">
        <f t="shared" si="227"/>
        <v>45717</v>
      </c>
      <c r="DE136" s="5">
        <f t="shared" si="227"/>
        <v>45748</v>
      </c>
      <c r="DF136" s="5">
        <f t="shared" si="227"/>
        <v>45778</v>
      </c>
      <c r="DG136" s="5">
        <f t="shared" si="227"/>
        <v>45809</v>
      </c>
      <c r="DH136" s="5">
        <f t="shared" si="227"/>
        <v>45839</v>
      </c>
      <c r="DI136" s="5">
        <f t="shared" si="227"/>
        <v>45870</v>
      </c>
      <c r="DJ136" s="5">
        <f t="shared" si="227"/>
        <v>45901</v>
      </c>
      <c r="DK136" s="5">
        <f t="shared" si="227"/>
        <v>45931</v>
      </c>
      <c r="DL136" s="5">
        <f t="shared" si="227"/>
        <v>45962</v>
      </c>
      <c r="DM136" s="161">
        <f t="shared" si="227"/>
        <v>45992</v>
      </c>
      <c r="DN136" s="5">
        <f t="shared" si="227"/>
        <v>46023</v>
      </c>
      <c r="DO136" s="5">
        <f t="shared" si="227"/>
        <v>46054</v>
      </c>
      <c r="DP136" s="5">
        <f t="shared" si="227"/>
        <v>46082</v>
      </c>
      <c r="DQ136" s="5">
        <f t="shared" si="227"/>
        <v>46113</v>
      </c>
      <c r="DR136" s="5">
        <f t="shared" si="227"/>
        <v>46143</v>
      </c>
      <c r="DS136" s="5">
        <f t="shared" si="227"/>
        <v>46174</v>
      </c>
      <c r="DT136" s="5">
        <f t="shared" si="227"/>
        <v>46204</v>
      </c>
      <c r="DU136" s="5">
        <f t="shared" si="227"/>
        <v>46235</v>
      </c>
      <c r="DV136" s="5">
        <f t="shared" si="227"/>
        <v>46266</v>
      </c>
      <c r="DW136" s="5">
        <f t="shared" si="227"/>
        <v>46296</v>
      </c>
      <c r="DX136" s="5">
        <f t="shared" si="227"/>
        <v>46327</v>
      </c>
      <c r="DY136" s="5">
        <f t="shared" si="227"/>
        <v>46357</v>
      </c>
    </row>
    <row r="137" spans="1:129" ht="18" x14ac:dyDescent="0.35">
      <c r="A137" s="143">
        <f>'7200'!B1</f>
        <v>7200</v>
      </c>
      <c r="B137" s="6"/>
      <c r="C137" s="119"/>
      <c r="D137" s="117"/>
      <c r="E137" s="117"/>
      <c r="F137" s="117"/>
      <c r="G137" s="117"/>
      <c r="I137" s="117"/>
      <c r="J137" s="117"/>
      <c r="K137" s="117"/>
    </row>
    <row r="138" spans="1:129" ht="17.5" x14ac:dyDescent="0.25">
      <c r="A138" s="169">
        <f>'7200'!B4</f>
        <v>14821</v>
      </c>
      <c r="B138" s="182">
        <f>(A138-C156)/A138</f>
        <v>1</v>
      </c>
      <c r="D138" s="144" t="str">
        <f>"Vacancies - "&amp;A137</f>
        <v>Vacancies - 7200</v>
      </c>
      <c r="E138" s="117"/>
      <c r="F138" s="117"/>
      <c r="G138" s="117"/>
      <c r="I138" s="117"/>
      <c r="K138" s="117"/>
      <c r="O138" s="144" t="str">
        <f>"Renewals - "&amp;A137</f>
        <v>Renewals - 7200</v>
      </c>
    </row>
    <row r="139" spans="1:129" ht="18" x14ac:dyDescent="0.25">
      <c r="D139" s="414" t="s">
        <v>306</v>
      </c>
      <c r="E139" s="415"/>
      <c r="F139" s="415"/>
      <c r="G139" s="415"/>
      <c r="H139" s="415"/>
      <c r="I139" s="415"/>
      <c r="J139" s="416"/>
      <c r="O139" s="414" t="s">
        <v>306</v>
      </c>
      <c r="P139" s="415"/>
      <c r="Q139" s="415"/>
      <c r="R139" s="415"/>
      <c r="S139" s="415"/>
      <c r="T139" s="415"/>
      <c r="U139" s="416"/>
      <c r="W139" s="142">
        <f>A137</f>
        <v>7200</v>
      </c>
      <c r="X139" s="417">
        <v>2025</v>
      </c>
      <c r="Y139" s="417"/>
      <c r="Z139" s="417"/>
      <c r="AA139" s="417"/>
      <c r="AB139" s="417"/>
      <c r="AC139" s="417"/>
      <c r="AD139" s="417"/>
      <c r="AE139" s="417"/>
      <c r="AF139" s="417"/>
      <c r="AG139" s="417"/>
      <c r="AH139" s="417"/>
      <c r="AI139" s="417"/>
      <c r="AJ139" s="417">
        <f>X139+1</f>
        <v>2026</v>
      </c>
      <c r="AK139" s="417"/>
      <c r="AL139" s="417"/>
      <c r="AM139" s="417"/>
      <c r="AN139" s="417"/>
      <c r="AO139" s="417"/>
      <c r="AP139" s="417"/>
      <c r="AQ139" s="417"/>
      <c r="AR139" s="417"/>
      <c r="AS139" s="417"/>
      <c r="AT139" s="417"/>
      <c r="AU139" s="417"/>
      <c r="DB139" s="412" t="str">
        <f>+$DB$7</f>
        <v>2025</v>
      </c>
      <c r="DC139" s="412"/>
      <c r="DD139" s="412"/>
      <c r="DE139" s="412"/>
      <c r="DF139" s="412"/>
      <c r="DG139" s="412"/>
      <c r="DH139" s="412"/>
      <c r="DI139" s="412"/>
      <c r="DJ139" s="412"/>
      <c r="DK139" s="412"/>
      <c r="DL139" s="412"/>
      <c r="DM139" s="412"/>
      <c r="DN139" s="412" t="str">
        <f>+$DN$7</f>
        <v>2026</v>
      </c>
      <c r="DO139" s="412"/>
      <c r="DP139" s="412"/>
      <c r="DQ139" s="412"/>
      <c r="DR139" s="412"/>
      <c r="DS139" s="412"/>
      <c r="DT139" s="412"/>
      <c r="DU139" s="412"/>
      <c r="DV139" s="412"/>
      <c r="DW139" s="412"/>
      <c r="DX139" s="412"/>
      <c r="DY139" s="412"/>
    </row>
    <row r="140" spans="1:129" x14ac:dyDescent="0.35">
      <c r="A140" s="129" t="s">
        <v>206</v>
      </c>
      <c r="B140" s="15" t="s">
        <v>302</v>
      </c>
      <c r="C140" s="136" t="s">
        <v>203</v>
      </c>
      <c r="D140" s="159" t="s">
        <v>307</v>
      </c>
      <c r="E140" s="129" t="s">
        <v>308</v>
      </c>
      <c r="F140" s="129"/>
      <c r="G140" s="128" t="s">
        <v>202</v>
      </c>
      <c r="H140" s="141" t="s">
        <v>526</v>
      </c>
      <c r="I140" s="141" t="s">
        <v>303</v>
      </c>
      <c r="J140" s="131" t="s">
        <v>201</v>
      </c>
      <c r="K140" s="118"/>
      <c r="L140" s="129" t="s">
        <v>206</v>
      </c>
      <c r="M140" s="15" t="s">
        <v>302</v>
      </c>
      <c r="N140" s="136" t="s">
        <v>203</v>
      </c>
      <c r="O140" s="159" t="s">
        <v>307</v>
      </c>
      <c r="P140" s="129" t="s">
        <v>308</v>
      </c>
      <c r="Q140" s="129"/>
      <c r="R140" s="128" t="s">
        <v>202</v>
      </c>
      <c r="S140" s="141" t="s">
        <v>526</v>
      </c>
      <c r="T140" s="141" t="s">
        <v>303</v>
      </c>
      <c r="U140" s="131" t="s">
        <v>201</v>
      </c>
      <c r="X140" s="160">
        <f>X$8</f>
        <v>45658</v>
      </c>
      <c r="Y140" s="5">
        <f t="shared" ref="Y140:AU140" si="228">Y$8</f>
        <v>45689</v>
      </c>
      <c r="Z140" s="5">
        <f t="shared" si="228"/>
        <v>45717</v>
      </c>
      <c r="AA140" s="5">
        <f t="shared" si="228"/>
        <v>45748</v>
      </c>
      <c r="AB140" s="5">
        <f t="shared" si="228"/>
        <v>45778</v>
      </c>
      <c r="AC140" s="5">
        <f t="shared" si="228"/>
        <v>45809</v>
      </c>
      <c r="AD140" s="5">
        <f t="shared" si="228"/>
        <v>45839</v>
      </c>
      <c r="AE140" s="5">
        <f t="shared" si="228"/>
        <v>45870</v>
      </c>
      <c r="AF140" s="5">
        <f t="shared" si="228"/>
        <v>45901</v>
      </c>
      <c r="AG140" s="5">
        <f t="shared" si="228"/>
        <v>45931</v>
      </c>
      <c r="AH140" s="5">
        <f t="shared" si="228"/>
        <v>45962</v>
      </c>
      <c r="AI140" s="161">
        <f t="shared" si="228"/>
        <v>45992</v>
      </c>
      <c r="AJ140" s="5">
        <f t="shared" si="228"/>
        <v>46023</v>
      </c>
      <c r="AK140" s="5">
        <f t="shared" si="228"/>
        <v>46054</v>
      </c>
      <c r="AL140" s="5">
        <f t="shared" si="228"/>
        <v>46082</v>
      </c>
      <c r="AM140" s="5">
        <f t="shared" si="228"/>
        <v>46113</v>
      </c>
      <c r="AN140" s="5">
        <f t="shared" si="228"/>
        <v>46143</v>
      </c>
      <c r="AO140" s="5">
        <f t="shared" si="228"/>
        <v>46174</v>
      </c>
      <c r="AP140" s="5">
        <f t="shared" si="228"/>
        <v>46204</v>
      </c>
      <c r="AQ140" s="5">
        <f t="shared" si="228"/>
        <v>46235</v>
      </c>
      <c r="AR140" s="5">
        <f t="shared" si="228"/>
        <v>46266</v>
      </c>
      <c r="AS140" s="5">
        <f t="shared" si="228"/>
        <v>46296</v>
      </c>
      <c r="AT140" s="5">
        <f t="shared" si="228"/>
        <v>46327</v>
      </c>
      <c r="AU140" s="5">
        <f t="shared" si="228"/>
        <v>46357</v>
      </c>
      <c r="AV140" s="210" t="str">
        <f>AJ139&amp;" - Totals"</f>
        <v>2026 - Totals</v>
      </c>
      <c r="DB140" s="160">
        <f t="shared" ref="DB140:DY140" si="229">DB$8</f>
        <v>45658</v>
      </c>
      <c r="DC140" s="5">
        <f t="shared" si="229"/>
        <v>45689</v>
      </c>
      <c r="DD140" s="5">
        <f t="shared" si="229"/>
        <v>45717</v>
      </c>
      <c r="DE140" s="5">
        <f t="shared" si="229"/>
        <v>45748</v>
      </c>
      <c r="DF140" s="5">
        <f t="shared" si="229"/>
        <v>45778</v>
      </c>
      <c r="DG140" s="5">
        <f t="shared" si="229"/>
        <v>45809</v>
      </c>
      <c r="DH140" s="5">
        <f t="shared" si="229"/>
        <v>45839</v>
      </c>
      <c r="DI140" s="5">
        <f t="shared" si="229"/>
        <v>45870</v>
      </c>
      <c r="DJ140" s="5">
        <f t="shared" si="229"/>
        <v>45901</v>
      </c>
      <c r="DK140" s="5">
        <f t="shared" si="229"/>
        <v>45931</v>
      </c>
      <c r="DL140" s="5">
        <f t="shared" si="229"/>
        <v>45962</v>
      </c>
      <c r="DM140" s="161">
        <f t="shared" si="229"/>
        <v>45992</v>
      </c>
      <c r="DN140" s="5">
        <f t="shared" si="229"/>
        <v>46023</v>
      </c>
      <c r="DO140" s="5">
        <f t="shared" si="229"/>
        <v>46054</v>
      </c>
      <c r="DP140" s="5">
        <f t="shared" si="229"/>
        <v>46082</v>
      </c>
      <c r="DQ140" s="5">
        <f t="shared" si="229"/>
        <v>46113</v>
      </c>
      <c r="DR140" s="5">
        <f t="shared" si="229"/>
        <v>46143</v>
      </c>
      <c r="DS140" s="5">
        <f t="shared" si="229"/>
        <v>46174</v>
      </c>
      <c r="DT140" s="5">
        <f t="shared" si="229"/>
        <v>46204</v>
      </c>
      <c r="DU140" s="5">
        <f t="shared" si="229"/>
        <v>46235</v>
      </c>
      <c r="DV140" s="5">
        <f t="shared" si="229"/>
        <v>46266</v>
      </c>
      <c r="DW140" s="5">
        <f t="shared" si="229"/>
        <v>46296</v>
      </c>
      <c r="DX140" s="5">
        <f t="shared" si="229"/>
        <v>46327</v>
      </c>
      <c r="DY140" s="5">
        <f t="shared" si="229"/>
        <v>46357</v>
      </c>
    </row>
    <row r="141" spans="1:129" x14ac:dyDescent="0.35">
      <c r="B141" s="6" t="str">
        <f t="shared" ref="B141:B155" si="230">IF(A141&lt;&gt;"","VACANT","")</f>
        <v/>
      </c>
      <c r="C141" s="137"/>
      <c r="D141" s="155"/>
      <c r="E141" s="145"/>
      <c r="F141" s="172">
        <f>IFERROR(ROUNDUP(((DATEDIF(D141,E141,"d"))/365),1),0)</f>
        <v>0</v>
      </c>
      <c r="G141" s="146"/>
      <c r="H141" s="347">
        <f>(G141*C141)/12</f>
        <v>0</v>
      </c>
      <c r="I141" s="146"/>
      <c r="J141" s="156"/>
      <c r="K141" s="163"/>
      <c r="L141" s="118"/>
      <c r="M141" s="6"/>
      <c r="N141" s="137"/>
      <c r="O141" s="155"/>
      <c r="P141" s="145"/>
      <c r="Q141" s="172">
        <f t="shared" ref="Q141:Q155" si="231">IFERROR(ROUNDUP(((DATEDIF(O141,P141,"d"))/365),1),0)</f>
        <v>0</v>
      </c>
      <c r="R141" s="146"/>
      <c r="S141" s="347">
        <f>(R141*N141)/12</f>
        <v>0</v>
      </c>
      <c r="T141" s="146"/>
      <c r="U141" s="156"/>
      <c r="W141" s="114" t="s">
        <v>314</v>
      </c>
      <c r="X141" s="199" cm="1">
        <f t="array" ref="X141:AI141">_xlfn.LET(
  _xlpm.months, X140:AI140,
  _xlpm.totalSqft, A138,
  _xlpm.vacSF, C141:C155,
  _xlpm.vacStart, D141:D155,
  _xlpm.vacEnd, E141:E155,
  _xlpm.renSF, N141:N155,
  _xlpm.renEnd, P141:P155,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Y141" s="200">
        <v>1</v>
      </c>
      <c r="Z141" s="200">
        <v>1</v>
      </c>
      <c r="AA141" s="200">
        <v>1</v>
      </c>
      <c r="AB141" s="200">
        <v>1</v>
      </c>
      <c r="AC141" s="200">
        <v>1</v>
      </c>
      <c r="AD141" s="200">
        <v>1</v>
      </c>
      <c r="AE141" s="200">
        <v>1</v>
      </c>
      <c r="AF141" s="200">
        <v>1</v>
      </c>
      <c r="AG141" s="200">
        <v>1</v>
      </c>
      <c r="AH141" s="200">
        <v>1</v>
      </c>
      <c r="AI141" s="200">
        <v>1</v>
      </c>
      <c r="AJ141" s="199" cm="1">
        <f t="array" ref="AJ141:AU141">_xlfn.LET(
  _xlpm.months, AJ140:AU140,
  _xlpm.totalSqft, A138,
  _xlpm.vacSF, C141:C155,
  _xlpm.vacStart, D141:D155,
  _xlpm.vacEnd, E141:E155,
  _xlpm.renSF, N141:N155,
  _xlpm.renEnd, P141:P155,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AK141" s="200">
        <v>1</v>
      </c>
      <c r="AL141" s="200">
        <v>1</v>
      </c>
      <c r="AM141" s="200">
        <v>1</v>
      </c>
      <c r="AN141" s="200">
        <v>1</v>
      </c>
      <c r="AO141" s="200">
        <v>1</v>
      </c>
      <c r="AP141" s="200">
        <v>1</v>
      </c>
      <c r="AQ141" s="200">
        <v>1</v>
      </c>
      <c r="AR141" s="200">
        <v>1</v>
      </c>
      <c r="AS141" s="200">
        <v>1</v>
      </c>
      <c r="AT141" s="200">
        <v>1</v>
      </c>
      <c r="AU141" s="200">
        <v>1</v>
      </c>
      <c r="AV141" s="208"/>
      <c r="DB141" s="133">
        <f t="shared" ref="DB141:DY141" si="232">IF(AND($D141&lt;=DB140,$E141&gt;=DB140),(($G141*$C141)/12),0)</f>
        <v>0</v>
      </c>
      <c r="DC141" s="132">
        <f t="shared" si="232"/>
        <v>0</v>
      </c>
      <c r="DD141" s="132">
        <f t="shared" si="232"/>
        <v>0</v>
      </c>
      <c r="DE141" s="132">
        <f t="shared" si="232"/>
        <v>0</v>
      </c>
      <c r="DF141" s="132">
        <f t="shared" si="232"/>
        <v>0</v>
      </c>
      <c r="DG141" s="132">
        <f t="shared" si="232"/>
        <v>0</v>
      </c>
      <c r="DH141" s="132">
        <f t="shared" si="232"/>
        <v>0</v>
      </c>
      <c r="DI141" s="132">
        <f t="shared" si="232"/>
        <v>0</v>
      </c>
      <c r="DJ141" s="132">
        <f t="shared" si="232"/>
        <v>0</v>
      </c>
      <c r="DK141" s="132">
        <f t="shared" si="232"/>
        <v>0</v>
      </c>
      <c r="DL141" s="132">
        <f t="shared" si="232"/>
        <v>0</v>
      </c>
      <c r="DM141" s="134">
        <f t="shared" si="232"/>
        <v>0</v>
      </c>
      <c r="DN141" s="115">
        <f t="shared" si="232"/>
        <v>0</v>
      </c>
      <c r="DO141" s="115">
        <f t="shared" si="232"/>
        <v>0</v>
      </c>
      <c r="DP141" s="115">
        <f t="shared" si="232"/>
        <v>0</v>
      </c>
      <c r="DQ141" s="115">
        <f t="shared" si="232"/>
        <v>0</v>
      </c>
      <c r="DR141" s="115">
        <f t="shared" si="232"/>
        <v>0</v>
      </c>
      <c r="DS141" s="115">
        <f t="shared" si="232"/>
        <v>0</v>
      </c>
      <c r="DT141" s="115">
        <f t="shared" si="232"/>
        <v>0</v>
      </c>
      <c r="DU141" s="115">
        <f t="shared" si="232"/>
        <v>0</v>
      </c>
      <c r="DV141" s="115">
        <f t="shared" si="232"/>
        <v>0</v>
      </c>
      <c r="DW141" s="115">
        <f t="shared" si="232"/>
        <v>0</v>
      </c>
      <c r="DX141" s="115">
        <f t="shared" si="232"/>
        <v>0</v>
      </c>
      <c r="DY141" s="115">
        <f t="shared" si="232"/>
        <v>0</v>
      </c>
    </row>
    <row r="142" spans="1:129" x14ac:dyDescent="0.35">
      <c r="B142" s="6" t="str">
        <f t="shared" si="230"/>
        <v/>
      </c>
      <c r="C142" s="137"/>
      <c r="D142" s="155"/>
      <c r="E142" s="145"/>
      <c r="F142" s="118">
        <f t="shared" ref="F142:F155" si="233">IFERROR(ROUNDUP(((DATEDIF(D142,E142,"d"))/365),1),0)</f>
        <v>0</v>
      </c>
      <c r="G142" s="146"/>
      <c r="H142" s="347">
        <f t="shared" ref="H142:H155" si="234">(G142*C142)/12</f>
        <v>0</v>
      </c>
      <c r="I142" s="146"/>
      <c r="J142" s="156"/>
      <c r="K142" s="116"/>
      <c r="L142" s="118"/>
      <c r="M142" s="6"/>
      <c r="N142" s="137"/>
      <c r="O142" s="155"/>
      <c r="P142" s="145"/>
      <c r="Q142" s="118">
        <f t="shared" si="231"/>
        <v>0</v>
      </c>
      <c r="R142" s="146"/>
      <c r="S142" s="347">
        <f t="shared" ref="S142:S155" si="235">(R142*N142)/12</f>
        <v>0</v>
      </c>
      <c r="T142" s="146"/>
      <c r="U142" s="156"/>
      <c r="W142" s="114" t="s">
        <v>312</v>
      </c>
      <c r="X142" s="133" cm="1">
        <f t="array" ref="X142">((SUMPRODUCT(($D141:$D155&lt;=X$8) * ($E141:$E155&gt;=X$8) * ($G141:$G155 * $C141:$C155)))+(SUMPRODUCT(($O141:$O155&lt;=X$8) * ($P141:$P155&gt;=X$8) * ($R141:$R155 * $N141:$N155))))/12</f>
        <v>0</v>
      </c>
      <c r="Y142" s="115" cm="1">
        <f t="array" ref="Y142">((SUMPRODUCT(($D141:$D155&lt;=Y$8) * ($E141:$E155&gt;=Y$8) * ($G141:$G155 * $C141:$C155)))+(SUMPRODUCT(($O141:$O155&lt;=Y$8) * ($P141:$P155&gt;=Y$8) * ($R141:$R155 * $N141:$N155))))/12</f>
        <v>0</v>
      </c>
      <c r="Z142" s="115" cm="1">
        <f t="array" ref="Z142">((SUMPRODUCT(($D141:$D155&lt;=Z$8) * ($E141:$E155&gt;=Z$8) * ($G141:$G155 * $C141:$C155)))+(SUMPRODUCT(($O141:$O155&lt;=Z$8) * ($P141:$P155&gt;=Z$8) * ($R141:$R155 * $N141:$N155))))/12</f>
        <v>0</v>
      </c>
      <c r="AA142" s="115" cm="1">
        <f t="array" ref="AA142">((SUMPRODUCT(($D141:$D155&lt;=AA$8) * ($E141:$E155&gt;=AA$8) * ($G141:$G155 * $C141:$C155)))+(SUMPRODUCT(($O141:$O155&lt;=AA$8) * ($P141:$P155&gt;=AA$8) * ($R141:$R155 * $N141:$N155))))/12</f>
        <v>0</v>
      </c>
      <c r="AB142" s="115" cm="1">
        <f t="array" ref="AB142">((SUMPRODUCT(($D141:$D155&lt;=AB$8) * ($E141:$E155&gt;=AB$8) * ($G141:$G155 * $C141:$C155)))+(SUMPRODUCT(($O141:$O155&lt;=AB$8) * ($P141:$P155&gt;=AB$8) * ($R141:$R155 * $N141:$N155))))/12</f>
        <v>0</v>
      </c>
      <c r="AC142" s="115" cm="1">
        <f t="array" ref="AC142">((SUMPRODUCT(($D141:$D155&lt;=AC$8) * ($E141:$E155&gt;=AC$8) * ($G141:$G155 * $C141:$C155)))+(SUMPRODUCT(($O141:$O155&lt;=AC$8) * ($P141:$P155&gt;=AC$8) * ($R141:$R155 * $N141:$N155))))/12</f>
        <v>0</v>
      </c>
      <c r="AD142" s="115" cm="1">
        <f t="array" ref="AD142">((SUMPRODUCT(($D141:$D155&lt;=AD$8) * ($E141:$E155&gt;=AD$8) * ($G141:$G155 * $C141:$C155)))+(SUMPRODUCT(($O141:$O155&lt;=AD$8) * ($P141:$P155&gt;=AD$8) * ($R141:$R155 * $N141:$N155))))/12</f>
        <v>0</v>
      </c>
      <c r="AE142" s="115" cm="1">
        <f t="array" ref="AE142">((SUMPRODUCT(($D141:$D155&lt;=AE$8) * ($E141:$E155&gt;=AE$8) * ($G141:$G155 * $C141:$C155)))+(SUMPRODUCT(($O141:$O155&lt;=AE$8) * ($P141:$P155&gt;=AE$8) * ($R141:$R155 * $N141:$N155))))/12</f>
        <v>0</v>
      </c>
      <c r="AF142" s="115" cm="1">
        <f t="array" ref="AF142">((SUMPRODUCT(($D141:$D155&lt;=AF$8) * ($E141:$E155&gt;=AF$8) * ($G141:$G155 * $C141:$C155)))+(SUMPRODUCT(($O141:$O155&lt;=AF$8) * ($P141:$P155&gt;=AF$8) * ($R141:$R155 * $N141:$N155))))/12</f>
        <v>0</v>
      </c>
      <c r="AG142" s="115" cm="1">
        <f t="array" ref="AG142">((SUMPRODUCT(($D141:$D155&lt;=AG$8) * ($E141:$E155&gt;=AG$8) * ($G141:$G155 * $C141:$C155)))+(SUMPRODUCT(($O141:$O155&lt;=AG$8) * ($P141:$P155&gt;=AG$8) * ($R141:$R155 * $N141:$N155))))/12</f>
        <v>0</v>
      </c>
      <c r="AH142" s="115" cm="1">
        <f t="array" ref="AH142">((SUMPRODUCT(($D141:$D155&lt;=AH$8) * ($E141:$E155&gt;=AH$8) * ($G141:$G155 * $C141:$C155)))+(SUMPRODUCT(($O141:$O155&lt;=AH$8) * ($P141:$P155&gt;=AH$8) * ($R141:$R155 * $N141:$N155))))/12</f>
        <v>0</v>
      </c>
      <c r="AI142" s="115" cm="1">
        <f t="array" ref="AI142">((SUMPRODUCT(($D141:$D155&lt;=AI$8) * ($E141:$E155&gt;=AI$8) * ($G141:$G155 * $C141:$C155)))+(SUMPRODUCT(($O141:$O155&lt;=AI$8) * ($P141:$P155&gt;=AI$8) * ($R141:$R155 * $N141:$N155))))/12</f>
        <v>0</v>
      </c>
      <c r="AJ142" s="133" cm="1">
        <f t="array" ref="AJ142">((SUMPRODUCT(($D141:$D155&lt;=AJ$8) * ($E141:$E155&gt;=AJ$8) * ($G141:$G155 * $C141:$C155)))+(SUMPRODUCT(($O141:$O155&lt;=AJ$8) * ($P141:$P155&gt;=AJ$8) * ($R141:$R155 * $N141:$N155))))/12</f>
        <v>0</v>
      </c>
      <c r="AK142" s="115" cm="1">
        <f t="array" ref="AK142">((SUMPRODUCT(($D141:$D155&lt;=AK$8) * ($E141:$E155&gt;=AK$8) * ($G141:$G155 * $C141:$C155)))+(SUMPRODUCT(($O141:$O155&lt;=AK$8) * ($P141:$P155&gt;=AK$8) * ($R141:$R155 * $N141:$N155))))/12</f>
        <v>0</v>
      </c>
      <c r="AL142" s="115" cm="1">
        <f t="array" ref="AL142">((SUMPRODUCT(($D141:$D155&lt;=AL$8) * ($E141:$E155&gt;=AL$8) * ($G141:$G155 * $C141:$C155)))+(SUMPRODUCT(($O141:$O155&lt;=AL$8) * ($P141:$P155&gt;=AL$8) * ($R141:$R155 * $N141:$N155))))/12</f>
        <v>0</v>
      </c>
      <c r="AM142" s="115" cm="1">
        <f t="array" ref="AM142">((SUMPRODUCT(($D141:$D155&lt;=AM$8) * ($E141:$E155&gt;=AM$8) * ($G141:$G155 * $C141:$C155)))+(SUMPRODUCT(($O141:$O155&lt;=AM$8) * ($P141:$P155&gt;=AM$8) * ($R141:$R155 * $N141:$N155))))/12</f>
        <v>0</v>
      </c>
      <c r="AN142" s="115" cm="1">
        <f t="array" ref="AN142">((SUMPRODUCT(($D141:$D155&lt;=AN$8) * ($E141:$E155&gt;=AN$8) * ($G141:$G155 * $C141:$C155)))+(SUMPRODUCT(($O141:$O155&lt;=AN$8) * ($P141:$P155&gt;=AN$8) * ($R141:$R155 * $N141:$N155))))/12</f>
        <v>0</v>
      </c>
      <c r="AO142" s="115" cm="1">
        <f t="array" ref="AO142">((SUMPRODUCT(($D141:$D155&lt;=AO$8) * ($E141:$E155&gt;=AO$8) * ($G141:$G155 * $C141:$C155)))+(SUMPRODUCT(($O141:$O155&lt;=AO$8) * ($P141:$P155&gt;=AO$8) * ($R141:$R155 * $N141:$N155))))/12</f>
        <v>0</v>
      </c>
      <c r="AP142" s="115" cm="1">
        <f t="array" ref="AP142">((SUMPRODUCT(($D141:$D155&lt;=AP$8) * ($E141:$E155&gt;=AP$8) * ($G141:$G155 * $C141:$C155)))+(SUMPRODUCT(($O141:$O155&lt;=AP$8) * ($P141:$P155&gt;=AP$8) * ($R141:$R155 * $N141:$N155))))/12</f>
        <v>0</v>
      </c>
      <c r="AQ142" s="115" cm="1">
        <f t="array" ref="AQ142">((SUMPRODUCT(($D141:$D155&lt;=AQ$8) * ($E141:$E155&gt;=AQ$8) * ($G141:$G155 * $C141:$C155)))+(SUMPRODUCT(($O141:$O155&lt;=AQ$8) * ($P141:$P155&gt;=AQ$8) * ($R141:$R155 * $N141:$N155))))/12</f>
        <v>0</v>
      </c>
      <c r="AR142" s="115" cm="1">
        <f t="array" ref="AR142">((SUMPRODUCT(($D141:$D155&lt;=AR$8) * ($E141:$E155&gt;=AR$8) * ($G141:$G155 * $C141:$C155)))+(SUMPRODUCT(($O141:$O155&lt;=AR$8) * ($P141:$P155&gt;=AR$8) * ($R141:$R155 * $N141:$N155))))/12</f>
        <v>0</v>
      </c>
      <c r="AS142" s="115" cm="1">
        <f t="array" ref="AS142">((SUMPRODUCT(($D141:$D155&lt;=AS$8) * ($E141:$E155&gt;=AS$8) * ($G141:$G155 * $C141:$C155)))+(SUMPRODUCT(($O141:$O155&lt;=AS$8) * ($P141:$P155&gt;=AS$8) * ($R141:$R155 * $N141:$N155))))/12</f>
        <v>0</v>
      </c>
      <c r="AT142" s="115" cm="1">
        <f t="array" ref="AT142">((SUMPRODUCT(($D141:$D155&lt;=AT$8) * ($E141:$E155&gt;=AT$8) * ($G141:$G155 * $C141:$C155)))+(SUMPRODUCT(($O141:$O155&lt;=AT$8) * ($P141:$P155&gt;=AT$8) * ($R141:$R155 * $N141:$N155))))/12</f>
        <v>0</v>
      </c>
      <c r="AU142" s="115" cm="1">
        <f t="array" ref="AU142">((SUMPRODUCT(($D141:$D155&lt;=AU$8) * ($E141:$E155&gt;=AU$8) * ($G141:$G155 * $C141:$C155)))+(SUMPRODUCT(($O141:$O155&lt;=AU$8) * ($P141:$P155&gt;=AU$8) * ($R141:$R155 * $N141:$N155))))/12</f>
        <v>0</v>
      </c>
      <c r="AV142" s="209">
        <f>SUM(AJ142:AU142)</f>
        <v>0</v>
      </c>
      <c r="DB142" s="133">
        <f t="shared" ref="DB142:DK155" si="236">IF(AND($D142&lt;=DB$8,$E142&gt;=DB$8),(($G142*$C142)/12),0)</f>
        <v>0</v>
      </c>
      <c r="DC142" s="132">
        <f t="shared" si="236"/>
        <v>0</v>
      </c>
      <c r="DD142" s="132">
        <f t="shared" si="236"/>
        <v>0</v>
      </c>
      <c r="DE142" s="132">
        <f t="shared" si="236"/>
        <v>0</v>
      </c>
      <c r="DF142" s="132">
        <f t="shared" si="236"/>
        <v>0</v>
      </c>
      <c r="DG142" s="132">
        <f t="shared" si="236"/>
        <v>0</v>
      </c>
      <c r="DH142" s="132">
        <f t="shared" si="236"/>
        <v>0</v>
      </c>
      <c r="DI142" s="132">
        <f t="shared" si="236"/>
        <v>0</v>
      </c>
      <c r="DJ142" s="132">
        <f t="shared" si="236"/>
        <v>0</v>
      </c>
      <c r="DK142" s="132">
        <f t="shared" si="236"/>
        <v>0</v>
      </c>
      <c r="DL142" s="132">
        <f t="shared" ref="DL142:DY155" si="237">IF(AND($D142&lt;=DL$8,$E142&gt;=DL$8),(($G142*$C142)/12),0)</f>
        <v>0</v>
      </c>
      <c r="DM142" s="134">
        <f t="shared" si="237"/>
        <v>0</v>
      </c>
      <c r="DN142" s="115">
        <f t="shared" si="237"/>
        <v>0</v>
      </c>
      <c r="DO142" s="115">
        <f t="shared" si="237"/>
        <v>0</v>
      </c>
      <c r="DP142" s="115">
        <f t="shared" si="237"/>
        <v>0</v>
      </c>
      <c r="DQ142" s="115">
        <f t="shared" si="237"/>
        <v>0</v>
      </c>
      <c r="DR142" s="115">
        <f t="shared" si="237"/>
        <v>0</v>
      </c>
      <c r="DS142" s="115">
        <f t="shared" si="237"/>
        <v>0</v>
      </c>
      <c r="DT142" s="115">
        <f t="shared" si="237"/>
        <v>0</v>
      </c>
      <c r="DU142" s="115">
        <f t="shared" si="237"/>
        <v>0</v>
      </c>
      <c r="DV142" s="115">
        <f t="shared" si="237"/>
        <v>0</v>
      </c>
      <c r="DW142" s="115">
        <f t="shared" si="237"/>
        <v>0</v>
      </c>
      <c r="DX142" s="115">
        <f t="shared" si="237"/>
        <v>0</v>
      </c>
      <c r="DY142" s="115">
        <f t="shared" si="237"/>
        <v>0</v>
      </c>
    </row>
    <row r="143" spans="1:129" x14ac:dyDescent="0.35">
      <c r="B143" s="6" t="str">
        <f t="shared" si="230"/>
        <v/>
      </c>
      <c r="C143" s="137"/>
      <c r="D143" s="155"/>
      <c r="E143" s="145"/>
      <c r="F143" s="118">
        <f t="shared" si="233"/>
        <v>0</v>
      </c>
      <c r="G143" s="146"/>
      <c r="H143" s="347">
        <f t="shared" si="234"/>
        <v>0</v>
      </c>
      <c r="I143" s="146"/>
      <c r="J143" s="156"/>
      <c r="K143" s="116"/>
      <c r="L143" s="118"/>
      <c r="M143" s="6"/>
      <c r="N143" s="137"/>
      <c r="O143" s="155"/>
      <c r="P143" s="145"/>
      <c r="Q143" s="118">
        <f t="shared" si="231"/>
        <v>0</v>
      </c>
      <c r="R143" s="146"/>
      <c r="S143" s="347">
        <f t="shared" si="235"/>
        <v>0</v>
      </c>
      <c r="T143" s="146"/>
      <c r="U143" s="156"/>
      <c r="W143" s="114" t="s">
        <v>309</v>
      </c>
      <c r="X143" s="133" cm="1">
        <f t="array" ref="X143">(SUMPRODUCT((TEXT($O141:$O155,"yyyymm")=TEXT(X$8,"yyyymm")) * ($T141:$T155 * $N141:$N155)))+(SUMPRODUCT((TEXT($D141:$D155,"yyyymm")=TEXT(X$8,"yyyymm")) * ($I141:$I155 * $C141:$C155)))</f>
        <v>0</v>
      </c>
      <c r="Y143" s="115" cm="1">
        <f t="array" ref="Y143">(SUMPRODUCT((TEXT($O141:$O155,"yyyymm")=TEXT(Y$8,"yyyymm")) * ($T141:$T155 * $N141:$N155)))+(SUMPRODUCT((TEXT($D141:$D155,"yyyymm")=TEXT(Y$8,"yyyymm")) * ($I141:$I155 * $C141:$C155)))</f>
        <v>0</v>
      </c>
      <c r="Z143" s="115" cm="1">
        <f t="array" ref="Z143">(SUMPRODUCT((TEXT($O141:$O155,"yyyymm")=TEXT(Z$8,"yyyymm")) * ($T141:$T155 * $N141:$N155)))+(SUMPRODUCT((TEXT($D141:$D155,"yyyymm")=TEXT(Z$8,"yyyymm")) * ($I141:$I155 * $C141:$C155)))</f>
        <v>0</v>
      </c>
      <c r="AA143" s="115" cm="1">
        <f t="array" ref="AA143">(SUMPRODUCT((TEXT($O141:$O155,"yyyymm")=TEXT(AA$8,"yyyymm")) * ($T141:$T155 * $N141:$N155)))+(SUMPRODUCT((TEXT($D141:$D155,"yyyymm")=TEXT(AA$8,"yyyymm")) * ($I141:$I155 * $C141:$C155)))</f>
        <v>0</v>
      </c>
      <c r="AB143" s="115" cm="1">
        <f t="array" ref="AB143">(SUMPRODUCT((TEXT($O141:$O155,"yyyymm")=TEXT(AB$8,"yyyymm")) * ($T141:$T155 * $N141:$N155)))+(SUMPRODUCT((TEXT($D141:$D155,"yyyymm")=TEXT(AB$8,"yyyymm")) * ($I141:$I155 * $C141:$C155)))</f>
        <v>0</v>
      </c>
      <c r="AC143" s="115" cm="1">
        <f t="array" ref="AC143">(SUMPRODUCT((TEXT($O141:$O155,"yyyymm")=TEXT(AC$8,"yyyymm")) * ($T141:$T155 * $N141:$N155)))+(SUMPRODUCT((TEXT($D141:$D155,"yyyymm")=TEXT(AC$8,"yyyymm")) * ($I141:$I155 * $C141:$C155)))</f>
        <v>0</v>
      </c>
      <c r="AD143" s="115" cm="1">
        <f t="array" ref="AD143">(SUMPRODUCT((TEXT($O141:$O155,"yyyymm")=TEXT(AD$8,"yyyymm")) * ($T141:$T155 * $N141:$N155)))+(SUMPRODUCT((TEXT($D141:$D155,"yyyymm")=TEXT(AD$8,"yyyymm")) * ($I141:$I155 * $C141:$C155)))</f>
        <v>0</v>
      </c>
      <c r="AE143" s="115" cm="1">
        <f t="array" ref="AE143">(SUMPRODUCT((TEXT($O141:$O155,"yyyymm")=TEXT(AE$8,"yyyymm")) * ($T141:$T155 * $N141:$N155)))+(SUMPRODUCT((TEXT($D141:$D155,"yyyymm")=TEXT(AE$8,"yyyymm")) * ($I141:$I155 * $C141:$C155)))</f>
        <v>0</v>
      </c>
      <c r="AF143" s="115" cm="1">
        <f t="array" ref="AF143">(SUMPRODUCT((TEXT($O141:$O155,"yyyymm")=TEXT(AF$8,"yyyymm")) * ($T141:$T155 * $N141:$N155)))+(SUMPRODUCT((TEXT($D141:$D155,"yyyymm")=TEXT(AF$8,"yyyymm")) * ($I141:$I155 * $C141:$C155)))</f>
        <v>0</v>
      </c>
      <c r="AG143" s="115" cm="1">
        <f t="array" ref="AG143">(SUMPRODUCT((TEXT($O141:$O155,"yyyymm")=TEXT(AG$8,"yyyymm")) * ($T141:$T155 * $N141:$N155)))+(SUMPRODUCT((TEXT($D141:$D155,"yyyymm")=TEXT(AG$8,"yyyymm")) * ($I141:$I155 * $C141:$C155)))</f>
        <v>0</v>
      </c>
      <c r="AH143" s="115" cm="1">
        <f t="array" ref="AH143">(SUMPRODUCT((TEXT($O141:$O155,"yyyymm")=TEXT(AH$8,"yyyymm")) * ($T141:$T155 * $N141:$N155)))+(SUMPRODUCT((TEXT($D141:$D155,"yyyymm")=TEXT(AH$8,"yyyymm")) * ($I141:$I155 * $C141:$C155)))</f>
        <v>0</v>
      </c>
      <c r="AI143" s="115" cm="1">
        <f t="array" ref="AI143">(SUMPRODUCT((TEXT($O141:$O155,"yyyymm")=TEXT(AI$8,"yyyymm")) * ($T141:$T155 * $N141:$N155)))+(SUMPRODUCT((TEXT($D141:$D155,"yyyymm")=TEXT(AI$8,"yyyymm")) * ($I141:$I155 * $C141:$C155)))</f>
        <v>0</v>
      </c>
      <c r="AJ143" s="133" cm="1">
        <f t="array" ref="AJ143">(SUMPRODUCT((TEXT($O141:$O155,"yyyymm")=TEXT(AJ$8,"yyyymm")) * ($T141:$T155 * $N141:$N155)))+(SUMPRODUCT((TEXT($D141:$D155,"yyyymm")=TEXT(AJ$8,"yyyymm")) * ($I141:$I155 * $C141:$C155)))</f>
        <v>0</v>
      </c>
      <c r="AK143" s="115" cm="1">
        <f t="array" ref="AK143">(SUMPRODUCT((TEXT($O141:$O155,"yyyymm")=TEXT(AK$8,"yyyymm")) * ($T141:$T155 * $N141:$N155)))+(SUMPRODUCT((TEXT($D141:$D155,"yyyymm")=TEXT(AK$8,"yyyymm")) * ($I141:$I155 * $C141:$C155)))</f>
        <v>0</v>
      </c>
      <c r="AL143" s="115" cm="1">
        <f t="array" ref="AL143">(SUMPRODUCT((TEXT($O141:$O155,"yyyymm")=TEXT(AL$8,"yyyymm")) * ($T141:$T155 * $N141:$N155)))+(SUMPRODUCT((TEXT($D141:$D155,"yyyymm")=TEXT(AL$8,"yyyymm")) * ($I141:$I155 * $C141:$C155)))</f>
        <v>0</v>
      </c>
      <c r="AM143" s="115" cm="1">
        <f t="array" ref="AM143">(SUMPRODUCT((TEXT($O141:$O155,"yyyymm")=TEXT(AM$8,"yyyymm")) * ($T141:$T155 * $N141:$N155)))+(SUMPRODUCT((TEXT($D141:$D155,"yyyymm")=TEXT(AM$8,"yyyymm")) * ($I141:$I155 * $C141:$C155)))</f>
        <v>0</v>
      </c>
      <c r="AN143" s="115" cm="1">
        <f t="array" ref="AN143">(SUMPRODUCT((TEXT($O141:$O155,"yyyymm")=TEXT(AN$8,"yyyymm")) * ($T141:$T155 * $N141:$N155)))+(SUMPRODUCT((TEXT($D141:$D155,"yyyymm")=TEXT(AN$8,"yyyymm")) * ($I141:$I155 * $C141:$C155)))</f>
        <v>0</v>
      </c>
      <c r="AO143" s="115" cm="1">
        <f t="array" ref="AO143">(SUMPRODUCT((TEXT($O141:$O155,"yyyymm")=TEXT(AO$8,"yyyymm")) * ($T141:$T155 * $N141:$N155)))+(SUMPRODUCT((TEXT($D141:$D155,"yyyymm")=TEXT(AO$8,"yyyymm")) * ($I141:$I155 * $C141:$C155)))</f>
        <v>0</v>
      </c>
      <c r="AP143" s="115" cm="1">
        <f t="array" ref="AP143">(SUMPRODUCT((TEXT($O141:$O155,"yyyymm")=TEXT(AP$8,"yyyymm")) * ($T141:$T155 * $N141:$N155)))+(SUMPRODUCT((TEXT($D141:$D155,"yyyymm")=TEXT(AP$8,"yyyymm")) * ($I141:$I155 * $C141:$C155)))</f>
        <v>0</v>
      </c>
      <c r="AQ143" s="115" cm="1">
        <f t="array" ref="AQ143">(SUMPRODUCT((TEXT($O141:$O155,"yyyymm")=TEXT(AQ$8,"yyyymm")) * ($T141:$T155 * $N141:$N155)))+(SUMPRODUCT((TEXT($D141:$D155,"yyyymm")=TEXT(AQ$8,"yyyymm")) * ($I141:$I155 * $C141:$C155)))</f>
        <v>0</v>
      </c>
      <c r="AR143" s="115" cm="1">
        <f t="array" ref="AR143">(SUMPRODUCT((TEXT($O141:$O155,"yyyymm")=TEXT(AR$8,"yyyymm")) * ($T141:$T155 * $N141:$N155)))+(SUMPRODUCT((TEXT($D141:$D155,"yyyymm")=TEXT(AR$8,"yyyymm")) * ($I141:$I155 * $C141:$C155)))</f>
        <v>0</v>
      </c>
      <c r="AS143" s="115" cm="1">
        <f t="array" ref="AS143">(SUMPRODUCT((TEXT($O141:$O155,"yyyymm")=TEXT(AS$8,"yyyymm")) * ($T141:$T155 * $N141:$N155)))+(SUMPRODUCT((TEXT($D141:$D155,"yyyymm")=TEXT(AS$8,"yyyymm")) * ($I141:$I155 * $C141:$C155)))</f>
        <v>0</v>
      </c>
      <c r="AT143" s="115" cm="1">
        <f t="array" ref="AT143">(SUMPRODUCT((TEXT($O141:$O155,"yyyymm")=TEXT(AT$8,"yyyymm")) * ($T141:$T155 * $N141:$N155)))+(SUMPRODUCT((TEXT($D141:$D155,"yyyymm")=TEXT(AT$8,"yyyymm")) * ($I141:$I155 * $C141:$C155)))</f>
        <v>0</v>
      </c>
      <c r="AU143" s="115" cm="1">
        <f t="array" ref="AU143">(SUMPRODUCT((TEXT($O141:$O155,"yyyymm")=TEXT(AU$8,"yyyymm")) * ($T141:$T155 * $N141:$N155)))+(SUMPRODUCT((TEXT($D141:$D155,"yyyymm")=TEXT(AU$8,"yyyymm")) * ($I141:$I155 * $C141:$C155)))</f>
        <v>0</v>
      </c>
      <c r="AV143" s="209">
        <f t="shared" ref="AV143:AV144" si="238">SUM(AJ143:AU143)</f>
        <v>0</v>
      </c>
      <c r="DB143" s="133">
        <f t="shared" si="236"/>
        <v>0</v>
      </c>
      <c r="DC143" s="132">
        <f t="shared" si="236"/>
        <v>0</v>
      </c>
      <c r="DD143" s="132">
        <f t="shared" si="236"/>
        <v>0</v>
      </c>
      <c r="DE143" s="132">
        <f t="shared" si="236"/>
        <v>0</v>
      </c>
      <c r="DF143" s="132">
        <f t="shared" si="236"/>
        <v>0</v>
      </c>
      <c r="DG143" s="132">
        <f t="shared" si="236"/>
        <v>0</v>
      </c>
      <c r="DH143" s="132">
        <f t="shared" si="236"/>
        <v>0</v>
      </c>
      <c r="DI143" s="132">
        <f t="shared" si="236"/>
        <v>0</v>
      </c>
      <c r="DJ143" s="132">
        <f t="shared" si="236"/>
        <v>0</v>
      </c>
      <c r="DK143" s="132">
        <f t="shared" si="236"/>
        <v>0</v>
      </c>
      <c r="DL143" s="132">
        <f t="shared" si="237"/>
        <v>0</v>
      </c>
      <c r="DM143" s="134">
        <f t="shared" si="237"/>
        <v>0</v>
      </c>
      <c r="DN143" s="115">
        <f t="shared" si="237"/>
        <v>0</v>
      </c>
      <c r="DO143" s="115">
        <f t="shared" si="237"/>
        <v>0</v>
      </c>
      <c r="DP143" s="115">
        <f t="shared" si="237"/>
        <v>0</v>
      </c>
      <c r="DQ143" s="115">
        <f t="shared" si="237"/>
        <v>0</v>
      </c>
      <c r="DR143" s="115">
        <f t="shared" si="237"/>
        <v>0</v>
      </c>
      <c r="DS143" s="115">
        <f t="shared" si="237"/>
        <v>0</v>
      </c>
      <c r="DT143" s="115">
        <f t="shared" si="237"/>
        <v>0</v>
      </c>
      <c r="DU143" s="115">
        <f t="shared" si="237"/>
        <v>0</v>
      </c>
      <c r="DV143" s="115">
        <f t="shared" si="237"/>
        <v>0</v>
      </c>
      <c r="DW143" s="115">
        <f t="shared" si="237"/>
        <v>0</v>
      </c>
      <c r="DX143" s="115">
        <f t="shared" si="237"/>
        <v>0</v>
      </c>
      <c r="DY143" s="115">
        <f t="shared" si="237"/>
        <v>0</v>
      </c>
    </row>
    <row r="144" spans="1:129" x14ac:dyDescent="0.35">
      <c r="B144" s="6" t="str">
        <f t="shared" si="230"/>
        <v/>
      </c>
      <c r="C144" s="137"/>
      <c r="D144" s="155"/>
      <c r="E144" s="147"/>
      <c r="F144" s="118">
        <f t="shared" si="233"/>
        <v>0</v>
      </c>
      <c r="G144" s="148"/>
      <c r="H144" s="347">
        <f t="shared" si="234"/>
        <v>0</v>
      </c>
      <c r="I144" s="146"/>
      <c r="J144" s="156"/>
      <c r="K144" s="116"/>
      <c r="L144" s="118"/>
      <c r="M144" s="6"/>
      <c r="N144" s="137"/>
      <c r="O144" s="155"/>
      <c r="P144" s="147"/>
      <c r="Q144" s="118">
        <f t="shared" si="231"/>
        <v>0</v>
      </c>
      <c r="R144" s="148"/>
      <c r="S144" s="347">
        <f t="shared" si="235"/>
        <v>0</v>
      </c>
      <c r="T144" s="146"/>
      <c r="U144" s="156"/>
      <c r="W144" s="114" t="s">
        <v>313</v>
      </c>
      <c r="X144" s="133" cm="1">
        <f t="array" ref="X144">IFERROR((SUMPRODUCT((TEXT($O141:$O155,"yyyymm")=TEXT(X$8,"yyyymm")) * ($U141:$U155 * $N141:$N155*$R141:$R155*$Q141:$Q155)))+(SUMPRODUCT((TEXT($D141:$D155,"yyyymm")=TEXT(X$8,"yyyymm")) * ($J141:$J155 * $C141:$C155*$G141:$G155*$F141:$F155))),0)</f>
        <v>0</v>
      </c>
      <c r="Y144" s="115" cm="1">
        <f t="array" ref="Y144">IFERROR((SUMPRODUCT((TEXT($O141:$O155,"yyyymm")=TEXT(Y$8,"yyyymm")) * ($U141:$U155 * $N141:$N155*$R141:$R155*$Q141:$Q155)))+(SUMPRODUCT((TEXT($D141:$D155,"yyyymm")=TEXT(Y$8,"yyyymm")) * ($J141:$J155 * $C141:$C155*$G141:$G155*$F141:$F155))),0)</f>
        <v>0</v>
      </c>
      <c r="Z144" s="115" cm="1">
        <f t="array" ref="Z144">IFERROR((SUMPRODUCT((TEXT($O141:$O155,"yyyymm")=TEXT(Z$8,"yyyymm")) * ($U141:$U155 * $N141:$N155*$R141:$R155*$Q141:$Q155)))+(SUMPRODUCT((TEXT($D141:$D155,"yyyymm")=TEXT(Z$8,"yyyymm")) * ($J141:$J155 * $C141:$C155*$G141:$G155*$F141:$F155))),0)</f>
        <v>0</v>
      </c>
      <c r="AA144" s="115" cm="1">
        <f t="array" ref="AA144">IFERROR((SUMPRODUCT((TEXT($O141:$O155,"yyyymm")=TEXT(AA$8,"yyyymm")) * ($U141:$U155 * $N141:$N155*$R141:$R155*$Q141:$Q155)))+(SUMPRODUCT((TEXT($D141:$D155,"yyyymm")=TEXT(AA$8,"yyyymm")) * ($J141:$J155 * $C141:$C155*$G141:$G155*$F141:$F155))),0)</f>
        <v>0</v>
      </c>
      <c r="AB144" s="115" cm="1">
        <f t="array" ref="AB144">IFERROR((SUMPRODUCT((TEXT($O141:$O155,"yyyymm")=TEXT(AB$8,"yyyymm")) * ($U141:$U155 * $N141:$N155*$R141:$R155*$Q141:$Q155)))+(SUMPRODUCT((TEXT($D141:$D155,"yyyymm")=TEXT(AB$8,"yyyymm")) * ($J141:$J155 * $C141:$C155*$G141:$G155*$F141:$F155))),0)</f>
        <v>0</v>
      </c>
      <c r="AC144" s="115" cm="1">
        <f t="array" ref="AC144">IFERROR((SUMPRODUCT((TEXT($O141:$O155,"yyyymm")=TEXT(AC$8,"yyyymm")) * ($U141:$U155 * $N141:$N155*$R141:$R155*$Q141:$Q155)))+(SUMPRODUCT((TEXT($D141:$D155,"yyyymm")=TEXT(AC$8,"yyyymm")) * ($J141:$J155 * $C141:$C155*$G141:$G155*$F141:$F155))),0)</f>
        <v>0</v>
      </c>
      <c r="AD144" s="115" cm="1">
        <f t="array" ref="AD144">IFERROR((SUMPRODUCT((TEXT($O141:$O155,"yyyymm")=TEXT(AD$8,"yyyymm")) * ($U141:$U155 * $N141:$N155*$R141:$R155*$Q141:$Q155)))+(SUMPRODUCT((TEXT($D141:$D155,"yyyymm")=TEXT(AD$8,"yyyymm")) * ($J141:$J155 * $C141:$C155*$G141:$G155*$F141:$F155))),0)</f>
        <v>0</v>
      </c>
      <c r="AE144" s="115" cm="1">
        <f t="array" ref="AE144">IFERROR((SUMPRODUCT((TEXT($O141:$O155,"yyyymm")=TEXT(AE$8,"yyyymm")) * ($U141:$U155 * $N141:$N155*$R141:$R155*$Q141:$Q155)))+(SUMPRODUCT((TEXT($D141:$D155,"yyyymm")=TEXT(AE$8,"yyyymm")) * ($J141:$J155 * $C141:$C155*$G141:$G155*$F141:$F155))),0)</f>
        <v>0</v>
      </c>
      <c r="AF144" s="115" cm="1">
        <f t="array" ref="AF144">IFERROR((SUMPRODUCT((TEXT($O141:$O155,"yyyymm")=TEXT(AF$8,"yyyymm")) * ($U141:$U155 * $N141:$N155*$R141:$R155*$Q141:$Q155)))+(SUMPRODUCT((TEXT($D141:$D155,"yyyymm")=TEXT(AF$8,"yyyymm")) * ($J141:$J155 * $C141:$C155*$G141:$G155*$F141:$F155))),0)</f>
        <v>0</v>
      </c>
      <c r="AG144" s="115" cm="1">
        <f t="array" ref="AG144">IFERROR((SUMPRODUCT((TEXT($O141:$O155,"yyyymm")=TEXT(AG$8,"yyyymm")) * ($U141:$U155 * $N141:$N155*$R141:$R155*$Q141:$Q155)))+(SUMPRODUCT((TEXT($D141:$D155,"yyyymm")=TEXT(AG$8,"yyyymm")) * ($J141:$J155 * $C141:$C155*$G141:$G155*$F141:$F155))),0)</f>
        <v>0</v>
      </c>
      <c r="AH144" s="115" cm="1">
        <f t="array" ref="AH144">IFERROR((SUMPRODUCT((TEXT($O141:$O155,"yyyymm")=TEXT(AH$8,"yyyymm")) * ($U141:$U155 * $N141:$N155*$R141:$R155*$Q141:$Q155)))+(SUMPRODUCT((TEXT($D141:$D155,"yyyymm")=TEXT(AH$8,"yyyymm")) * ($J141:$J155 * $C141:$C155*$G141:$G155*$F141:$F155))),0)</f>
        <v>0</v>
      </c>
      <c r="AI144" s="115" cm="1">
        <f t="array" ref="AI144">IFERROR((SUMPRODUCT((TEXT($O141:$O155,"yyyymm")=TEXT(AI$8,"yyyymm")) * ($U141:$U155 * $N141:$N155*$R141:$R155*$Q141:$Q155)))+(SUMPRODUCT((TEXT($D141:$D155,"yyyymm")=TEXT(AI$8,"yyyymm")) * ($J141:$J155 * $C141:$C155*$G141:$G155*$F141:$F155))),0)</f>
        <v>0</v>
      </c>
      <c r="AJ144" s="133" cm="1">
        <f t="array" ref="AJ144">IFERROR((SUMPRODUCT((TEXT($O141:$O155,"yyyymm")=TEXT(AJ$8,"yyyymm")) * ($U141:$U155 * $N141:$N155*$R141:$R155*$Q141:$Q155)))+(SUMPRODUCT((TEXT($D141:$D155,"yyyymm")=TEXT(AJ$8,"yyyymm")) * ($J141:$J155 * $C141:$C155*$G141:$G155*$F141:$F155))),0)</f>
        <v>0</v>
      </c>
      <c r="AK144" s="115" cm="1">
        <f t="array" ref="AK144">IFERROR((SUMPRODUCT((TEXT($O141:$O155,"yyyymm")=TEXT(AK$8,"yyyymm")) * ($U141:$U155 * $N141:$N155*$R141:$R155*$Q141:$Q155)))+(SUMPRODUCT((TEXT($D141:$D155,"yyyymm")=TEXT(AK$8,"yyyymm")) * ($J141:$J155 * $C141:$C155*$G141:$G155*$F141:$F155))),0)</f>
        <v>0</v>
      </c>
      <c r="AL144" s="115" cm="1">
        <f t="array" ref="AL144">IFERROR((SUMPRODUCT((TEXT($O141:$O155,"yyyymm")=TEXT(AL$8,"yyyymm")) * ($U141:$U155 * $N141:$N155*$R141:$R155*$Q141:$Q155)))+(SUMPRODUCT((TEXT($D141:$D155,"yyyymm")=TEXT(AL$8,"yyyymm")) * ($J141:$J155 * $C141:$C155*$G141:$G155*$F141:$F155))),0)</f>
        <v>0</v>
      </c>
      <c r="AM144" s="115" cm="1">
        <f t="array" ref="AM144">IFERROR((SUMPRODUCT((TEXT($O141:$O155,"yyyymm")=TEXT(AM$8,"yyyymm")) * ($U141:$U155 * $N141:$N155*$R141:$R155*$Q141:$Q155)))+(SUMPRODUCT((TEXT($D141:$D155,"yyyymm")=TEXT(AM$8,"yyyymm")) * ($J141:$J155 * $C141:$C155*$G141:$G155*$F141:$F155))),0)</f>
        <v>0</v>
      </c>
      <c r="AN144" s="115" cm="1">
        <f t="array" ref="AN144">IFERROR((SUMPRODUCT((TEXT($O141:$O155,"yyyymm")=TEXT(AN$8,"yyyymm")) * ($U141:$U155 * $N141:$N155*$R141:$R155*$Q141:$Q155)))+(SUMPRODUCT((TEXT($D141:$D155,"yyyymm")=TEXT(AN$8,"yyyymm")) * ($J141:$J155 * $C141:$C155*$G141:$G155*$F141:$F155))),0)</f>
        <v>0</v>
      </c>
      <c r="AO144" s="115" cm="1">
        <f t="array" ref="AO144">IFERROR((SUMPRODUCT((TEXT($O141:$O155,"yyyymm")=TEXT(AO$8,"yyyymm")) * ($U141:$U155 * $N141:$N155*$R141:$R155*$Q141:$Q155)))+(SUMPRODUCT((TEXT($D141:$D155,"yyyymm")=TEXT(AO$8,"yyyymm")) * ($J141:$J155 * $C141:$C155*$G141:$G155*$F141:$F155))),0)</f>
        <v>0</v>
      </c>
      <c r="AP144" s="115" cm="1">
        <f t="array" ref="AP144">IFERROR((SUMPRODUCT((TEXT($O141:$O155,"yyyymm")=TEXT(AP$8,"yyyymm")) * ($U141:$U155 * $N141:$N155*$R141:$R155*$Q141:$Q155)))+(SUMPRODUCT((TEXT($D141:$D155,"yyyymm")=TEXT(AP$8,"yyyymm")) * ($J141:$J155 * $C141:$C155*$G141:$G155*$F141:$F155))),0)</f>
        <v>0</v>
      </c>
      <c r="AQ144" s="115" cm="1">
        <f t="array" ref="AQ144">IFERROR((SUMPRODUCT((TEXT($O141:$O155,"yyyymm")=TEXT(AQ$8,"yyyymm")) * ($U141:$U155 * $N141:$N155*$R141:$R155*$Q141:$Q155)))+(SUMPRODUCT((TEXT($D141:$D155,"yyyymm")=TEXT(AQ$8,"yyyymm")) * ($J141:$J155 * $C141:$C155*$G141:$G155*$F141:$F155))),0)</f>
        <v>0</v>
      </c>
      <c r="AR144" s="115" cm="1">
        <f t="array" ref="AR144">IFERROR((SUMPRODUCT((TEXT($O141:$O155,"yyyymm")=TEXT(AR$8,"yyyymm")) * ($U141:$U155 * $N141:$N155*$R141:$R155*$Q141:$Q155)))+(SUMPRODUCT((TEXT($D141:$D155,"yyyymm")=TEXT(AR$8,"yyyymm")) * ($J141:$J155 * $C141:$C155*$G141:$G155*$F141:$F155))),0)</f>
        <v>0</v>
      </c>
      <c r="AS144" s="115" cm="1">
        <f t="array" ref="AS144">IFERROR((SUMPRODUCT((TEXT($O141:$O155,"yyyymm")=TEXT(AS$8,"yyyymm")) * ($U141:$U155 * $N141:$N155*$R141:$R155*$Q141:$Q155)))+(SUMPRODUCT((TEXT($D141:$D155,"yyyymm")=TEXT(AS$8,"yyyymm")) * ($J141:$J155 * $C141:$C155*$G141:$G155*$F141:$F155))),0)</f>
        <v>0</v>
      </c>
      <c r="AT144" s="115" cm="1">
        <f t="array" ref="AT144">IFERROR((SUMPRODUCT((TEXT($O141:$O155,"yyyymm")=TEXT(AT$8,"yyyymm")) * ($U141:$U155 * $N141:$N155*$R141:$R155*$Q141:$Q155)))+(SUMPRODUCT((TEXT($D141:$D155,"yyyymm")=TEXT(AT$8,"yyyymm")) * ($J141:$J155 * $C141:$C155*$G141:$G155*$F141:$F155))),0)</f>
        <v>0</v>
      </c>
      <c r="AU144" s="115" cm="1">
        <f t="array" ref="AU144">IFERROR((SUMPRODUCT((TEXT($O141:$O155,"yyyymm")=TEXT(AU$8,"yyyymm")) * ($U141:$U155 * $N141:$N155*$R141:$R155*$Q141:$Q155)))+(SUMPRODUCT((TEXT($D141:$D155,"yyyymm")=TEXT(AU$8,"yyyymm")) * ($J141:$J155 * $C141:$C155*$G141:$G155*$F141:$F155))),0)</f>
        <v>0</v>
      </c>
      <c r="AV144" s="209">
        <f t="shared" si="238"/>
        <v>0</v>
      </c>
      <c r="DB144" s="133">
        <f t="shared" si="236"/>
        <v>0</v>
      </c>
      <c r="DC144" s="132">
        <f t="shared" si="236"/>
        <v>0</v>
      </c>
      <c r="DD144" s="132">
        <f t="shared" si="236"/>
        <v>0</v>
      </c>
      <c r="DE144" s="132">
        <f t="shared" si="236"/>
        <v>0</v>
      </c>
      <c r="DF144" s="132">
        <f t="shared" si="236"/>
        <v>0</v>
      </c>
      <c r="DG144" s="132">
        <f t="shared" si="236"/>
        <v>0</v>
      </c>
      <c r="DH144" s="132">
        <f t="shared" si="236"/>
        <v>0</v>
      </c>
      <c r="DI144" s="132">
        <f t="shared" si="236"/>
        <v>0</v>
      </c>
      <c r="DJ144" s="132">
        <f t="shared" si="236"/>
        <v>0</v>
      </c>
      <c r="DK144" s="132">
        <f t="shared" si="236"/>
        <v>0</v>
      </c>
      <c r="DL144" s="132">
        <f t="shared" si="237"/>
        <v>0</v>
      </c>
      <c r="DM144" s="134">
        <f t="shared" si="237"/>
        <v>0</v>
      </c>
      <c r="DN144" s="115">
        <f t="shared" si="237"/>
        <v>0</v>
      </c>
      <c r="DO144" s="115">
        <f t="shared" si="237"/>
        <v>0</v>
      </c>
      <c r="DP144" s="115">
        <f t="shared" si="237"/>
        <v>0</v>
      </c>
      <c r="DQ144" s="115">
        <f t="shared" si="237"/>
        <v>0</v>
      </c>
      <c r="DR144" s="115">
        <f t="shared" si="237"/>
        <v>0</v>
      </c>
      <c r="DS144" s="115">
        <f t="shared" si="237"/>
        <v>0</v>
      </c>
      <c r="DT144" s="115">
        <f t="shared" si="237"/>
        <v>0</v>
      </c>
      <c r="DU144" s="115">
        <f t="shared" si="237"/>
        <v>0</v>
      </c>
      <c r="DV144" s="115">
        <f t="shared" si="237"/>
        <v>0</v>
      </c>
      <c r="DW144" s="115">
        <f t="shared" si="237"/>
        <v>0</v>
      </c>
      <c r="DX144" s="115">
        <f t="shared" si="237"/>
        <v>0</v>
      </c>
      <c r="DY144" s="115">
        <f t="shared" si="237"/>
        <v>0</v>
      </c>
    </row>
    <row r="145" spans="1:129" ht="17.5" x14ac:dyDescent="0.35">
      <c r="B145" s="6" t="str">
        <f t="shared" si="230"/>
        <v/>
      </c>
      <c r="C145" s="137"/>
      <c r="D145" s="155"/>
      <c r="E145" s="145"/>
      <c r="F145" s="118">
        <f t="shared" si="233"/>
        <v>0</v>
      </c>
      <c r="G145" s="146"/>
      <c r="H145" s="347">
        <f t="shared" si="234"/>
        <v>0</v>
      </c>
      <c r="I145" s="146"/>
      <c r="J145" s="156"/>
      <c r="K145" s="116"/>
      <c r="L145" s="118"/>
      <c r="M145" s="6"/>
      <c r="N145" s="137"/>
      <c r="O145" s="155"/>
      <c r="P145" s="145"/>
      <c r="Q145" s="118">
        <f t="shared" si="231"/>
        <v>0</v>
      </c>
      <c r="R145" s="146"/>
      <c r="S145" s="347">
        <f t="shared" si="235"/>
        <v>0</v>
      </c>
      <c r="T145" s="146"/>
      <c r="U145" s="156"/>
      <c r="W145" s="176" t="s">
        <v>273</v>
      </c>
      <c r="X145" s="90">
        <f>SUM(X142:X144)</f>
        <v>0</v>
      </c>
      <c r="Y145" s="90">
        <f t="shared" ref="Y145" si="239">SUM(Y142:Y144)</f>
        <v>0</v>
      </c>
      <c r="Z145" s="90">
        <f t="shared" ref="Z145" si="240">SUM(Z142:Z144)</f>
        <v>0</v>
      </c>
      <c r="AA145" s="90">
        <f t="shared" ref="AA145" si="241">SUM(AA142:AA144)</f>
        <v>0</v>
      </c>
      <c r="AB145" s="90">
        <f t="shared" ref="AB145" si="242">SUM(AB142:AB144)</f>
        <v>0</v>
      </c>
      <c r="AC145" s="90">
        <f t="shared" ref="AC145" si="243">SUM(AC142:AC144)</f>
        <v>0</v>
      </c>
      <c r="AD145" s="90">
        <f t="shared" ref="AD145" si="244">SUM(AD142:AD144)</f>
        <v>0</v>
      </c>
      <c r="AE145" s="90">
        <f t="shared" ref="AE145" si="245">SUM(AE142:AE144)</f>
        <v>0</v>
      </c>
      <c r="AF145" s="90">
        <f t="shared" ref="AF145" si="246">SUM(AF142:AF144)</f>
        <v>0</v>
      </c>
      <c r="AG145" s="90">
        <f t="shared" ref="AG145" si="247">SUM(AG142:AG144)</f>
        <v>0</v>
      </c>
      <c r="AH145" s="90">
        <f t="shared" ref="AH145" si="248">SUM(AH142:AH144)</f>
        <v>0</v>
      </c>
      <c r="AI145" s="90">
        <f t="shared" ref="AI145" si="249">SUM(AI142:AI144)</f>
        <v>0</v>
      </c>
      <c r="AJ145" s="90">
        <f t="shared" ref="AJ145" si="250">SUM(AJ142:AJ144)</f>
        <v>0</v>
      </c>
      <c r="AK145" s="90">
        <f t="shared" ref="AK145" si="251">SUM(AK142:AK144)</f>
        <v>0</v>
      </c>
      <c r="AL145" s="90">
        <f t="shared" ref="AL145" si="252">SUM(AL142:AL144)</f>
        <v>0</v>
      </c>
      <c r="AM145" s="90">
        <f t="shared" ref="AM145" si="253">SUM(AM142:AM144)</f>
        <v>0</v>
      </c>
      <c r="AN145" s="90">
        <f t="shared" ref="AN145" si="254">SUM(AN142:AN144)</f>
        <v>0</v>
      </c>
      <c r="AO145" s="90">
        <f t="shared" ref="AO145" si="255">SUM(AO142:AO144)</f>
        <v>0</v>
      </c>
      <c r="AP145" s="90">
        <f t="shared" ref="AP145" si="256">SUM(AP142:AP144)</f>
        <v>0</v>
      </c>
      <c r="AQ145" s="90">
        <f t="shared" ref="AQ145" si="257">SUM(AQ142:AQ144)</f>
        <v>0</v>
      </c>
      <c r="AR145" s="90">
        <f t="shared" ref="AR145" si="258">SUM(AR142:AR144)</f>
        <v>0</v>
      </c>
      <c r="AS145" s="90">
        <f t="shared" ref="AS145" si="259">SUM(AS142:AS144)</f>
        <v>0</v>
      </c>
      <c r="AT145" s="90">
        <f t="shared" ref="AT145" si="260">SUM(AT142:AT144)</f>
        <v>0</v>
      </c>
      <c r="AU145" s="177">
        <f t="shared" ref="AU145:AV145" si="261">SUM(AU142:AU144)</f>
        <v>0</v>
      </c>
      <c r="AV145" s="90">
        <f t="shared" si="261"/>
        <v>0</v>
      </c>
      <c r="DB145" s="133">
        <f t="shared" si="236"/>
        <v>0</v>
      </c>
      <c r="DC145" s="132">
        <f t="shared" si="236"/>
        <v>0</v>
      </c>
      <c r="DD145" s="132">
        <f t="shared" si="236"/>
        <v>0</v>
      </c>
      <c r="DE145" s="132">
        <f t="shared" si="236"/>
        <v>0</v>
      </c>
      <c r="DF145" s="132">
        <f t="shared" si="236"/>
        <v>0</v>
      </c>
      <c r="DG145" s="132">
        <f t="shared" si="236"/>
        <v>0</v>
      </c>
      <c r="DH145" s="132">
        <f t="shared" si="236"/>
        <v>0</v>
      </c>
      <c r="DI145" s="132">
        <f t="shared" si="236"/>
        <v>0</v>
      </c>
      <c r="DJ145" s="132">
        <f t="shared" si="236"/>
        <v>0</v>
      </c>
      <c r="DK145" s="132">
        <f t="shared" si="236"/>
        <v>0</v>
      </c>
      <c r="DL145" s="132">
        <f t="shared" si="237"/>
        <v>0</v>
      </c>
      <c r="DM145" s="134">
        <f t="shared" si="237"/>
        <v>0</v>
      </c>
      <c r="DN145" s="115">
        <f t="shared" si="237"/>
        <v>0</v>
      </c>
      <c r="DO145" s="115">
        <f t="shared" si="237"/>
        <v>0</v>
      </c>
      <c r="DP145" s="115">
        <f t="shared" si="237"/>
        <v>0</v>
      </c>
      <c r="DQ145" s="115">
        <f t="shared" si="237"/>
        <v>0</v>
      </c>
      <c r="DR145" s="115">
        <f t="shared" si="237"/>
        <v>0</v>
      </c>
      <c r="DS145" s="115">
        <f t="shared" si="237"/>
        <v>0</v>
      </c>
      <c r="DT145" s="115">
        <f t="shared" si="237"/>
        <v>0</v>
      </c>
      <c r="DU145" s="115">
        <f t="shared" si="237"/>
        <v>0</v>
      </c>
      <c r="DV145" s="115">
        <f t="shared" si="237"/>
        <v>0</v>
      </c>
      <c r="DW145" s="115">
        <f t="shared" si="237"/>
        <v>0</v>
      </c>
      <c r="DX145" s="115">
        <f t="shared" si="237"/>
        <v>0</v>
      </c>
      <c r="DY145" s="115">
        <f t="shared" si="237"/>
        <v>0</v>
      </c>
    </row>
    <row r="146" spans="1:129" x14ac:dyDescent="0.35">
      <c r="B146" s="6" t="str">
        <f t="shared" si="230"/>
        <v/>
      </c>
      <c r="D146" s="155"/>
      <c r="E146" s="145"/>
      <c r="F146" s="118">
        <f t="shared" si="233"/>
        <v>0</v>
      </c>
      <c r="G146" s="146"/>
      <c r="H146" s="347">
        <f t="shared" si="234"/>
        <v>0</v>
      </c>
      <c r="I146" s="146"/>
      <c r="J146" s="156"/>
      <c r="L146" s="118"/>
      <c r="O146" s="155"/>
      <c r="P146" s="145"/>
      <c r="Q146" s="118">
        <f t="shared" si="231"/>
        <v>0</v>
      </c>
      <c r="R146" s="146"/>
      <c r="S146" s="347">
        <f t="shared" si="235"/>
        <v>0</v>
      </c>
      <c r="T146" s="146"/>
      <c r="U146" s="156"/>
      <c r="DB146" s="133">
        <f t="shared" si="236"/>
        <v>0</v>
      </c>
      <c r="DC146" s="132">
        <f t="shared" si="236"/>
        <v>0</v>
      </c>
      <c r="DD146" s="132">
        <f t="shared" si="236"/>
        <v>0</v>
      </c>
      <c r="DE146" s="132">
        <f t="shared" si="236"/>
        <v>0</v>
      </c>
      <c r="DF146" s="132">
        <f t="shared" si="236"/>
        <v>0</v>
      </c>
      <c r="DG146" s="132">
        <f t="shared" si="236"/>
        <v>0</v>
      </c>
      <c r="DH146" s="132">
        <f t="shared" si="236"/>
        <v>0</v>
      </c>
      <c r="DI146" s="132">
        <f t="shared" si="236"/>
        <v>0</v>
      </c>
      <c r="DJ146" s="132">
        <f t="shared" si="236"/>
        <v>0</v>
      </c>
      <c r="DK146" s="132">
        <f t="shared" si="236"/>
        <v>0</v>
      </c>
      <c r="DL146" s="132">
        <f t="shared" si="237"/>
        <v>0</v>
      </c>
      <c r="DM146" s="134">
        <f t="shared" si="237"/>
        <v>0</v>
      </c>
      <c r="DN146" s="115">
        <f t="shared" si="237"/>
        <v>0</v>
      </c>
      <c r="DO146" s="115">
        <f t="shared" si="237"/>
        <v>0</v>
      </c>
      <c r="DP146" s="115">
        <f t="shared" si="237"/>
        <v>0</v>
      </c>
      <c r="DQ146" s="115">
        <f t="shared" si="237"/>
        <v>0</v>
      </c>
      <c r="DR146" s="115">
        <f t="shared" si="237"/>
        <v>0</v>
      </c>
      <c r="DS146" s="115">
        <f t="shared" si="237"/>
        <v>0</v>
      </c>
      <c r="DT146" s="115">
        <f t="shared" si="237"/>
        <v>0</v>
      </c>
      <c r="DU146" s="115">
        <f t="shared" si="237"/>
        <v>0</v>
      </c>
      <c r="DV146" s="115">
        <f t="shared" si="237"/>
        <v>0</v>
      </c>
      <c r="DW146" s="115">
        <f t="shared" si="237"/>
        <v>0</v>
      </c>
      <c r="DX146" s="115">
        <f t="shared" si="237"/>
        <v>0</v>
      </c>
      <c r="DY146" s="115">
        <f t="shared" si="237"/>
        <v>0</v>
      </c>
    </row>
    <row r="147" spans="1:129" x14ac:dyDescent="0.35">
      <c r="B147" s="6" t="str">
        <f t="shared" si="230"/>
        <v/>
      </c>
      <c r="C147" s="137"/>
      <c r="D147" s="155"/>
      <c r="E147" s="145"/>
      <c r="F147" s="118">
        <f t="shared" si="233"/>
        <v>0</v>
      </c>
      <c r="G147" s="146"/>
      <c r="H147" s="347">
        <f t="shared" si="234"/>
        <v>0</v>
      </c>
      <c r="I147" s="148"/>
      <c r="J147" s="156"/>
      <c r="K147" s="116"/>
      <c r="L147" s="118"/>
      <c r="M147" s="6"/>
      <c r="N147" s="137"/>
      <c r="O147" s="155"/>
      <c r="P147" s="145"/>
      <c r="Q147" s="118">
        <f t="shared" si="231"/>
        <v>0</v>
      </c>
      <c r="R147" s="146"/>
      <c r="S147" s="347">
        <f t="shared" si="235"/>
        <v>0</v>
      </c>
      <c r="T147" s="148"/>
      <c r="U147" s="156"/>
      <c r="W147" s="171" t="s">
        <v>315</v>
      </c>
      <c r="AK147" s="115"/>
      <c r="DB147" s="133">
        <f t="shared" si="236"/>
        <v>0</v>
      </c>
      <c r="DC147" s="132">
        <f t="shared" si="236"/>
        <v>0</v>
      </c>
      <c r="DD147" s="132">
        <f t="shared" si="236"/>
        <v>0</v>
      </c>
      <c r="DE147" s="132">
        <f t="shared" si="236"/>
        <v>0</v>
      </c>
      <c r="DF147" s="132">
        <f t="shared" si="236"/>
        <v>0</v>
      </c>
      <c r="DG147" s="132">
        <f t="shared" si="236"/>
        <v>0</v>
      </c>
      <c r="DH147" s="132">
        <f t="shared" si="236"/>
        <v>0</v>
      </c>
      <c r="DI147" s="132">
        <f t="shared" si="236"/>
        <v>0</v>
      </c>
      <c r="DJ147" s="132">
        <f t="shared" si="236"/>
        <v>0</v>
      </c>
      <c r="DK147" s="132">
        <f t="shared" si="236"/>
        <v>0</v>
      </c>
      <c r="DL147" s="132">
        <f t="shared" si="237"/>
        <v>0</v>
      </c>
      <c r="DM147" s="134">
        <f t="shared" si="237"/>
        <v>0</v>
      </c>
      <c r="DN147" s="115">
        <f t="shared" si="237"/>
        <v>0</v>
      </c>
      <c r="DO147" s="115">
        <f t="shared" si="237"/>
        <v>0</v>
      </c>
      <c r="DP147" s="115">
        <f t="shared" si="237"/>
        <v>0</v>
      </c>
      <c r="DQ147" s="115">
        <f t="shared" si="237"/>
        <v>0</v>
      </c>
      <c r="DR147" s="115">
        <f t="shared" si="237"/>
        <v>0</v>
      </c>
      <c r="DS147" s="115">
        <f t="shared" si="237"/>
        <v>0</v>
      </c>
      <c r="DT147" s="115">
        <f t="shared" si="237"/>
        <v>0</v>
      </c>
      <c r="DU147" s="115">
        <f t="shared" si="237"/>
        <v>0</v>
      </c>
      <c r="DV147" s="115">
        <f t="shared" si="237"/>
        <v>0</v>
      </c>
      <c r="DW147" s="115">
        <f t="shared" si="237"/>
        <v>0</v>
      </c>
      <c r="DX147" s="115">
        <f t="shared" si="237"/>
        <v>0</v>
      </c>
      <c r="DY147" s="115">
        <f t="shared" si="237"/>
        <v>0</v>
      </c>
    </row>
    <row r="148" spans="1:129" x14ac:dyDescent="0.35">
      <c r="B148" s="6" t="str">
        <f t="shared" si="230"/>
        <v/>
      </c>
      <c r="C148" s="137"/>
      <c r="D148" s="155"/>
      <c r="E148" s="145"/>
      <c r="F148" s="118">
        <f t="shared" si="233"/>
        <v>0</v>
      </c>
      <c r="G148" s="146"/>
      <c r="H148" s="347">
        <f t="shared" si="234"/>
        <v>0</v>
      </c>
      <c r="I148" s="148"/>
      <c r="J148" s="156"/>
      <c r="K148" s="116"/>
      <c r="L148" s="118"/>
      <c r="M148" s="6"/>
      <c r="N148" s="137"/>
      <c r="O148" s="155"/>
      <c r="P148" s="145"/>
      <c r="Q148" s="118">
        <f t="shared" si="231"/>
        <v>0</v>
      </c>
      <c r="R148" s="146"/>
      <c r="S148" s="347">
        <f t="shared" si="235"/>
        <v>0</v>
      </c>
      <c r="T148" s="148"/>
      <c r="U148" s="156"/>
      <c r="W148" s="171" t="s">
        <v>316</v>
      </c>
      <c r="DB148" s="133">
        <f t="shared" si="236"/>
        <v>0</v>
      </c>
      <c r="DC148" s="132">
        <f t="shared" si="236"/>
        <v>0</v>
      </c>
      <c r="DD148" s="132">
        <f t="shared" si="236"/>
        <v>0</v>
      </c>
      <c r="DE148" s="132">
        <f t="shared" si="236"/>
        <v>0</v>
      </c>
      <c r="DF148" s="132">
        <f t="shared" si="236"/>
        <v>0</v>
      </c>
      <c r="DG148" s="132">
        <f t="shared" si="236"/>
        <v>0</v>
      </c>
      <c r="DH148" s="132">
        <f t="shared" si="236"/>
        <v>0</v>
      </c>
      <c r="DI148" s="132">
        <f t="shared" si="236"/>
        <v>0</v>
      </c>
      <c r="DJ148" s="132">
        <f t="shared" si="236"/>
        <v>0</v>
      </c>
      <c r="DK148" s="132">
        <f t="shared" si="236"/>
        <v>0</v>
      </c>
      <c r="DL148" s="132">
        <f t="shared" si="237"/>
        <v>0</v>
      </c>
      <c r="DM148" s="134">
        <f t="shared" si="237"/>
        <v>0</v>
      </c>
      <c r="DN148" s="115">
        <f t="shared" si="237"/>
        <v>0</v>
      </c>
      <c r="DO148" s="115">
        <f t="shared" si="237"/>
        <v>0</v>
      </c>
      <c r="DP148" s="115">
        <f t="shared" si="237"/>
        <v>0</v>
      </c>
      <c r="DQ148" s="115">
        <f t="shared" si="237"/>
        <v>0</v>
      </c>
      <c r="DR148" s="115">
        <f t="shared" si="237"/>
        <v>0</v>
      </c>
      <c r="DS148" s="115">
        <f t="shared" si="237"/>
        <v>0</v>
      </c>
      <c r="DT148" s="115">
        <f t="shared" si="237"/>
        <v>0</v>
      </c>
      <c r="DU148" s="115">
        <f t="shared" si="237"/>
        <v>0</v>
      </c>
      <c r="DV148" s="115">
        <f t="shared" si="237"/>
        <v>0</v>
      </c>
      <c r="DW148" s="115">
        <f t="shared" si="237"/>
        <v>0</v>
      </c>
      <c r="DX148" s="115">
        <f t="shared" si="237"/>
        <v>0</v>
      </c>
      <c r="DY148" s="115">
        <f t="shared" si="237"/>
        <v>0</v>
      </c>
    </row>
    <row r="149" spans="1:129" x14ac:dyDescent="0.35">
      <c r="B149" s="6" t="str">
        <f t="shared" si="230"/>
        <v/>
      </c>
      <c r="C149" s="137"/>
      <c r="D149" s="155"/>
      <c r="E149" s="145"/>
      <c r="F149" s="118">
        <f t="shared" si="233"/>
        <v>0</v>
      </c>
      <c r="G149" s="146"/>
      <c r="H149" s="347">
        <f t="shared" si="234"/>
        <v>0</v>
      </c>
      <c r="I149" s="148"/>
      <c r="J149" s="156"/>
      <c r="K149" s="116"/>
      <c r="L149" s="118"/>
      <c r="M149" s="6"/>
      <c r="N149" s="137"/>
      <c r="O149" s="155"/>
      <c r="P149" s="145"/>
      <c r="Q149" s="118">
        <f t="shared" si="231"/>
        <v>0</v>
      </c>
      <c r="R149" s="146"/>
      <c r="S149" s="347">
        <f t="shared" si="235"/>
        <v>0</v>
      </c>
      <c r="T149" s="148"/>
      <c r="U149" s="156"/>
      <c r="DB149" s="133">
        <f t="shared" si="236"/>
        <v>0</v>
      </c>
      <c r="DC149" s="132">
        <f t="shared" si="236"/>
        <v>0</v>
      </c>
      <c r="DD149" s="132">
        <f t="shared" si="236"/>
        <v>0</v>
      </c>
      <c r="DE149" s="132">
        <f t="shared" si="236"/>
        <v>0</v>
      </c>
      <c r="DF149" s="132">
        <f t="shared" si="236"/>
        <v>0</v>
      </c>
      <c r="DG149" s="132">
        <f t="shared" si="236"/>
        <v>0</v>
      </c>
      <c r="DH149" s="132">
        <f t="shared" si="236"/>
        <v>0</v>
      </c>
      <c r="DI149" s="132">
        <f t="shared" si="236"/>
        <v>0</v>
      </c>
      <c r="DJ149" s="132">
        <f t="shared" si="236"/>
        <v>0</v>
      </c>
      <c r="DK149" s="132">
        <f t="shared" si="236"/>
        <v>0</v>
      </c>
      <c r="DL149" s="132">
        <f t="shared" si="237"/>
        <v>0</v>
      </c>
      <c r="DM149" s="134">
        <f t="shared" si="237"/>
        <v>0</v>
      </c>
      <c r="DN149" s="115">
        <f t="shared" si="237"/>
        <v>0</v>
      </c>
      <c r="DO149" s="115">
        <f t="shared" si="237"/>
        <v>0</v>
      </c>
      <c r="DP149" s="115">
        <f t="shared" si="237"/>
        <v>0</v>
      </c>
      <c r="DQ149" s="115">
        <f t="shared" si="237"/>
        <v>0</v>
      </c>
      <c r="DR149" s="115">
        <f t="shared" si="237"/>
        <v>0</v>
      </c>
      <c r="DS149" s="115">
        <f t="shared" si="237"/>
        <v>0</v>
      </c>
      <c r="DT149" s="115">
        <f t="shared" si="237"/>
        <v>0</v>
      </c>
      <c r="DU149" s="115">
        <f t="shared" si="237"/>
        <v>0</v>
      </c>
      <c r="DV149" s="115">
        <f t="shared" si="237"/>
        <v>0</v>
      </c>
      <c r="DW149" s="115">
        <f t="shared" si="237"/>
        <v>0</v>
      </c>
      <c r="DX149" s="115">
        <f t="shared" si="237"/>
        <v>0</v>
      </c>
      <c r="DY149" s="115">
        <f t="shared" si="237"/>
        <v>0</v>
      </c>
    </row>
    <row r="150" spans="1:129" x14ac:dyDescent="0.35">
      <c r="B150" s="6" t="str">
        <f t="shared" si="230"/>
        <v/>
      </c>
      <c r="C150" s="137"/>
      <c r="D150" s="155"/>
      <c r="E150" s="145"/>
      <c r="F150" s="118">
        <f t="shared" si="233"/>
        <v>0</v>
      </c>
      <c r="G150" s="146"/>
      <c r="H150" s="347">
        <f t="shared" si="234"/>
        <v>0</v>
      </c>
      <c r="I150" s="148"/>
      <c r="J150" s="156"/>
      <c r="K150" s="116"/>
      <c r="L150" s="118"/>
      <c r="M150" s="6"/>
      <c r="N150" s="137"/>
      <c r="O150" s="155"/>
      <c r="P150" s="145"/>
      <c r="Q150" s="118">
        <f t="shared" si="231"/>
        <v>0</v>
      </c>
      <c r="R150" s="146"/>
      <c r="S150" s="347">
        <f t="shared" si="235"/>
        <v>0</v>
      </c>
      <c r="T150" s="148"/>
      <c r="U150" s="156"/>
      <c r="DB150" s="133">
        <f t="shared" si="236"/>
        <v>0</v>
      </c>
      <c r="DC150" s="132">
        <f t="shared" si="236"/>
        <v>0</v>
      </c>
      <c r="DD150" s="132">
        <f t="shared" si="236"/>
        <v>0</v>
      </c>
      <c r="DE150" s="132">
        <f t="shared" si="236"/>
        <v>0</v>
      </c>
      <c r="DF150" s="132">
        <f t="shared" si="236"/>
        <v>0</v>
      </c>
      <c r="DG150" s="132">
        <f t="shared" si="236"/>
        <v>0</v>
      </c>
      <c r="DH150" s="132">
        <f t="shared" si="236"/>
        <v>0</v>
      </c>
      <c r="DI150" s="132">
        <f t="shared" si="236"/>
        <v>0</v>
      </c>
      <c r="DJ150" s="132">
        <f t="shared" si="236"/>
        <v>0</v>
      </c>
      <c r="DK150" s="132">
        <f t="shared" si="236"/>
        <v>0</v>
      </c>
      <c r="DL150" s="132">
        <f t="shared" si="237"/>
        <v>0</v>
      </c>
      <c r="DM150" s="134">
        <f t="shared" si="237"/>
        <v>0</v>
      </c>
      <c r="DN150" s="115">
        <f t="shared" si="237"/>
        <v>0</v>
      </c>
      <c r="DO150" s="115">
        <f t="shared" si="237"/>
        <v>0</v>
      </c>
      <c r="DP150" s="115">
        <f t="shared" si="237"/>
        <v>0</v>
      </c>
      <c r="DQ150" s="115">
        <f t="shared" si="237"/>
        <v>0</v>
      </c>
      <c r="DR150" s="115">
        <f t="shared" si="237"/>
        <v>0</v>
      </c>
      <c r="DS150" s="115">
        <f t="shared" si="237"/>
        <v>0</v>
      </c>
      <c r="DT150" s="115">
        <f t="shared" si="237"/>
        <v>0</v>
      </c>
      <c r="DU150" s="115">
        <f t="shared" si="237"/>
        <v>0</v>
      </c>
      <c r="DV150" s="115">
        <f t="shared" si="237"/>
        <v>0</v>
      </c>
      <c r="DW150" s="115">
        <f t="shared" si="237"/>
        <v>0</v>
      </c>
      <c r="DX150" s="115">
        <f t="shared" si="237"/>
        <v>0</v>
      </c>
      <c r="DY150" s="115">
        <f t="shared" si="237"/>
        <v>0</v>
      </c>
    </row>
    <row r="151" spans="1:129" x14ac:dyDescent="0.35">
      <c r="B151" s="6" t="str">
        <f t="shared" si="230"/>
        <v/>
      </c>
      <c r="C151" s="137"/>
      <c r="D151" s="155"/>
      <c r="E151" s="145"/>
      <c r="F151" s="118">
        <f t="shared" si="233"/>
        <v>0</v>
      </c>
      <c r="G151" s="146"/>
      <c r="H151" s="347">
        <f t="shared" si="234"/>
        <v>0</v>
      </c>
      <c r="I151" s="148"/>
      <c r="J151" s="156"/>
      <c r="K151" s="116"/>
      <c r="L151" s="118"/>
      <c r="M151" s="6"/>
      <c r="N151" s="137"/>
      <c r="O151" s="155"/>
      <c r="P151" s="145"/>
      <c r="Q151" s="118">
        <f t="shared" si="231"/>
        <v>0</v>
      </c>
      <c r="R151" s="146"/>
      <c r="S151" s="347">
        <f t="shared" si="235"/>
        <v>0</v>
      </c>
      <c r="T151" s="148"/>
      <c r="U151" s="156"/>
      <c r="DB151" s="133">
        <f t="shared" si="236"/>
        <v>0</v>
      </c>
      <c r="DC151" s="132">
        <f t="shared" si="236"/>
        <v>0</v>
      </c>
      <c r="DD151" s="132">
        <f t="shared" si="236"/>
        <v>0</v>
      </c>
      <c r="DE151" s="132">
        <f t="shared" si="236"/>
        <v>0</v>
      </c>
      <c r="DF151" s="132">
        <f t="shared" si="236"/>
        <v>0</v>
      </c>
      <c r="DG151" s="132">
        <f t="shared" si="236"/>
        <v>0</v>
      </c>
      <c r="DH151" s="132">
        <f t="shared" si="236"/>
        <v>0</v>
      </c>
      <c r="DI151" s="132">
        <f t="shared" si="236"/>
        <v>0</v>
      </c>
      <c r="DJ151" s="132">
        <f t="shared" si="236"/>
        <v>0</v>
      </c>
      <c r="DK151" s="132">
        <f t="shared" si="236"/>
        <v>0</v>
      </c>
      <c r="DL151" s="132">
        <f t="shared" si="237"/>
        <v>0</v>
      </c>
      <c r="DM151" s="134">
        <f t="shared" si="237"/>
        <v>0</v>
      </c>
      <c r="DN151" s="115">
        <f t="shared" si="237"/>
        <v>0</v>
      </c>
      <c r="DO151" s="115">
        <f t="shared" si="237"/>
        <v>0</v>
      </c>
      <c r="DP151" s="115">
        <f t="shared" si="237"/>
        <v>0</v>
      </c>
      <c r="DQ151" s="115">
        <f t="shared" si="237"/>
        <v>0</v>
      </c>
      <c r="DR151" s="115">
        <f t="shared" si="237"/>
        <v>0</v>
      </c>
      <c r="DS151" s="115">
        <f t="shared" si="237"/>
        <v>0</v>
      </c>
      <c r="DT151" s="115">
        <f t="shared" si="237"/>
        <v>0</v>
      </c>
      <c r="DU151" s="115">
        <f t="shared" si="237"/>
        <v>0</v>
      </c>
      <c r="DV151" s="115">
        <f t="shared" si="237"/>
        <v>0</v>
      </c>
      <c r="DW151" s="115">
        <f t="shared" si="237"/>
        <v>0</v>
      </c>
      <c r="DX151" s="115">
        <f t="shared" si="237"/>
        <v>0</v>
      </c>
      <c r="DY151" s="115">
        <f t="shared" si="237"/>
        <v>0</v>
      </c>
    </row>
    <row r="152" spans="1:129" x14ac:dyDescent="0.35">
      <c r="B152" s="6" t="str">
        <f t="shared" si="230"/>
        <v/>
      </c>
      <c r="C152" s="137"/>
      <c r="D152" s="155"/>
      <c r="E152" s="145"/>
      <c r="F152" s="118">
        <f t="shared" si="233"/>
        <v>0</v>
      </c>
      <c r="G152" s="146"/>
      <c r="H152" s="347">
        <f t="shared" si="234"/>
        <v>0</v>
      </c>
      <c r="I152" s="146"/>
      <c r="J152" s="156"/>
      <c r="K152" s="116"/>
      <c r="L152" s="118"/>
      <c r="M152" s="6"/>
      <c r="N152" s="137"/>
      <c r="O152" s="155"/>
      <c r="P152" s="145"/>
      <c r="Q152" s="118">
        <f t="shared" si="231"/>
        <v>0</v>
      </c>
      <c r="R152" s="146"/>
      <c r="S152" s="347">
        <f t="shared" si="235"/>
        <v>0</v>
      </c>
      <c r="T152" s="146"/>
      <c r="U152" s="156"/>
      <c r="DB152" s="133">
        <f t="shared" si="236"/>
        <v>0</v>
      </c>
      <c r="DC152" s="132">
        <f t="shared" si="236"/>
        <v>0</v>
      </c>
      <c r="DD152" s="132">
        <f t="shared" si="236"/>
        <v>0</v>
      </c>
      <c r="DE152" s="132">
        <f t="shared" si="236"/>
        <v>0</v>
      </c>
      <c r="DF152" s="132">
        <f t="shared" si="236"/>
        <v>0</v>
      </c>
      <c r="DG152" s="132">
        <f t="shared" si="236"/>
        <v>0</v>
      </c>
      <c r="DH152" s="132">
        <f t="shared" si="236"/>
        <v>0</v>
      </c>
      <c r="DI152" s="132">
        <f t="shared" si="236"/>
        <v>0</v>
      </c>
      <c r="DJ152" s="132">
        <f t="shared" si="236"/>
        <v>0</v>
      </c>
      <c r="DK152" s="132">
        <f t="shared" si="236"/>
        <v>0</v>
      </c>
      <c r="DL152" s="132">
        <f t="shared" si="237"/>
        <v>0</v>
      </c>
      <c r="DM152" s="134">
        <f t="shared" si="237"/>
        <v>0</v>
      </c>
      <c r="DN152" s="115">
        <f t="shared" si="237"/>
        <v>0</v>
      </c>
      <c r="DO152" s="115">
        <f t="shared" si="237"/>
        <v>0</v>
      </c>
      <c r="DP152" s="115">
        <f t="shared" si="237"/>
        <v>0</v>
      </c>
      <c r="DQ152" s="115">
        <f t="shared" si="237"/>
        <v>0</v>
      </c>
      <c r="DR152" s="115">
        <f t="shared" si="237"/>
        <v>0</v>
      </c>
      <c r="DS152" s="115">
        <f t="shared" si="237"/>
        <v>0</v>
      </c>
      <c r="DT152" s="115">
        <f t="shared" si="237"/>
        <v>0</v>
      </c>
      <c r="DU152" s="115">
        <f t="shared" si="237"/>
        <v>0</v>
      </c>
      <c r="DV152" s="115">
        <f t="shared" si="237"/>
        <v>0</v>
      </c>
      <c r="DW152" s="115">
        <f t="shared" si="237"/>
        <v>0</v>
      </c>
      <c r="DX152" s="115">
        <f t="shared" si="237"/>
        <v>0</v>
      </c>
      <c r="DY152" s="115">
        <f t="shared" si="237"/>
        <v>0</v>
      </c>
    </row>
    <row r="153" spans="1:129" x14ac:dyDescent="0.35">
      <c r="B153" s="6" t="str">
        <f t="shared" si="230"/>
        <v/>
      </c>
      <c r="C153" s="137"/>
      <c r="D153" s="155"/>
      <c r="E153" s="145"/>
      <c r="F153" s="118">
        <f t="shared" si="233"/>
        <v>0</v>
      </c>
      <c r="G153" s="146"/>
      <c r="H153" s="347">
        <f t="shared" si="234"/>
        <v>0</v>
      </c>
      <c r="I153" s="146"/>
      <c r="J153" s="156"/>
      <c r="K153" s="116"/>
      <c r="L153" s="118"/>
      <c r="M153" s="6"/>
      <c r="N153" s="137"/>
      <c r="O153" s="155"/>
      <c r="P153" s="145"/>
      <c r="Q153" s="118">
        <f t="shared" si="231"/>
        <v>0</v>
      </c>
      <c r="R153" s="146"/>
      <c r="S153" s="347">
        <f t="shared" si="235"/>
        <v>0</v>
      </c>
      <c r="T153" s="146"/>
      <c r="U153" s="156"/>
      <c r="DB153" s="133">
        <f t="shared" si="236"/>
        <v>0</v>
      </c>
      <c r="DC153" s="132">
        <f t="shared" si="236"/>
        <v>0</v>
      </c>
      <c r="DD153" s="132">
        <f t="shared" si="236"/>
        <v>0</v>
      </c>
      <c r="DE153" s="132">
        <f t="shared" si="236"/>
        <v>0</v>
      </c>
      <c r="DF153" s="132">
        <f t="shared" si="236"/>
        <v>0</v>
      </c>
      <c r="DG153" s="132">
        <f t="shared" si="236"/>
        <v>0</v>
      </c>
      <c r="DH153" s="132">
        <f t="shared" si="236"/>
        <v>0</v>
      </c>
      <c r="DI153" s="132">
        <f t="shared" si="236"/>
        <v>0</v>
      </c>
      <c r="DJ153" s="132">
        <f t="shared" si="236"/>
        <v>0</v>
      </c>
      <c r="DK153" s="132">
        <f t="shared" si="236"/>
        <v>0</v>
      </c>
      <c r="DL153" s="132">
        <f t="shared" si="237"/>
        <v>0</v>
      </c>
      <c r="DM153" s="134">
        <f t="shared" si="237"/>
        <v>0</v>
      </c>
      <c r="DN153" s="115">
        <f t="shared" si="237"/>
        <v>0</v>
      </c>
      <c r="DO153" s="115">
        <f t="shared" si="237"/>
        <v>0</v>
      </c>
      <c r="DP153" s="115">
        <f t="shared" si="237"/>
        <v>0</v>
      </c>
      <c r="DQ153" s="115">
        <f t="shared" si="237"/>
        <v>0</v>
      </c>
      <c r="DR153" s="115">
        <f t="shared" si="237"/>
        <v>0</v>
      </c>
      <c r="DS153" s="115">
        <f t="shared" si="237"/>
        <v>0</v>
      </c>
      <c r="DT153" s="115">
        <f t="shared" si="237"/>
        <v>0</v>
      </c>
      <c r="DU153" s="115">
        <f t="shared" si="237"/>
        <v>0</v>
      </c>
      <c r="DV153" s="115">
        <f t="shared" si="237"/>
        <v>0</v>
      </c>
      <c r="DW153" s="115">
        <f t="shared" si="237"/>
        <v>0</v>
      </c>
      <c r="DX153" s="115">
        <f t="shared" si="237"/>
        <v>0</v>
      </c>
      <c r="DY153" s="115">
        <f t="shared" si="237"/>
        <v>0</v>
      </c>
    </row>
    <row r="154" spans="1:129" x14ac:dyDescent="0.35">
      <c r="B154" s="6" t="str">
        <f t="shared" si="230"/>
        <v/>
      </c>
      <c r="C154" s="137"/>
      <c r="D154" s="155"/>
      <c r="E154" s="145"/>
      <c r="F154" s="118">
        <f t="shared" si="233"/>
        <v>0</v>
      </c>
      <c r="G154" s="146"/>
      <c r="H154" s="347">
        <f t="shared" si="234"/>
        <v>0</v>
      </c>
      <c r="I154" s="146"/>
      <c r="J154" s="156"/>
      <c r="K154" s="116"/>
      <c r="L154" s="118"/>
      <c r="M154" s="6"/>
      <c r="N154" s="137"/>
      <c r="O154" s="155"/>
      <c r="P154" s="145"/>
      <c r="Q154" s="118">
        <f t="shared" si="231"/>
        <v>0</v>
      </c>
      <c r="R154" s="146"/>
      <c r="S154" s="347">
        <f t="shared" si="235"/>
        <v>0</v>
      </c>
      <c r="T154" s="146"/>
      <c r="U154" s="156"/>
      <c r="DB154" s="133">
        <f t="shared" si="236"/>
        <v>0</v>
      </c>
      <c r="DC154" s="132">
        <f t="shared" si="236"/>
        <v>0</v>
      </c>
      <c r="DD154" s="132">
        <f t="shared" si="236"/>
        <v>0</v>
      </c>
      <c r="DE154" s="132">
        <f t="shared" si="236"/>
        <v>0</v>
      </c>
      <c r="DF154" s="132">
        <f t="shared" si="236"/>
        <v>0</v>
      </c>
      <c r="DG154" s="132">
        <f t="shared" si="236"/>
        <v>0</v>
      </c>
      <c r="DH154" s="132">
        <f t="shared" si="236"/>
        <v>0</v>
      </c>
      <c r="DI154" s="132">
        <f t="shared" si="236"/>
        <v>0</v>
      </c>
      <c r="DJ154" s="132">
        <f t="shared" si="236"/>
        <v>0</v>
      </c>
      <c r="DK154" s="132">
        <f t="shared" si="236"/>
        <v>0</v>
      </c>
      <c r="DL154" s="132">
        <f t="shared" si="237"/>
        <v>0</v>
      </c>
      <c r="DM154" s="134">
        <f t="shared" si="237"/>
        <v>0</v>
      </c>
      <c r="DN154" s="115">
        <f t="shared" si="237"/>
        <v>0</v>
      </c>
      <c r="DO154" s="115">
        <f t="shared" si="237"/>
        <v>0</v>
      </c>
      <c r="DP154" s="115">
        <f t="shared" si="237"/>
        <v>0</v>
      </c>
      <c r="DQ154" s="115">
        <f t="shared" si="237"/>
        <v>0</v>
      </c>
      <c r="DR154" s="115">
        <f t="shared" si="237"/>
        <v>0</v>
      </c>
      <c r="DS154" s="115">
        <f t="shared" si="237"/>
        <v>0</v>
      </c>
      <c r="DT154" s="115">
        <f t="shared" si="237"/>
        <v>0</v>
      </c>
      <c r="DU154" s="115">
        <f t="shared" si="237"/>
        <v>0</v>
      </c>
      <c r="DV154" s="115">
        <f t="shared" si="237"/>
        <v>0</v>
      </c>
      <c r="DW154" s="115">
        <f t="shared" si="237"/>
        <v>0</v>
      </c>
      <c r="DX154" s="115">
        <f t="shared" si="237"/>
        <v>0</v>
      </c>
      <c r="DY154" s="115">
        <f t="shared" si="237"/>
        <v>0</v>
      </c>
    </row>
    <row r="155" spans="1:129" x14ac:dyDescent="0.35">
      <c r="A155" s="129"/>
      <c r="B155" s="15" t="str">
        <f t="shared" si="230"/>
        <v/>
      </c>
      <c r="C155" s="138"/>
      <c r="D155" s="157"/>
      <c r="E155" s="149"/>
      <c r="F155" s="129">
        <f t="shared" si="233"/>
        <v>0</v>
      </c>
      <c r="G155" s="150"/>
      <c r="H155" s="348">
        <f t="shared" si="234"/>
        <v>0</v>
      </c>
      <c r="I155" s="150"/>
      <c r="J155" s="158"/>
      <c r="K155" s="116"/>
      <c r="L155" s="129"/>
      <c r="M155" s="15"/>
      <c r="N155" s="138"/>
      <c r="O155" s="157"/>
      <c r="P155" s="149"/>
      <c r="Q155" s="129">
        <f t="shared" si="231"/>
        <v>0</v>
      </c>
      <c r="R155" s="150"/>
      <c r="S155" s="348">
        <f t="shared" si="235"/>
        <v>0</v>
      </c>
      <c r="T155" s="150"/>
      <c r="U155" s="158"/>
      <c r="AK155" s="115"/>
      <c r="DB155" s="133">
        <f t="shared" si="236"/>
        <v>0</v>
      </c>
      <c r="DC155" s="132">
        <f t="shared" si="236"/>
        <v>0</v>
      </c>
      <c r="DD155" s="132">
        <f t="shared" si="236"/>
        <v>0</v>
      </c>
      <c r="DE155" s="132">
        <f t="shared" si="236"/>
        <v>0</v>
      </c>
      <c r="DF155" s="132">
        <f t="shared" si="236"/>
        <v>0</v>
      </c>
      <c r="DG155" s="132">
        <f t="shared" si="236"/>
        <v>0</v>
      </c>
      <c r="DH155" s="132">
        <f t="shared" si="236"/>
        <v>0</v>
      </c>
      <c r="DI155" s="132">
        <f t="shared" si="236"/>
        <v>0</v>
      </c>
      <c r="DJ155" s="132">
        <f t="shared" si="236"/>
        <v>0</v>
      </c>
      <c r="DK155" s="132">
        <f t="shared" si="236"/>
        <v>0</v>
      </c>
      <c r="DL155" s="132">
        <f t="shared" si="237"/>
        <v>0</v>
      </c>
      <c r="DM155" s="134">
        <f t="shared" si="237"/>
        <v>0</v>
      </c>
      <c r="DN155" s="115">
        <f t="shared" si="237"/>
        <v>0</v>
      </c>
      <c r="DO155" s="115">
        <f t="shared" si="237"/>
        <v>0</v>
      </c>
      <c r="DP155" s="115">
        <f t="shared" si="237"/>
        <v>0</v>
      </c>
      <c r="DQ155" s="115">
        <f t="shared" si="237"/>
        <v>0</v>
      </c>
      <c r="DR155" s="115">
        <f t="shared" si="237"/>
        <v>0</v>
      </c>
      <c r="DS155" s="115">
        <f t="shared" si="237"/>
        <v>0</v>
      </c>
      <c r="DT155" s="115">
        <f t="shared" si="237"/>
        <v>0</v>
      </c>
      <c r="DU155" s="115">
        <f t="shared" si="237"/>
        <v>0</v>
      </c>
      <c r="DV155" s="115">
        <f t="shared" si="237"/>
        <v>0</v>
      </c>
      <c r="DW155" s="115">
        <f t="shared" si="237"/>
        <v>0</v>
      </c>
      <c r="DX155" s="115">
        <f t="shared" si="237"/>
        <v>0</v>
      </c>
      <c r="DY155" s="115">
        <f t="shared" si="237"/>
        <v>0</v>
      </c>
    </row>
    <row r="156" spans="1:129" ht="16.5" thickBot="1" x14ac:dyDescent="0.35">
      <c r="A156" s="117"/>
      <c r="B156" s="16" t="s">
        <v>301</v>
      </c>
      <c r="C156" s="139">
        <f>SUM(C141:C155)</f>
        <v>0</v>
      </c>
      <c r="D156" s="125"/>
      <c r="E156" s="125"/>
      <c r="F156" s="135"/>
      <c r="G156" s="126"/>
      <c r="H156" s="126"/>
      <c r="I156" s="126"/>
      <c r="J156" s="127"/>
      <c r="K156" s="116"/>
      <c r="L156" s="117"/>
      <c r="M156" s="16" t="s">
        <v>304</v>
      </c>
      <c r="N156" s="139">
        <f>SUM(N141:N155)</f>
        <v>0</v>
      </c>
      <c r="O156" s="125"/>
      <c r="P156" s="125"/>
      <c r="Q156" s="135"/>
      <c r="R156" s="126"/>
      <c r="S156" s="126"/>
      <c r="T156" s="126"/>
      <c r="U156" s="127"/>
      <c r="AK156" s="115"/>
      <c r="DB156" s="122">
        <f>SUM(DB141:DB155)</f>
        <v>0</v>
      </c>
      <c r="DC156" s="122">
        <f t="shared" ref="DC156" si="262">SUM(DC141:DC155)</f>
        <v>0</v>
      </c>
      <c r="DD156" s="122">
        <f t="shared" ref="DD156" si="263">SUM(DD141:DD155)</f>
        <v>0</v>
      </c>
      <c r="DE156" s="122">
        <f t="shared" ref="DE156" si="264">SUM(DE141:DE155)</f>
        <v>0</v>
      </c>
      <c r="DF156" s="122">
        <f t="shared" ref="DF156" si="265">SUM(DF141:DF155)</f>
        <v>0</v>
      </c>
      <c r="DG156" s="122">
        <f t="shared" ref="DG156" si="266">SUM(DG141:DG155)</f>
        <v>0</v>
      </c>
      <c r="DH156" s="122">
        <f t="shared" ref="DH156" si="267">SUM(DH141:DH155)</f>
        <v>0</v>
      </c>
      <c r="DI156" s="122">
        <f t="shared" ref="DI156" si="268">SUM(DI141:DI155)</f>
        <v>0</v>
      </c>
      <c r="DJ156" s="122">
        <f t="shared" ref="DJ156" si="269">SUM(DJ141:DJ155)</f>
        <v>0</v>
      </c>
      <c r="DK156" s="122">
        <f t="shared" ref="DK156" si="270">SUM(DK141:DK155)</f>
        <v>0</v>
      </c>
      <c r="DL156" s="122">
        <f t="shared" ref="DL156" si="271">SUM(DL141:DL155)</f>
        <v>0</v>
      </c>
      <c r="DM156" s="122">
        <f t="shared" ref="DM156" si="272">SUM(DM141:DM155)</f>
        <v>0</v>
      </c>
      <c r="DN156" s="122">
        <f t="shared" ref="DN156" si="273">SUM(DN141:DN155)</f>
        <v>0</v>
      </c>
      <c r="DO156" s="122">
        <f t="shared" ref="DO156" si="274">SUM(DO141:DO155)</f>
        <v>0</v>
      </c>
      <c r="DP156" s="122">
        <f t="shared" ref="DP156" si="275">SUM(DP141:DP155)</f>
        <v>0</v>
      </c>
      <c r="DQ156" s="122">
        <f t="shared" ref="DQ156" si="276">SUM(DQ141:DQ155)</f>
        <v>0</v>
      </c>
      <c r="DR156" s="122">
        <f t="shared" ref="DR156" si="277">SUM(DR141:DR155)</f>
        <v>0</v>
      </c>
      <c r="DS156" s="122">
        <f t="shared" ref="DS156" si="278">SUM(DS141:DS155)</f>
        <v>0</v>
      </c>
      <c r="DT156" s="122">
        <f t="shared" ref="DT156" si="279">SUM(DT141:DT155)</f>
        <v>0</v>
      </c>
      <c r="DU156" s="122">
        <f t="shared" ref="DU156" si="280">SUM(DU141:DU155)</f>
        <v>0</v>
      </c>
      <c r="DV156" s="122">
        <f t="shared" ref="DV156" si="281">SUM(DV141:DV155)</f>
        <v>0</v>
      </c>
      <c r="DW156" s="122">
        <f t="shared" ref="DW156" si="282">SUM(DW141:DW155)</f>
        <v>0</v>
      </c>
      <c r="DX156" s="122">
        <f t="shared" ref="DX156" si="283">SUM(DX141:DX155)</f>
        <v>0</v>
      </c>
      <c r="DY156" s="122">
        <f t="shared" ref="DY156" si="284">SUM(DY141:DY155)</f>
        <v>0</v>
      </c>
    </row>
    <row r="157" spans="1:129" s="179" customFormat="1" ht="18.5" thickTop="1" thickBot="1" x14ac:dyDescent="0.3">
      <c r="A157" s="178"/>
      <c r="F157" s="178"/>
      <c r="K157" s="180"/>
      <c r="AK157" s="180"/>
      <c r="DB157" s="418"/>
      <c r="DC157" s="418"/>
      <c r="DD157" s="418"/>
      <c r="DE157" s="418"/>
      <c r="DF157" s="418"/>
      <c r="DG157" s="418"/>
      <c r="DH157" s="418"/>
      <c r="DI157" s="418"/>
      <c r="DJ157" s="418"/>
      <c r="DK157" s="418"/>
      <c r="DL157" s="418"/>
      <c r="DM157" s="418"/>
    </row>
    <row r="158" spans="1:129" x14ac:dyDescent="0.35">
      <c r="A158" s="114"/>
      <c r="F158" s="114"/>
      <c r="K158" s="118"/>
      <c r="AK158" s="120"/>
      <c r="DB158" s="160">
        <f t="shared" ref="DB158:DY158" si="285">DB$8</f>
        <v>45658</v>
      </c>
      <c r="DC158" s="5">
        <f t="shared" si="285"/>
        <v>45689</v>
      </c>
      <c r="DD158" s="5">
        <f t="shared" si="285"/>
        <v>45717</v>
      </c>
      <c r="DE158" s="5">
        <f t="shared" si="285"/>
        <v>45748</v>
      </c>
      <c r="DF158" s="5">
        <f t="shared" si="285"/>
        <v>45778</v>
      </c>
      <c r="DG158" s="5">
        <f t="shared" si="285"/>
        <v>45809</v>
      </c>
      <c r="DH158" s="5">
        <f t="shared" si="285"/>
        <v>45839</v>
      </c>
      <c r="DI158" s="5">
        <f t="shared" si="285"/>
        <v>45870</v>
      </c>
      <c r="DJ158" s="5">
        <f t="shared" si="285"/>
        <v>45901</v>
      </c>
      <c r="DK158" s="5">
        <f t="shared" si="285"/>
        <v>45931</v>
      </c>
      <c r="DL158" s="5">
        <f t="shared" si="285"/>
        <v>45962</v>
      </c>
      <c r="DM158" s="161">
        <f t="shared" si="285"/>
        <v>45992</v>
      </c>
      <c r="DN158" s="5">
        <f t="shared" si="285"/>
        <v>46023</v>
      </c>
      <c r="DO158" s="5">
        <f t="shared" si="285"/>
        <v>46054</v>
      </c>
      <c r="DP158" s="5">
        <f t="shared" si="285"/>
        <v>46082</v>
      </c>
      <c r="DQ158" s="5">
        <f t="shared" si="285"/>
        <v>46113</v>
      </c>
      <c r="DR158" s="5">
        <f t="shared" si="285"/>
        <v>46143</v>
      </c>
      <c r="DS158" s="5">
        <f t="shared" si="285"/>
        <v>46174</v>
      </c>
      <c r="DT158" s="5">
        <f t="shared" si="285"/>
        <v>46204</v>
      </c>
      <c r="DU158" s="5">
        <f t="shared" si="285"/>
        <v>46235</v>
      </c>
      <c r="DV158" s="5">
        <f t="shared" si="285"/>
        <v>46266</v>
      </c>
      <c r="DW158" s="5">
        <f t="shared" si="285"/>
        <v>46296</v>
      </c>
      <c r="DX158" s="5">
        <f t="shared" si="285"/>
        <v>46327</v>
      </c>
      <c r="DY158" s="5">
        <f t="shared" si="285"/>
        <v>46357</v>
      </c>
    </row>
    <row r="159" spans="1:129" ht="18" x14ac:dyDescent="0.35">
      <c r="A159" s="143">
        <f>'7300'!B1</f>
        <v>7300</v>
      </c>
      <c r="B159" s="6"/>
      <c r="C159" s="119"/>
      <c r="D159" s="117"/>
      <c r="E159" s="117"/>
      <c r="F159" s="117"/>
      <c r="G159" s="117"/>
      <c r="I159" s="117"/>
      <c r="J159" s="117"/>
      <c r="K159" s="117"/>
    </row>
    <row r="160" spans="1:129" ht="17.5" x14ac:dyDescent="0.25">
      <c r="A160" s="169">
        <f>'7300'!B4</f>
        <v>22500</v>
      </c>
      <c r="B160" s="182">
        <f>(A160-C178)/A160</f>
        <v>1</v>
      </c>
      <c r="D160" s="144" t="str">
        <f>"Vacancies - "&amp;A159</f>
        <v>Vacancies - 7300</v>
      </c>
      <c r="E160" s="117"/>
      <c r="F160" s="117"/>
      <c r="G160" s="117"/>
      <c r="I160" s="117"/>
      <c r="K160" s="117"/>
      <c r="O160" s="144" t="str">
        <f>"Renewals - "&amp;A159</f>
        <v>Renewals - 7300</v>
      </c>
    </row>
    <row r="161" spans="1:129" ht="18" x14ac:dyDescent="0.25">
      <c r="D161" s="414" t="s">
        <v>306</v>
      </c>
      <c r="E161" s="415"/>
      <c r="F161" s="415"/>
      <c r="G161" s="415"/>
      <c r="H161" s="415"/>
      <c r="I161" s="415"/>
      <c r="J161" s="416"/>
      <c r="O161" s="414" t="s">
        <v>306</v>
      </c>
      <c r="P161" s="415"/>
      <c r="Q161" s="415"/>
      <c r="R161" s="415"/>
      <c r="S161" s="415"/>
      <c r="T161" s="415"/>
      <c r="U161" s="416"/>
      <c r="W161" s="142">
        <f>A159</f>
        <v>7300</v>
      </c>
      <c r="X161" s="417">
        <v>2025</v>
      </c>
      <c r="Y161" s="417"/>
      <c r="Z161" s="417"/>
      <c r="AA161" s="417"/>
      <c r="AB161" s="417"/>
      <c r="AC161" s="417"/>
      <c r="AD161" s="417"/>
      <c r="AE161" s="417"/>
      <c r="AF161" s="417"/>
      <c r="AG161" s="417"/>
      <c r="AH161" s="417"/>
      <c r="AI161" s="417"/>
      <c r="AJ161" s="417">
        <f>X161+1</f>
        <v>2026</v>
      </c>
      <c r="AK161" s="417"/>
      <c r="AL161" s="417"/>
      <c r="AM161" s="417"/>
      <c r="AN161" s="417"/>
      <c r="AO161" s="417"/>
      <c r="AP161" s="417"/>
      <c r="AQ161" s="417"/>
      <c r="AR161" s="417"/>
      <c r="AS161" s="417"/>
      <c r="AT161" s="417"/>
      <c r="AU161" s="417"/>
      <c r="DB161" s="412" t="str">
        <f>+$DB$7</f>
        <v>2025</v>
      </c>
      <c r="DC161" s="412"/>
      <c r="DD161" s="412"/>
      <c r="DE161" s="412"/>
      <c r="DF161" s="412"/>
      <c r="DG161" s="412"/>
      <c r="DH161" s="412"/>
      <c r="DI161" s="412"/>
      <c r="DJ161" s="412"/>
      <c r="DK161" s="412"/>
      <c r="DL161" s="412"/>
      <c r="DM161" s="412"/>
      <c r="DN161" s="412" t="str">
        <f>+$DN$7</f>
        <v>2026</v>
      </c>
      <c r="DO161" s="412"/>
      <c r="DP161" s="412"/>
      <c r="DQ161" s="412"/>
      <c r="DR161" s="412"/>
      <c r="DS161" s="412"/>
      <c r="DT161" s="412"/>
      <c r="DU161" s="412"/>
      <c r="DV161" s="412"/>
      <c r="DW161" s="412"/>
      <c r="DX161" s="412"/>
      <c r="DY161" s="412"/>
    </row>
    <row r="162" spans="1:129" x14ac:dyDescent="0.35">
      <c r="A162" s="129" t="s">
        <v>206</v>
      </c>
      <c r="B162" s="15" t="s">
        <v>302</v>
      </c>
      <c r="C162" s="136" t="s">
        <v>203</v>
      </c>
      <c r="D162" s="159" t="s">
        <v>307</v>
      </c>
      <c r="E162" s="129" t="s">
        <v>308</v>
      </c>
      <c r="F162" s="129"/>
      <c r="G162" s="128" t="s">
        <v>202</v>
      </c>
      <c r="H162" s="141" t="s">
        <v>526</v>
      </c>
      <c r="I162" s="141" t="s">
        <v>303</v>
      </c>
      <c r="J162" s="131" t="s">
        <v>201</v>
      </c>
      <c r="K162" s="118"/>
      <c r="L162" s="129" t="s">
        <v>206</v>
      </c>
      <c r="M162" s="15" t="s">
        <v>302</v>
      </c>
      <c r="N162" s="136" t="s">
        <v>203</v>
      </c>
      <c r="O162" s="159" t="s">
        <v>307</v>
      </c>
      <c r="P162" s="129" t="s">
        <v>308</v>
      </c>
      <c r="Q162" s="129"/>
      <c r="R162" s="128" t="s">
        <v>202</v>
      </c>
      <c r="S162" s="141" t="s">
        <v>526</v>
      </c>
      <c r="T162" s="141" t="s">
        <v>303</v>
      </c>
      <c r="U162" s="131" t="s">
        <v>201</v>
      </c>
      <c r="X162" s="160">
        <f>X$8</f>
        <v>45658</v>
      </c>
      <c r="Y162" s="5">
        <f t="shared" ref="Y162:AU162" si="286">Y$8</f>
        <v>45689</v>
      </c>
      <c r="Z162" s="5">
        <f t="shared" si="286"/>
        <v>45717</v>
      </c>
      <c r="AA162" s="5">
        <f t="shared" si="286"/>
        <v>45748</v>
      </c>
      <c r="AB162" s="5">
        <f t="shared" si="286"/>
        <v>45778</v>
      </c>
      <c r="AC162" s="5">
        <f t="shared" si="286"/>
        <v>45809</v>
      </c>
      <c r="AD162" s="5">
        <f t="shared" si="286"/>
        <v>45839</v>
      </c>
      <c r="AE162" s="5">
        <f t="shared" si="286"/>
        <v>45870</v>
      </c>
      <c r="AF162" s="5">
        <f t="shared" si="286"/>
        <v>45901</v>
      </c>
      <c r="AG162" s="5">
        <f t="shared" si="286"/>
        <v>45931</v>
      </c>
      <c r="AH162" s="5">
        <f t="shared" si="286"/>
        <v>45962</v>
      </c>
      <c r="AI162" s="161">
        <f t="shared" si="286"/>
        <v>45992</v>
      </c>
      <c r="AJ162" s="5">
        <f t="shared" si="286"/>
        <v>46023</v>
      </c>
      <c r="AK162" s="5">
        <f t="shared" si="286"/>
        <v>46054</v>
      </c>
      <c r="AL162" s="5">
        <f t="shared" si="286"/>
        <v>46082</v>
      </c>
      <c r="AM162" s="5">
        <f t="shared" si="286"/>
        <v>46113</v>
      </c>
      <c r="AN162" s="5">
        <f t="shared" si="286"/>
        <v>46143</v>
      </c>
      <c r="AO162" s="5">
        <f t="shared" si="286"/>
        <v>46174</v>
      </c>
      <c r="AP162" s="5">
        <f t="shared" si="286"/>
        <v>46204</v>
      </c>
      <c r="AQ162" s="5">
        <f t="shared" si="286"/>
        <v>46235</v>
      </c>
      <c r="AR162" s="5">
        <f t="shared" si="286"/>
        <v>46266</v>
      </c>
      <c r="AS162" s="5">
        <f t="shared" si="286"/>
        <v>46296</v>
      </c>
      <c r="AT162" s="5">
        <f t="shared" si="286"/>
        <v>46327</v>
      </c>
      <c r="AU162" s="5">
        <f t="shared" si="286"/>
        <v>46357</v>
      </c>
      <c r="AV162" s="210" t="str">
        <f>AJ161&amp;" - Totals"</f>
        <v>2026 - Totals</v>
      </c>
      <c r="DB162" s="160">
        <f t="shared" ref="DB162:DY162" si="287">DB$8</f>
        <v>45658</v>
      </c>
      <c r="DC162" s="5">
        <f t="shared" si="287"/>
        <v>45689</v>
      </c>
      <c r="DD162" s="5">
        <f t="shared" si="287"/>
        <v>45717</v>
      </c>
      <c r="DE162" s="5">
        <f t="shared" si="287"/>
        <v>45748</v>
      </c>
      <c r="DF162" s="5">
        <f t="shared" si="287"/>
        <v>45778</v>
      </c>
      <c r="DG162" s="5">
        <f t="shared" si="287"/>
        <v>45809</v>
      </c>
      <c r="DH162" s="5">
        <f t="shared" si="287"/>
        <v>45839</v>
      </c>
      <c r="DI162" s="5">
        <f t="shared" si="287"/>
        <v>45870</v>
      </c>
      <c r="DJ162" s="5">
        <f t="shared" si="287"/>
        <v>45901</v>
      </c>
      <c r="DK162" s="5">
        <f t="shared" si="287"/>
        <v>45931</v>
      </c>
      <c r="DL162" s="5">
        <f t="shared" si="287"/>
        <v>45962</v>
      </c>
      <c r="DM162" s="161">
        <f t="shared" si="287"/>
        <v>45992</v>
      </c>
      <c r="DN162" s="5">
        <f t="shared" si="287"/>
        <v>46023</v>
      </c>
      <c r="DO162" s="5">
        <f t="shared" si="287"/>
        <v>46054</v>
      </c>
      <c r="DP162" s="5">
        <f t="shared" si="287"/>
        <v>46082</v>
      </c>
      <c r="DQ162" s="5">
        <f t="shared" si="287"/>
        <v>46113</v>
      </c>
      <c r="DR162" s="5">
        <f t="shared" si="287"/>
        <v>46143</v>
      </c>
      <c r="DS162" s="5">
        <f t="shared" si="287"/>
        <v>46174</v>
      </c>
      <c r="DT162" s="5">
        <f t="shared" si="287"/>
        <v>46204</v>
      </c>
      <c r="DU162" s="5">
        <f t="shared" si="287"/>
        <v>46235</v>
      </c>
      <c r="DV162" s="5">
        <f t="shared" si="287"/>
        <v>46266</v>
      </c>
      <c r="DW162" s="5">
        <f t="shared" si="287"/>
        <v>46296</v>
      </c>
      <c r="DX162" s="5">
        <f t="shared" si="287"/>
        <v>46327</v>
      </c>
      <c r="DY162" s="5">
        <f t="shared" si="287"/>
        <v>46357</v>
      </c>
    </row>
    <row r="163" spans="1:129" x14ac:dyDescent="0.35">
      <c r="B163" s="6" t="str">
        <f t="shared" ref="B163:B177" si="288">IF(A163&lt;&gt;"","VACANT","")</f>
        <v/>
      </c>
      <c r="C163" s="137"/>
      <c r="D163" s="155"/>
      <c r="E163" s="145"/>
      <c r="F163" s="172">
        <f>IFERROR(ROUNDUP(((DATEDIF(D163,E163,"d"))/365),1),0)</f>
        <v>0</v>
      </c>
      <c r="G163" s="146"/>
      <c r="H163" s="347">
        <f>(G163*C163)/12</f>
        <v>0</v>
      </c>
      <c r="I163" s="146"/>
      <c r="J163" s="156"/>
      <c r="K163" s="163"/>
      <c r="L163" s="118"/>
      <c r="M163" s="6"/>
      <c r="N163" s="137"/>
      <c r="O163" s="155"/>
      <c r="P163" s="145"/>
      <c r="Q163" s="172">
        <f t="shared" ref="Q163:Q177" si="289">IFERROR(ROUNDUP(((DATEDIF(O163,P163,"d"))/365),1),0)</f>
        <v>0</v>
      </c>
      <c r="R163" s="146"/>
      <c r="S163" s="347">
        <f>(R163*N163)/12</f>
        <v>0</v>
      </c>
      <c r="T163" s="146"/>
      <c r="U163" s="156"/>
      <c r="W163" s="114" t="s">
        <v>314</v>
      </c>
      <c r="X163" s="199" cm="1">
        <f t="array" ref="X163:AI163">_xlfn.LET(
  _xlpm.months, X162:AI162,
  _xlpm.totalSqft, A160,
  _xlpm.vacSF, C163:C177,
  _xlpm.vacStart, D163:D177,
  _xlpm.vacEnd, E163:E177,
  _xlpm.renSF, N163:N177,
  _xlpm.renEnd, P163:P177,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Y163" s="200">
        <v>1</v>
      </c>
      <c r="Z163" s="200">
        <v>1</v>
      </c>
      <c r="AA163" s="200">
        <v>1</v>
      </c>
      <c r="AB163" s="200">
        <v>1</v>
      </c>
      <c r="AC163" s="200">
        <v>1</v>
      </c>
      <c r="AD163" s="200">
        <v>1</v>
      </c>
      <c r="AE163" s="200">
        <v>1</v>
      </c>
      <c r="AF163" s="200">
        <v>1</v>
      </c>
      <c r="AG163" s="200">
        <v>1</v>
      </c>
      <c r="AH163" s="200">
        <v>1</v>
      </c>
      <c r="AI163" s="200">
        <v>1</v>
      </c>
      <c r="AJ163" s="199" cm="1">
        <f t="array" ref="AJ163:AU163">_xlfn.LET(
  _xlpm.months, AJ162:AU162,
  _xlpm.totalSqft, A160,
  _xlpm.vacSF, C163:C177,
  _xlpm.vacStart, D163:D177,
  _xlpm.vacEnd, E163:E177,
  _xlpm.renSF, N163:N177,
  _xlpm.renEnd, P163:P177,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AK163" s="200">
        <v>1</v>
      </c>
      <c r="AL163" s="200">
        <v>1</v>
      </c>
      <c r="AM163" s="200">
        <v>1</v>
      </c>
      <c r="AN163" s="200">
        <v>1</v>
      </c>
      <c r="AO163" s="200">
        <v>1</v>
      </c>
      <c r="AP163" s="200">
        <v>1</v>
      </c>
      <c r="AQ163" s="200">
        <v>1</v>
      </c>
      <c r="AR163" s="200">
        <v>1</v>
      </c>
      <c r="AS163" s="200">
        <v>1</v>
      </c>
      <c r="AT163" s="200">
        <v>1</v>
      </c>
      <c r="AU163" s="200">
        <v>1</v>
      </c>
      <c r="AV163" s="208"/>
      <c r="DB163" s="133">
        <f t="shared" ref="DB163:DY163" si="290">IF(AND($D163&lt;=DB162,$E163&gt;=DB162),(($G163*$C163)/12),0)</f>
        <v>0</v>
      </c>
      <c r="DC163" s="132">
        <f t="shared" si="290"/>
        <v>0</v>
      </c>
      <c r="DD163" s="132">
        <f t="shared" si="290"/>
        <v>0</v>
      </c>
      <c r="DE163" s="132">
        <f t="shared" si="290"/>
        <v>0</v>
      </c>
      <c r="DF163" s="132">
        <f t="shared" si="290"/>
        <v>0</v>
      </c>
      <c r="DG163" s="132">
        <f t="shared" si="290"/>
        <v>0</v>
      </c>
      <c r="DH163" s="132">
        <f t="shared" si="290"/>
        <v>0</v>
      </c>
      <c r="DI163" s="132">
        <f t="shared" si="290"/>
        <v>0</v>
      </c>
      <c r="DJ163" s="132">
        <f t="shared" si="290"/>
        <v>0</v>
      </c>
      <c r="DK163" s="132">
        <f t="shared" si="290"/>
        <v>0</v>
      </c>
      <c r="DL163" s="132">
        <f t="shared" si="290"/>
        <v>0</v>
      </c>
      <c r="DM163" s="134">
        <f t="shared" si="290"/>
        <v>0</v>
      </c>
      <c r="DN163" s="115">
        <f t="shared" si="290"/>
        <v>0</v>
      </c>
      <c r="DO163" s="115">
        <f t="shared" si="290"/>
        <v>0</v>
      </c>
      <c r="DP163" s="115">
        <f t="shared" si="290"/>
        <v>0</v>
      </c>
      <c r="DQ163" s="115">
        <f t="shared" si="290"/>
        <v>0</v>
      </c>
      <c r="DR163" s="115">
        <f t="shared" si="290"/>
        <v>0</v>
      </c>
      <c r="DS163" s="115">
        <f t="shared" si="290"/>
        <v>0</v>
      </c>
      <c r="DT163" s="115">
        <f t="shared" si="290"/>
        <v>0</v>
      </c>
      <c r="DU163" s="115">
        <f t="shared" si="290"/>
        <v>0</v>
      </c>
      <c r="DV163" s="115">
        <f t="shared" si="290"/>
        <v>0</v>
      </c>
      <c r="DW163" s="115">
        <f t="shared" si="290"/>
        <v>0</v>
      </c>
      <c r="DX163" s="115">
        <f t="shared" si="290"/>
        <v>0</v>
      </c>
      <c r="DY163" s="115">
        <f t="shared" si="290"/>
        <v>0</v>
      </c>
    </row>
    <row r="164" spans="1:129" x14ac:dyDescent="0.35">
      <c r="B164" s="6" t="str">
        <f t="shared" si="288"/>
        <v/>
      </c>
      <c r="C164" s="137"/>
      <c r="D164" s="155"/>
      <c r="E164" s="145"/>
      <c r="F164" s="118">
        <f t="shared" ref="F164:F177" si="291">IFERROR(ROUNDUP(((DATEDIF(D164,E164,"d"))/365),1),0)</f>
        <v>0</v>
      </c>
      <c r="G164" s="146"/>
      <c r="H164" s="347">
        <f t="shared" ref="H164:H177" si="292">(G164*C164)/12</f>
        <v>0</v>
      </c>
      <c r="I164" s="146"/>
      <c r="J164" s="156"/>
      <c r="K164" s="116"/>
      <c r="L164" s="118"/>
      <c r="M164" s="6"/>
      <c r="N164" s="137"/>
      <c r="O164" s="155"/>
      <c r="P164" s="145"/>
      <c r="Q164" s="118">
        <f t="shared" si="289"/>
        <v>0</v>
      </c>
      <c r="R164" s="146"/>
      <c r="S164" s="347">
        <f t="shared" ref="S164:S177" si="293">(R164*N164)/12</f>
        <v>0</v>
      </c>
      <c r="T164" s="146"/>
      <c r="U164" s="156"/>
      <c r="W164" s="114" t="s">
        <v>312</v>
      </c>
      <c r="X164" s="133" cm="1">
        <f t="array" ref="X164">((SUMPRODUCT(($D163:$D177&lt;=X$8) * ($E163:$E177&gt;=X$8) * ($G163:$G177 * $C163:$C177)))+(SUMPRODUCT(($O163:$O177&lt;=X$8) * ($P163:$P177&gt;=X$8) * ($R163:$R177 * $N163:$N177))))/12</f>
        <v>0</v>
      </c>
      <c r="Y164" s="115" cm="1">
        <f t="array" ref="Y164">((SUMPRODUCT(($D163:$D177&lt;=Y$8) * ($E163:$E177&gt;=Y$8) * ($G163:$G177 * $C163:$C177)))+(SUMPRODUCT(($O163:$O177&lt;=Y$8) * ($P163:$P177&gt;=Y$8) * ($R163:$R177 * $N163:$N177))))/12</f>
        <v>0</v>
      </c>
      <c r="Z164" s="115" cm="1">
        <f t="array" ref="Z164">((SUMPRODUCT(($D163:$D177&lt;=Z$8) * ($E163:$E177&gt;=Z$8) * ($G163:$G177 * $C163:$C177)))+(SUMPRODUCT(($O163:$O177&lt;=Z$8) * ($P163:$P177&gt;=Z$8) * ($R163:$R177 * $N163:$N177))))/12</f>
        <v>0</v>
      </c>
      <c r="AA164" s="115" cm="1">
        <f t="array" ref="AA164">((SUMPRODUCT(($D163:$D177&lt;=AA$8) * ($E163:$E177&gt;=AA$8) * ($G163:$G177 * $C163:$C177)))+(SUMPRODUCT(($O163:$O177&lt;=AA$8) * ($P163:$P177&gt;=AA$8) * ($R163:$R177 * $N163:$N177))))/12</f>
        <v>0</v>
      </c>
      <c r="AB164" s="115" cm="1">
        <f t="array" ref="AB164">((SUMPRODUCT(($D163:$D177&lt;=AB$8) * ($E163:$E177&gt;=AB$8) * ($G163:$G177 * $C163:$C177)))+(SUMPRODUCT(($O163:$O177&lt;=AB$8) * ($P163:$P177&gt;=AB$8) * ($R163:$R177 * $N163:$N177))))/12</f>
        <v>0</v>
      </c>
      <c r="AC164" s="115" cm="1">
        <f t="array" ref="AC164">((SUMPRODUCT(($D163:$D177&lt;=AC$8) * ($E163:$E177&gt;=AC$8) * ($G163:$G177 * $C163:$C177)))+(SUMPRODUCT(($O163:$O177&lt;=AC$8) * ($P163:$P177&gt;=AC$8) * ($R163:$R177 * $N163:$N177))))/12</f>
        <v>0</v>
      </c>
      <c r="AD164" s="115" cm="1">
        <f t="array" ref="AD164">((SUMPRODUCT(($D163:$D177&lt;=AD$8) * ($E163:$E177&gt;=AD$8) * ($G163:$G177 * $C163:$C177)))+(SUMPRODUCT(($O163:$O177&lt;=AD$8) * ($P163:$P177&gt;=AD$8) * ($R163:$R177 * $N163:$N177))))/12</f>
        <v>0</v>
      </c>
      <c r="AE164" s="115" cm="1">
        <f t="array" ref="AE164">((SUMPRODUCT(($D163:$D177&lt;=AE$8) * ($E163:$E177&gt;=AE$8) * ($G163:$G177 * $C163:$C177)))+(SUMPRODUCT(($O163:$O177&lt;=AE$8) * ($P163:$P177&gt;=AE$8) * ($R163:$R177 * $N163:$N177))))/12</f>
        <v>0</v>
      </c>
      <c r="AF164" s="115" cm="1">
        <f t="array" ref="AF164">((SUMPRODUCT(($D163:$D177&lt;=AF$8) * ($E163:$E177&gt;=AF$8) * ($G163:$G177 * $C163:$C177)))+(SUMPRODUCT(($O163:$O177&lt;=AF$8) * ($P163:$P177&gt;=AF$8) * ($R163:$R177 * $N163:$N177))))/12</f>
        <v>0</v>
      </c>
      <c r="AG164" s="115" cm="1">
        <f t="array" ref="AG164">((SUMPRODUCT(($D163:$D177&lt;=AG$8) * ($E163:$E177&gt;=AG$8) * ($G163:$G177 * $C163:$C177)))+(SUMPRODUCT(($O163:$O177&lt;=AG$8) * ($P163:$P177&gt;=AG$8) * ($R163:$R177 * $N163:$N177))))/12</f>
        <v>0</v>
      </c>
      <c r="AH164" s="115" cm="1">
        <f t="array" ref="AH164">((SUMPRODUCT(($D163:$D177&lt;=AH$8) * ($E163:$E177&gt;=AH$8) * ($G163:$G177 * $C163:$C177)))+(SUMPRODUCT(($O163:$O177&lt;=AH$8) * ($P163:$P177&gt;=AH$8) * ($R163:$R177 * $N163:$N177))))/12</f>
        <v>0</v>
      </c>
      <c r="AI164" s="115" cm="1">
        <f t="array" ref="AI164">((SUMPRODUCT(($D163:$D177&lt;=AI$8) * ($E163:$E177&gt;=AI$8) * ($G163:$G177 * $C163:$C177)))+(SUMPRODUCT(($O163:$O177&lt;=AI$8) * ($P163:$P177&gt;=AI$8) * ($R163:$R177 * $N163:$N177))))/12</f>
        <v>0</v>
      </c>
      <c r="AJ164" s="133" cm="1">
        <f t="array" ref="AJ164">((SUMPRODUCT(($D163:$D177&lt;=AJ$8) * ($E163:$E177&gt;=AJ$8) * ($G163:$G177 * $C163:$C177)))+(SUMPRODUCT(($O163:$O177&lt;=AJ$8) * ($P163:$P177&gt;=AJ$8) * ($R163:$R177 * $N163:$N177))))/12</f>
        <v>0</v>
      </c>
      <c r="AK164" s="115" cm="1">
        <f t="array" ref="AK164">((SUMPRODUCT(($D163:$D177&lt;=AK$8) * ($E163:$E177&gt;=AK$8) * ($G163:$G177 * $C163:$C177)))+(SUMPRODUCT(($O163:$O177&lt;=AK$8) * ($P163:$P177&gt;=AK$8) * ($R163:$R177 * $N163:$N177))))/12</f>
        <v>0</v>
      </c>
      <c r="AL164" s="115" cm="1">
        <f t="array" ref="AL164">((SUMPRODUCT(($D163:$D177&lt;=AL$8) * ($E163:$E177&gt;=AL$8) * ($G163:$G177 * $C163:$C177)))+(SUMPRODUCT(($O163:$O177&lt;=AL$8) * ($P163:$P177&gt;=AL$8) * ($R163:$R177 * $N163:$N177))))/12</f>
        <v>0</v>
      </c>
      <c r="AM164" s="115" cm="1">
        <f t="array" ref="AM164">((SUMPRODUCT(($D163:$D177&lt;=AM$8) * ($E163:$E177&gt;=AM$8) * ($G163:$G177 * $C163:$C177)))+(SUMPRODUCT(($O163:$O177&lt;=AM$8) * ($P163:$P177&gt;=AM$8) * ($R163:$R177 * $N163:$N177))))/12</f>
        <v>0</v>
      </c>
      <c r="AN164" s="115" cm="1">
        <f t="array" ref="AN164">((SUMPRODUCT(($D163:$D177&lt;=AN$8) * ($E163:$E177&gt;=AN$8) * ($G163:$G177 * $C163:$C177)))+(SUMPRODUCT(($O163:$O177&lt;=AN$8) * ($P163:$P177&gt;=AN$8) * ($R163:$R177 * $N163:$N177))))/12</f>
        <v>0</v>
      </c>
      <c r="AO164" s="115" cm="1">
        <f t="array" ref="AO164">((SUMPRODUCT(($D163:$D177&lt;=AO$8) * ($E163:$E177&gt;=AO$8) * ($G163:$G177 * $C163:$C177)))+(SUMPRODUCT(($O163:$O177&lt;=AO$8) * ($P163:$P177&gt;=AO$8) * ($R163:$R177 * $N163:$N177))))/12</f>
        <v>0</v>
      </c>
      <c r="AP164" s="115" cm="1">
        <f t="array" ref="AP164">((SUMPRODUCT(($D163:$D177&lt;=AP$8) * ($E163:$E177&gt;=AP$8) * ($G163:$G177 * $C163:$C177)))+(SUMPRODUCT(($O163:$O177&lt;=AP$8) * ($P163:$P177&gt;=AP$8) * ($R163:$R177 * $N163:$N177))))/12</f>
        <v>0</v>
      </c>
      <c r="AQ164" s="115" cm="1">
        <f t="array" ref="AQ164">((SUMPRODUCT(($D163:$D177&lt;=AQ$8) * ($E163:$E177&gt;=AQ$8) * ($G163:$G177 * $C163:$C177)))+(SUMPRODUCT(($O163:$O177&lt;=AQ$8) * ($P163:$P177&gt;=AQ$8) * ($R163:$R177 * $N163:$N177))))/12</f>
        <v>0</v>
      </c>
      <c r="AR164" s="115" cm="1">
        <f t="array" ref="AR164">((SUMPRODUCT(($D163:$D177&lt;=AR$8) * ($E163:$E177&gt;=AR$8) * ($G163:$G177 * $C163:$C177)))+(SUMPRODUCT(($O163:$O177&lt;=AR$8) * ($P163:$P177&gt;=AR$8) * ($R163:$R177 * $N163:$N177))))/12</f>
        <v>0</v>
      </c>
      <c r="AS164" s="115" cm="1">
        <f t="array" ref="AS164">((SUMPRODUCT(($D163:$D177&lt;=AS$8) * ($E163:$E177&gt;=AS$8) * ($G163:$G177 * $C163:$C177)))+(SUMPRODUCT(($O163:$O177&lt;=AS$8) * ($P163:$P177&gt;=AS$8) * ($R163:$R177 * $N163:$N177))))/12</f>
        <v>0</v>
      </c>
      <c r="AT164" s="115" cm="1">
        <f t="array" ref="AT164">((SUMPRODUCT(($D163:$D177&lt;=AT$8) * ($E163:$E177&gt;=AT$8) * ($G163:$G177 * $C163:$C177)))+(SUMPRODUCT(($O163:$O177&lt;=AT$8) * ($P163:$P177&gt;=AT$8) * ($R163:$R177 * $N163:$N177))))/12</f>
        <v>0</v>
      </c>
      <c r="AU164" s="115" cm="1">
        <f t="array" ref="AU164">((SUMPRODUCT(($D163:$D177&lt;=AU$8) * ($E163:$E177&gt;=AU$8) * ($G163:$G177 * $C163:$C177)))+(SUMPRODUCT(($O163:$O177&lt;=AU$8) * ($P163:$P177&gt;=AU$8) * ($R163:$R177 * $N163:$N177))))/12</f>
        <v>0</v>
      </c>
      <c r="AV164" s="209">
        <f>SUM(AJ164:AU164)</f>
        <v>0</v>
      </c>
      <c r="DB164" s="133">
        <f t="shared" ref="DB164:DQ177" si="294">IF(AND($D164&lt;=DB$8,$E164&gt;=DB$8),(($G164*$C164)/12),0)</f>
        <v>0</v>
      </c>
      <c r="DC164" s="132">
        <f t="shared" si="294"/>
        <v>0</v>
      </c>
      <c r="DD164" s="132">
        <f t="shared" si="294"/>
        <v>0</v>
      </c>
      <c r="DE164" s="132">
        <f t="shared" si="294"/>
        <v>0</v>
      </c>
      <c r="DF164" s="132">
        <f t="shared" si="294"/>
        <v>0</v>
      </c>
      <c r="DG164" s="132">
        <f t="shared" si="294"/>
        <v>0</v>
      </c>
      <c r="DH164" s="132">
        <f t="shared" si="294"/>
        <v>0</v>
      </c>
      <c r="DI164" s="132">
        <f t="shared" si="294"/>
        <v>0</v>
      </c>
      <c r="DJ164" s="132">
        <f t="shared" si="294"/>
        <v>0</v>
      </c>
      <c r="DK164" s="132">
        <f t="shared" si="294"/>
        <v>0</v>
      </c>
      <c r="DL164" s="132">
        <f t="shared" si="294"/>
        <v>0</v>
      </c>
      <c r="DM164" s="134">
        <f t="shared" si="294"/>
        <v>0</v>
      </c>
      <c r="DN164" s="115">
        <f t="shared" si="294"/>
        <v>0</v>
      </c>
      <c r="DO164" s="115">
        <f t="shared" si="294"/>
        <v>0</v>
      </c>
      <c r="DP164" s="115">
        <f t="shared" si="294"/>
        <v>0</v>
      </c>
      <c r="DQ164" s="115">
        <f t="shared" si="294"/>
        <v>0</v>
      </c>
      <c r="DR164" s="115">
        <f t="shared" ref="DR164:DY177" si="295">IF(AND($D164&lt;=DR$8,$E164&gt;=DR$8),(($G164*$C164)/12),0)</f>
        <v>0</v>
      </c>
      <c r="DS164" s="115">
        <f t="shared" si="295"/>
        <v>0</v>
      </c>
      <c r="DT164" s="115">
        <f t="shared" si="295"/>
        <v>0</v>
      </c>
      <c r="DU164" s="115">
        <f t="shared" si="295"/>
        <v>0</v>
      </c>
      <c r="DV164" s="115">
        <f t="shared" si="295"/>
        <v>0</v>
      </c>
      <c r="DW164" s="115">
        <f t="shared" si="295"/>
        <v>0</v>
      </c>
      <c r="DX164" s="115">
        <f t="shared" si="295"/>
        <v>0</v>
      </c>
      <c r="DY164" s="115">
        <f t="shared" si="295"/>
        <v>0</v>
      </c>
    </row>
    <row r="165" spans="1:129" x14ac:dyDescent="0.35">
      <c r="B165" s="6" t="str">
        <f t="shared" si="288"/>
        <v/>
      </c>
      <c r="C165" s="137"/>
      <c r="D165" s="155"/>
      <c r="E165" s="145"/>
      <c r="F165" s="118">
        <f t="shared" si="291"/>
        <v>0</v>
      </c>
      <c r="G165" s="146"/>
      <c r="H165" s="347">
        <f t="shared" si="292"/>
        <v>0</v>
      </c>
      <c r="I165" s="146"/>
      <c r="J165" s="156"/>
      <c r="K165" s="116"/>
      <c r="L165" s="118"/>
      <c r="M165" s="6"/>
      <c r="N165" s="137"/>
      <c r="O165" s="155"/>
      <c r="P165" s="145"/>
      <c r="Q165" s="118">
        <f t="shared" si="289"/>
        <v>0</v>
      </c>
      <c r="R165" s="146"/>
      <c r="S165" s="347">
        <f t="shared" si="293"/>
        <v>0</v>
      </c>
      <c r="T165" s="146"/>
      <c r="U165" s="156"/>
      <c r="W165" s="114" t="s">
        <v>309</v>
      </c>
      <c r="X165" s="133" cm="1">
        <f t="array" ref="X165">(SUMPRODUCT((TEXT($O163:$O177,"yyyymm")=TEXT(X$8,"yyyymm")) * ($T163:$T177 * $N163:$N177)))+(SUMPRODUCT((TEXT($D163:$D177,"yyyymm")=TEXT(X$8,"yyyymm")) * ($I163:$I177 * $C163:$C177)))</f>
        <v>0</v>
      </c>
      <c r="Y165" s="115" cm="1">
        <f t="array" ref="Y165">(SUMPRODUCT((TEXT($O163:$O177,"yyyymm")=TEXT(Y$8,"yyyymm")) * ($T163:$T177 * $N163:$N177)))+(SUMPRODUCT((TEXT($D163:$D177,"yyyymm")=TEXT(Y$8,"yyyymm")) * ($I163:$I177 * $C163:$C177)))</f>
        <v>0</v>
      </c>
      <c r="Z165" s="115" cm="1">
        <f t="array" ref="Z165">(SUMPRODUCT((TEXT($O163:$O177,"yyyymm")=TEXT(Z$8,"yyyymm")) * ($T163:$T177 * $N163:$N177)))+(SUMPRODUCT((TEXT($D163:$D177,"yyyymm")=TEXT(Z$8,"yyyymm")) * ($I163:$I177 * $C163:$C177)))</f>
        <v>0</v>
      </c>
      <c r="AA165" s="115" cm="1">
        <f t="array" ref="AA165">(SUMPRODUCT((TEXT($O163:$O177,"yyyymm")=TEXT(AA$8,"yyyymm")) * ($T163:$T177 * $N163:$N177)))+(SUMPRODUCT((TEXT($D163:$D177,"yyyymm")=TEXT(AA$8,"yyyymm")) * ($I163:$I177 * $C163:$C177)))</f>
        <v>0</v>
      </c>
      <c r="AB165" s="115" cm="1">
        <f t="array" ref="AB165">(SUMPRODUCT((TEXT($O163:$O177,"yyyymm")=TEXT(AB$8,"yyyymm")) * ($T163:$T177 * $N163:$N177)))+(SUMPRODUCT((TEXT($D163:$D177,"yyyymm")=TEXT(AB$8,"yyyymm")) * ($I163:$I177 * $C163:$C177)))</f>
        <v>0</v>
      </c>
      <c r="AC165" s="115" cm="1">
        <f t="array" ref="AC165">(SUMPRODUCT((TEXT($O163:$O177,"yyyymm")=TEXT(AC$8,"yyyymm")) * ($T163:$T177 * $N163:$N177)))+(SUMPRODUCT((TEXT($D163:$D177,"yyyymm")=TEXT(AC$8,"yyyymm")) * ($I163:$I177 * $C163:$C177)))</f>
        <v>0</v>
      </c>
      <c r="AD165" s="115" cm="1">
        <f t="array" ref="AD165">(SUMPRODUCT((TEXT($O163:$O177,"yyyymm")=TEXT(AD$8,"yyyymm")) * ($T163:$T177 * $N163:$N177)))+(SUMPRODUCT((TEXT($D163:$D177,"yyyymm")=TEXT(AD$8,"yyyymm")) * ($I163:$I177 * $C163:$C177)))</f>
        <v>0</v>
      </c>
      <c r="AE165" s="115" cm="1">
        <f t="array" ref="AE165">(SUMPRODUCT((TEXT($O163:$O177,"yyyymm")=TEXT(AE$8,"yyyymm")) * ($T163:$T177 * $N163:$N177)))+(SUMPRODUCT((TEXT($D163:$D177,"yyyymm")=TEXT(AE$8,"yyyymm")) * ($I163:$I177 * $C163:$C177)))</f>
        <v>0</v>
      </c>
      <c r="AF165" s="115" cm="1">
        <f t="array" ref="AF165">(SUMPRODUCT((TEXT($O163:$O177,"yyyymm")=TEXT(AF$8,"yyyymm")) * ($T163:$T177 * $N163:$N177)))+(SUMPRODUCT((TEXT($D163:$D177,"yyyymm")=TEXT(AF$8,"yyyymm")) * ($I163:$I177 * $C163:$C177)))</f>
        <v>0</v>
      </c>
      <c r="AG165" s="115" cm="1">
        <f t="array" ref="AG165">(SUMPRODUCT((TEXT($O163:$O177,"yyyymm")=TEXT(AG$8,"yyyymm")) * ($T163:$T177 * $N163:$N177)))+(SUMPRODUCT((TEXT($D163:$D177,"yyyymm")=TEXT(AG$8,"yyyymm")) * ($I163:$I177 * $C163:$C177)))</f>
        <v>0</v>
      </c>
      <c r="AH165" s="115" cm="1">
        <f t="array" ref="AH165">(SUMPRODUCT((TEXT($O163:$O177,"yyyymm")=TEXT(AH$8,"yyyymm")) * ($T163:$T177 * $N163:$N177)))+(SUMPRODUCT((TEXT($D163:$D177,"yyyymm")=TEXT(AH$8,"yyyymm")) * ($I163:$I177 * $C163:$C177)))</f>
        <v>0</v>
      </c>
      <c r="AI165" s="115" cm="1">
        <f t="array" ref="AI165">(SUMPRODUCT((TEXT($O163:$O177,"yyyymm")=TEXT(AI$8,"yyyymm")) * ($T163:$T177 * $N163:$N177)))+(SUMPRODUCT((TEXT($D163:$D177,"yyyymm")=TEXT(AI$8,"yyyymm")) * ($I163:$I177 * $C163:$C177)))</f>
        <v>0</v>
      </c>
      <c r="AJ165" s="133" cm="1">
        <f t="array" ref="AJ165">(SUMPRODUCT((TEXT($O163:$O177,"yyyymm")=TEXT(AJ$8,"yyyymm")) * ($T163:$T177 * $N163:$N177)))+(SUMPRODUCT((TEXT($D163:$D177,"yyyymm")=TEXT(AJ$8,"yyyymm")) * ($I163:$I177 * $C163:$C177)))</f>
        <v>0</v>
      </c>
      <c r="AK165" s="115" cm="1">
        <f t="array" ref="AK165">(SUMPRODUCT((TEXT($O163:$O177,"yyyymm")=TEXT(AK$8,"yyyymm")) * ($T163:$T177 * $N163:$N177)))+(SUMPRODUCT((TEXT($D163:$D177,"yyyymm")=TEXT(AK$8,"yyyymm")) * ($I163:$I177 * $C163:$C177)))</f>
        <v>0</v>
      </c>
      <c r="AL165" s="115" cm="1">
        <f t="array" ref="AL165">(SUMPRODUCT((TEXT($O163:$O177,"yyyymm")=TEXT(AL$8,"yyyymm")) * ($T163:$T177 * $N163:$N177)))+(SUMPRODUCT((TEXT($D163:$D177,"yyyymm")=TEXT(AL$8,"yyyymm")) * ($I163:$I177 * $C163:$C177)))</f>
        <v>0</v>
      </c>
      <c r="AM165" s="115" cm="1">
        <f t="array" ref="AM165">(SUMPRODUCT((TEXT($O163:$O177,"yyyymm")=TEXT(AM$8,"yyyymm")) * ($T163:$T177 * $N163:$N177)))+(SUMPRODUCT((TEXT($D163:$D177,"yyyymm")=TEXT(AM$8,"yyyymm")) * ($I163:$I177 * $C163:$C177)))</f>
        <v>0</v>
      </c>
      <c r="AN165" s="115" cm="1">
        <f t="array" ref="AN165">(SUMPRODUCT((TEXT($O163:$O177,"yyyymm")=TEXT(AN$8,"yyyymm")) * ($T163:$T177 * $N163:$N177)))+(SUMPRODUCT((TEXT($D163:$D177,"yyyymm")=TEXT(AN$8,"yyyymm")) * ($I163:$I177 * $C163:$C177)))</f>
        <v>0</v>
      </c>
      <c r="AO165" s="115" cm="1">
        <f t="array" ref="AO165">(SUMPRODUCT((TEXT($O163:$O177,"yyyymm")=TEXT(AO$8,"yyyymm")) * ($T163:$T177 * $N163:$N177)))+(SUMPRODUCT((TEXT($D163:$D177,"yyyymm")=TEXT(AO$8,"yyyymm")) * ($I163:$I177 * $C163:$C177)))</f>
        <v>0</v>
      </c>
      <c r="AP165" s="115" cm="1">
        <f t="array" ref="AP165">(SUMPRODUCT((TEXT($O163:$O177,"yyyymm")=TEXT(AP$8,"yyyymm")) * ($T163:$T177 * $N163:$N177)))+(SUMPRODUCT((TEXT($D163:$D177,"yyyymm")=TEXT(AP$8,"yyyymm")) * ($I163:$I177 * $C163:$C177)))</f>
        <v>0</v>
      </c>
      <c r="AQ165" s="115" cm="1">
        <f t="array" ref="AQ165">(SUMPRODUCT((TEXT($O163:$O177,"yyyymm")=TEXT(AQ$8,"yyyymm")) * ($T163:$T177 * $N163:$N177)))+(SUMPRODUCT((TEXT($D163:$D177,"yyyymm")=TEXT(AQ$8,"yyyymm")) * ($I163:$I177 * $C163:$C177)))</f>
        <v>0</v>
      </c>
      <c r="AR165" s="115" cm="1">
        <f t="array" ref="AR165">(SUMPRODUCT((TEXT($O163:$O177,"yyyymm")=TEXT(AR$8,"yyyymm")) * ($T163:$T177 * $N163:$N177)))+(SUMPRODUCT((TEXT($D163:$D177,"yyyymm")=TEXT(AR$8,"yyyymm")) * ($I163:$I177 * $C163:$C177)))</f>
        <v>0</v>
      </c>
      <c r="AS165" s="115" cm="1">
        <f t="array" ref="AS165">(SUMPRODUCT((TEXT($O163:$O177,"yyyymm")=TEXT(AS$8,"yyyymm")) * ($T163:$T177 * $N163:$N177)))+(SUMPRODUCT((TEXT($D163:$D177,"yyyymm")=TEXT(AS$8,"yyyymm")) * ($I163:$I177 * $C163:$C177)))</f>
        <v>0</v>
      </c>
      <c r="AT165" s="115" cm="1">
        <f t="array" ref="AT165">(SUMPRODUCT((TEXT($O163:$O177,"yyyymm")=TEXT(AT$8,"yyyymm")) * ($T163:$T177 * $N163:$N177)))+(SUMPRODUCT((TEXT($D163:$D177,"yyyymm")=TEXT(AT$8,"yyyymm")) * ($I163:$I177 * $C163:$C177)))</f>
        <v>0</v>
      </c>
      <c r="AU165" s="115" cm="1">
        <f t="array" ref="AU165">(SUMPRODUCT((TEXT($O163:$O177,"yyyymm")=TEXT(AU$8,"yyyymm")) * ($T163:$T177 * $N163:$N177)))+(SUMPRODUCT((TEXT($D163:$D177,"yyyymm")=TEXT(AU$8,"yyyymm")) * ($I163:$I177 * $C163:$C177)))</f>
        <v>0</v>
      </c>
      <c r="AV165" s="209">
        <f t="shared" ref="AV165:AV166" si="296">SUM(AJ165:AU165)</f>
        <v>0</v>
      </c>
      <c r="DB165" s="133">
        <f t="shared" si="294"/>
        <v>0</v>
      </c>
      <c r="DC165" s="132">
        <f t="shared" si="294"/>
        <v>0</v>
      </c>
      <c r="DD165" s="132">
        <f t="shared" si="294"/>
        <v>0</v>
      </c>
      <c r="DE165" s="132">
        <f t="shared" si="294"/>
        <v>0</v>
      </c>
      <c r="DF165" s="132">
        <f t="shared" si="294"/>
        <v>0</v>
      </c>
      <c r="DG165" s="132">
        <f t="shared" si="294"/>
        <v>0</v>
      </c>
      <c r="DH165" s="132">
        <f t="shared" si="294"/>
        <v>0</v>
      </c>
      <c r="DI165" s="132">
        <f t="shared" si="294"/>
        <v>0</v>
      </c>
      <c r="DJ165" s="132">
        <f t="shared" si="294"/>
        <v>0</v>
      </c>
      <c r="DK165" s="132">
        <f t="shared" si="294"/>
        <v>0</v>
      </c>
      <c r="DL165" s="132">
        <f t="shared" si="294"/>
        <v>0</v>
      </c>
      <c r="DM165" s="134">
        <f t="shared" si="294"/>
        <v>0</v>
      </c>
      <c r="DN165" s="115">
        <f t="shared" si="294"/>
        <v>0</v>
      </c>
      <c r="DO165" s="115">
        <f t="shared" si="294"/>
        <v>0</v>
      </c>
      <c r="DP165" s="115">
        <f t="shared" si="294"/>
        <v>0</v>
      </c>
      <c r="DQ165" s="115">
        <f t="shared" si="294"/>
        <v>0</v>
      </c>
      <c r="DR165" s="115">
        <f t="shared" si="295"/>
        <v>0</v>
      </c>
      <c r="DS165" s="115">
        <f t="shared" si="295"/>
        <v>0</v>
      </c>
      <c r="DT165" s="115">
        <f t="shared" si="295"/>
        <v>0</v>
      </c>
      <c r="DU165" s="115">
        <f t="shared" si="295"/>
        <v>0</v>
      </c>
      <c r="DV165" s="115">
        <f t="shared" si="295"/>
        <v>0</v>
      </c>
      <c r="DW165" s="115">
        <f t="shared" si="295"/>
        <v>0</v>
      </c>
      <c r="DX165" s="115">
        <f t="shared" si="295"/>
        <v>0</v>
      </c>
      <c r="DY165" s="115">
        <f t="shared" si="295"/>
        <v>0</v>
      </c>
    </row>
    <row r="166" spans="1:129" x14ac:dyDescent="0.35">
      <c r="B166" s="6" t="str">
        <f t="shared" si="288"/>
        <v/>
      </c>
      <c r="C166" s="137"/>
      <c r="D166" s="155"/>
      <c r="E166" s="147"/>
      <c r="F166" s="118">
        <f t="shared" si="291"/>
        <v>0</v>
      </c>
      <c r="G166" s="148"/>
      <c r="H166" s="347">
        <f t="shared" si="292"/>
        <v>0</v>
      </c>
      <c r="I166" s="146"/>
      <c r="J166" s="156"/>
      <c r="K166" s="116"/>
      <c r="L166" s="118"/>
      <c r="M166" s="6"/>
      <c r="N166" s="137"/>
      <c r="O166" s="155"/>
      <c r="P166" s="147"/>
      <c r="Q166" s="118">
        <f t="shared" si="289"/>
        <v>0</v>
      </c>
      <c r="R166" s="148"/>
      <c r="S166" s="347">
        <f t="shared" si="293"/>
        <v>0</v>
      </c>
      <c r="T166" s="146"/>
      <c r="U166" s="156"/>
      <c r="W166" s="114" t="s">
        <v>313</v>
      </c>
      <c r="X166" s="133" cm="1">
        <f t="array" ref="X166">IFERROR((SUMPRODUCT((TEXT($O163:$O177,"yyyymm")=TEXT(X$8,"yyyymm")) * ($U163:$U177 * $N163:$N177*$R163:$R177*$Q163:$Q177)))+(SUMPRODUCT((TEXT($D163:$D177,"yyyymm")=TEXT(X$8,"yyyymm")) * ($J163:$J177 * $C163:$C177*$G163:$G177*$F163:$F177))),0)</f>
        <v>0</v>
      </c>
      <c r="Y166" s="115" cm="1">
        <f t="array" ref="Y166">IFERROR((SUMPRODUCT((TEXT($O163:$O177,"yyyymm")=TEXT(Y$8,"yyyymm")) * ($U163:$U177 * $N163:$N177*$R163:$R177*$Q163:$Q177)))+(SUMPRODUCT((TEXT($D163:$D177,"yyyymm")=TEXT(Y$8,"yyyymm")) * ($J163:$J177 * $C163:$C177*$G163:$G177*$F163:$F177))),0)</f>
        <v>0</v>
      </c>
      <c r="Z166" s="115" cm="1">
        <f t="array" ref="Z166">IFERROR((SUMPRODUCT((TEXT($O163:$O177,"yyyymm")=TEXT(Z$8,"yyyymm")) * ($U163:$U177 * $N163:$N177*$R163:$R177*$Q163:$Q177)))+(SUMPRODUCT((TEXT($D163:$D177,"yyyymm")=TEXT(Z$8,"yyyymm")) * ($J163:$J177 * $C163:$C177*$G163:$G177*$F163:$F177))),0)</f>
        <v>0</v>
      </c>
      <c r="AA166" s="115" cm="1">
        <f t="array" ref="AA166">IFERROR((SUMPRODUCT((TEXT($O163:$O177,"yyyymm")=TEXT(AA$8,"yyyymm")) * ($U163:$U177 * $N163:$N177*$R163:$R177*$Q163:$Q177)))+(SUMPRODUCT((TEXT($D163:$D177,"yyyymm")=TEXT(AA$8,"yyyymm")) * ($J163:$J177 * $C163:$C177*$G163:$G177*$F163:$F177))),0)</f>
        <v>0</v>
      </c>
      <c r="AB166" s="115" cm="1">
        <f t="array" ref="AB166">IFERROR((SUMPRODUCT((TEXT($O163:$O177,"yyyymm")=TEXT(AB$8,"yyyymm")) * ($U163:$U177 * $N163:$N177*$R163:$R177*$Q163:$Q177)))+(SUMPRODUCT((TEXT($D163:$D177,"yyyymm")=TEXT(AB$8,"yyyymm")) * ($J163:$J177 * $C163:$C177*$G163:$G177*$F163:$F177))),0)</f>
        <v>0</v>
      </c>
      <c r="AC166" s="115" cm="1">
        <f t="array" ref="AC166">IFERROR((SUMPRODUCT((TEXT($O163:$O177,"yyyymm")=TEXT(AC$8,"yyyymm")) * ($U163:$U177 * $N163:$N177*$R163:$R177*$Q163:$Q177)))+(SUMPRODUCT((TEXT($D163:$D177,"yyyymm")=TEXT(AC$8,"yyyymm")) * ($J163:$J177 * $C163:$C177*$G163:$G177*$F163:$F177))),0)</f>
        <v>0</v>
      </c>
      <c r="AD166" s="115" cm="1">
        <f t="array" ref="AD166">IFERROR((SUMPRODUCT((TEXT($O163:$O177,"yyyymm")=TEXT(AD$8,"yyyymm")) * ($U163:$U177 * $N163:$N177*$R163:$R177*$Q163:$Q177)))+(SUMPRODUCT((TEXT($D163:$D177,"yyyymm")=TEXT(AD$8,"yyyymm")) * ($J163:$J177 * $C163:$C177*$G163:$G177*$F163:$F177))),0)</f>
        <v>0</v>
      </c>
      <c r="AE166" s="115" cm="1">
        <f t="array" ref="AE166">IFERROR((SUMPRODUCT((TEXT($O163:$O177,"yyyymm")=TEXT(AE$8,"yyyymm")) * ($U163:$U177 * $N163:$N177*$R163:$R177*$Q163:$Q177)))+(SUMPRODUCT((TEXT($D163:$D177,"yyyymm")=TEXT(AE$8,"yyyymm")) * ($J163:$J177 * $C163:$C177*$G163:$G177*$F163:$F177))),0)</f>
        <v>0</v>
      </c>
      <c r="AF166" s="115" cm="1">
        <f t="array" ref="AF166">IFERROR((SUMPRODUCT((TEXT($O163:$O177,"yyyymm")=TEXT(AF$8,"yyyymm")) * ($U163:$U177 * $N163:$N177*$R163:$R177*$Q163:$Q177)))+(SUMPRODUCT((TEXT($D163:$D177,"yyyymm")=TEXT(AF$8,"yyyymm")) * ($J163:$J177 * $C163:$C177*$G163:$G177*$F163:$F177))),0)</f>
        <v>0</v>
      </c>
      <c r="AG166" s="115" cm="1">
        <f t="array" ref="AG166">IFERROR((SUMPRODUCT((TEXT($O163:$O177,"yyyymm")=TEXT(AG$8,"yyyymm")) * ($U163:$U177 * $N163:$N177*$R163:$R177*$Q163:$Q177)))+(SUMPRODUCT((TEXT($D163:$D177,"yyyymm")=TEXT(AG$8,"yyyymm")) * ($J163:$J177 * $C163:$C177*$G163:$G177*$F163:$F177))),0)</f>
        <v>0</v>
      </c>
      <c r="AH166" s="115" cm="1">
        <f t="array" ref="AH166">IFERROR((SUMPRODUCT((TEXT($O163:$O177,"yyyymm")=TEXT(AH$8,"yyyymm")) * ($U163:$U177 * $N163:$N177*$R163:$R177*$Q163:$Q177)))+(SUMPRODUCT((TEXT($D163:$D177,"yyyymm")=TEXT(AH$8,"yyyymm")) * ($J163:$J177 * $C163:$C177*$G163:$G177*$F163:$F177))),0)</f>
        <v>0</v>
      </c>
      <c r="AI166" s="115" cm="1">
        <f t="array" ref="AI166">IFERROR((SUMPRODUCT((TEXT($O163:$O177,"yyyymm")=TEXT(AI$8,"yyyymm")) * ($U163:$U177 * $N163:$N177*$R163:$R177*$Q163:$Q177)))+(SUMPRODUCT((TEXT($D163:$D177,"yyyymm")=TEXT(AI$8,"yyyymm")) * ($J163:$J177 * $C163:$C177*$G163:$G177*$F163:$F177))),0)</f>
        <v>0</v>
      </c>
      <c r="AJ166" s="133" cm="1">
        <f t="array" ref="AJ166">IFERROR((SUMPRODUCT((TEXT($O163:$O177,"yyyymm")=TEXT(AJ$8,"yyyymm")) * ($U163:$U177 * $N163:$N177*$R163:$R177*$Q163:$Q177)))+(SUMPRODUCT((TEXT($D163:$D177,"yyyymm")=TEXT(AJ$8,"yyyymm")) * ($J163:$J177 * $C163:$C177*$G163:$G177*$F163:$F177))),0)</f>
        <v>0</v>
      </c>
      <c r="AK166" s="115" cm="1">
        <f t="array" ref="AK166">IFERROR((SUMPRODUCT((TEXT($O163:$O177,"yyyymm")=TEXT(AK$8,"yyyymm")) * ($U163:$U177 * $N163:$N177*$R163:$R177*$Q163:$Q177)))+(SUMPRODUCT((TEXT($D163:$D177,"yyyymm")=TEXT(AK$8,"yyyymm")) * ($J163:$J177 * $C163:$C177*$G163:$G177*$F163:$F177))),0)</f>
        <v>0</v>
      </c>
      <c r="AL166" s="115" cm="1">
        <f t="array" ref="AL166">IFERROR((SUMPRODUCT((TEXT($O163:$O177,"yyyymm")=TEXT(AL$8,"yyyymm")) * ($U163:$U177 * $N163:$N177*$R163:$R177*$Q163:$Q177)))+(SUMPRODUCT((TEXT($D163:$D177,"yyyymm")=TEXT(AL$8,"yyyymm")) * ($J163:$J177 * $C163:$C177*$G163:$G177*$F163:$F177))),0)</f>
        <v>0</v>
      </c>
      <c r="AM166" s="115" cm="1">
        <f t="array" ref="AM166">IFERROR((SUMPRODUCT((TEXT($O163:$O177,"yyyymm")=TEXT(AM$8,"yyyymm")) * ($U163:$U177 * $N163:$N177*$R163:$R177*$Q163:$Q177)))+(SUMPRODUCT((TEXT($D163:$D177,"yyyymm")=TEXT(AM$8,"yyyymm")) * ($J163:$J177 * $C163:$C177*$G163:$G177*$F163:$F177))),0)</f>
        <v>0</v>
      </c>
      <c r="AN166" s="115" cm="1">
        <f t="array" ref="AN166">IFERROR((SUMPRODUCT((TEXT($O163:$O177,"yyyymm")=TEXT(AN$8,"yyyymm")) * ($U163:$U177 * $N163:$N177*$R163:$R177*$Q163:$Q177)))+(SUMPRODUCT((TEXT($D163:$D177,"yyyymm")=TEXT(AN$8,"yyyymm")) * ($J163:$J177 * $C163:$C177*$G163:$G177*$F163:$F177))),0)</f>
        <v>0</v>
      </c>
      <c r="AO166" s="115" cm="1">
        <f t="array" ref="AO166">IFERROR((SUMPRODUCT((TEXT($O163:$O177,"yyyymm")=TEXT(AO$8,"yyyymm")) * ($U163:$U177 * $N163:$N177*$R163:$R177*$Q163:$Q177)))+(SUMPRODUCT((TEXT($D163:$D177,"yyyymm")=TEXT(AO$8,"yyyymm")) * ($J163:$J177 * $C163:$C177*$G163:$G177*$F163:$F177))),0)</f>
        <v>0</v>
      </c>
      <c r="AP166" s="115" cm="1">
        <f t="array" ref="AP166">IFERROR((SUMPRODUCT((TEXT($O163:$O177,"yyyymm")=TEXT(AP$8,"yyyymm")) * ($U163:$U177 * $N163:$N177*$R163:$R177*$Q163:$Q177)))+(SUMPRODUCT((TEXT($D163:$D177,"yyyymm")=TEXT(AP$8,"yyyymm")) * ($J163:$J177 * $C163:$C177*$G163:$G177*$F163:$F177))),0)</f>
        <v>0</v>
      </c>
      <c r="AQ166" s="115" cm="1">
        <f t="array" ref="AQ166">IFERROR((SUMPRODUCT((TEXT($O163:$O177,"yyyymm")=TEXT(AQ$8,"yyyymm")) * ($U163:$U177 * $N163:$N177*$R163:$R177*$Q163:$Q177)))+(SUMPRODUCT((TEXT($D163:$D177,"yyyymm")=TEXT(AQ$8,"yyyymm")) * ($J163:$J177 * $C163:$C177*$G163:$G177*$F163:$F177))),0)</f>
        <v>0</v>
      </c>
      <c r="AR166" s="115" cm="1">
        <f t="array" ref="AR166">IFERROR((SUMPRODUCT((TEXT($O163:$O177,"yyyymm")=TEXT(AR$8,"yyyymm")) * ($U163:$U177 * $N163:$N177*$R163:$R177*$Q163:$Q177)))+(SUMPRODUCT((TEXT($D163:$D177,"yyyymm")=TEXT(AR$8,"yyyymm")) * ($J163:$J177 * $C163:$C177*$G163:$G177*$F163:$F177))),0)</f>
        <v>0</v>
      </c>
      <c r="AS166" s="115" cm="1">
        <f t="array" ref="AS166">IFERROR((SUMPRODUCT((TEXT($O163:$O177,"yyyymm")=TEXT(AS$8,"yyyymm")) * ($U163:$U177 * $N163:$N177*$R163:$R177*$Q163:$Q177)))+(SUMPRODUCT((TEXT($D163:$D177,"yyyymm")=TEXT(AS$8,"yyyymm")) * ($J163:$J177 * $C163:$C177*$G163:$G177*$F163:$F177))),0)</f>
        <v>0</v>
      </c>
      <c r="AT166" s="115" cm="1">
        <f t="array" ref="AT166">IFERROR((SUMPRODUCT((TEXT($O163:$O177,"yyyymm")=TEXT(AT$8,"yyyymm")) * ($U163:$U177 * $N163:$N177*$R163:$R177*$Q163:$Q177)))+(SUMPRODUCT((TEXT($D163:$D177,"yyyymm")=TEXT(AT$8,"yyyymm")) * ($J163:$J177 * $C163:$C177*$G163:$G177*$F163:$F177))),0)</f>
        <v>0</v>
      </c>
      <c r="AU166" s="115" cm="1">
        <f t="array" ref="AU166">IFERROR((SUMPRODUCT((TEXT($O163:$O177,"yyyymm")=TEXT(AU$8,"yyyymm")) * ($U163:$U177 * $N163:$N177*$R163:$R177*$Q163:$Q177)))+(SUMPRODUCT((TEXT($D163:$D177,"yyyymm")=TEXT(AU$8,"yyyymm")) * ($J163:$J177 * $C163:$C177*$G163:$G177*$F163:$F177))),0)</f>
        <v>0</v>
      </c>
      <c r="AV166" s="209">
        <f t="shared" si="296"/>
        <v>0</v>
      </c>
      <c r="DB166" s="133">
        <f t="shared" si="294"/>
        <v>0</v>
      </c>
      <c r="DC166" s="132">
        <f t="shared" si="294"/>
        <v>0</v>
      </c>
      <c r="DD166" s="132">
        <f t="shared" si="294"/>
        <v>0</v>
      </c>
      <c r="DE166" s="132">
        <f t="shared" si="294"/>
        <v>0</v>
      </c>
      <c r="DF166" s="132">
        <f t="shared" si="294"/>
        <v>0</v>
      </c>
      <c r="DG166" s="132">
        <f t="shared" si="294"/>
        <v>0</v>
      </c>
      <c r="DH166" s="132">
        <f t="shared" si="294"/>
        <v>0</v>
      </c>
      <c r="DI166" s="132">
        <f t="shared" si="294"/>
        <v>0</v>
      </c>
      <c r="DJ166" s="132">
        <f t="shared" si="294"/>
        <v>0</v>
      </c>
      <c r="DK166" s="132">
        <f t="shared" si="294"/>
        <v>0</v>
      </c>
      <c r="DL166" s="132">
        <f t="shared" si="294"/>
        <v>0</v>
      </c>
      <c r="DM166" s="134">
        <f t="shared" si="294"/>
        <v>0</v>
      </c>
      <c r="DN166" s="115">
        <f t="shared" si="294"/>
        <v>0</v>
      </c>
      <c r="DO166" s="115">
        <f t="shared" si="294"/>
        <v>0</v>
      </c>
      <c r="DP166" s="115">
        <f t="shared" si="294"/>
        <v>0</v>
      </c>
      <c r="DQ166" s="115">
        <f t="shared" si="294"/>
        <v>0</v>
      </c>
      <c r="DR166" s="115">
        <f t="shared" si="295"/>
        <v>0</v>
      </c>
      <c r="DS166" s="115">
        <f t="shared" si="295"/>
        <v>0</v>
      </c>
      <c r="DT166" s="115">
        <f t="shared" si="295"/>
        <v>0</v>
      </c>
      <c r="DU166" s="115">
        <f t="shared" si="295"/>
        <v>0</v>
      </c>
      <c r="DV166" s="115">
        <f t="shared" si="295"/>
        <v>0</v>
      </c>
      <c r="DW166" s="115">
        <f t="shared" si="295"/>
        <v>0</v>
      </c>
      <c r="DX166" s="115">
        <f t="shared" si="295"/>
        <v>0</v>
      </c>
      <c r="DY166" s="115">
        <f t="shared" si="295"/>
        <v>0</v>
      </c>
    </row>
    <row r="167" spans="1:129" ht="17.5" x14ac:dyDescent="0.35">
      <c r="B167" s="6" t="str">
        <f t="shared" si="288"/>
        <v/>
      </c>
      <c r="C167" s="137"/>
      <c r="D167" s="155"/>
      <c r="E167" s="145"/>
      <c r="F167" s="118">
        <f t="shared" si="291"/>
        <v>0</v>
      </c>
      <c r="G167" s="146"/>
      <c r="H167" s="347">
        <f t="shared" si="292"/>
        <v>0</v>
      </c>
      <c r="I167" s="146"/>
      <c r="J167" s="156"/>
      <c r="K167" s="116"/>
      <c r="L167" s="118"/>
      <c r="M167" s="6"/>
      <c r="N167" s="137"/>
      <c r="O167" s="155"/>
      <c r="P167" s="145"/>
      <c r="Q167" s="118">
        <f t="shared" si="289"/>
        <v>0</v>
      </c>
      <c r="R167" s="146"/>
      <c r="S167" s="347">
        <f t="shared" si="293"/>
        <v>0</v>
      </c>
      <c r="T167" s="146"/>
      <c r="U167" s="156"/>
      <c r="W167" s="176" t="s">
        <v>273</v>
      </c>
      <c r="X167" s="90">
        <f>SUM(X164:X166)</f>
        <v>0</v>
      </c>
      <c r="Y167" s="90">
        <f t="shared" ref="Y167:AV167" si="297">SUM(Y164:Y166)</f>
        <v>0</v>
      </c>
      <c r="Z167" s="90">
        <f t="shared" si="297"/>
        <v>0</v>
      </c>
      <c r="AA167" s="90">
        <f t="shared" si="297"/>
        <v>0</v>
      </c>
      <c r="AB167" s="90">
        <f t="shared" si="297"/>
        <v>0</v>
      </c>
      <c r="AC167" s="90">
        <f t="shared" si="297"/>
        <v>0</v>
      </c>
      <c r="AD167" s="90">
        <f t="shared" si="297"/>
        <v>0</v>
      </c>
      <c r="AE167" s="90">
        <f t="shared" si="297"/>
        <v>0</v>
      </c>
      <c r="AF167" s="90">
        <f t="shared" si="297"/>
        <v>0</v>
      </c>
      <c r="AG167" s="90">
        <f t="shared" si="297"/>
        <v>0</v>
      </c>
      <c r="AH167" s="90">
        <f t="shared" si="297"/>
        <v>0</v>
      </c>
      <c r="AI167" s="90">
        <f t="shared" si="297"/>
        <v>0</v>
      </c>
      <c r="AJ167" s="90">
        <f t="shared" si="297"/>
        <v>0</v>
      </c>
      <c r="AK167" s="90">
        <f t="shared" si="297"/>
        <v>0</v>
      </c>
      <c r="AL167" s="90">
        <f t="shared" si="297"/>
        <v>0</v>
      </c>
      <c r="AM167" s="90">
        <f t="shared" si="297"/>
        <v>0</v>
      </c>
      <c r="AN167" s="90">
        <f t="shared" si="297"/>
        <v>0</v>
      </c>
      <c r="AO167" s="90">
        <f t="shared" si="297"/>
        <v>0</v>
      </c>
      <c r="AP167" s="90">
        <f t="shared" si="297"/>
        <v>0</v>
      </c>
      <c r="AQ167" s="90">
        <f t="shared" si="297"/>
        <v>0</v>
      </c>
      <c r="AR167" s="90">
        <f t="shared" si="297"/>
        <v>0</v>
      </c>
      <c r="AS167" s="90">
        <f t="shared" si="297"/>
        <v>0</v>
      </c>
      <c r="AT167" s="90">
        <f t="shared" si="297"/>
        <v>0</v>
      </c>
      <c r="AU167" s="177">
        <f t="shared" si="297"/>
        <v>0</v>
      </c>
      <c r="AV167" s="90">
        <f t="shared" si="297"/>
        <v>0</v>
      </c>
      <c r="DB167" s="133">
        <f t="shared" si="294"/>
        <v>0</v>
      </c>
      <c r="DC167" s="132">
        <f t="shared" si="294"/>
        <v>0</v>
      </c>
      <c r="DD167" s="132">
        <f t="shared" si="294"/>
        <v>0</v>
      </c>
      <c r="DE167" s="132">
        <f t="shared" si="294"/>
        <v>0</v>
      </c>
      <c r="DF167" s="132">
        <f t="shared" si="294"/>
        <v>0</v>
      </c>
      <c r="DG167" s="132">
        <f t="shared" si="294"/>
        <v>0</v>
      </c>
      <c r="DH167" s="132">
        <f t="shared" si="294"/>
        <v>0</v>
      </c>
      <c r="DI167" s="132">
        <f t="shared" si="294"/>
        <v>0</v>
      </c>
      <c r="DJ167" s="132">
        <f t="shared" si="294"/>
        <v>0</v>
      </c>
      <c r="DK167" s="132">
        <f t="shared" si="294"/>
        <v>0</v>
      </c>
      <c r="DL167" s="132">
        <f t="shared" si="294"/>
        <v>0</v>
      </c>
      <c r="DM167" s="134">
        <f t="shared" si="294"/>
        <v>0</v>
      </c>
      <c r="DN167" s="115">
        <f t="shared" si="294"/>
        <v>0</v>
      </c>
      <c r="DO167" s="115">
        <f t="shared" si="294"/>
        <v>0</v>
      </c>
      <c r="DP167" s="115">
        <f t="shared" si="294"/>
        <v>0</v>
      </c>
      <c r="DQ167" s="115">
        <f t="shared" si="294"/>
        <v>0</v>
      </c>
      <c r="DR167" s="115">
        <f t="shared" si="295"/>
        <v>0</v>
      </c>
      <c r="DS167" s="115">
        <f t="shared" si="295"/>
        <v>0</v>
      </c>
      <c r="DT167" s="115">
        <f t="shared" si="295"/>
        <v>0</v>
      </c>
      <c r="DU167" s="115">
        <f t="shared" si="295"/>
        <v>0</v>
      </c>
      <c r="DV167" s="115">
        <f t="shared" si="295"/>
        <v>0</v>
      </c>
      <c r="DW167" s="115">
        <f t="shared" si="295"/>
        <v>0</v>
      </c>
      <c r="DX167" s="115">
        <f t="shared" si="295"/>
        <v>0</v>
      </c>
      <c r="DY167" s="115">
        <f t="shared" si="295"/>
        <v>0</v>
      </c>
    </row>
    <row r="168" spans="1:129" x14ac:dyDescent="0.35">
      <c r="B168" s="6" t="str">
        <f t="shared" si="288"/>
        <v/>
      </c>
      <c r="D168" s="155"/>
      <c r="E168" s="145"/>
      <c r="F168" s="118">
        <f t="shared" si="291"/>
        <v>0</v>
      </c>
      <c r="G168" s="146"/>
      <c r="H168" s="347">
        <f t="shared" si="292"/>
        <v>0</v>
      </c>
      <c r="I168" s="146"/>
      <c r="J168" s="156"/>
      <c r="L168" s="118"/>
      <c r="O168" s="155"/>
      <c r="P168" s="145"/>
      <c r="Q168" s="118">
        <f t="shared" si="289"/>
        <v>0</v>
      </c>
      <c r="R168" s="146"/>
      <c r="S168" s="347">
        <f t="shared" si="293"/>
        <v>0</v>
      </c>
      <c r="T168" s="146"/>
      <c r="U168" s="156"/>
      <c r="DB168" s="133">
        <f t="shared" si="294"/>
        <v>0</v>
      </c>
      <c r="DC168" s="132">
        <f t="shared" si="294"/>
        <v>0</v>
      </c>
      <c r="DD168" s="132">
        <f t="shared" si="294"/>
        <v>0</v>
      </c>
      <c r="DE168" s="132">
        <f t="shared" si="294"/>
        <v>0</v>
      </c>
      <c r="DF168" s="132">
        <f t="shared" si="294"/>
        <v>0</v>
      </c>
      <c r="DG168" s="132">
        <f t="shared" si="294"/>
        <v>0</v>
      </c>
      <c r="DH168" s="132">
        <f t="shared" si="294"/>
        <v>0</v>
      </c>
      <c r="DI168" s="132">
        <f t="shared" si="294"/>
        <v>0</v>
      </c>
      <c r="DJ168" s="132">
        <f t="shared" si="294"/>
        <v>0</v>
      </c>
      <c r="DK168" s="132">
        <f t="shared" si="294"/>
        <v>0</v>
      </c>
      <c r="DL168" s="132">
        <f t="shared" si="294"/>
        <v>0</v>
      </c>
      <c r="DM168" s="134">
        <f t="shared" si="294"/>
        <v>0</v>
      </c>
      <c r="DN168" s="115">
        <f t="shared" si="294"/>
        <v>0</v>
      </c>
      <c r="DO168" s="115">
        <f t="shared" si="294"/>
        <v>0</v>
      </c>
      <c r="DP168" s="115">
        <f t="shared" si="294"/>
        <v>0</v>
      </c>
      <c r="DQ168" s="115">
        <f t="shared" si="294"/>
        <v>0</v>
      </c>
      <c r="DR168" s="115">
        <f t="shared" si="295"/>
        <v>0</v>
      </c>
      <c r="DS168" s="115">
        <f t="shared" si="295"/>
        <v>0</v>
      </c>
      <c r="DT168" s="115">
        <f t="shared" si="295"/>
        <v>0</v>
      </c>
      <c r="DU168" s="115">
        <f t="shared" si="295"/>
        <v>0</v>
      </c>
      <c r="DV168" s="115">
        <f t="shared" si="295"/>
        <v>0</v>
      </c>
      <c r="DW168" s="115">
        <f t="shared" si="295"/>
        <v>0</v>
      </c>
      <c r="DX168" s="115">
        <f t="shared" si="295"/>
        <v>0</v>
      </c>
      <c r="DY168" s="115">
        <f t="shared" si="295"/>
        <v>0</v>
      </c>
    </row>
    <row r="169" spans="1:129" x14ac:dyDescent="0.35">
      <c r="B169" s="6" t="str">
        <f t="shared" si="288"/>
        <v/>
      </c>
      <c r="C169" s="137"/>
      <c r="D169" s="155"/>
      <c r="E169" s="145"/>
      <c r="F169" s="118">
        <f t="shared" si="291"/>
        <v>0</v>
      </c>
      <c r="G169" s="146"/>
      <c r="H169" s="347">
        <f t="shared" si="292"/>
        <v>0</v>
      </c>
      <c r="I169" s="148"/>
      <c r="J169" s="156"/>
      <c r="K169" s="116"/>
      <c r="L169" s="118"/>
      <c r="M169" s="6"/>
      <c r="N169" s="137"/>
      <c r="O169" s="155"/>
      <c r="P169" s="145"/>
      <c r="Q169" s="118">
        <f t="shared" si="289"/>
        <v>0</v>
      </c>
      <c r="R169" s="146"/>
      <c r="S169" s="347">
        <f t="shared" si="293"/>
        <v>0</v>
      </c>
      <c r="T169" s="148"/>
      <c r="U169" s="156"/>
      <c r="W169" s="171" t="s">
        <v>315</v>
      </c>
      <c r="AK169" s="115"/>
      <c r="DB169" s="133">
        <f t="shared" si="294"/>
        <v>0</v>
      </c>
      <c r="DC169" s="132">
        <f t="shared" si="294"/>
        <v>0</v>
      </c>
      <c r="DD169" s="132">
        <f t="shared" si="294"/>
        <v>0</v>
      </c>
      <c r="DE169" s="132">
        <f t="shared" si="294"/>
        <v>0</v>
      </c>
      <c r="DF169" s="132">
        <f t="shared" si="294"/>
        <v>0</v>
      </c>
      <c r="DG169" s="132">
        <f t="shared" si="294"/>
        <v>0</v>
      </c>
      <c r="DH169" s="132">
        <f t="shared" si="294"/>
        <v>0</v>
      </c>
      <c r="DI169" s="132">
        <f t="shared" si="294"/>
        <v>0</v>
      </c>
      <c r="DJ169" s="132">
        <f t="shared" si="294"/>
        <v>0</v>
      </c>
      <c r="DK169" s="132">
        <f t="shared" si="294"/>
        <v>0</v>
      </c>
      <c r="DL169" s="132">
        <f t="shared" si="294"/>
        <v>0</v>
      </c>
      <c r="DM169" s="134">
        <f t="shared" si="294"/>
        <v>0</v>
      </c>
      <c r="DN169" s="115">
        <f t="shared" si="294"/>
        <v>0</v>
      </c>
      <c r="DO169" s="115">
        <f t="shared" si="294"/>
        <v>0</v>
      </c>
      <c r="DP169" s="115">
        <f t="shared" si="294"/>
        <v>0</v>
      </c>
      <c r="DQ169" s="115">
        <f t="shared" si="294"/>
        <v>0</v>
      </c>
      <c r="DR169" s="115">
        <f t="shared" si="295"/>
        <v>0</v>
      </c>
      <c r="DS169" s="115">
        <f t="shared" si="295"/>
        <v>0</v>
      </c>
      <c r="DT169" s="115">
        <f t="shared" si="295"/>
        <v>0</v>
      </c>
      <c r="DU169" s="115">
        <f t="shared" si="295"/>
        <v>0</v>
      </c>
      <c r="DV169" s="115">
        <f t="shared" si="295"/>
        <v>0</v>
      </c>
      <c r="DW169" s="115">
        <f t="shared" si="295"/>
        <v>0</v>
      </c>
      <c r="DX169" s="115">
        <f t="shared" si="295"/>
        <v>0</v>
      </c>
      <c r="DY169" s="115">
        <f t="shared" si="295"/>
        <v>0</v>
      </c>
    </row>
    <row r="170" spans="1:129" x14ac:dyDescent="0.35">
      <c r="B170" s="6" t="str">
        <f t="shared" si="288"/>
        <v/>
      </c>
      <c r="C170" s="137"/>
      <c r="D170" s="155"/>
      <c r="E170" s="145"/>
      <c r="F170" s="118">
        <f t="shared" si="291"/>
        <v>0</v>
      </c>
      <c r="G170" s="146"/>
      <c r="H170" s="347">
        <f t="shared" si="292"/>
        <v>0</v>
      </c>
      <c r="I170" s="148"/>
      <c r="J170" s="156"/>
      <c r="K170" s="116"/>
      <c r="L170" s="118"/>
      <c r="M170" s="6"/>
      <c r="N170" s="137"/>
      <c r="O170" s="155"/>
      <c r="P170" s="145"/>
      <c r="Q170" s="118">
        <f t="shared" si="289"/>
        <v>0</v>
      </c>
      <c r="R170" s="146"/>
      <c r="S170" s="347">
        <f t="shared" si="293"/>
        <v>0</v>
      </c>
      <c r="T170" s="148"/>
      <c r="U170" s="156"/>
      <c r="W170" s="171" t="s">
        <v>316</v>
      </c>
      <c r="DB170" s="133">
        <f t="shared" si="294"/>
        <v>0</v>
      </c>
      <c r="DC170" s="132">
        <f t="shared" si="294"/>
        <v>0</v>
      </c>
      <c r="DD170" s="132">
        <f t="shared" si="294"/>
        <v>0</v>
      </c>
      <c r="DE170" s="132">
        <f t="shared" si="294"/>
        <v>0</v>
      </c>
      <c r="DF170" s="132">
        <f t="shared" si="294"/>
        <v>0</v>
      </c>
      <c r="DG170" s="132">
        <f t="shared" si="294"/>
        <v>0</v>
      </c>
      <c r="DH170" s="132">
        <f t="shared" si="294"/>
        <v>0</v>
      </c>
      <c r="DI170" s="132">
        <f t="shared" si="294"/>
        <v>0</v>
      </c>
      <c r="DJ170" s="132">
        <f t="shared" si="294"/>
        <v>0</v>
      </c>
      <c r="DK170" s="132">
        <f t="shared" si="294"/>
        <v>0</v>
      </c>
      <c r="DL170" s="132">
        <f t="shared" si="294"/>
        <v>0</v>
      </c>
      <c r="DM170" s="134">
        <f t="shared" si="294"/>
        <v>0</v>
      </c>
      <c r="DN170" s="115">
        <f t="shared" si="294"/>
        <v>0</v>
      </c>
      <c r="DO170" s="115">
        <f t="shared" si="294"/>
        <v>0</v>
      </c>
      <c r="DP170" s="115">
        <f t="shared" si="294"/>
        <v>0</v>
      </c>
      <c r="DQ170" s="115">
        <f t="shared" si="294"/>
        <v>0</v>
      </c>
      <c r="DR170" s="115">
        <f t="shared" si="295"/>
        <v>0</v>
      </c>
      <c r="DS170" s="115">
        <f t="shared" si="295"/>
        <v>0</v>
      </c>
      <c r="DT170" s="115">
        <f t="shared" si="295"/>
        <v>0</v>
      </c>
      <c r="DU170" s="115">
        <f t="shared" si="295"/>
        <v>0</v>
      </c>
      <c r="DV170" s="115">
        <f t="shared" si="295"/>
        <v>0</v>
      </c>
      <c r="DW170" s="115">
        <f t="shared" si="295"/>
        <v>0</v>
      </c>
      <c r="DX170" s="115">
        <f t="shared" si="295"/>
        <v>0</v>
      </c>
      <c r="DY170" s="115">
        <f t="shared" si="295"/>
        <v>0</v>
      </c>
    </row>
    <row r="171" spans="1:129" x14ac:dyDescent="0.35">
      <c r="B171" s="6" t="str">
        <f t="shared" si="288"/>
        <v/>
      </c>
      <c r="C171" s="137"/>
      <c r="D171" s="155"/>
      <c r="E171" s="145"/>
      <c r="F171" s="118">
        <f t="shared" si="291"/>
        <v>0</v>
      </c>
      <c r="G171" s="146"/>
      <c r="H171" s="347">
        <f t="shared" si="292"/>
        <v>0</v>
      </c>
      <c r="I171" s="148"/>
      <c r="J171" s="156"/>
      <c r="K171" s="116"/>
      <c r="L171" s="118"/>
      <c r="M171" s="6"/>
      <c r="N171" s="137"/>
      <c r="O171" s="155"/>
      <c r="P171" s="145"/>
      <c r="Q171" s="118">
        <f t="shared" si="289"/>
        <v>0</v>
      </c>
      <c r="R171" s="146"/>
      <c r="S171" s="347">
        <f t="shared" si="293"/>
        <v>0</v>
      </c>
      <c r="T171" s="148"/>
      <c r="U171" s="156"/>
      <c r="DB171" s="133">
        <f t="shared" si="294"/>
        <v>0</v>
      </c>
      <c r="DC171" s="132">
        <f t="shared" si="294"/>
        <v>0</v>
      </c>
      <c r="DD171" s="132">
        <f t="shared" si="294"/>
        <v>0</v>
      </c>
      <c r="DE171" s="132">
        <f t="shared" si="294"/>
        <v>0</v>
      </c>
      <c r="DF171" s="132">
        <f t="shared" si="294"/>
        <v>0</v>
      </c>
      <c r="DG171" s="132">
        <f t="shared" si="294"/>
        <v>0</v>
      </c>
      <c r="DH171" s="132">
        <f t="shared" si="294"/>
        <v>0</v>
      </c>
      <c r="DI171" s="132">
        <f t="shared" si="294"/>
        <v>0</v>
      </c>
      <c r="DJ171" s="132">
        <f t="shared" si="294"/>
        <v>0</v>
      </c>
      <c r="DK171" s="132">
        <f t="shared" si="294"/>
        <v>0</v>
      </c>
      <c r="DL171" s="132">
        <f t="shared" si="294"/>
        <v>0</v>
      </c>
      <c r="DM171" s="134">
        <f t="shared" si="294"/>
        <v>0</v>
      </c>
      <c r="DN171" s="115">
        <f t="shared" si="294"/>
        <v>0</v>
      </c>
      <c r="DO171" s="115">
        <f t="shared" si="294"/>
        <v>0</v>
      </c>
      <c r="DP171" s="115">
        <f t="shared" si="294"/>
        <v>0</v>
      </c>
      <c r="DQ171" s="115">
        <f t="shared" si="294"/>
        <v>0</v>
      </c>
      <c r="DR171" s="115">
        <f t="shared" si="295"/>
        <v>0</v>
      </c>
      <c r="DS171" s="115">
        <f t="shared" si="295"/>
        <v>0</v>
      </c>
      <c r="DT171" s="115">
        <f t="shared" si="295"/>
        <v>0</v>
      </c>
      <c r="DU171" s="115">
        <f t="shared" si="295"/>
        <v>0</v>
      </c>
      <c r="DV171" s="115">
        <f t="shared" si="295"/>
        <v>0</v>
      </c>
      <c r="DW171" s="115">
        <f t="shared" si="295"/>
        <v>0</v>
      </c>
      <c r="DX171" s="115">
        <f t="shared" si="295"/>
        <v>0</v>
      </c>
      <c r="DY171" s="115">
        <f t="shared" si="295"/>
        <v>0</v>
      </c>
    </row>
    <row r="172" spans="1:129" x14ac:dyDescent="0.35">
      <c r="B172" s="6" t="str">
        <f t="shared" si="288"/>
        <v/>
      </c>
      <c r="C172" s="137"/>
      <c r="D172" s="155"/>
      <c r="E172" s="145"/>
      <c r="F172" s="118">
        <f t="shared" si="291"/>
        <v>0</v>
      </c>
      <c r="G172" s="146"/>
      <c r="H172" s="347">
        <f t="shared" si="292"/>
        <v>0</v>
      </c>
      <c r="I172" s="148"/>
      <c r="J172" s="156"/>
      <c r="K172" s="116"/>
      <c r="L172" s="118"/>
      <c r="M172" s="6"/>
      <c r="N172" s="137"/>
      <c r="O172" s="155"/>
      <c r="P172" s="145"/>
      <c r="Q172" s="118">
        <f t="shared" si="289"/>
        <v>0</v>
      </c>
      <c r="R172" s="146"/>
      <c r="S172" s="347">
        <f t="shared" si="293"/>
        <v>0</v>
      </c>
      <c r="T172" s="148"/>
      <c r="U172" s="156"/>
      <c r="DB172" s="133">
        <f t="shared" si="294"/>
        <v>0</v>
      </c>
      <c r="DC172" s="132">
        <f t="shared" si="294"/>
        <v>0</v>
      </c>
      <c r="DD172" s="132">
        <f t="shared" si="294"/>
        <v>0</v>
      </c>
      <c r="DE172" s="132">
        <f t="shared" si="294"/>
        <v>0</v>
      </c>
      <c r="DF172" s="132">
        <f t="shared" si="294"/>
        <v>0</v>
      </c>
      <c r="DG172" s="132">
        <f t="shared" si="294"/>
        <v>0</v>
      </c>
      <c r="DH172" s="132">
        <f t="shared" si="294"/>
        <v>0</v>
      </c>
      <c r="DI172" s="132">
        <f t="shared" si="294"/>
        <v>0</v>
      </c>
      <c r="DJ172" s="132">
        <f t="shared" si="294"/>
        <v>0</v>
      </c>
      <c r="DK172" s="132">
        <f t="shared" si="294"/>
        <v>0</v>
      </c>
      <c r="DL172" s="132">
        <f t="shared" si="294"/>
        <v>0</v>
      </c>
      <c r="DM172" s="134">
        <f t="shared" si="294"/>
        <v>0</v>
      </c>
      <c r="DN172" s="115">
        <f t="shared" si="294"/>
        <v>0</v>
      </c>
      <c r="DO172" s="115">
        <f t="shared" si="294"/>
        <v>0</v>
      </c>
      <c r="DP172" s="115">
        <f t="shared" si="294"/>
        <v>0</v>
      </c>
      <c r="DQ172" s="115">
        <f t="shared" si="294"/>
        <v>0</v>
      </c>
      <c r="DR172" s="115">
        <f t="shared" si="295"/>
        <v>0</v>
      </c>
      <c r="DS172" s="115">
        <f t="shared" si="295"/>
        <v>0</v>
      </c>
      <c r="DT172" s="115">
        <f t="shared" si="295"/>
        <v>0</v>
      </c>
      <c r="DU172" s="115">
        <f t="shared" si="295"/>
        <v>0</v>
      </c>
      <c r="DV172" s="115">
        <f t="shared" si="295"/>
        <v>0</v>
      </c>
      <c r="DW172" s="115">
        <f t="shared" si="295"/>
        <v>0</v>
      </c>
      <c r="DX172" s="115">
        <f t="shared" si="295"/>
        <v>0</v>
      </c>
      <c r="DY172" s="115">
        <f t="shared" si="295"/>
        <v>0</v>
      </c>
    </row>
    <row r="173" spans="1:129" x14ac:dyDescent="0.35">
      <c r="B173" s="6" t="str">
        <f t="shared" si="288"/>
        <v/>
      </c>
      <c r="C173" s="137"/>
      <c r="D173" s="155"/>
      <c r="E173" s="145"/>
      <c r="F173" s="118">
        <f t="shared" si="291"/>
        <v>0</v>
      </c>
      <c r="G173" s="146"/>
      <c r="H173" s="347">
        <f t="shared" si="292"/>
        <v>0</v>
      </c>
      <c r="I173" s="148"/>
      <c r="J173" s="156"/>
      <c r="K173" s="116"/>
      <c r="L173" s="118"/>
      <c r="M173" s="6"/>
      <c r="N173" s="137"/>
      <c r="O173" s="155"/>
      <c r="P173" s="145"/>
      <c r="Q173" s="118">
        <f t="shared" si="289"/>
        <v>0</v>
      </c>
      <c r="R173" s="146"/>
      <c r="S173" s="347">
        <f t="shared" si="293"/>
        <v>0</v>
      </c>
      <c r="T173" s="148"/>
      <c r="U173" s="156"/>
      <c r="DB173" s="133">
        <f t="shared" si="294"/>
        <v>0</v>
      </c>
      <c r="DC173" s="132">
        <f t="shared" si="294"/>
        <v>0</v>
      </c>
      <c r="DD173" s="132">
        <f t="shared" si="294"/>
        <v>0</v>
      </c>
      <c r="DE173" s="132">
        <f t="shared" si="294"/>
        <v>0</v>
      </c>
      <c r="DF173" s="132">
        <f t="shared" si="294"/>
        <v>0</v>
      </c>
      <c r="DG173" s="132">
        <f t="shared" si="294"/>
        <v>0</v>
      </c>
      <c r="DH173" s="132">
        <f t="shared" si="294"/>
        <v>0</v>
      </c>
      <c r="DI173" s="132">
        <f t="shared" si="294"/>
        <v>0</v>
      </c>
      <c r="DJ173" s="132">
        <f t="shared" si="294"/>
        <v>0</v>
      </c>
      <c r="DK173" s="132">
        <f t="shared" si="294"/>
        <v>0</v>
      </c>
      <c r="DL173" s="132">
        <f t="shared" si="294"/>
        <v>0</v>
      </c>
      <c r="DM173" s="134">
        <f t="shared" si="294"/>
        <v>0</v>
      </c>
      <c r="DN173" s="115">
        <f t="shared" si="294"/>
        <v>0</v>
      </c>
      <c r="DO173" s="115">
        <f t="shared" si="294"/>
        <v>0</v>
      </c>
      <c r="DP173" s="115">
        <f t="shared" si="294"/>
        <v>0</v>
      </c>
      <c r="DQ173" s="115">
        <f t="shared" si="294"/>
        <v>0</v>
      </c>
      <c r="DR173" s="115">
        <f t="shared" si="295"/>
        <v>0</v>
      </c>
      <c r="DS173" s="115">
        <f t="shared" si="295"/>
        <v>0</v>
      </c>
      <c r="DT173" s="115">
        <f t="shared" si="295"/>
        <v>0</v>
      </c>
      <c r="DU173" s="115">
        <f t="shared" si="295"/>
        <v>0</v>
      </c>
      <c r="DV173" s="115">
        <f t="shared" si="295"/>
        <v>0</v>
      </c>
      <c r="DW173" s="115">
        <f t="shared" si="295"/>
        <v>0</v>
      </c>
      <c r="DX173" s="115">
        <f t="shared" si="295"/>
        <v>0</v>
      </c>
      <c r="DY173" s="115">
        <f t="shared" si="295"/>
        <v>0</v>
      </c>
    </row>
    <row r="174" spans="1:129" x14ac:dyDescent="0.35">
      <c r="B174" s="6" t="str">
        <f t="shared" si="288"/>
        <v/>
      </c>
      <c r="C174" s="137"/>
      <c r="D174" s="155"/>
      <c r="E174" s="145"/>
      <c r="F174" s="118">
        <f t="shared" si="291"/>
        <v>0</v>
      </c>
      <c r="G174" s="146"/>
      <c r="H174" s="347">
        <f t="shared" si="292"/>
        <v>0</v>
      </c>
      <c r="I174" s="146"/>
      <c r="J174" s="156"/>
      <c r="K174" s="116"/>
      <c r="L174" s="118"/>
      <c r="M174" s="6"/>
      <c r="N174" s="137"/>
      <c r="O174" s="155"/>
      <c r="P174" s="145"/>
      <c r="Q174" s="118">
        <f t="shared" si="289"/>
        <v>0</v>
      </c>
      <c r="R174" s="146"/>
      <c r="S174" s="347">
        <f t="shared" si="293"/>
        <v>0</v>
      </c>
      <c r="T174" s="146"/>
      <c r="U174" s="156"/>
      <c r="DB174" s="133">
        <f t="shared" si="294"/>
        <v>0</v>
      </c>
      <c r="DC174" s="132">
        <f t="shared" si="294"/>
        <v>0</v>
      </c>
      <c r="DD174" s="132">
        <f t="shared" si="294"/>
        <v>0</v>
      </c>
      <c r="DE174" s="132">
        <f t="shared" si="294"/>
        <v>0</v>
      </c>
      <c r="DF174" s="132">
        <f t="shared" si="294"/>
        <v>0</v>
      </c>
      <c r="DG174" s="132">
        <f t="shared" si="294"/>
        <v>0</v>
      </c>
      <c r="DH174" s="132">
        <f t="shared" si="294"/>
        <v>0</v>
      </c>
      <c r="DI174" s="132">
        <f t="shared" si="294"/>
        <v>0</v>
      </c>
      <c r="DJ174" s="132">
        <f t="shared" si="294"/>
        <v>0</v>
      </c>
      <c r="DK174" s="132">
        <f t="shared" si="294"/>
        <v>0</v>
      </c>
      <c r="DL174" s="132">
        <f t="shared" si="294"/>
        <v>0</v>
      </c>
      <c r="DM174" s="134">
        <f t="shared" si="294"/>
        <v>0</v>
      </c>
      <c r="DN174" s="115">
        <f t="shared" si="294"/>
        <v>0</v>
      </c>
      <c r="DO174" s="115">
        <f t="shared" si="294"/>
        <v>0</v>
      </c>
      <c r="DP174" s="115">
        <f t="shared" si="294"/>
        <v>0</v>
      </c>
      <c r="DQ174" s="115">
        <f t="shared" si="294"/>
        <v>0</v>
      </c>
      <c r="DR174" s="115">
        <f t="shared" si="295"/>
        <v>0</v>
      </c>
      <c r="DS174" s="115">
        <f t="shared" si="295"/>
        <v>0</v>
      </c>
      <c r="DT174" s="115">
        <f t="shared" si="295"/>
        <v>0</v>
      </c>
      <c r="DU174" s="115">
        <f t="shared" si="295"/>
        <v>0</v>
      </c>
      <c r="DV174" s="115">
        <f t="shared" si="295"/>
        <v>0</v>
      </c>
      <c r="DW174" s="115">
        <f t="shared" si="295"/>
        <v>0</v>
      </c>
      <c r="DX174" s="115">
        <f t="shared" si="295"/>
        <v>0</v>
      </c>
      <c r="DY174" s="115">
        <f t="shared" si="295"/>
        <v>0</v>
      </c>
    </row>
    <row r="175" spans="1:129" x14ac:dyDescent="0.35">
      <c r="B175" s="6" t="str">
        <f t="shared" si="288"/>
        <v/>
      </c>
      <c r="C175" s="137"/>
      <c r="D175" s="155"/>
      <c r="E175" s="145"/>
      <c r="F175" s="118">
        <f t="shared" si="291"/>
        <v>0</v>
      </c>
      <c r="G175" s="146"/>
      <c r="H175" s="347">
        <f t="shared" si="292"/>
        <v>0</v>
      </c>
      <c r="I175" s="146"/>
      <c r="J175" s="156"/>
      <c r="K175" s="116"/>
      <c r="L175" s="118"/>
      <c r="M175" s="6"/>
      <c r="N175" s="137"/>
      <c r="O175" s="155"/>
      <c r="P175" s="145"/>
      <c r="Q175" s="118">
        <f t="shared" si="289"/>
        <v>0</v>
      </c>
      <c r="R175" s="146"/>
      <c r="S175" s="347">
        <f t="shared" si="293"/>
        <v>0</v>
      </c>
      <c r="T175" s="146"/>
      <c r="U175" s="156"/>
      <c r="DB175" s="133">
        <f t="shared" si="294"/>
        <v>0</v>
      </c>
      <c r="DC175" s="132">
        <f t="shared" si="294"/>
        <v>0</v>
      </c>
      <c r="DD175" s="132">
        <f t="shared" si="294"/>
        <v>0</v>
      </c>
      <c r="DE175" s="132">
        <f t="shared" si="294"/>
        <v>0</v>
      </c>
      <c r="DF175" s="132">
        <f t="shared" si="294"/>
        <v>0</v>
      </c>
      <c r="DG175" s="132">
        <f t="shared" si="294"/>
        <v>0</v>
      </c>
      <c r="DH175" s="132">
        <f t="shared" si="294"/>
        <v>0</v>
      </c>
      <c r="DI175" s="132">
        <f t="shared" si="294"/>
        <v>0</v>
      </c>
      <c r="DJ175" s="132">
        <f t="shared" si="294"/>
        <v>0</v>
      </c>
      <c r="DK175" s="132">
        <f t="shared" si="294"/>
        <v>0</v>
      </c>
      <c r="DL175" s="132">
        <f t="shared" si="294"/>
        <v>0</v>
      </c>
      <c r="DM175" s="134">
        <f t="shared" si="294"/>
        <v>0</v>
      </c>
      <c r="DN175" s="115">
        <f t="shared" si="294"/>
        <v>0</v>
      </c>
      <c r="DO175" s="115">
        <f t="shared" si="294"/>
        <v>0</v>
      </c>
      <c r="DP175" s="115">
        <f t="shared" si="294"/>
        <v>0</v>
      </c>
      <c r="DQ175" s="115">
        <f t="shared" si="294"/>
        <v>0</v>
      </c>
      <c r="DR175" s="115">
        <f t="shared" si="295"/>
        <v>0</v>
      </c>
      <c r="DS175" s="115">
        <f t="shared" si="295"/>
        <v>0</v>
      </c>
      <c r="DT175" s="115">
        <f t="shared" si="295"/>
        <v>0</v>
      </c>
      <c r="DU175" s="115">
        <f t="shared" si="295"/>
        <v>0</v>
      </c>
      <c r="DV175" s="115">
        <f t="shared" si="295"/>
        <v>0</v>
      </c>
      <c r="DW175" s="115">
        <f t="shared" si="295"/>
        <v>0</v>
      </c>
      <c r="DX175" s="115">
        <f t="shared" si="295"/>
        <v>0</v>
      </c>
      <c r="DY175" s="115">
        <f t="shared" si="295"/>
        <v>0</v>
      </c>
    </row>
    <row r="176" spans="1:129" x14ac:dyDescent="0.35">
      <c r="B176" s="6" t="str">
        <f t="shared" si="288"/>
        <v/>
      </c>
      <c r="C176" s="137"/>
      <c r="D176" s="155"/>
      <c r="E176" s="145"/>
      <c r="F176" s="118">
        <f t="shared" si="291"/>
        <v>0</v>
      </c>
      <c r="G176" s="146"/>
      <c r="H176" s="347">
        <f t="shared" si="292"/>
        <v>0</v>
      </c>
      <c r="I176" s="146"/>
      <c r="J176" s="156"/>
      <c r="K176" s="116"/>
      <c r="L176" s="118"/>
      <c r="M176" s="6"/>
      <c r="N176" s="137"/>
      <c r="O176" s="155"/>
      <c r="P176" s="145"/>
      <c r="Q176" s="118">
        <f t="shared" si="289"/>
        <v>0</v>
      </c>
      <c r="R176" s="146"/>
      <c r="S176" s="347">
        <f t="shared" si="293"/>
        <v>0</v>
      </c>
      <c r="T176" s="146"/>
      <c r="U176" s="156"/>
      <c r="DB176" s="133">
        <f t="shared" si="294"/>
        <v>0</v>
      </c>
      <c r="DC176" s="132">
        <f t="shared" si="294"/>
        <v>0</v>
      </c>
      <c r="DD176" s="132">
        <f t="shared" si="294"/>
        <v>0</v>
      </c>
      <c r="DE176" s="132">
        <f t="shared" si="294"/>
        <v>0</v>
      </c>
      <c r="DF176" s="132">
        <f t="shared" si="294"/>
        <v>0</v>
      </c>
      <c r="DG176" s="132">
        <f t="shared" si="294"/>
        <v>0</v>
      </c>
      <c r="DH176" s="132">
        <f t="shared" si="294"/>
        <v>0</v>
      </c>
      <c r="DI176" s="132">
        <f t="shared" si="294"/>
        <v>0</v>
      </c>
      <c r="DJ176" s="132">
        <f t="shared" si="294"/>
        <v>0</v>
      </c>
      <c r="DK176" s="132">
        <f t="shared" si="294"/>
        <v>0</v>
      </c>
      <c r="DL176" s="132">
        <f t="shared" si="294"/>
        <v>0</v>
      </c>
      <c r="DM176" s="134">
        <f t="shared" si="294"/>
        <v>0</v>
      </c>
      <c r="DN176" s="115">
        <f t="shared" si="294"/>
        <v>0</v>
      </c>
      <c r="DO176" s="115">
        <f t="shared" si="294"/>
        <v>0</v>
      </c>
      <c r="DP176" s="115">
        <f t="shared" si="294"/>
        <v>0</v>
      </c>
      <c r="DQ176" s="115">
        <f t="shared" si="294"/>
        <v>0</v>
      </c>
      <c r="DR176" s="115">
        <f t="shared" si="295"/>
        <v>0</v>
      </c>
      <c r="DS176" s="115">
        <f t="shared" si="295"/>
        <v>0</v>
      </c>
      <c r="DT176" s="115">
        <f t="shared" si="295"/>
        <v>0</v>
      </c>
      <c r="DU176" s="115">
        <f t="shared" si="295"/>
        <v>0</v>
      </c>
      <c r="DV176" s="115">
        <f t="shared" si="295"/>
        <v>0</v>
      </c>
      <c r="DW176" s="115">
        <f t="shared" si="295"/>
        <v>0</v>
      </c>
      <c r="DX176" s="115">
        <f t="shared" si="295"/>
        <v>0</v>
      </c>
      <c r="DY176" s="115">
        <f t="shared" si="295"/>
        <v>0</v>
      </c>
    </row>
    <row r="177" spans="1:129" x14ac:dyDescent="0.35">
      <c r="A177" s="129"/>
      <c r="B177" s="15" t="str">
        <f t="shared" si="288"/>
        <v/>
      </c>
      <c r="C177" s="138"/>
      <c r="D177" s="157"/>
      <c r="E177" s="149"/>
      <c r="F177" s="129">
        <f t="shared" si="291"/>
        <v>0</v>
      </c>
      <c r="G177" s="150"/>
      <c r="H177" s="348">
        <f t="shared" si="292"/>
        <v>0</v>
      </c>
      <c r="I177" s="150"/>
      <c r="J177" s="158"/>
      <c r="K177" s="116"/>
      <c r="L177" s="129"/>
      <c r="M177" s="15"/>
      <c r="N177" s="138"/>
      <c r="O177" s="157"/>
      <c r="P177" s="149"/>
      <c r="Q177" s="129">
        <f t="shared" si="289"/>
        <v>0</v>
      </c>
      <c r="R177" s="150"/>
      <c r="S177" s="348">
        <f t="shared" si="293"/>
        <v>0</v>
      </c>
      <c r="T177" s="150"/>
      <c r="U177" s="158"/>
      <c r="AK177" s="115"/>
      <c r="DB177" s="133">
        <f t="shared" si="294"/>
        <v>0</v>
      </c>
      <c r="DC177" s="132">
        <f t="shared" si="294"/>
        <v>0</v>
      </c>
      <c r="DD177" s="132">
        <f t="shared" si="294"/>
        <v>0</v>
      </c>
      <c r="DE177" s="132">
        <f t="shared" si="294"/>
        <v>0</v>
      </c>
      <c r="DF177" s="132">
        <f t="shared" si="294"/>
        <v>0</v>
      </c>
      <c r="DG177" s="132">
        <f t="shared" si="294"/>
        <v>0</v>
      </c>
      <c r="DH177" s="132">
        <f t="shared" si="294"/>
        <v>0</v>
      </c>
      <c r="DI177" s="132">
        <f t="shared" si="294"/>
        <v>0</v>
      </c>
      <c r="DJ177" s="132">
        <f t="shared" si="294"/>
        <v>0</v>
      </c>
      <c r="DK177" s="132">
        <f t="shared" si="294"/>
        <v>0</v>
      </c>
      <c r="DL177" s="132">
        <f t="shared" si="294"/>
        <v>0</v>
      </c>
      <c r="DM177" s="134">
        <f t="shared" si="294"/>
        <v>0</v>
      </c>
      <c r="DN177" s="115">
        <f t="shared" si="294"/>
        <v>0</v>
      </c>
      <c r="DO177" s="115">
        <f t="shared" si="294"/>
        <v>0</v>
      </c>
      <c r="DP177" s="115">
        <f t="shared" si="294"/>
        <v>0</v>
      </c>
      <c r="DQ177" s="115">
        <f t="shared" si="294"/>
        <v>0</v>
      </c>
      <c r="DR177" s="115">
        <f t="shared" si="295"/>
        <v>0</v>
      </c>
      <c r="DS177" s="115">
        <f t="shared" si="295"/>
        <v>0</v>
      </c>
      <c r="DT177" s="115">
        <f t="shared" si="295"/>
        <v>0</v>
      </c>
      <c r="DU177" s="115">
        <f t="shared" si="295"/>
        <v>0</v>
      </c>
      <c r="DV177" s="115">
        <f t="shared" si="295"/>
        <v>0</v>
      </c>
      <c r="DW177" s="115">
        <f t="shared" si="295"/>
        <v>0</v>
      </c>
      <c r="DX177" s="115">
        <f t="shared" si="295"/>
        <v>0</v>
      </c>
      <c r="DY177" s="115">
        <f t="shared" si="295"/>
        <v>0</v>
      </c>
    </row>
    <row r="178" spans="1:129" ht="16.5" thickBot="1" x14ac:dyDescent="0.35">
      <c r="A178" s="117"/>
      <c r="B178" s="16" t="s">
        <v>301</v>
      </c>
      <c r="C178" s="139">
        <f>SUM(C163:C177)</f>
        <v>0</v>
      </c>
      <c r="D178" s="125"/>
      <c r="E178" s="125"/>
      <c r="F178" s="135"/>
      <c r="G178" s="126"/>
      <c r="H178" s="126"/>
      <c r="I178" s="126"/>
      <c r="J178" s="127"/>
      <c r="K178" s="116"/>
      <c r="L178" s="117"/>
      <c r="M178" s="16" t="s">
        <v>304</v>
      </c>
      <c r="N178" s="139">
        <f>SUM(N163:N177)</f>
        <v>0</v>
      </c>
      <c r="O178" s="125"/>
      <c r="P178" s="125"/>
      <c r="Q178" s="135"/>
      <c r="R178" s="126"/>
      <c r="S178" s="126"/>
      <c r="T178" s="126"/>
      <c r="U178" s="127"/>
      <c r="AK178" s="115"/>
      <c r="DB178" s="122">
        <f>SUM(DB163:DB177)</f>
        <v>0</v>
      </c>
      <c r="DC178" s="122">
        <f t="shared" ref="DC178:DY178" si="298">SUM(DC163:DC177)</f>
        <v>0</v>
      </c>
      <c r="DD178" s="122">
        <f t="shared" si="298"/>
        <v>0</v>
      </c>
      <c r="DE178" s="122">
        <f t="shared" si="298"/>
        <v>0</v>
      </c>
      <c r="DF178" s="122">
        <f t="shared" si="298"/>
        <v>0</v>
      </c>
      <c r="DG178" s="122">
        <f t="shared" si="298"/>
        <v>0</v>
      </c>
      <c r="DH178" s="122">
        <f t="shared" si="298"/>
        <v>0</v>
      </c>
      <c r="DI178" s="122">
        <f t="shared" si="298"/>
        <v>0</v>
      </c>
      <c r="DJ178" s="122">
        <f t="shared" si="298"/>
        <v>0</v>
      </c>
      <c r="DK178" s="122">
        <f t="shared" si="298"/>
        <v>0</v>
      </c>
      <c r="DL178" s="122">
        <f t="shared" si="298"/>
        <v>0</v>
      </c>
      <c r="DM178" s="122">
        <f t="shared" si="298"/>
        <v>0</v>
      </c>
      <c r="DN178" s="122">
        <f t="shared" si="298"/>
        <v>0</v>
      </c>
      <c r="DO178" s="122">
        <f t="shared" si="298"/>
        <v>0</v>
      </c>
      <c r="DP178" s="122">
        <f t="shared" si="298"/>
        <v>0</v>
      </c>
      <c r="DQ178" s="122">
        <f t="shared" si="298"/>
        <v>0</v>
      </c>
      <c r="DR178" s="122">
        <f t="shared" si="298"/>
        <v>0</v>
      </c>
      <c r="DS178" s="122">
        <f t="shared" si="298"/>
        <v>0</v>
      </c>
      <c r="DT178" s="122">
        <f t="shared" si="298"/>
        <v>0</v>
      </c>
      <c r="DU178" s="122">
        <f t="shared" si="298"/>
        <v>0</v>
      </c>
      <c r="DV178" s="122">
        <f t="shared" si="298"/>
        <v>0</v>
      </c>
      <c r="DW178" s="122">
        <f t="shared" si="298"/>
        <v>0</v>
      </c>
      <c r="DX178" s="122">
        <f t="shared" si="298"/>
        <v>0</v>
      </c>
      <c r="DY178" s="122">
        <f t="shared" si="298"/>
        <v>0</v>
      </c>
    </row>
    <row r="179" spans="1:129" s="179" customFormat="1" ht="18.5" thickTop="1" thickBot="1" x14ac:dyDescent="0.3">
      <c r="A179" s="178"/>
      <c r="F179" s="178"/>
      <c r="K179" s="180"/>
      <c r="AK179" s="180"/>
      <c r="DB179" s="418"/>
      <c r="DC179" s="418"/>
      <c r="DD179" s="418"/>
      <c r="DE179" s="418"/>
      <c r="DF179" s="418"/>
      <c r="DG179" s="418"/>
      <c r="DH179" s="418"/>
      <c r="DI179" s="418"/>
      <c r="DJ179" s="418"/>
      <c r="DK179" s="418"/>
      <c r="DL179" s="418"/>
      <c r="DM179" s="418"/>
    </row>
    <row r="180" spans="1:129" x14ac:dyDescent="0.35">
      <c r="A180" s="114"/>
      <c r="F180" s="114"/>
      <c r="K180" s="118"/>
      <c r="AK180" s="120"/>
      <c r="DB180" s="160">
        <f t="shared" ref="DB180:DY180" si="299">DB$8</f>
        <v>45658</v>
      </c>
      <c r="DC180" s="5">
        <f t="shared" si="299"/>
        <v>45689</v>
      </c>
      <c r="DD180" s="5">
        <f t="shared" si="299"/>
        <v>45717</v>
      </c>
      <c r="DE180" s="5">
        <f t="shared" si="299"/>
        <v>45748</v>
      </c>
      <c r="DF180" s="5">
        <f t="shared" si="299"/>
        <v>45778</v>
      </c>
      <c r="DG180" s="5">
        <f t="shared" si="299"/>
        <v>45809</v>
      </c>
      <c r="DH180" s="5">
        <f t="shared" si="299"/>
        <v>45839</v>
      </c>
      <c r="DI180" s="5">
        <f t="shared" si="299"/>
        <v>45870</v>
      </c>
      <c r="DJ180" s="5">
        <f t="shared" si="299"/>
        <v>45901</v>
      </c>
      <c r="DK180" s="5">
        <f t="shared" si="299"/>
        <v>45931</v>
      </c>
      <c r="DL180" s="5">
        <f t="shared" si="299"/>
        <v>45962</v>
      </c>
      <c r="DM180" s="161">
        <f t="shared" si="299"/>
        <v>45992</v>
      </c>
      <c r="DN180" s="5">
        <f t="shared" si="299"/>
        <v>46023</v>
      </c>
      <c r="DO180" s="5">
        <f t="shared" si="299"/>
        <v>46054</v>
      </c>
      <c r="DP180" s="5">
        <f t="shared" si="299"/>
        <v>46082</v>
      </c>
      <c r="DQ180" s="5">
        <f t="shared" si="299"/>
        <v>46113</v>
      </c>
      <c r="DR180" s="5">
        <f t="shared" si="299"/>
        <v>46143</v>
      </c>
      <c r="DS180" s="5">
        <f t="shared" si="299"/>
        <v>46174</v>
      </c>
      <c r="DT180" s="5">
        <f t="shared" si="299"/>
        <v>46204</v>
      </c>
      <c r="DU180" s="5">
        <f t="shared" si="299"/>
        <v>46235</v>
      </c>
      <c r="DV180" s="5">
        <f t="shared" si="299"/>
        <v>46266</v>
      </c>
      <c r="DW180" s="5">
        <f t="shared" si="299"/>
        <v>46296</v>
      </c>
      <c r="DX180" s="5">
        <f t="shared" si="299"/>
        <v>46327</v>
      </c>
      <c r="DY180" s="5">
        <f t="shared" si="299"/>
        <v>46357</v>
      </c>
    </row>
    <row r="181" spans="1:129" ht="18" x14ac:dyDescent="0.35">
      <c r="A181" s="143">
        <f>'8200'!B1</f>
        <v>8200</v>
      </c>
      <c r="B181" s="6"/>
      <c r="C181" s="119"/>
      <c r="D181" s="117"/>
      <c r="E181" s="117"/>
      <c r="F181" s="117"/>
      <c r="G181" s="117"/>
      <c r="I181" s="117"/>
      <c r="J181" s="117"/>
      <c r="K181" s="117"/>
    </row>
    <row r="182" spans="1:129" ht="17.5" x14ac:dyDescent="0.25">
      <c r="A182" s="169">
        <f>'8200'!B4</f>
        <v>10000</v>
      </c>
      <c r="B182" s="182">
        <f>(A182-C200)/A182</f>
        <v>1</v>
      </c>
      <c r="D182" s="144" t="str">
        <f>"Vacancies - "&amp;A181</f>
        <v>Vacancies - 8200</v>
      </c>
      <c r="E182" s="117"/>
      <c r="F182" s="117"/>
      <c r="G182" s="117"/>
      <c r="I182" s="117"/>
      <c r="K182" s="117"/>
      <c r="O182" s="144" t="str">
        <f>"Renewals - "&amp;A181</f>
        <v>Renewals - 8200</v>
      </c>
    </row>
    <row r="183" spans="1:129" ht="18" x14ac:dyDescent="0.25">
      <c r="D183" s="414" t="s">
        <v>306</v>
      </c>
      <c r="E183" s="415"/>
      <c r="F183" s="415"/>
      <c r="G183" s="415"/>
      <c r="H183" s="415"/>
      <c r="I183" s="415"/>
      <c r="J183" s="416"/>
      <c r="O183" s="414" t="s">
        <v>306</v>
      </c>
      <c r="P183" s="415"/>
      <c r="Q183" s="415"/>
      <c r="R183" s="415"/>
      <c r="S183" s="415"/>
      <c r="T183" s="415"/>
      <c r="U183" s="416"/>
      <c r="W183" s="142">
        <f>A181</f>
        <v>8200</v>
      </c>
      <c r="X183" s="417">
        <v>2025</v>
      </c>
      <c r="Y183" s="417"/>
      <c r="Z183" s="417"/>
      <c r="AA183" s="417"/>
      <c r="AB183" s="417"/>
      <c r="AC183" s="417"/>
      <c r="AD183" s="417"/>
      <c r="AE183" s="417"/>
      <c r="AF183" s="417"/>
      <c r="AG183" s="417"/>
      <c r="AH183" s="417"/>
      <c r="AI183" s="417"/>
      <c r="AJ183" s="417">
        <f>X183+1</f>
        <v>2026</v>
      </c>
      <c r="AK183" s="417"/>
      <c r="AL183" s="417"/>
      <c r="AM183" s="417"/>
      <c r="AN183" s="417"/>
      <c r="AO183" s="417"/>
      <c r="AP183" s="417"/>
      <c r="AQ183" s="417"/>
      <c r="AR183" s="417"/>
      <c r="AS183" s="417"/>
      <c r="AT183" s="417"/>
      <c r="AU183" s="417"/>
      <c r="DB183" s="412" t="str">
        <f>+$DB$7</f>
        <v>2025</v>
      </c>
      <c r="DC183" s="412"/>
      <c r="DD183" s="412"/>
      <c r="DE183" s="412"/>
      <c r="DF183" s="412"/>
      <c r="DG183" s="412"/>
      <c r="DH183" s="412"/>
      <c r="DI183" s="412"/>
      <c r="DJ183" s="412"/>
      <c r="DK183" s="412"/>
      <c r="DL183" s="412"/>
      <c r="DM183" s="412"/>
      <c r="DN183" s="412" t="str">
        <f>+$DN$7</f>
        <v>2026</v>
      </c>
      <c r="DO183" s="412"/>
      <c r="DP183" s="412"/>
      <c r="DQ183" s="412"/>
      <c r="DR183" s="412"/>
      <c r="DS183" s="412"/>
      <c r="DT183" s="412"/>
      <c r="DU183" s="412"/>
      <c r="DV183" s="412"/>
      <c r="DW183" s="412"/>
      <c r="DX183" s="412"/>
      <c r="DY183" s="412"/>
    </row>
    <row r="184" spans="1:129" x14ac:dyDescent="0.35">
      <c r="A184" s="129" t="s">
        <v>206</v>
      </c>
      <c r="B184" s="15" t="s">
        <v>302</v>
      </c>
      <c r="C184" s="136" t="s">
        <v>203</v>
      </c>
      <c r="D184" s="159" t="s">
        <v>307</v>
      </c>
      <c r="E184" s="129" t="s">
        <v>308</v>
      </c>
      <c r="F184" s="129"/>
      <c r="G184" s="128" t="s">
        <v>202</v>
      </c>
      <c r="H184" s="141" t="s">
        <v>526</v>
      </c>
      <c r="I184" s="141" t="s">
        <v>303</v>
      </c>
      <c r="J184" s="131" t="s">
        <v>201</v>
      </c>
      <c r="K184" s="118"/>
      <c r="L184" s="129" t="s">
        <v>206</v>
      </c>
      <c r="M184" s="15" t="s">
        <v>302</v>
      </c>
      <c r="N184" s="136" t="s">
        <v>203</v>
      </c>
      <c r="O184" s="159" t="s">
        <v>307</v>
      </c>
      <c r="P184" s="129" t="s">
        <v>308</v>
      </c>
      <c r="Q184" s="129"/>
      <c r="R184" s="128" t="s">
        <v>202</v>
      </c>
      <c r="S184" s="141" t="s">
        <v>526</v>
      </c>
      <c r="T184" s="141" t="s">
        <v>303</v>
      </c>
      <c r="U184" s="131" t="s">
        <v>201</v>
      </c>
      <c r="X184" s="160">
        <f>X$8</f>
        <v>45658</v>
      </c>
      <c r="Y184" s="5">
        <f t="shared" ref="Y184:AU184" si="300">Y$8</f>
        <v>45689</v>
      </c>
      <c r="Z184" s="5">
        <f t="shared" si="300"/>
        <v>45717</v>
      </c>
      <c r="AA184" s="5">
        <f t="shared" si="300"/>
        <v>45748</v>
      </c>
      <c r="AB184" s="5">
        <f t="shared" si="300"/>
        <v>45778</v>
      </c>
      <c r="AC184" s="5">
        <f t="shared" si="300"/>
        <v>45809</v>
      </c>
      <c r="AD184" s="5">
        <f t="shared" si="300"/>
        <v>45839</v>
      </c>
      <c r="AE184" s="5">
        <f t="shared" si="300"/>
        <v>45870</v>
      </c>
      <c r="AF184" s="5">
        <f t="shared" si="300"/>
        <v>45901</v>
      </c>
      <c r="AG184" s="5">
        <f t="shared" si="300"/>
        <v>45931</v>
      </c>
      <c r="AH184" s="5">
        <f t="shared" si="300"/>
        <v>45962</v>
      </c>
      <c r="AI184" s="161">
        <f t="shared" si="300"/>
        <v>45992</v>
      </c>
      <c r="AJ184" s="5">
        <f t="shared" si="300"/>
        <v>46023</v>
      </c>
      <c r="AK184" s="5">
        <f t="shared" si="300"/>
        <v>46054</v>
      </c>
      <c r="AL184" s="5">
        <f t="shared" si="300"/>
        <v>46082</v>
      </c>
      <c r="AM184" s="5">
        <f t="shared" si="300"/>
        <v>46113</v>
      </c>
      <c r="AN184" s="5">
        <f t="shared" si="300"/>
        <v>46143</v>
      </c>
      <c r="AO184" s="5">
        <f t="shared" si="300"/>
        <v>46174</v>
      </c>
      <c r="AP184" s="5">
        <f t="shared" si="300"/>
        <v>46204</v>
      </c>
      <c r="AQ184" s="5">
        <f t="shared" si="300"/>
        <v>46235</v>
      </c>
      <c r="AR184" s="5">
        <f t="shared" si="300"/>
        <v>46266</v>
      </c>
      <c r="AS184" s="5">
        <f t="shared" si="300"/>
        <v>46296</v>
      </c>
      <c r="AT184" s="5">
        <f t="shared" si="300"/>
        <v>46327</v>
      </c>
      <c r="AU184" s="5">
        <f t="shared" si="300"/>
        <v>46357</v>
      </c>
      <c r="AV184" s="210" t="str">
        <f>AJ183&amp;" - Totals"</f>
        <v>2026 - Totals</v>
      </c>
      <c r="DB184" s="160">
        <f t="shared" ref="DB184:DY184" si="301">DB$8</f>
        <v>45658</v>
      </c>
      <c r="DC184" s="5">
        <f t="shared" si="301"/>
        <v>45689</v>
      </c>
      <c r="DD184" s="5">
        <f t="shared" si="301"/>
        <v>45717</v>
      </c>
      <c r="DE184" s="5">
        <f t="shared" si="301"/>
        <v>45748</v>
      </c>
      <c r="DF184" s="5">
        <f t="shared" si="301"/>
        <v>45778</v>
      </c>
      <c r="DG184" s="5">
        <f t="shared" si="301"/>
        <v>45809</v>
      </c>
      <c r="DH184" s="5">
        <f t="shared" si="301"/>
        <v>45839</v>
      </c>
      <c r="DI184" s="5">
        <f t="shared" si="301"/>
        <v>45870</v>
      </c>
      <c r="DJ184" s="5">
        <f t="shared" si="301"/>
        <v>45901</v>
      </c>
      <c r="DK184" s="5">
        <f t="shared" si="301"/>
        <v>45931</v>
      </c>
      <c r="DL184" s="5">
        <f t="shared" si="301"/>
        <v>45962</v>
      </c>
      <c r="DM184" s="161">
        <f t="shared" si="301"/>
        <v>45992</v>
      </c>
      <c r="DN184" s="5">
        <f t="shared" si="301"/>
        <v>46023</v>
      </c>
      <c r="DO184" s="5">
        <f t="shared" si="301"/>
        <v>46054</v>
      </c>
      <c r="DP184" s="5">
        <f t="shared" si="301"/>
        <v>46082</v>
      </c>
      <c r="DQ184" s="5">
        <f t="shared" si="301"/>
        <v>46113</v>
      </c>
      <c r="DR184" s="5">
        <f t="shared" si="301"/>
        <v>46143</v>
      </c>
      <c r="DS184" s="5">
        <f t="shared" si="301"/>
        <v>46174</v>
      </c>
      <c r="DT184" s="5">
        <f t="shared" si="301"/>
        <v>46204</v>
      </c>
      <c r="DU184" s="5">
        <f t="shared" si="301"/>
        <v>46235</v>
      </c>
      <c r="DV184" s="5">
        <f t="shared" si="301"/>
        <v>46266</v>
      </c>
      <c r="DW184" s="5">
        <f t="shared" si="301"/>
        <v>46296</v>
      </c>
      <c r="DX184" s="5">
        <f t="shared" si="301"/>
        <v>46327</v>
      </c>
      <c r="DY184" s="5">
        <f t="shared" si="301"/>
        <v>46357</v>
      </c>
    </row>
    <row r="185" spans="1:129" x14ac:dyDescent="0.35">
      <c r="B185" s="6" t="str">
        <f t="shared" ref="B185:B199" si="302">IF(A185&lt;&gt;"","VACANT","")</f>
        <v/>
      </c>
      <c r="C185" s="137"/>
      <c r="D185" s="155"/>
      <c r="E185" s="145"/>
      <c r="F185" s="172">
        <f>IFERROR(ROUNDUP(((DATEDIF(D185,E185,"d"))/365),1),0)</f>
        <v>0</v>
      </c>
      <c r="G185" s="146"/>
      <c r="H185" s="347">
        <f>(G185*C185)/12</f>
        <v>0</v>
      </c>
      <c r="I185" s="146"/>
      <c r="J185" s="156"/>
      <c r="K185" s="163"/>
      <c r="L185" s="118"/>
      <c r="M185" s="6"/>
      <c r="N185" s="137"/>
      <c r="O185" s="155"/>
      <c r="P185" s="145"/>
      <c r="Q185" s="172">
        <f t="shared" ref="Q185:Q199" si="303">IFERROR(ROUNDUP(((DATEDIF(O185,P185,"d"))/365),1),0)</f>
        <v>0</v>
      </c>
      <c r="R185" s="146"/>
      <c r="S185" s="347">
        <f>(R185*N185)/12</f>
        <v>0</v>
      </c>
      <c r="T185" s="146"/>
      <c r="U185" s="156"/>
      <c r="W185" s="114" t="s">
        <v>314</v>
      </c>
      <c r="X185" s="199" cm="1">
        <f t="array" ref="X185:AI185">_xlfn.LET(
  _xlpm.months, X184:AI184,
  _xlpm.totalSqft, A182,
  _xlpm.vacSF, C185:C199,
  _xlpm.vacStart, D185:D199,
  _xlpm.vacEnd, E185:E199,
  _xlpm.renSF, N185:N199,
  _xlpm.renEnd, P185:P199,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Y185" s="200">
        <v>1</v>
      </c>
      <c r="Z185" s="200">
        <v>1</v>
      </c>
      <c r="AA185" s="200">
        <v>1</v>
      </c>
      <c r="AB185" s="200">
        <v>1</v>
      </c>
      <c r="AC185" s="200">
        <v>1</v>
      </c>
      <c r="AD185" s="200">
        <v>1</v>
      </c>
      <c r="AE185" s="200">
        <v>1</v>
      </c>
      <c r="AF185" s="200">
        <v>1</v>
      </c>
      <c r="AG185" s="200">
        <v>1</v>
      </c>
      <c r="AH185" s="200">
        <v>1</v>
      </c>
      <c r="AI185" s="200">
        <v>1</v>
      </c>
      <c r="AJ185" s="199" cm="1">
        <f t="array" ref="AJ185:AU185">_xlfn.LET(
  _xlpm.months, AJ184:AU184,
  _xlpm.totalSqft, A182,
  _xlpm.vacSF, C185:C199,
  _xlpm.vacStart, D185:D199,
  _xlpm.vacEnd, E185:E199,
  _xlpm.renSF, N185:N199,
  _xlpm.renEnd, P185:P199,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AK185" s="200">
        <v>1</v>
      </c>
      <c r="AL185" s="200">
        <v>1</v>
      </c>
      <c r="AM185" s="200">
        <v>1</v>
      </c>
      <c r="AN185" s="200">
        <v>1</v>
      </c>
      <c r="AO185" s="200">
        <v>1</v>
      </c>
      <c r="AP185" s="200">
        <v>1</v>
      </c>
      <c r="AQ185" s="200">
        <v>1</v>
      </c>
      <c r="AR185" s="200">
        <v>1</v>
      </c>
      <c r="AS185" s="200">
        <v>1</v>
      </c>
      <c r="AT185" s="200">
        <v>1</v>
      </c>
      <c r="AU185" s="200">
        <v>1</v>
      </c>
      <c r="AV185" s="208"/>
      <c r="DB185" s="133">
        <f t="shared" ref="DB185:DY185" si="304">IF(AND($D185&lt;=DB184,$E185&gt;=DB184),(($G185*$C185)/12),0)</f>
        <v>0</v>
      </c>
      <c r="DC185" s="132">
        <f t="shared" si="304"/>
        <v>0</v>
      </c>
      <c r="DD185" s="132">
        <f t="shared" si="304"/>
        <v>0</v>
      </c>
      <c r="DE185" s="132">
        <f t="shared" si="304"/>
        <v>0</v>
      </c>
      <c r="DF185" s="132">
        <f t="shared" si="304"/>
        <v>0</v>
      </c>
      <c r="DG185" s="132">
        <f t="shared" si="304"/>
        <v>0</v>
      </c>
      <c r="DH185" s="132">
        <f t="shared" si="304"/>
        <v>0</v>
      </c>
      <c r="DI185" s="132">
        <f t="shared" si="304"/>
        <v>0</v>
      </c>
      <c r="DJ185" s="132">
        <f t="shared" si="304"/>
        <v>0</v>
      </c>
      <c r="DK185" s="132">
        <f t="shared" si="304"/>
        <v>0</v>
      </c>
      <c r="DL185" s="132">
        <f t="shared" si="304"/>
        <v>0</v>
      </c>
      <c r="DM185" s="134">
        <f t="shared" si="304"/>
        <v>0</v>
      </c>
      <c r="DN185" s="115">
        <f t="shared" si="304"/>
        <v>0</v>
      </c>
      <c r="DO185" s="115">
        <f t="shared" si="304"/>
        <v>0</v>
      </c>
      <c r="DP185" s="115">
        <f t="shared" si="304"/>
        <v>0</v>
      </c>
      <c r="DQ185" s="115">
        <f t="shared" si="304"/>
        <v>0</v>
      </c>
      <c r="DR185" s="115">
        <f t="shared" si="304"/>
        <v>0</v>
      </c>
      <c r="DS185" s="115">
        <f t="shared" si="304"/>
        <v>0</v>
      </c>
      <c r="DT185" s="115">
        <f t="shared" si="304"/>
        <v>0</v>
      </c>
      <c r="DU185" s="115">
        <f t="shared" si="304"/>
        <v>0</v>
      </c>
      <c r="DV185" s="115">
        <f t="shared" si="304"/>
        <v>0</v>
      </c>
      <c r="DW185" s="115">
        <f t="shared" si="304"/>
        <v>0</v>
      </c>
      <c r="DX185" s="115">
        <f t="shared" si="304"/>
        <v>0</v>
      </c>
      <c r="DY185" s="115">
        <f t="shared" si="304"/>
        <v>0</v>
      </c>
    </row>
    <row r="186" spans="1:129" x14ac:dyDescent="0.35">
      <c r="B186" s="6" t="str">
        <f t="shared" si="302"/>
        <v/>
      </c>
      <c r="C186" s="137"/>
      <c r="D186" s="155"/>
      <c r="E186" s="145"/>
      <c r="F186" s="118">
        <f t="shared" ref="F186:F199" si="305">IFERROR(ROUNDUP(((DATEDIF(D186,E186,"d"))/365),1),0)</f>
        <v>0</v>
      </c>
      <c r="G186" s="146"/>
      <c r="H186" s="347">
        <f t="shared" ref="H186:H199" si="306">(G186*C186)/12</f>
        <v>0</v>
      </c>
      <c r="I186" s="146"/>
      <c r="J186" s="156"/>
      <c r="K186" s="116"/>
      <c r="L186" s="118"/>
      <c r="M186" s="6"/>
      <c r="N186" s="137"/>
      <c r="O186" s="155"/>
      <c r="P186" s="145"/>
      <c r="Q186" s="118">
        <f t="shared" si="303"/>
        <v>0</v>
      </c>
      <c r="R186" s="146"/>
      <c r="S186" s="347">
        <f t="shared" ref="S186:S199" si="307">(R186*N186)/12</f>
        <v>0</v>
      </c>
      <c r="T186" s="146"/>
      <c r="U186" s="156"/>
      <c r="W186" s="114" t="s">
        <v>312</v>
      </c>
      <c r="X186" s="133" cm="1">
        <f t="array" ref="X186">((SUMPRODUCT(($D185:$D199&lt;=X$8) * ($E185:$E199&gt;=X$8) * ($G185:$G199 * $C185:$C199)))+(SUMPRODUCT(($O185:$O199&lt;=X$8) * ($P185:$P199&gt;=X$8) * ($R185:$R199 * $N185:$N199))))/12</f>
        <v>0</v>
      </c>
      <c r="Y186" s="115" cm="1">
        <f t="array" ref="Y186">((SUMPRODUCT(($D185:$D199&lt;=Y$8) * ($E185:$E199&gt;=Y$8) * ($G185:$G199 * $C185:$C199)))+(SUMPRODUCT(($O185:$O199&lt;=Y$8) * ($P185:$P199&gt;=Y$8) * ($R185:$R199 * $N185:$N199))))/12</f>
        <v>0</v>
      </c>
      <c r="Z186" s="115" cm="1">
        <f t="array" ref="Z186">((SUMPRODUCT(($D185:$D199&lt;=Z$8) * ($E185:$E199&gt;=Z$8) * ($G185:$G199 * $C185:$C199)))+(SUMPRODUCT(($O185:$O199&lt;=Z$8) * ($P185:$P199&gt;=Z$8) * ($R185:$R199 * $N185:$N199))))/12</f>
        <v>0</v>
      </c>
      <c r="AA186" s="115" cm="1">
        <f t="array" ref="AA186">((SUMPRODUCT(($D185:$D199&lt;=AA$8) * ($E185:$E199&gt;=AA$8) * ($G185:$G199 * $C185:$C199)))+(SUMPRODUCT(($O185:$O199&lt;=AA$8) * ($P185:$P199&gt;=AA$8) * ($R185:$R199 * $N185:$N199))))/12</f>
        <v>0</v>
      </c>
      <c r="AB186" s="115" cm="1">
        <f t="array" ref="AB186">((SUMPRODUCT(($D185:$D199&lt;=AB$8) * ($E185:$E199&gt;=AB$8) * ($G185:$G199 * $C185:$C199)))+(SUMPRODUCT(($O185:$O199&lt;=AB$8) * ($P185:$P199&gt;=AB$8) * ($R185:$R199 * $N185:$N199))))/12</f>
        <v>0</v>
      </c>
      <c r="AC186" s="115" cm="1">
        <f t="array" ref="AC186">((SUMPRODUCT(($D185:$D199&lt;=AC$8) * ($E185:$E199&gt;=AC$8) * ($G185:$G199 * $C185:$C199)))+(SUMPRODUCT(($O185:$O199&lt;=AC$8) * ($P185:$P199&gt;=AC$8) * ($R185:$R199 * $N185:$N199))))/12</f>
        <v>0</v>
      </c>
      <c r="AD186" s="115" cm="1">
        <f t="array" ref="AD186">((SUMPRODUCT(($D185:$D199&lt;=AD$8) * ($E185:$E199&gt;=AD$8) * ($G185:$G199 * $C185:$C199)))+(SUMPRODUCT(($O185:$O199&lt;=AD$8) * ($P185:$P199&gt;=AD$8) * ($R185:$R199 * $N185:$N199))))/12</f>
        <v>0</v>
      </c>
      <c r="AE186" s="115" cm="1">
        <f t="array" ref="AE186">((SUMPRODUCT(($D185:$D199&lt;=AE$8) * ($E185:$E199&gt;=AE$8) * ($G185:$G199 * $C185:$C199)))+(SUMPRODUCT(($O185:$O199&lt;=AE$8) * ($P185:$P199&gt;=AE$8) * ($R185:$R199 * $N185:$N199))))/12</f>
        <v>0</v>
      </c>
      <c r="AF186" s="115" cm="1">
        <f t="array" ref="AF186">((SUMPRODUCT(($D185:$D199&lt;=AF$8) * ($E185:$E199&gt;=AF$8) * ($G185:$G199 * $C185:$C199)))+(SUMPRODUCT(($O185:$O199&lt;=AF$8) * ($P185:$P199&gt;=AF$8) * ($R185:$R199 * $N185:$N199))))/12</f>
        <v>0</v>
      </c>
      <c r="AG186" s="115" cm="1">
        <f t="array" ref="AG186">((SUMPRODUCT(($D185:$D199&lt;=AG$8) * ($E185:$E199&gt;=AG$8) * ($G185:$G199 * $C185:$C199)))+(SUMPRODUCT(($O185:$O199&lt;=AG$8) * ($P185:$P199&gt;=AG$8) * ($R185:$R199 * $N185:$N199))))/12</f>
        <v>0</v>
      </c>
      <c r="AH186" s="115" cm="1">
        <f t="array" ref="AH186">((SUMPRODUCT(($D185:$D199&lt;=AH$8) * ($E185:$E199&gt;=AH$8) * ($G185:$G199 * $C185:$C199)))+(SUMPRODUCT(($O185:$O199&lt;=AH$8) * ($P185:$P199&gt;=AH$8) * ($R185:$R199 * $N185:$N199))))/12</f>
        <v>0</v>
      </c>
      <c r="AI186" s="115" cm="1">
        <f t="array" ref="AI186">((SUMPRODUCT(($D185:$D199&lt;=AI$8) * ($E185:$E199&gt;=AI$8) * ($G185:$G199 * $C185:$C199)))+(SUMPRODUCT(($O185:$O199&lt;=AI$8) * ($P185:$P199&gt;=AI$8) * ($R185:$R199 * $N185:$N199))))/12</f>
        <v>0</v>
      </c>
      <c r="AJ186" s="133" cm="1">
        <f t="array" ref="AJ186">((SUMPRODUCT(($D185:$D199&lt;=AJ$8) * ($E185:$E199&gt;=AJ$8) * ($G185:$G199 * $C185:$C199)))+(SUMPRODUCT(($O185:$O199&lt;=AJ$8) * ($P185:$P199&gt;=AJ$8) * ($R185:$R199 * $N185:$N199))))/12</f>
        <v>0</v>
      </c>
      <c r="AK186" s="115" cm="1">
        <f t="array" ref="AK186">((SUMPRODUCT(($D185:$D199&lt;=AK$8) * ($E185:$E199&gt;=AK$8) * ($G185:$G199 * $C185:$C199)))+(SUMPRODUCT(($O185:$O199&lt;=AK$8) * ($P185:$P199&gt;=AK$8) * ($R185:$R199 * $N185:$N199))))/12</f>
        <v>0</v>
      </c>
      <c r="AL186" s="115" cm="1">
        <f t="array" ref="AL186">((SUMPRODUCT(($D185:$D199&lt;=AL$8) * ($E185:$E199&gt;=AL$8) * ($G185:$G199 * $C185:$C199)))+(SUMPRODUCT(($O185:$O199&lt;=AL$8) * ($P185:$P199&gt;=AL$8) * ($R185:$R199 * $N185:$N199))))/12</f>
        <v>0</v>
      </c>
      <c r="AM186" s="115" cm="1">
        <f t="array" ref="AM186">((SUMPRODUCT(($D185:$D199&lt;=AM$8) * ($E185:$E199&gt;=AM$8) * ($G185:$G199 * $C185:$C199)))+(SUMPRODUCT(($O185:$O199&lt;=AM$8) * ($P185:$P199&gt;=AM$8) * ($R185:$R199 * $N185:$N199))))/12</f>
        <v>0</v>
      </c>
      <c r="AN186" s="115" cm="1">
        <f t="array" ref="AN186">((SUMPRODUCT(($D185:$D199&lt;=AN$8) * ($E185:$E199&gt;=AN$8) * ($G185:$G199 * $C185:$C199)))+(SUMPRODUCT(($O185:$O199&lt;=AN$8) * ($P185:$P199&gt;=AN$8) * ($R185:$R199 * $N185:$N199))))/12</f>
        <v>0</v>
      </c>
      <c r="AO186" s="115" cm="1">
        <f t="array" ref="AO186">((SUMPRODUCT(($D185:$D199&lt;=AO$8) * ($E185:$E199&gt;=AO$8) * ($G185:$G199 * $C185:$C199)))+(SUMPRODUCT(($O185:$O199&lt;=AO$8) * ($P185:$P199&gt;=AO$8) * ($R185:$R199 * $N185:$N199))))/12</f>
        <v>0</v>
      </c>
      <c r="AP186" s="115" cm="1">
        <f t="array" ref="AP186">((SUMPRODUCT(($D185:$D199&lt;=AP$8) * ($E185:$E199&gt;=AP$8) * ($G185:$G199 * $C185:$C199)))+(SUMPRODUCT(($O185:$O199&lt;=AP$8) * ($P185:$P199&gt;=AP$8) * ($R185:$R199 * $N185:$N199))))/12</f>
        <v>0</v>
      </c>
      <c r="AQ186" s="115" cm="1">
        <f t="array" ref="AQ186">((SUMPRODUCT(($D185:$D199&lt;=AQ$8) * ($E185:$E199&gt;=AQ$8) * ($G185:$G199 * $C185:$C199)))+(SUMPRODUCT(($O185:$O199&lt;=AQ$8) * ($P185:$P199&gt;=AQ$8) * ($R185:$R199 * $N185:$N199))))/12</f>
        <v>0</v>
      </c>
      <c r="AR186" s="115" cm="1">
        <f t="array" ref="AR186">((SUMPRODUCT(($D185:$D199&lt;=AR$8) * ($E185:$E199&gt;=AR$8) * ($G185:$G199 * $C185:$C199)))+(SUMPRODUCT(($O185:$O199&lt;=AR$8) * ($P185:$P199&gt;=AR$8) * ($R185:$R199 * $N185:$N199))))/12</f>
        <v>0</v>
      </c>
      <c r="AS186" s="115" cm="1">
        <f t="array" ref="AS186">((SUMPRODUCT(($D185:$D199&lt;=AS$8) * ($E185:$E199&gt;=AS$8) * ($G185:$G199 * $C185:$C199)))+(SUMPRODUCT(($O185:$O199&lt;=AS$8) * ($P185:$P199&gt;=AS$8) * ($R185:$R199 * $N185:$N199))))/12</f>
        <v>0</v>
      </c>
      <c r="AT186" s="115" cm="1">
        <f t="array" ref="AT186">((SUMPRODUCT(($D185:$D199&lt;=AT$8) * ($E185:$E199&gt;=AT$8) * ($G185:$G199 * $C185:$C199)))+(SUMPRODUCT(($O185:$O199&lt;=AT$8) * ($P185:$P199&gt;=AT$8) * ($R185:$R199 * $N185:$N199))))/12</f>
        <v>0</v>
      </c>
      <c r="AU186" s="115" cm="1">
        <f t="array" ref="AU186">((SUMPRODUCT(($D185:$D199&lt;=AU$8) * ($E185:$E199&gt;=AU$8) * ($G185:$G199 * $C185:$C199)))+(SUMPRODUCT(($O185:$O199&lt;=AU$8) * ($P185:$P199&gt;=AU$8) * ($R185:$R199 * $N185:$N199))))/12</f>
        <v>0</v>
      </c>
      <c r="AV186" s="209">
        <f>SUM(AJ186:AU186)</f>
        <v>0</v>
      </c>
      <c r="DB186" s="133">
        <f t="shared" ref="DB186:DQ199" si="308">IF(AND($D186&lt;=DB$8,$E186&gt;=DB$8),(($G186*$C186)/12),0)</f>
        <v>0</v>
      </c>
      <c r="DC186" s="132">
        <f t="shared" si="308"/>
        <v>0</v>
      </c>
      <c r="DD186" s="132">
        <f t="shared" si="308"/>
        <v>0</v>
      </c>
      <c r="DE186" s="132">
        <f t="shared" si="308"/>
        <v>0</v>
      </c>
      <c r="DF186" s="132">
        <f t="shared" si="308"/>
        <v>0</v>
      </c>
      <c r="DG186" s="132">
        <f t="shared" si="308"/>
        <v>0</v>
      </c>
      <c r="DH186" s="132">
        <f t="shared" si="308"/>
        <v>0</v>
      </c>
      <c r="DI186" s="132">
        <f t="shared" si="308"/>
        <v>0</v>
      </c>
      <c r="DJ186" s="132">
        <f t="shared" si="308"/>
        <v>0</v>
      </c>
      <c r="DK186" s="132">
        <f t="shared" si="308"/>
        <v>0</v>
      </c>
      <c r="DL186" s="132">
        <f t="shared" si="308"/>
        <v>0</v>
      </c>
      <c r="DM186" s="134">
        <f t="shared" si="308"/>
        <v>0</v>
      </c>
      <c r="DN186" s="115">
        <f t="shared" si="308"/>
        <v>0</v>
      </c>
      <c r="DO186" s="115">
        <f t="shared" si="308"/>
        <v>0</v>
      </c>
      <c r="DP186" s="115">
        <f t="shared" si="308"/>
        <v>0</v>
      </c>
      <c r="DQ186" s="115">
        <f t="shared" si="308"/>
        <v>0</v>
      </c>
      <c r="DR186" s="115">
        <f t="shared" ref="DR186:DY199" si="309">IF(AND($D186&lt;=DR$8,$E186&gt;=DR$8),(($G186*$C186)/12),0)</f>
        <v>0</v>
      </c>
      <c r="DS186" s="115">
        <f t="shared" si="309"/>
        <v>0</v>
      </c>
      <c r="DT186" s="115">
        <f t="shared" si="309"/>
        <v>0</v>
      </c>
      <c r="DU186" s="115">
        <f t="shared" si="309"/>
        <v>0</v>
      </c>
      <c r="DV186" s="115">
        <f t="shared" si="309"/>
        <v>0</v>
      </c>
      <c r="DW186" s="115">
        <f t="shared" si="309"/>
        <v>0</v>
      </c>
      <c r="DX186" s="115">
        <f t="shared" si="309"/>
        <v>0</v>
      </c>
      <c r="DY186" s="115">
        <f t="shared" si="309"/>
        <v>0</v>
      </c>
    </row>
    <row r="187" spans="1:129" x14ac:dyDescent="0.35">
      <c r="B187" s="6" t="str">
        <f t="shared" si="302"/>
        <v/>
      </c>
      <c r="C187" s="137"/>
      <c r="D187" s="155"/>
      <c r="E187" s="145"/>
      <c r="F187" s="118">
        <f t="shared" si="305"/>
        <v>0</v>
      </c>
      <c r="G187" s="146"/>
      <c r="H187" s="347">
        <f t="shared" si="306"/>
        <v>0</v>
      </c>
      <c r="I187" s="146"/>
      <c r="J187" s="156"/>
      <c r="K187" s="116"/>
      <c r="L187" s="118"/>
      <c r="M187" s="6"/>
      <c r="N187" s="137"/>
      <c r="O187" s="155"/>
      <c r="P187" s="145"/>
      <c r="Q187" s="118">
        <f t="shared" si="303"/>
        <v>0</v>
      </c>
      <c r="R187" s="146"/>
      <c r="S187" s="347">
        <f t="shared" si="307"/>
        <v>0</v>
      </c>
      <c r="T187" s="146"/>
      <c r="U187" s="156"/>
      <c r="W187" s="114" t="s">
        <v>309</v>
      </c>
      <c r="X187" s="133" cm="1">
        <f t="array" ref="X187">(SUMPRODUCT((TEXT($O185:$O199,"yyyymm")=TEXT(X$8,"yyyymm")) * ($T185:$T199 * $N185:$N199)))+(SUMPRODUCT((TEXT($D185:$D199,"yyyymm")=TEXT(X$8,"yyyymm")) * ($I185:$I199 * $C185:$C199)))</f>
        <v>0</v>
      </c>
      <c r="Y187" s="115" cm="1">
        <f t="array" ref="Y187">(SUMPRODUCT((TEXT($O185:$O199,"yyyymm")=TEXT(Y$8,"yyyymm")) * ($T185:$T199 * $N185:$N199)))+(SUMPRODUCT((TEXT($D185:$D199,"yyyymm")=TEXT(Y$8,"yyyymm")) * ($I185:$I199 * $C185:$C199)))</f>
        <v>0</v>
      </c>
      <c r="Z187" s="115" cm="1">
        <f t="array" ref="Z187">(SUMPRODUCT((TEXT($O185:$O199,"yyyymm")=TEXT(Z$8,"yyyymm")) * ($T185:$T199 * $N185:$N199)))+(SUMPRODUCT((TEXT($D185:$D199,"yyyymm")=TEXT(Z$8,"yyyymm")) * ($I185:$I199 * $C185:$C199)))</f>
        <v>0</v>
      </c>
      <c r="AA187" s="115" cm="1">
        <f t="array" ref="AA187">(SUMPRODUCT((TEXT($O185:$O199,"yyyymm")=TEXT(AA$8,"yyyymm")) * ($T185:$T199 * $N185:$N199)))+(SUMPRODUCT((TEXT($D185:$D199,"yyyymm")=TEXT(AA$8,"yyyymm")) * ($I185:$I199 * $C185:$C199)))</f>
        <v>0</v>
      </c>
      <c r="AB187" s="115" cm="1">
        <f t="array" ref="AB187">(SUMPRODUCT((TEXT($O185:$O199,"yyyymm")=TEXT(AB$8,"yyyymm")) * ($T185:$T199 * $N185:$N199)))+(SUMPRODUCT((TEXT($D185:$D199,"yyyymm")=TEXT(AB$8,"yyyymm")) * ($I185:$I199 * $C185:$C199)))</f>
        <v>0</v>
      </c>
      <c r="AC187" s="115" cm="1">
        <f t="array" ref="AC187">(SUMPRODUCT((TEXT($O185:$O199,"yyyymm")=TEXT(AC$8,"yyyymm")) * ($T185:$T199 * $N185:$N199)))+(SUMPRODUCT((TEXT($D185:$D199,"yyyymm")=TEXT(AC$8,"yyyymm")) * ($I185:$I199 * $C185:$C199)))</f>
        <v>0</v>
      </c>
      <c r="AD187" s="115" cm="1">
        <f t="array" ref="AD187">(SUMPRODUCT((TEXT($O185:$O199,"yyyymm")=TEXT(AD$8,"yyyymm")) * ($T185:$T199 * $N185:$N199)))+(SUMPRODUCT((TEXT($D185:$D199,"yyyymm")=TEXT(AD$8,"yyyymm")) * ($I185:$I199 * $C185:$C199)))</f>
        <v>0</v>
      </c>
      <c r="AE187" s="115" cm="1">
        <f t="array" ref="AE187">(SUMPRODUCT((TEXT($O185:$O199,"yyyymm")=TEXT(AE$8,"yyyymm")) * ($T185:$T199 * $N185:$N199)))+(SUMPRODUCT((TEXT($D185:$D199,"yyyymm")=TEXT(AE$8,"yyyymm")) * ($I185:$I199 * $C185:$C199)))</f>
        <v>0</v>
      </c>
      <c r="AF187" s="115" cm="1">
        <f t="array" ref="AF187">(SUMPRODUCT((TEXT($O185:$O199,"yyyymm")=TEXT(AF$8,"yyyymm")) * ($T185:$T199 * $N185:$N199)))+(SUMPRODUCT((TEXT($D185:$D199,"yyyymm")=TEXT(AF$8,"yyyymm")) * ($I185:$I199 * $C185:$C199)))</f>
        <v>0</v>
      </c>
      <c r="AG187" s="115" cm="1">
        <f t="array" ref="AG187">(SUMPRODUCT((TEXT($O185:$O199,"yyyymm")=TEXT(AG$8,"yyyymm")) * ($T185:$T199 * $N185:$N199)))+(SUMPRODUCT((TEXT($D185:$D199,"yyyymm")=TEXT(AG$8,"yyyymm")) * ($I185:$I199 * $C185:$C199)))</f>
        <v>0</v>
      </c>
      <c r="AH187" s="115" cm="1">
        <f t="array" ref="AH187">(SUMPRODUCT((TEXT($O185:$O199,"yyyymm")=TEXT(AH$8,"yyyymm")) * ($T185:$T199 * $N185:$N199)))+(SUMPRODUCT((TEXT($D185:$D199,"yyyymm")=TEXT(AH$8,"yyyymm")) * ($I185:$I199 * $C185:$C199)))</f>
        <v>0</v>
      </c>
      <c r="AI187" s="115" cm="1">
        <f t="array" ref="AI187">(SUMPRODUCT((TEXT($O185:$O199,"yyyymm")=TEXT(AI$8,"yyyymm")) * ($T185:$T199 * $N185:$N199)))+(SUMPRODUCT((TEXT($D185:$D199,"yyyymm")=TEXT(AI$8,"yyyymm")) * ($I185:$I199 * $C185:$C199)))</f>
        <v>0</v>
      </c>
      <c r="AJ187" s="133" cm="1">
        <f t="array" ref="AJ187">(SUMPRODUCT((TEXT($O185:$O199,"yyyymm")=TEXT(AJ$8,"yyyymm")) * ($T185:$T199 * $N185:$N199)))+(SUMPRODUCT((TEXT($D185:$D199,"yyyymm")=TEXT(AJ$8,"yyyymm")) * ($I185:$I199 * $C185:$C199)))</f>
        <v>0</v>
      </c>
      <c r="AK187" s="115" cm="1">
        <f t="array" ref="AK187">(SUMPRODUCT((TEXT($O185:$O199,"yyyymm")=TEXT(AK$8,"yyyymm")) * ($T185:$T199 * $N185:$N199)))+(SUMPRODUCT((TEXT($D185:$D199,"yyyymm")=TEXT(AK$8,"yyyymm")) * ($I185:$I199 * $C185:$C199)))</f>
        <v>0</v>
      </c>
      <c r="AL187" s="115" cm="1">
        <f t="array" ref="AL187">(SUMPRODUCT((TEXT($O185:$O199,"yyyymm")=TEXT(AL$8,"yyyymm")) * ($T185:$T199 * $N185:$N199)))+(SUMPRODUCT((TEXT($D185:$D199,"yyyymm")=TEXT(AL$8,"yyyymm")) * ($I185:$I199 * $C185:$C199)))</f>
        <v>0</v>
      </c>
      <c r="AM187" s="115" cm="1">
        <f t="array" ref="AM187">(SUMPRODUCT((TEXT($O185:$O199,"yyyymm")=TEXT(AM$8,"yyyymm")) * ($T185:$T199 * $N185:$N199)))+(SUMPRODUCT((TEXT($D185:$D199,"yyyymm")=TEXT(AM$8,"yyyymm")) * ($I185:$I199 * $C185:$C199)))</f>
        <v>0</v>
      </c>
      <c r="AN187" s="115" cm="1">
        <f t="array" ref="AN187">(SUMPRODUCT((TEXT($O185:$O199,"yyyymm")=TEXT(AN$8,"yyyymm")) * ($T185:$T199 * $N185:$N199)))+(SUMPRODUCT((TEXT($D185:$D199,"yyyymm")=TEXT(AN$8,"yyyymm")) * ($I185:$I199 * $C185:$C199)))</f>
        <v>0</v>
      </c>
      <c r="AO187" s="115" cm="1">
        <f t="array" ref="AO187">(SUMPRODUCT((TEXT($O185:$O199,"yyyymm")=TEXT(AO$8,"yyyymm")) * ($T185:$T199 * $N185:$N199)))+(SUMPRODUCT((TEXT($D185:$D199,"yyyymm")=TEXT(AO$8,"yyyymm")) * ($I185:$I199 * $C185:$C199)))</f>
        <v>0</v>
      </c>
      <c r="AP187" s="115" cm="1">
        <f t="array" ref="AP187">(SUMPRODUCT((TEXT($O185:$O199,"yyyymm")=TEXT(AP$8,"yyyymm")) * ($T185:$T199 * $N185:$N199)))+(SUMPRODUCT((TEXT($D185:$D199,"yyyymm")=TEXT(AP$8,"yyyymm")) * ($I185:$I199 * $C185:$C199)))</f>
        <v>0</v>
      </c>
      <c r="AQ187" s="115" cm="1">
        <f t="array" ref="AQ187">(SUMPRODUCT((TEXT($O185:$O199,"yyyymm")=TEXT(AQ$8,"yyyymm")) * ($T185:$T199 * $N185:$N199)))+(SUMPRODUCT((TEXT($D185:$D199,"yyyymm")=TEXT(AQ$8,"yyyymm")) * ($I185:$I199 * $C185:$C199)))</f>
        <v>0</v>
      </c>
      <c r="AR187" s="115" cm="1">
        <f t="array" ref="AR187">(SUMPRODUCT((TEXT($O185:$O199,"yyyymm")=TEXT(AR$8,"yyyymm")) * ($T185:$T199 * $N185:$N199)))+(SUMPRODUCT((TEXT($D185:$D199,"yyyymm")=TEXT(AR$8,"yyyymm")) * ($I185:$I199 * $C185:$C199)))</f>
        <v>0</v>
      </c>
      <c r="AS187" s="115" cm="1">
        <f t="array" ref="AS187">(SUMPRODUCT((TEXT($O185:$O199,"yyyymm")=TEXT(AS$8,"yyyymm")) * ($T185:$T199 * $N185:$N199)))+(SUMPRODUCT((TEXT($D185:$D199,"yyyymm")=TEXT(AS$8,"yyyymm")) * ($I185:$I199 * $C185:$C199)))</f>
        <v>0</v>
      </c>
      <c r="AT187" s="115" cm="1">
        <f t="array" ref="AT187">(SUMPRODUCT((TEXT($O185:$O199,"yyyymm")=TEXT(AT$8,"yyyymm")) * ($T185:$T199 * $N185:$N199)))+(SUMPRODUCT((TEXT($D185:$D199,"yyyymm")=TEXT(AT$8,"yyyymm")) * ($I185:$I199 * $C185:$C199)))</f>
        <v>0</v>
      </c>
      <c r="AU187" s="115" cm="1">
        <f t="array" ref="AU187">(SUMPRODUCT((TEXT($O185:$O199,"yyyymm")=TEXT(AU$8,"yyyymm")) * ($T185:$T199 * $N185:$N199)))+(SUMPRODUCT((TEXT($D185:$D199,"yyyymm")=TEXT(AU$8,"yyyymm")) * ($I185:$I199 * $C185:$C199)))</f>
        <v>0</v>
      </c>
      <c r="AV187" s="209">
        <f t="shared" ref="AV187:AV188" si="310">SUM(AJ187:AU187)</f>
        <v>0</v>
      </c>
      <c r="DB187" s="133">
        <f t="shared" si="308"/>
        <v>0</v>
      </c>
      <c r="DC187" s="132">
        <f t="shared" si="308"/>
        <v>0</v>
      </c>
      <c r="DD187" s="132">
        <f t="shared" si="308"/>
        <v>0</v>
      </c>
      <c r="DE187" s="132">
        <f t="shared" si="308"/>
        <v>0</v>
      </c>
      <c r="DF187" s="132">
        <f t="shared" si="308"/>
        <v>0</v>
      </c>
      <c r="DG187" s="132">
        <f t="shared" si="308"/>
        <v>0</v>
      </c>
      <c r="DH187" s="132">
        <f t="shared" si="308"/>
        <v>0</v>
      </c>
      <c r="DI187" s="132">
        <f t="shared" si="308"/>
        <v>0</v>
      </c>
      <c r="DJ187" s="132">
        <f t="shared" si="308"/>
        <v>0</v>
      </c>
      <c r="DK187" s="132">
        <f t="shared" si="308"/>
        <v>0</v>
      </c>
      <c r="DL187" s="132">
        <f t="shared" si="308"/>
        <v>0</v>
      </c>
      <c r="DM187" s="134">
        <f t="shared" si="308"/>
        <v>0</v>
      </c>
      <c r="DN187" s="115">
        <f t="shared" si="308"/>
        <v>0</v>
      </c>
      <c r="DO187" s="115">
        <f t="shared" si="308"/>
        <v>0</v>
      </c>
      <c r="DP187" s="115">
        <f t="shared" si="308"/>
        <v>0</v>
      </c>
      <c r="DQ187" s="115">
        <f t="shared" si="308"/>
        <v>0</v>
      </c>
      <c r="DR187" s="115">
        <f t="shared" si="309"/>
        <v>0</v>
      </c>
      <c r="DS187" s="115">
        <f t="shared" si="309"/>
        <v>0</v>
      </c>
      <c r="DT187" s="115">
        <f t="shared" si="309"/>
        <v>0</v>
      </c>
      <c r="DU187" s="115">
        <f t="shared" si="309"/>
        <v>0</v>
      </c>
      <c r="DV187" s="115">
        <f t="shared" si="309"/>
        <v>0</v>
      </c>
      <c r="DW187" s="115">
        <f t="shared" si="309"/>
        <v>0</v>
      </c>
      <c r="DX187" s="115">
        <f t="shared" si="309"/>
        <v>0</v>
      </c>
      <c r="DY187" s="115">
        <f t="shared" si="309"/>
        <v>0</v>
      </c>
    </row>
    <row r="188" spans="1:129" x14ac:dyDescent="0.35">
      <c r="B188" s="6" t="str">
        <f t="shared" si="302"/>
        <v/>
      </c>
      <c r="C188" s="137"/>
      <c r="D188" s="155"/>
      <c r="E188" s="147"/>
      <c r="F188" s="118">
        <f t="shared" si="305"/>
        <v>0</v>
      </c>
      <c r="G188" s="148"/>
      <c r="H188" s="347">
        <f t="shared" si="306"/>
        <v>0</v>
      </c>
      <c r="I188" s="146"/>
      <c r="J188" s="156"/>
      <c r="K188" s="116"/>
      <c r="L188" s="118"/>
      <c r="M188" s="6"/>
      <c r="N188" s="137"/>
      <c r="O188" s="155"/>
      <c r="P188" s="147"/>
      <c r="Q188" s="118">
        <f t="shared" si="303"/>
        <v>0</v>
      </c>
      <c r="R188" s="148"/>
      <c r="S188" s="347">
        <f t="shared" si="307"/>
        <v>0</v>
      </c>
      <c r="T188" s="146"/>
      <c r="U188" s="156"/>
      <c r="W188" s="114" t="s">
        <v>313</v>
      </c>
      <c r="X188" s="133" cm="1">
        <f t="array" ref="X188">IFERROR((SUMPRODUCT((TEXT($O185:$O199,"yyyymm")=TEXT(X$8,"yyyymm")) * ($U185:$U199 * $N185:$N199*$R185:$R199*$Q185:$Q199)))+(SUMPRODUCT((TEXT($D185:$D199,"yyyymm")=TEXT(X$8,"yyyymm")) * ($J185:$J199 * $C185:$C199*$G185:$G199*$F185:$F199))),0)</f>
        <v>0</v>
      </c>
      <c r="Y188" s="115" cm="1">
        <f t="array" ref="Y188">IFERROR((SUMPRODUCT((TEXT($O185:$O199,"yyyymm")=TEXT(Y$8,"yyyymm")) * ($U185:$U199 * $N185:$N199*$R185:$R199*$Q185:$Q199)))+(SUMPRODUCT((TEXT($D185:$D199,"yyyymm")=TEXT(Y$8,"yyyymm")) * ($J185:$J199 * $C185:$C199*$G185:$G199*$F185:$F199))),0)</f>
        <v>0</v>
      </c>
      <c r="Z188" s="115" cm="1">
        <f t="array" ref="Z188">IFERROR((SUMPRODUCT((TEXT($O185:$O199,"yyyymm")=TEXT(Z$8,"yyyymm")) * ($U185:$U199 * $N185:$N199*$R185:$R199*$Q185:$Q199)))+(SUMPRODUCT((TEXT($D185:$D199,"yyyymm")=TEXT(Z$8,"yyyymm")) * ($J185:$J199 * $C185:$C199*$G185:$G199*$F185:$F199))),0)</f>
        <v>0</v>
      </c>
      <c r="AA188" s="115" cm="1">
        <f t="array" ref="AA188">IFERROR((SUMPRODUCT((TEXT($O185:$O199,"yyyymm")=TEXT(AA$8,"yyyymm")) * ($U185:$U199 * $N185:$N199*$R185:$R199*$Q185:$Q199)))+(SUMPRODUCT((TEXT($D185:$D199,"yyyymm")=TEXT(AA$8,"yyyymm")) * ($J185:$J199 * $C185:$C199*$G185:$G199*$F185:$F199))),0)</f>
        <v>0</v>
      </c>
      <c r="AB188" s="115" cm="1">
        <f t="array" ref="AB188">IFERROR((SUMPRODUCT((TEXT($O185:$O199,"yyyymm")=TEXT(AB$8,"yyyymm")) * ($U185:$U199 * $N185:$N199*$R185:$R199*$Q185:$Q199)))+(SUMPRODUCT((TEXT($D185:$D199,"yyyymm")=TEXT(AB$8,"yyyymm")) * ($J185:$J199 * $C185:$C199*$G185:$G199*$F185:$F199))),0)</f>
        <v>0</v>
      </c>
      <c r="AC188" s="115" cm="1">
        <f t="array" ref="AC188">IFERROR((SUMPRODUCT((TEXT($O185:$O199,"yyyymm")=TEXT(AC$8,"yyyymm")) * ($U185:$U199 * $N185:$N199*$R185:$R199*$Q185:$Q199)))+(SUMPRODUCT((TEXT($D185:$D199,"yyyymm")=TEXT(AC$8,"yyyymm")) * ($J185:$J199 * $C185:$C199*$G185:$G199*$F185:$F199))),0)</f>
        <v>0</v>
      </c>
      <c r="AD188" s="115" cm="1">
        <f t="array" ref="AD188">IFERROR((SUMPRODUCT((TEXT($O185:$O199,"yyyymm")=TEXT(AD$8,"yyyymm")) * ($U185:$U199 * $N185:$N199*$R185:$R199*$Q185:$Q199)))+(SUMPRODUCT((TEXT($D185:$D199,"yyyymm")=TEXT(AD$8,"yyyymm")) * ($J185:$J199 * $C185:$C199*$G185:$G199*$F185:$F199))),0)</f>
        <v>0</v>
      </c>
      <c r="AE188" s="115" cm="1">
        <f t="array" ref="AE188">IFERROR((SUMPRODUCT((TEXT($O185:$O199,"yyyymm")=TEXT(AE$8,"yyyymm")) * ($U185:$U199 * $N185:$N199*$R185:$R199*$Q185:$Q199)))+(SUMPRODUCT((TEXT($D185:$D199,"yyyymm")=TEXT(AE$8,"yyyymm")) * ($J185:$J199 * $C185:$C199*$G185:$G199*$F185:$F199))),0)</f>
        <v>0</v>
      </c>
      <c r="AF188" s="115" cm="1">
        <f t="array" ref="AF188">IFERROR((SUMPRODUCT((TEXT($O185:$O199,"yyyymm")=TEXT(AF$8,"yyyymm")) * ($U185:$U199 * $N185:$N199*$R185:$R199*$Q185:$Q199)))+(SUMPRODUCT((TEXT($D185:$D199,"yyyymm")=TEXT(AF$8,"yyyymm")) * ($J185:$J199 * $C185:$C199*$G185:$G199*$F185:$F199))),0)</f>
        <v>0</v>
      </c>
      <c r="AG188" s="115" cm="1">
        <f t="array" ref="AG188">IFERROR((SUMPRODUCT((TEXT($O185:$O199,"yyyymm")=TEXT(AG$8,"yyyymm")) * ($U185:$U199 * $N185:$N199*$R185:$R199*$Q185:$Q199)))+(SUMPRODUCT((TEXT($D185:$D199,"yyyymm")=TEXT(AG$8,"yyyymm")) * ($J185:$J199 * $C185:$C199*$G185:$G199*$F185:$F199))),0)</f>
        <v>0</v>
      </c>
      <c r="AH188" s="115" cm="1">
        <f t="array" ref="AH188">IFERROR((SUMPRODUCT((TEXT($O185:$O199,"yyyymm")=TEXT(AH$8,"yyyymm")) * ($U185:$U199 * $N185:$N199*$R185:$R199*$Q185:$Q199)))+(SUMPRODUCT((TEXT($D185:$D199,"yyyymm")=TEXT(AH$8,"yyyymm")) * ($J185:$J199 * $C185:$C199*$G185:$G199*$F185:$F199))),0)</f>
        <v>0</v>
      </c>
      <c r="AI188" s="115" cm="1">
        <f t="array" ref="AI188">IFERROR((SUMPRODUCT((TEXT($O185:$O199,"yyyymm")=TEXT(AI$8,"yyyymm")) * ($U185:$U199 * $N185:$N199*$R185:$R199*$Q185:$Q199)))+(SUMPRODUCT((TEXT($D185:$D199,"yyyymm")=TEXT(AI$8,"yyyymm")) * ($J185:$J199 * $C185:$C199*$G185:$G199*$F185:$F199))),0)</f>
        <v>0</v>
      </c>
      <c r="AJ188" s="133" cm="1">
        <f t="array" ref="AJ188">IFERROR((SUMPRODUCT((TEXT($O185:$O199,"yyyymm")=TEXT(AJ$8,"yyyymm")) * ($U185:$U199 * $N185:$N199*$R185:$R199*$Q185:$Q199)))+(SUMPRODUCT((TEXT($D185:$D199,"yyyymm")=TEXT(AJ$8,"yyyymm")) * ($J185:$J199 * $C185:$C199*$G185:$G199*$F185:$F199))),0)</f>
        <v>0</v>
      </c>
      <c r="AK188" s="115" cm="1">
        <f t="array" ref="AK188">IFERROR((SUMPRODUCT((TEXT($O185:$O199,"yyyymm")=TEXT(AK$8,"yyyymm")) * ($U185:$U199 * $N185:$N199*$R185:$R199*$Q185:$Q199)))+(SUMPRODUCT((TEXT($D185:$D199,"yyyymm")=TEXT(AK$8,"yyyymm")) * ($J185:$J199 * $C185:$C199*$G185:$G199*$F185:$F199))),0)</f>
        <v>0</v>
      </c>
      <c r="AL188" s="115" cm="1">
        <f t="array" ref="AL188">IFERROR((SUMPRODUCT((TEXT($O185:$O199,"yyyymm")=TEXT(AL$8,"yyyymm")) * ($U185:$U199 * $N185:$N199*$R185:$R199*$Q185:$Q199)))+(SUMPRODUCT((TEXT($D185:$D199,"yyyymm")=TEXT(AL$8,"yyyymm")) * ($J185:$J199 * $C185:$C199*$G185:$G199*$F185:$F199))),0)</f>
        <v>0</v>
      </c>
      <c r="AM188" s="115" cm="1">
        <f t="array" ref="AM188">IFERROR((SUMPRODUCT((TEXT($O185:$O199,"yyyymm")=TEXT(AM$8,"yyyymm")) * ($U185:$U199 * $N185:$N199*$R185:$R199*$Q185:$Q199)))+(SUMPRODUCT((TEXT($D185:$D199,"yyyymm")=TEXT(AM$8,"yyyymm")) * ($J185:$J199 * $C185:$C199*$G185:$G199*$F185:$F199))),0)</f>
        <v>0</v>
      </c>
      <c r="AN188" s="115" cm="1">
        <f t="array" ref="AN188">IFERROR((SUMPRODUCT((TEXT($O185:$O199,"yyyymm")=TEXT(AN$8,"yyyymm")) * ($U185:$U199 * $N185:$N199*$R185:$R199*$Q185:$Q199)))+(SUMPRODUCT((TEXT($D185:$D199,"yyyymm")=TEXT(AN$8,"yyyymm")) * ($J185:$J199 * $C185:$C199*$G185:$G199*$F185:$F199))),0)</f>
        <v>0</v>
      </c>
      <c r="AO188" s="115" cm="1">
        <f t="array" ref="AO188">IFERROR((SUMPRODUCT((TEXT($O185:$O199,"yyyymm")=TEXT(AO$8,"yyyymm")) * ($U185:$U199 * $N185:$N199*$R185:$R199*$Q185:$Q199)))+(SUMPRODUCT((TEXT($D185:$D199,"yyyymm")=TEXT(AO$8,"yyyymm")) * ($J185:$J199 * $C185:$C199*$G185:$G199*$F185:$F199))),0)</f>
        <v>0</v>
      </c>
      <c r="AP188" s="115" cm="1">
        <f t="array" ref="AP188">IFERROR((SUMPRODUCT((TEXT($O185:$O199,"yyyymm")=TEXT(AP$8,"yyyymm")) * ($U185:$U199 * $N185:$N199*$R185:$R199*$Q185:$Q199)))+(SUMPRODUCT((TEXT($D185:$D199,"yyyymm")=TEXT(AP$8,"yyyymm")) * ($J185:$J199 * $C185:$C199*$G185:$G199*$F185:$F199))),0)</f>
        <v>0</v>
      </c>
      <c r="AQ188" s="115" cm="1">
        <f t="array" ref="AQ188">IFERROR((SUMPRODUCT((TEXT($O185:$O199,"yyyymm")=TEXT(AQ$8,"yyyymm")) * ($U185:$U199 * $N185:$N199*$R185:$R199*$Q185:$Q199)))+(SUMPRODUCT((TEXT($D185:$D199,"yyyymm")=TEXT(AQ$8,"yyyymm")) * ($J185:$J199 * $C185:$C199*$G185:$G199*$F185:$F199))),0)</f>
        <v>0</v>
      </c>
      <c r="AR188" s="115" cm="1">
        <f t="array" ref="AR188">IFERROR((SUMPRODUCT((TEXT($O185:$O199,"yyyymm")=TEXT(AR$8,"yyyymm")) * ($U185:$U199 * $N185:$N199*$R185:$R199*$Q185:$Q199)))+(SUMPRODUCT((TEXT($D185:$D199,"yyyymm")=TEXT(AR$8,"yyyymm")) * ($J185:$J199 * $C185:$C199*$G185:$G199*$F185:$F199))),0)</f>
        <v>0</v>
      </c>
      <c r="AS188" s="115" cm="1">
        <f t="array" ref="AS188">IFERROR((SUMPRODUCT((TEXT($O185:$O199,"yyyymm")=TEXT(AS$8,"yyyymm")) * ($U185:$U199 * $N185:$N199*$R185:$R199*$Q185:$Q199)))+(SUMPRODUCT((TEXT($D185:$D199,"yyyymm")=TEXT(AS$8,"yyyymm")) * ($J185:$J199 * $C185:$C199*$G185:$G199*$F185:$F199))),0)</f>
        <v>0</v>
      </c>
      <c r="AT188" s="115" cm="1">
        <f t="array" ref="AT188">IFERROR((SUMPRODUCT((TEXT($O185:$O199,"yyyymm")=TEXT(AT$8,"yyyymm")) * ($U185:$U199 * $N185:$N199*$R185:$R199*$Q185:$Q199)))+(SUMPRODUCT((TEXT($D185:$D199,"yyyymm")=TEXT(AT$8,"yyyymm")) * ($J185:$J199 * $C185:$C199*$G185:$G199*$F185:$F199))),0)</f>
        <v>0</v>
      </c>
      <c r="AU188" s="115" cm="1">
        <f t="array" ref="AU188">IFERROR((SUMPRODUCT((TEXT($O185:$O199,"yyyymm")=TEXT(AU$8,"yyyymm")) * ($U185:$U199 * $N185:$N199*$R185:$R199*$Q185:$Q199)))+(SUMPRODUCT((TEXT($D185:$D199,"yyyymm")=TEXT(AU$8,"yyyymm")) * ($J185:$J199 * $C185:$C199*$G185:$G199*$F185:$F199))),0)</f>
        <v>0</v>
      </c>
      <c r="AV188" s="209">
        <f t="shared" si="310"/>
        <v>0</v>
      </c>
      <c r="DB188" s="133">
        <f t="shared" si="308"/>
        <v>0</v>
      </c>
      <c r="DC188" s="132">
        <f t="shared" si="308"/>
        <v>0</v>
      </c>
      <c r="DD188" s="132">
        <f t="shared" si="308"/>
        <v>0</v>
      </c>
      <c r="DE188" s="132">
        <f t="shared" si="308"/>
        <v>0</v>
      </c>
      <c r="DF188" s="132">
        <f t="shared" si="308"/>
        <v>0</v>
      </c>
      <c r="DG188" s="132">
        <f t="shared" si="308"/>
        <v>0</v>
      </c>
      <c r="DH188" s="132">
        <f t="shared" si="308"/>
        <v>0</v>
      </c>
      <c r="DI188" s="132">
        <f t="shared" si="308"/>
        <v>0</v>
      </c>
      <c r="DJ188" s="132">
        <f t="shared" si="308"/>
        <v>0</v>
      </c>
      <c r="DK188" s="132">
        <f t="shared" si="308"/>
        <v>0</v>
      </c>
      <c r="DL188" s="132">
        <f t="shared" si="308"/>
        <v>0</v>
      </c>
      <c r="DM188" s="134">
        <f t="shared" si="308"/>
        <v>0</v>
      </c>
      <c r="DN188" s="115">
        <f t="shared" si="308"/>
        <v>0</v>
      </c>
      <c r="DO188" s="115">
        <f t="shared" si="308"/>
        <v>0</v>
      </c>
      <c r="DP188" s="115">
        <f t="shared" si="308"/>
        <v>0</v>
      </c>
      <c r="DQ188" s="115">
        <f t="shared" si="308"/>
        <v>0</v>
      </c>
      <c r="DR188" s="115">
        <f t="shared" si="309"/>
        <v>0</v>
      </c>
      <c r="DS188" s="115">
        <f t="shared" si="309"/>
        <v>0</v>
      </c>
      <c r="DT188" s="115">
        <f t="shared" si="309"/>
        <v>0</v>
      </c>
      <c r="DU188" s="115">
        <f t="shared" si="309"/>
        <v>0</v>
      </c>
      <c r="DV188" s="115">
        <f t="shared" si="309"/>
        <v>0</v>
      </c>
      <c r="DW188" s="115">
        <f t="shared" si="309"/>
        <v>0</v>
      </c>
      <c r="DX188" s="115">
        <f t="shared" si="309"/>
        <v>0</v>
      </c>
      <c r="DY188" s="115">
        <f t="shared" si="309"/>
        <v>0</v>
      </c>
    </row>
    <row r="189" spans="1:129" ht="17.5" x14ac:dyDescent="0.35">
      <c r="B189" s="6" t="str">
        <f t="shared" si="302"/>
        <v/>
      </c>
      <c r="C189" s="137"/>
      <c r="D189" s="155"/>
      <c r="E189" s="145"/>
      <c r="F189" s="118">
        <f t="shared" si="305"/>
        <v>0</v>
      </c>
      <c r="G189" s="146"/>
      <c r="H189" s="347">
        <f t="shared" si="306"/>
        <v>0</v>
      </c>
      <c r="I189" s="146"/>
      <c r="J189" s="156"/>
      <c r="K189" s="116"/>
      <c r="L189" s="118"/>
      <c r="M189" s="6"/>
      <c r="N189" s="137"/>
      <c r="O189" s="155"/>
      <c r="P189" s="145"/>
      <c r="Q189" s="118">
        <f t="shared" si="303"/>
        <v>0</v>
      </c>
      <c r="R189" s="146"/>
      <c r="S189" s="347">
        <f t="shared" si="307"/>
        <v>0</v>
      </c>
      <c r="T189" s="146"/>
      <c r="U189" s="156"/>
      <c r="W189" s="176" t="s">
        <v>273</v>
      </c>
      <c r="X189" s="90">
        <f>SUM(X186:X188)</f>
        <v>0</v>
      </c>
      <c r="Y189" s="90">
        <f t="shared" ref="Y189:AV189" si="311">SUM(Y186:Y188)</f>
        <v>0</v>
      </c>
      <c r="Z189" s="90">
        <f t="shared" si="311"/>
        <v>0</v>
      </c>
      <c r="AA189" s="90">
        <f t="shared" si="311"/>
        <v>0</v>
      </c>
      <c r="AB189" s="90">
        <f t="shared" si="311"/>
        <v>0</v>
      </c>
      <c r="AC189" s="90">
        <f t="shared" si="311"/>
        <v>0</v>
      </c>
      <c r="AD189" s="90">
        <f t="shared" si="311"/>
        <v>0</v>
      </c>
      <c r="AE189" s="90">
        <f t="shared" si="311"/>
        <v>0</v>
      </c>
      <c r="AF189" s="90">
        <f t="shared" si="311"/>
        <v>0</v>
      </c>
      <c r="AG189" s="90">
        <f t="shared" si="311"/>
        <v>0</v>
      </c>
      <c r="AH189" s="90">
        <f t="shared" si="311"/>
        <v>0</v>
      </c>
      <c r="AI189" s="90">
        <f t="shared" si="311"/>
        <v>0</v>
      </c>
      <c r="AJ189" s="90">
        <f t="shared" si="311"/>
        <v>0</v>
      </c>
      <c r="AK189" s="90">
        <f t="shared" si="311"/>
        <v>0</v>
      </c>
      <c r="AL189" s="90">
        <f t="shared" si="311"/>
        <v>0</v>
      </c>
      <c r="AM189" s="90">
        <f t="shared" si="311"/>
        <v>0</v>
      </c>
      <c r="AN189" s="90">
        <f t="shared" si="311"/>
        <v>0</v>
      </c>
      <c r="AO189" s="90">
        <f t="shared" si="311"/>
        <v>0</v>
      </c>
      <c r="AP189" s="90">
        <f t="shared" si="311"/>
        <v>0</v>
      </c>
      <c r="AQ189" s="90">
        <f t="shared" si="311"/>
        <v>0</v>
      </c>
      <c r="AR189" s="90">
        <f t="shared" si="311"/>
        <v>0</v>
      </c>
      <c r="AS189" s="90">
        <f t="shared" si="311"/>
        <v>0</v>
      </c>
      <c r="AT189" s="90">
        <f t="shared" si="311"/>
        <v>0</v>
      </c>
      <c r="AU189" s="177">
        <f t="shared" si="311"/>
        <v>0</v>
      </c>
      <c r="AV189" s="90">
        <f t="shared" si="311"/>
        <v>0</v>
      </c>
      <c r="DB189" s="133">
        <f t="shared" si="308"/>
        <v>0</v>
      </c>
      <c r="DC189" s="132">
        <f t="shared" si="308"/>
        <v>0</v>
      </c>
      <c r="DD189" s="132">
        <f t="shared" si="308"/>
        <v>0</v>
      </c>
      <c r="DE189" s="132">
        <f t="shared" si="308"/>
        <v>0</v>
      </c>
      <c r="DF189" s="132">
        <f t="shared" si="308"/>
        <v>0</v>
      </c>
      <c r="DG189" s="132">
        <f t="shared" si="308"/>
        <v>0</v>
      </c>
      <c r="DH189" s="132">
        <f t="shared" si="308"/>
        <v>0</v>
      </c>
      <c r="DI189" s="132">
        <f t="shared" si="308"/>
        <v>0</v>
      </c>
      <c r="DJ189" s="132">
        <f t="shared" si="308"/>
        <v>0</v>
      </c>
      <c r="DK189" s="132">
        <f t="shared" si="308"/>
        <v>0</v>
      </c>
      <c r="DL189" s="132">
        <f t="shared" si="308"/>
        <v>0</v>
      </c>
      <c r="DM189" s="134">
        <f t="shared" si="308"/>
        <v>0</v>
      </c>
      <c r="DN189" s="115">
        <f t="shared" si="308"/>
        <v>0</v>
      </c>
      <c r="DO189" s="115">
        <f t="shared" si="308"/>
        <v>0</v>
      </c>
      <c r="DP189" s="115">
        <f t="shared" si="308"/>
        <v>0</v>
      </c>
      <c r="DQ189" s="115">
        <f t="shared" si="308"/>
        <v>0</v>
      </c>
      <c r="DR189" s="115">
        <f t="shared" si="309"/>
        <v>0</v>
      </c>
      <c r="DS189" s="115">
        <f t="shared" si="309"/>
        <v>0</v>
      </c>
      <c r="DT189" s="115">
        <f t="shared" si="309"/>
        <v>0</v>
      </c>
      <c r="DU189" s="115">
        <f t="shared" si="309"/>
        <v>0</v>
      </c>
      <c r="DV189" s="115">
        <f t="shared" si="309"/>
        <v>0</v>
      </c>
      <c r="DW189" s="115">
        <f t="shared" si="309"/>
        <v>0</v>
      </c>
      <c r="DX189" s="115">
        <f t="shared" si="309"/>
        <v>0</v>
      </c>
      <c r="DY189" s="115">
        <f t="shared" si="309"/>
        <v>0</v>
      </c>
    </row>
    <row r="190" spans="1:129" x14ac:dyDescent="0.35">
      <c r="B190" s="6" t="str">
        <f t="shared" si="302"/>
        <v/>
      </c>
      <c r="D190" s="155"/>
      <c r="E190" s="145"/>
      <c r="F190" s="118">
        <f t="shared" si="305"/>
        <v>0</v>
      </c>
      <c r="G190" s="146"/>
      <c r="H190" s="347">
        <f t="shared" si="306"/>
        <v>0</v>
      </c>
      <c r="I190" s="146"/>
      <c r="J190" s="156"/>
      <c r="L190" s="118"/>
      <c r="O190" s="155"/>
      <c r="P190" s="145"/>
      <c r="Q190" s="118">
        <f t="shared" si="303"/>
        <v>0</v>
      </c>
      <c r="R190" s="146"/>
      <c r="S190" s="347">
        <f t="shared" si="307"/>
        <v>0</v>
      </c>
      <c r="T190" s="146"/>
      <c r="U190" s="156"/>
      <c r="DB190" s="133">
        <f t="shared" si="308"/>
        <v>0</v>
      </c>
      <c r="DC190" s="132">
        <f t="shared" si="308"/>
        <v>0</v>
      </c>
      <c r="DD190" s="132">
        <f t="shared" si="308"/>
        <v>0</v>
      </c>
      <c r="DE190" s="132">
        <f t="shared" si="308"/>
        <v>0</v>
      </c>
      <c r="DF190" s="132">
        <f t="shared" si="308"/>
        <v>0</v>
      </c>
      <c r="DG190" s="132">
        <f t="shared" si="308"/>
        <v>0</v>
      </c>
      <c r="DH190" s="132">
        <f t="shared" si="308"/>
        <v>0</v>
      </c>
      <c r="DI190" s="132">
        <f t="shared" si="308"/>
        <v>0</v>
      </c>
      <c r="DJ190" s="132">
        <f t="shared" si="308"/>
        <v>0</v>
      </c>
      <c r="DK190" s="132">
        <f t="shared" si="308"/>
        <v>0</v>
      </c>
      <c r="DL190" s="132">
        <f t="shared" si="308"/>
        <v>0</v>
      </c>
      <c r="DM190" s="134">
        <f t="shared" si="308"/>
        <v>0</v>
      </c>
      <c r="DN190" s="115">
        <f t="shared" si="308"/>
        <v>0</v>
      </c>
      <c r="DO190" s="115">
        <f t="shared" si="308"/>
        <v>0</v>
      </c>
      <c r="DP190" s="115">
        <f t="shared" si="308"/>
        <v>0</v>
      </c>
      <c r="DQ190" s="115">
        <f t="shared" si="308"/>
        <v>0</v>
      </c>
      <c r="DR190" s="115">
        <f t="shared" si="309"/>
        <v>0</v>
      </c>
      <c r="DS190" s="115">
        <f t="shared" si="309"/>
        <v>0</v>
      </c>
      <c r="DT190" s="115">
        <f t="shared" si="309"/>
        <v>0</v>
      </c>
      <c r="DU190" s="115">
        <f t="shared" si="309"/>
        <v>0</v>
      </c>
      <c r="DV190" s="115">
        <f t="shared" si="309"/>
        <v>0</v>
      </c>
      <c r="DW190" s="115">
        <f t="shared" si="309"/>
        <v>0</v>
      </c>
      <c r="DX190" s="115">
        <f t="shared" si="309"/>
        <v>0</v>
      </c>
      <c r="DY190" s="115">
        <f t="shared" si="309"/>
        <v>0</v>
      </c>
    </row>
    <row r="191" spans="1:129" x14ac:dyDescent="0.35">
      <c r="B191" s="6" t="str">
        <f t="shared" si="302"/>
        <v/>
      </c>
      <c r="C191" s="137"/>
      <c r="D191" s="155"/>
      <c r="E191" s="145"/>
      <c r="F191" s="118">
        <f t="shared" si="305"/>
        <v>0</v>
      </c>
      <c r="G191" s="146"/>
      <c r="H191" s="347">
        <f t="shared" si="306"/>
        <v>0</v>
      </c>
      <c r="I191" s="148"/>
      <c r="J191" s="156"/>
      <c r="K191" s="116"/>
      <c r="L191" s="118"/>
      <c r="M191" s="6"/>
      <c r="N191" s="137"/>
      <c r="O191" s="155"/>
      <c r="P191" s="145"/>
      <c r="Q191" s="118">
        <f t="shared" si="303"/>
        <v>0</v>
      </c>
      <c r="R191" s="146"/>
      <c r="S191" s="347">
        <f t="shared" si="307"/>
        <v>0</v>
      </c>
      <c r="T191" s="148"/>
      <c r="U191" s="156"/>
      <c r="W191" s="171" t="s">
        <v>315</v>
      </c>
      <c r="AK191" s="115"/>
      <c r="DB191" s="133">
        <f t="shared" si="308"/>
        <v>0</v>
      </c>
      <c r="DC191" s="132">
        <f t="shared" si="308"/>
        <v>0</v>
      </c>
      <c r="DD191" s="132">
        <f t="shared" si="308"/>
        <v>0</v>
      </c>
      <c r="DE191" s="132">
        <f t="shared" si="308"/>
        <v>0</v>
      </c>
      <c r="DF191" s="132">
        <f t="shared" si="308"/>
        <v>0</v>
      </c>
      <c r="DG191" s="132">
        <f t="shared" si="308"/>
        <v>0</v>
      </c>
      <c r="DH191" s="132">
        <f t="shared" si="308"/>
        <v>0</v>
      </c>
      <c r="DI191" s="132">
        <f t="shared" si="308"/>
        <v>0</v>
      </c>
      <c r="DJ191" s="132">
        <f t="shared" si="308"/>
        <v>0</v>
      </c>
      <c r="DK191" s="132">
        <f t="shared" si="308"/>
        <v>0</v>
      </c>
      <c r="DL191" s="132">
        <f t="shared" si="308"/>
        <v>0</v>
      </c>
      <c r="DM191" s="134">
        <f t="shared" si="308"/>
        <v>0</v>
      </c>
      <c r="DN191" s="115">
        <f t="shared" si="308"/>
        <v>0</v>
      </c>
      <c r="DO191" s="115">
        <f t="shared" si="308"/>
        <v>0</v>
      </c>
      <c r="DP191" s="115">
        <f t="shared" si="308"/>
        <v>0</v>
      </c>
      <c r="DQ191" s="115">
        <f t="shared" si="308"/>
        <v>0</v>
      </c>
      <c r="DR191" s="115">
        <f t="shared" si="309"/>
        <v>0</v>
      </c>
      <c r="DS191" s="115">
        <f t="shared" si="309"/>
        <v>0</v>
      </c>
      <c r="DT191" s="115">
        <f t="shared" si="309"/>
        <v>0</v>
      </c>
      <c r="DU191" s="115">
        <f t="shared" si="309"/>
        <v>0</v>
      </c>
      <c r="DV191" s="115">
        <f t="shared" si="309"/>
        <v>0</v>
      </c>
      <c r="DW191" s="115">
        <f t="shared" si="309"/>
        <v>0</v>
      </c>
      <c r="DX191" s="115">
        <f t="shared" si="309"/>
        <v>0</v>
      </c>
      <c r="DY191" s="115">
        <f t="shared" si="309"/>
        <v>0</v>
      </c>
    </row>
    <row r="192" spans="1:129" x14ac:dyDescent="0.35">
      <c r="B192" s="6" t="str">
        <f t="shared" si="302"/>
        <v/>
      </c>
      <c r="C192" s="137"/>
      <c r="D192" s="155"/>
      <c r="E192" s="145"/>
      <c r="F192" s="118">
        <f t="shared" si="305"/>
        <v>0</v>
      </c>
      <c r="G192" s="146"/>
      <c r="H192" s="347">
        <f t="shared" si="306"/>
        <v>0</v>
      </c>
      <c r="I192" s="148"/>
      <c r="J192" s="156"/>
      <c r="K192" s="116"/>
      <c r="L192" s="118"/>
      <c r="M192" s="6"/>
      <c r="N192" s="137"/>
      <c r="O192" s="155"/>
      <c r="P192" s="145"/>
      <c r="Q192" s="118">
        <f t="shared" si="303"/>
        <v>0</v>
      </c>
      <c r="R192" s="146"/>
      <c r="S192" s="347">
        <f t="shared" si="307"/>
        <v>0</v>
      </c>
      <c r="T192" s="148"/>
      <c r="U192" s="156"/>
      <c r="W192" s="171" t="s">
        <v>316</v>
      </c>
      <c r="DB192" s="133">
        <f t="shared" si="308"/>
        <v>0</v>
      </c>
      <c r="DC192" s="132">
        <f t="shared" si="308"/>
        <v>0</v>
      </c>
      <c r="DD192" s="132">
        <f t="shared" si="308"/>
        <v>0</v>
      </c>
      <c r="DE192" s="132">
        <f t="shared" si="308"/>
        <v>0</v>
      </c>
      <c r="DF192" s="132">
        <f t="shared" si="308"/>
        <v>0</v>
      </c>
      <c r="DG192" s="132">
        <f t="shared" si="308"/>
        <v>0</v>
      </c>
      <c r="DH192" s="132">
        <f t="shared" si="308"/>
        <v>0</v>
      </c>
      <c r="DI192" s="132">
        <f t="shared" si="308"/>
        <v>0</v>
      </c>
      <c r="DJ192" s="132">
        <f t="shared" si="308"/>
        <v>0</v>
      </c>
      <c r="DK192" s="132">
        <f t="shared" si="308"/>
        <v>0</v>
      </c>
      <c r="DL192" s="132">
        <f t="shared" si="308"/>
        <v>0</v>
      </c>
      <c r="DM192" s="134">
        <f t="shared" si="308"/>
        <v>0</v>
      </c>
      <c r="DN192" s="115">
        <f t="shared" si="308"/>
        <v>0</v>
      </c>
      <c r="DO192" s="115">
        <f t="shared" si="308"/>
        <v>0</v>
      </c>
      <c r="DP192" s="115">
        <f t="shared" si="308"/>
        <v>0</v>
      </c>
      <c r="DQ192" s="115">
        <f t="shared" si="308"/>
        <v>0</v>
      </c>
      <c r="DR192" s="115">
        <f t="shared" si="309"/>
        <v>0</v>
      </c>
      <c r="DS192" s="115">
        <f t="shared" si="309"/>
        <v>0</v>
      </c>
      <c r="DT192" s="115">
        <f t="shared" si="309"/>
        <v>0</v>
      </c>
      <c r="DU192" s="115">
        <f t="shared" si="309"/>
        <v>0</v>
      </c>
      <c r="DV192" s="115">
        <f t="shared" si="309"/>
        <v>0</v>
      </c>
      <c r="DW192" s="115">
        <f t="shared" si="309"/>
        <v>0</v>
      </c>
      <c r="DX192" s="115">
        <f t="shared" si="309"/>
        <v>0</v>
      </c>
      <c r="DY192" s="115">
        <f t="shared" si="309"/>
        <v>0</v>
      </c>
    </row>
    <row r="193" spans="1:129" x14ac:dyDescent="0.35">
      <c r="B193" s="6" t="str">
        <f t="shared" si="302"/>
        <v/>
      </c>
      <c r="C193" s="137"/>
      <c r="D193" s="155"/>
      <c r="E193" s="145"/>
      <c r="F193" s="118">
        <f t="shared" si="305"/>
        <v>0</v>
      </c>
      <c r="G193" s="146"/>
      <c r="H193" s="347">
        <f t="shared" si="306"/>
        <v>0</v>
      </c>
      <c r="I193" s="148"/>
      <c r="J193" s="156"/>
      <c r="K193" s="116"/>
      <c r="L193" s="118"/>
      <c r="M193" s="6"/>
      <c r="N193" s="137"/>
      <c r="O193" s="155"/>
      <c r="P193" s="145"/>
      <c r="Q193" s="118">
        <f t="shared" si="303"/>
        <v>0</v>
      </c>
      <c r="R193" s="146"/>
      <c r="S193" s="347">
        <f t="shared" si="307"/>
        <v>0</v>
      </c>
      <c r="T193" s="148"/>
      <c r="U193" s="156"/>
      <c r="DB193" s="133">
        <f t="shared" si="308"/>
        <v>0</v>
      </c>
      <c r="DC193" s="132">
        <f t="shared" si="308"/>
        <v>0</v>
      </c>
      <c r="DD193" s="132">
        <f t="shared" si="308"/>
        <v>0</v>
      </c>
      <c r="DE193" s="132">
        <f t="shared" si="308"/>
        <v>0</v>
      </c>
      <c r="DF193" s="132">
        <f t="shared" si="308"/>
        <v>0</v>
      </c>
      <c r="DG193" s="132">
        <f t="shared" si="308"/>
        <v>0</v>
      </c>
      <c r="DH193" s="132">
        <f t="shared" si="308"/>
        <v>0</v>
      </c>
      <c r="DI193" s="132">
        <f t="shared" si="308"/>
        <v>0</v>
      </c>
      <c r="DJ193" s="132">
        <f t="shared" si="308"/>
        <v>0</v>
      </c>
      <c r="DK193" s="132">
        <f t="shared" si="308"/>
        <v>0</v>
      </c>
      <c r="DL193" s="132">
        <f t="shared" si="308"/>
        <v>0</v>
      </c>
      <c r="DM193" s="134">
        <f t="shared" si="308"/>
        <v>0</v>
      </c>
      <c r="DN193" s="115">
        <f t="shared" si="308"/>
        <v>0</v>
      </c>
      <c r="DO193" s="115">
        <f t="shared" si="308"/>
        <v>0</v>
      </c>
      <c r="DP193" s="115">
        <f t="shared" si="308"/>
        <v>0</v>
      </c>
      <c r="DQ193" s="115">
        <f t="shared" si="308"/>
        <v>0</v>
      </c>
      <c r="DR193" s="115">
        <f t="shared" si="309"/>
        <v>0</v>
      </c>
      <c r="DS193" s="115">
        <f t="shared" si="309"/>
        <v>0</v>
      </c>
      <c r="DT193" s="115">
        <f t="shared" si="309"/>
        <v>0</v>
      </c>
      <c r="DU193" s="115">
        <f t="shared" si="309"/>
        <v>0</v>
      </c>
      <c r="DV193" s="115">
        <f t="shared" si="309"/>
        <v>0</v>
      </c>
      <c r="DW193" s="115">
        <f t="shared" si="309"/>
        <v>0</v>
      </c>
      <c r="DX193" s="115">
        <f t="shared" si="309"/>
        <v>0</v>
      </c>
      <c r="DY193" s="115">
        <f t="shared" si="309"/>
        <v>0</v>
      </c>
    </row>
    <row r="194" spans="1:129" x14ac:dyDescent="0.35">
      <c r="B194" s="6" t="str">
        <f t="shared" si="302"/>
        <v/>
      </c>
      <c r="C194" s="137"/>
      <c r="D194" s="155"/>
      <c r="E194" s="145"/>
      <c r="F194" s="118">
        <f t="shared" si="305"/>
        <v>0</v>
      </c>
      <c r="G194" s="146"/>
      <c r="H194" s="347">
        <f t="shared" si="306"/>
        <v>0</v>
      </c>
      <c r="I194" s="148"/>
      <c r="J194" s="156"/>
      <c r="K194" s="116"/>
      <c r="L194" s="118"/>
      <c r="M194" s="6"/>
      <c r="N194" s="137"/>
      <c r="O194" s="155"/>
      <c r="P194" s="145"/>
      <c r="Q194" s="118">
        <f t="shared" si="303"/>
        <v>0</v>
      </c>
      <c r="R194" s="146"/>
      <c r="S194" s="347">
        <f t="shared" si="307"/>
        <v>0</v>
      </c>
      <c r="T194" s="148"/>
      <c r="U194" s="156"/>
      <c r="DB194" s="133">
        <f t="shared" si="308"/>
        <v>0</v>
      </c>
      <c r="DC194" s="132">
        <f t="shared" si="308"/>
        <v>0</v>
      </c>
      <c r="DD194" s="132">
        <f t="shared" si="308"/>
        <v>0</v>
      </c>
      <c r="DE194" s="132">
        <f t="shared" si="308"/>
        <v>0</v>
      </c>
      <c r="DF194" s="132">
        <f t="shared" si="308"/>
        <v>0</v>
      </c>
      <c r="DG194" s="132">
        <f t="shared" si="308"/>
        <v>0</v>
      </c>
      <c r="DH194" s="132">
        <f t="shared" si="308"/>
        <v>0</v>
      </c>
      <c r="DI194" s="132">
        <f t="shared" si="308"/>
        <v>0</v>
      </c>
      <c r="DJ194" s="132">
        <f t="shared" si="308"/>
        <v>0</v>
      </c>
      <c r="DK194" s="132">
        <f t="shared" si="308"/>
        <v>0</v>
      </c>
      <c r="DL194" s="132">
        <f t="shared" si="308"/>
        <v>0</v>
      </c>
      <c r="DM194" s="134">
        <f t="shared" si="308"/>
        <v>0</v>
      </c>
      <c r="DN194" s="115">
        <f t="shared" si="308"/>
        <v>0</v>
      </c>
      <c r="DO194" s="115">
        <f t="shared" si="308"/>
        <v>0</v>
      </c>
      <c r="DP194" s="115">
        <f t="shared" si="308"/>
        <v>0</v>
      </c>
      <c r="DQ194" s="115">
        <f t="shared" si="308"/>
        <v>0</v>
      </c>
      <c r="DR194" s="115">
        <f t="shared" si="309"/>
        <v>0</v>
      </c>
      <c r="DS194" s="115">
        <f t="shared" si="309"/>
        <v>0</v>
      </c>
      <c r="DT194" s="115">
        <f t="shared" si="309"/>
        <v>0</v>
      </c>
      <c r="DU194" s="115">
        <f t="shared" si="309"/>
        <v>0</v>
      </c>
      <c r="DV194" s="115">
        <f t="shared" si="309"/>
        <v>0</v>
      </c>
      <c r="DW194" s="115">
        <f t="shared" si="309"/>
        <v>0</v>
      </c>
      <c r="DX194" s="115">
        <f t="shared" si="309"/>
        <v>0</v>
      </c>
      <c r="DY194" s="115">
        <f t="shared" si="309"/>
        <v>0</v>
      </c>
    </row>
    <row r="195" spans="1:129" x14ac:dyDescent="0.35">
      <c r="B195" s="6" t="str">
        <f t="shared" si="302"/>
        <v/>
      </c>
      <c r="C195" s="137"/>
      <c r="D195" s="155"/>
      <c r="E195" s="145"/>
      <c r="F195" s="118">
        <f t="shared" si="305"/>
        <v>0</v>
      </c>
      <c r="G195" s="146"/>
      <c r="H195" s="347">
        <f t="shared" si="306"/>
        <v>0</v>
      </c>
      <c r="I195" s="148"/>
      <c r="J195" s="156"/>
      <c r="K195" s="116"/>
      <c r="L195" s="118"/>
      <c r="M195" s="6"/>
      <c r="N195" s="137"/>
      <c r="O195" s="155"/>
      <c r="P195" s="145"/>
      <c r="Q195" s="118">
        <f t="shared" si="303"/>
        <v>0</v>
      </c>
      <c r="R195" s="146"/>
      <c r="S195" s="347">
        <f t="shared" si="307"/>
        <v>0</v>
      </c>
      <c r="T195" s="148"/>
      <c r="U195" s="156"/>
      <c r="DB195" s="133">
        <f t="shared" si="308"/>
        <v>0</v>
      </c>
      <c r="DC195" s="132">
        <f t="shared" si="308"/>
        <v>0</v>
      </c>
      <c r="DD195" s="132">
        <f t="shared" si="308"/>
        <v>0</v>
      </c>
      <c r="DE195" s="132">
        <f t="shared" si="308"/>
        <v>0</v>
      </c>
      <c r="DF195" s="132">
        <f t="shared" si="308"/>
        <v>0</v>
      </c>
      <c r="DG195" s="132">
        <f t="shared" si="308"/>
        <v>0</v>
      </c>
      <c r="DH195" s="132">
        <f t="shared" si="308"/>
        <v>0</v>
      </c>
      <c r="DI195" s="132">
        <f t="shared" si="308"/>
        <v>0</v>
      </c>
      <c r="DJ195" s="132">
        <f t="shared" si="308"/>
        <v>0</v>
      </c>
      <c r="DK195" s="132">
        <f t="shared" si="308"/>
        <v>0</v>
      </c>
      <c r="DL195" s="132">
        <f t="shared" si="308"/>
        <v>0</v>
      </c>
      <c r="DM195" s="134">
        <f t="shared" si="308"/>
        <v>0</v>
      </c>
      <c r="DN195" s="115">
        <f t="shared" si="308"/>
        <v>0</v>
      </c>
      <c r="DO195" s="115">
        <f t="shared" si="308"/>
        <v>0</v>
      </c>
      <c r="DP195" s="115">
        <f t="shared" si="308"/>
        <v>0</v>
      </c>
      <c r="DQ195" s="115">
        <f t="shared" si="308"/>
        <v>0</v>
      </c>
      <c r="DR195" s="115">
        <f t="shared" si="309"/>
        <v>0</v>
      </c>
      <c r="DS195" s="115">
        <f t="shared" si="309"/>
        <v>0</v>
      </c>
      <c r="DT195" s="115">
        <f t="shared" si="309"/>
        <v>0</v>
      </c>
      <c r="DU195" s="115">
        <f t="shared" si="309"/>
        <v>0</v>
      </c>
      <c r="DV195" s="115">
        <f t="shared" si="309"/>
        <v>0</v>
      </c>
      <c r="DW195" s="115">
        <f t="shared" si="309"/>
        <v>0</v>
      </c>
      <c r="DX195" s="115">
        <f t="shared" si="309"/>
        <v>0</v>
      </c>
      <c r="DY195" s="115">
        <f t="shared" si="309"/>
        <v>0</v>
      </c>
    </row>
    <row r="196" spans="1:129" x14ac:dyDescent="0.35">
      <c r="B196" s="6" t="str">
        <f t="shared" si="302"/>
        <v/>
      </c>
      <c r="C196" s="137"/>
      <c r="D196" s="155"/>
      <c r="E196" s="145"/>
      <c r="F196" s="118">
        <f t="shared" si="305"/>
        <v>0</v>
      </c>
      <c r="G196" s="146"/>
      <c r="H196" s="347">
        <f t="shared" si="306"/>
        <v>0</v>
      </c>
      <c r="I196" s="146"/>
      <c r="J196" s="156"/>
      <c r="K196" s="116"/>
      <c r="L196" s="118"/>
      <c r="M196" s="6"/>
      <c r="N196" s="137"/>
      <c r="O196" s="155"/>
      <c r="P196" s="145"/>
      <c r="Q196" s="118">
        <f t="shared" si="303"/>
        <v>0</v>
      </c>
      <c r="R196" s="146"/>
      <c r="S196" s="347">
        <f t="shared" si="307"/>
        <v>0</v>
      </c>
      <c r="T196" s="146"/>
      <c r="U196" s="156"/>
      <c r="DB196" s="133">
        <f t="shared" si="308"/>
        <v>0</v>
      </c>
      <c r="DC196" s="132">
        <f t="shared" si="308"/>
        <v>0</v>
      </c>
      <c r="DD196" s="132">
        <f t="shared" si="308"/>
        <v>0</v>
      </c>
      <c r="DE196" s="132">
        <f t="shared" si="308"/>
        <v>0</v>
      </c>
      <c r="DF196" s="132">
        <f t="shared" si="308"/>
        <v>0</v>
      </c>
      <c r="DG196" s="132">
        <f t="shared" si="308"/>
        <v>0</v>
      </c>
      <c r="DH196" s="132">
        <f t="shared" si="308"/>
        <v>0</v>
      </c>
      <c r="DI196" s="132">
        <f t="shared" si="308"/>
        <v>0</v>
      </c>
      <c r="DJ196" s="132">
        <f t="shared" si="308"/>
        <v>0</v>
      </c>
      <c r="DK196" s="132">
        <f t="shared" si="308"/>
        <v>0</v>
      </c>
      <c r="DL196" s="132">
        <f t="shared" si="308"/>
        <v>0</v>
      </c>
      <c r="DM196" s="134">
        <f t="shared" si="308"/>
        <v>0</v>
      </c>
      <c r="DN196" s="115">
        <f t="shared" si="308"/>
        <v>0</v>
      </c>
      <c r="DO196" s="115">
        <f t="shared" si="308"/>
        <v>0</v>
      </c>
      <c r="DP196" s="115">
        <f t="shared" si="308"/>
        <v>0</v>
      </c>
      <c r="DQ196" s="115">
        <f t="shared" si="308"/>
        <v>0</v>
      </c>
      <c r="DR196" s="115">
        <f t="shared" si="309"/>
        <v>0</v>
      </c>
      <c r="DS196" s="115">
        <f t="shared" si="309"/>
        <v>0</v>
      </c>
      <c r="DT196" s="115">
        <f t="shared" si="309"/>
        <v>0</v>
      </c>
      <c r="DU196" s="115">
        <f t="shared" si="309"/>
        <v>0</v>
      </c>
      <c r="DV196" s="115">
        <f t="shared" si="309"/>
        <v>0</v>
      </c>
      <c r="DW196" s="115">
        <f t="shared" si="309"/>
        <v>0</v>
      </c>
      <c r="DX196" s="115">
        <f t="shared" si="309"/>
        <v>0</v>
      </c>
      <c r="DY196" s="115">
        <f t="shared" si="309"/>
        <v>0</v>
      </c>
    </row>
    <row r="197" spans="1:129" x14ac:dyDescent="0.35">
      <c r="B197" s="6" t="str">
        <f t="shared" si="302"/>
        <v/>
      </c>
      <c r="C197" s="137"/>
      <c r="D197" s="155"/>
      <c r="E197" s="145"/>
      <c r="F197" s="118">
        <f t="shared" si="305"/>
        <v>0</v>
      </c>
      <c r="G197" s="146"/>
      <c r="H197" s="347">
        <f t="shared" si="306"/>
        <v>0</v>
      </c>
      <c r="I197" s="146"/>
      <c r="J197" s="156"/>
      <c r="K197" s="116"/>
      <c r="L197" s="118"/>
      <c r="M197" s="6"/>
      <c r="N197" s="137"/>
      <c r="O197" s="155"/>
      <c r="P197" s="145"/>
      <c r="Q197" s="118">
        <f t="shared" si="303"/>
        <v>0</v>
      </c>
      <c r="R197" s="146"/>
      <c r="S197" s="347">
        <f t="shared" si="307"/>
        <v>0</v>
      </c>
      <c r="T197" s="146"/>
      <c r="U197" s="156"/>
      <c r="DB197" s="133">
        <f t="shared" si="308"/>
        <v>0</v>
      </c>
      <c r="DC197" s="132">
        <f t="shared" si="308"/>
        <v>0</v>
      </c>
      <c r="DD197" s="132">
        <f t="shared" si="308"/>
        <v>0</v>
      </c>
      <c r="DE197" s="132">
        <f t="shared" si="308"/>
        <v>0</v>
      </c>
      <c r="DF197" s="132">
        <f t="shared" si="308"/>
        <v>0</v>
      </c>
      <c r="DG197" s="132">
        <f t="shared" si="308"/>
        <v>0</v>
      </c>
      <c r="DH197" s="132">
        <f t="shared" si="308"/>
        <v>0</v>
      </c>
      <c r="DI197" s="132">
        <f t="shared" si="308"/>
        <v>0</v>
      </c>
      <c r="DJ197" s="132">
        <f t="shared" si="308"/>
        <v>0</v>
      </c>
      <c r="DK197" s="132">
        <f t="shared" si="308"/>
        <v>0</v>
      </c>
      <c r="DL197" s="132">
        <f t="shared" si="308"/>
        <v>0</v>
      </c>
      <c r="DM197" s="134">
        <f t="shared" si="308"/>
        <v>0</v>
      </c>
      <c r="DN197" s="115">
        <f t="shared" si="308"/>
        <v>0</v>
      </c>
      <c r="DO197" s="115">
        <f t="shared" si="308"/>
        <v>0</v>
      </c>
      <c r="DP197" s="115">
        <f t="shared" si="308"/>
        <v>0</v>
      </c>
      <c r="DQ197" s="115">
        <f t="shared" si="308"/>
        <v>0</v>
      </c>
      <c r="DR197" s="115">
        <f t="shared" si="309"/>
        <v>0</v>
      </c>
      <c r="DS197" s="115">
        <f t="shared" si="309"/>
        <v>0</v>
      </c>
      <c r="DT197" s="115">
        <f t="shared" si="309"/>
        <v>0</v>
      </c>
      <c r="DU197" s="115">
        <f t="shared" si="309"/>
        <v>0</v>
      </c>
      <c r="DV197" s="115">
        <f t="shared" si="309"/>
        <v>0</v>
      </c>
      <c r="DW197" s="115">
        <f t="shared" si="309"/>
        <v>0</v>
      </c>
      <c r="DX197" s="115">
        <f t="shared" si="309"/>
        <v>0</v>
      </c>
      <c r="DY197" s="115">
        <f t="shared" si="309"/>
        <v>0</v>
      </c>
    </row>
    <row r="198" spans="1:129" x14ac:dyDescent="0.35">
      <c r="B198" s="6" t="str">
        <f t="shared" si="302"/>
        <v/>
      </c>
      <c r="C198" s="137"/>
      <c r="D198" s="155"/>
      <c r="E198" s="145"/>
      <c r="F198" s="118">
        <f t="shared" si="305"/>
        <v>0</v>
      </c>
      <c r="G198" s="146"/>
      <c r="H198" s="347">
        <f t="shared" si="306"/>
        <v>0</v>
      </c>
      <c r="I198" s="146"/>
      <c r="J198" s="156"/>
      <c r="K198" s="116"/>
      <c r="L198" s="118"/>
      <c r="M198" s="6"/>
      <c r="N198" s="137"/>
      <c r="O198" s="155"/>
      <c r="P198" s="145"/>
      <c r="Q198" s="118">
        <f t="shared" si="303"/>
        <v>0</v>
      </c>
      <c r="R198" s="146"/>
      <c r="S198" s="347">
        <f t="shared" si="307"/>
        <v>0</v>
      </c>
      <c r="T198" s="146"/>
      <c r="U198" s="156"/>
      <c r="DB198" s="133">
        <f t="shared" si="308"/>
        <v>0</v>
      </c>
      <c r="DC198" s="132">
        <f t="shared" si="308"/>
        <v>0</v>
      </c>
      <c r="DD198" s="132">
        <f t="shared" si="308"/>
        <v>0</v>
      </c>
      <c r="DE198" s="132">
        <f t="shared" si="308"/>
        <v>0</v>
      </c>
      <c r="DF198" s="132">
        <f t="shared" si="308"/>
        <v>0</v>
      </c>
      <c r="DG198" s="132">
        <f t="shared" si="308"/>
        <v>0</v>
      </c>
      <c r="DH198" s="132">
        <f t="shared" si="308"/>
        <v>0</v>
      </c>
      <c r="DI198" s="132">
        <f t="shared" si="308"/>
        <v>0</v>
      </c>
      <c r="DJ198" s="132">
        <f t="shared" si="308"/>
        <v>0</v>
      </c>
      <c r="DK198" s="132">
        <f t="shared" si="308"/>
        <v>0</v>
      </c>
      <c r="DL198" s="132">
        <f t="shared" si="308"/>
        <v>0</v>
      </c>
      <c r="DM198" s="134">
        <f t="shared" si="308"/>
        <v>0</v>
      </c>
      <c r="DN198" s="115">
        <f t="shared" si="308"/>
        <v>0</v>
      </c>
      <c r="DO198" s="115">
        <f t="shared" si="308"/>
        <v>0</v>
      </c>
      <c r="DP198" s="115">
        <f t="shared" si="308"/>
        <v>0</v>
      </c>
      <c r="DQ198" s="115">
        <f t="shared" si="308"/>
        <v>0</v>
      </c>
      <c r="DR198" s="115">
        <f t="shared" si="309"/>
        <v>0</v>
      </c>
      <c r="DS198" s="115">
        <f t="shared" si="309"/>
        <v>0</v>
      </c>
      <c r="DT198" s="115">
        <f t="shared" si="309"/>
        <v>0</v>
      </c>
      <c r="DU198" s="115">
        <f t="shared" si="309"/>
        <v>0</v>
      </c>
      <c r="DV198" s="115">
        <f t="shared" si="309"/>
        <v>0</v>
      </c>
      <c r="DW198" s="115">
        <f t="shared" si="309"/>
        <v>0</v>
      </c>
      <c r="DX198" s="115">
        <f t="shared" si="309"/>
        <v>0</v>
      </c>
      <c r="DY198" s="115">
        <f t="shared" si="309"/>
        <v>0</v>
      </c>
    </row>
    <row r="199" spans="1:129" x14ac:dyDescent="0.35">
      <c r="A199" s="129"/>
      <c r="B199" s="15" t="str">
        <f t="shared" si="302"/>
        <v/>
      </c>
      <c r="C199" s="138"/>
      <c r="D199" s="157"/>
      <c r="E199" s="149"/>
      <c r="F199" s="129">
        <f t="shared" si="305"/>
        <v>0</v>
      </c>
      <c r="G199" s="150"/>
      <c r="H199" s="348">
        <f t="shared" si="306"/>
        <v>0</v>
      </c>
      <c r="I199" s="150"/>
      <c r="J199" s="158"/>
      <c r="K199" s="116"/>
      <c r="L199" s="129"/>
      <c r="M199" s="15"/>
      <c r="N199" s="138"/>
      <c r="O199" s="157"/>
      <c r="P199" s="149"/>
      <c r="Q199" s="129">
        <f t="shared" si="303"/>
        <v>0</v>
      </c>
      <c r="R199" s="150"/>
      <c r="S199" s="348">
        <f t="shared" si="307"/>
        <v>0</v>
      </c>
      <c r="T199" s="150"/>
      <c r="U199" s="158"/>
      <c r="AK199" s="115"/>
      <c r="DB199" s="133">
        <f t="shared" si="308"/>
        <v>0</v>
      </c>
      <c r="DC199" s="132">
        <f t="shared" si="308"/>
        <v>0</v>
      </c>
      <c r="DD199" s="132">
        <f t="shared" si="308"/>
        <v>0</v>
      </c>
      <c r="DE199" s="132">
        <f t="shared" si="308"/>
        <v>0</v>
      </c>
      <c r="DF199" s="132">
        <f t="shared" si="308"/>
        <v>0</v>
      </c>
      <c r="DG199" s="132">
        <f t="shared" si="308"/>
        <v>0</v>
      </c>
      <c r="DH199" s="132">
        <f t="shared" si="308"/>
        <v>0</v>
      </c>
      <c r="DI199" s="132">
        <f t="shared" si="308"/>
        <v>0</v>
      </c>
      <c r="DJ199" s="132">
        <f t="shared" si="308"/>
        <v>0</v>
      </c>
      <c r="DK199" s="132">
        <f t="shared" si="308"/>
        <v>0</v>
      </c>
      <c r="DL199" s="132">
        <f t="shared" si="308"/>
        <v>0</v>
      </c>
      <c r="DM199" s="134">
        <f t="shared" si="308"/>
        <v>0</v>
      </c>
      <c r="DN199" s="115">
        <f t="shared" si="308"/>
        <v>0</v>
      </c>
      <c r="DO199" s="115">
        <f t="shared" si="308"/>
        <v>0</v>
      </c>
      <c r="DP199" s="115">
        <f t="shared" si="308"/>
        <v>0</v>
      </c>
      <c r="DQ199" s="115">
        <f t="shared" si="308"/>
        <v>0</v>
      </c>
      <c r="DR199" s="115">
        <f t="shared" si="309"/>
        <v>0</v>
      </c>
      <c r="DS199" s="115">
        <f t="shared" si="309"/>
        <v>0</v>
      </c>
      <c r="DT199" s="115">
        <f t="shared" si="309"/>
        <v>0</v>
      </c>
      <c r="DU199" s="115">
        <f t="shared" si="309"/>
        <v>0</v>
      </c>
      <c r="DV199" s="115">
        <f t="shared" si="309"/>
        <v>0</v>
      </c>
      <c r="DW199" s="115">
        <f t="shared" si="309"/>
        <v>0</v>
      </c>
      <c r="DX199" s="115">
        <f t="shared" si="309"/>
        <v>0</v>
      </c>
      <c r="DY199" s="115">
        <f t="shared" si="309"/>
        <v>0</v>
      </c>
    </row>
    <row r="200" spans="1:129" ht="16.5" thickBot="1" x14ac:dyDescent="0.35">
      <c r="A200" s="117"/>
      <c r="B200" s="16" t="s">
        <v>301</v>
      </c>
      <c r="C200" s="139">
        <f>SUM(C185:C199)</f>
        <v>0</v>
      </c>
      <c r="D200" s="125"/>
      <c r="E200" s="125"/>
      <c r="F200" s="135"/>
      <c r="G200" s="126"/>
      <c r="H200" s="126"/>
      <c r="I200" s="126"/>
      <c r="J200" s="127"/>
      <c r="K200" s="116"/>
      <c r="L200" s="117"/>
      <c r="M200" s="16" t="s">
        <v>304</v>
      </c>
      <c r="N200" s="139">
        <f>SUM(N185:N199)</f>
        <v>0</v>
      </c>
      <c r="O200" s="125"/>
      <c r="P200" s="125"/>
      <c r="Q200" s="135"/>
      <c r="R200" s="126"/>
      <c r="S200" s="126"/>
      <c r="T200" s="126"/>
      <c r="U200" s="127"/>
      <c r="AK200" s="115"/>
      <c r="DB200" s="122">
        <f>SUM(DB185:DB199)</f>
        <v>0</v>
      </c>
      <c r="DC200" s="122">
        <f t="shared" ref="DC200:DY200" si="312">SUM(DC185:DC199)</f>
        <v>0</v>
      </c>
      <c r="DD200" s="122">
        <f t="shared" si="312"/>
        <v>0</v>
      </c>
      <c r="DE200" s="122">
        <f t="shared" si="312"/>
        <v>0</v>
      </c>
      <c r="DF200" s="122">
        <f t="shared" si="312"/>
        <v>0</v>
      </c>
      <c r="DG200" s="122">
        <f t="shared" si="312"/>
        <v>0</v>
      </c>
      <c r="DH200" s="122">
        <f t="shared" si="312"/>
        <v>0</v>
      </c>
      <c r="DI200" s="122">
        <f t="shared" si="312"/>
        <v>0</v>
      </c>
      <c r="DJ200" s="122">
        <f t="shared" si="312"/>
        <v>0</v>
      </c>
      <c r="DK200" s="122">
        <f t="shared" si="312"/>
        <v>0</v>
      </c>
      <c r="DL200" s="122">
        <f t="shared" si="312"/>
        <v>0</v>
      </c>
      <c r="DM200" s="122">
        <f t="shared" si="312"/>
        <v>0</v>
      </c>
      <c r="DN200" s="122">
        <f t="shared" si="312"/>
        <v>0</v>
      </c>
      <c r="DO200" s="122">
        <f t="shared" si="312"/>
        <v>0</v>
      </c>
      <c r="DP200" s="122">
        <f t="shared" si="312"/>
        <v>0</v>
      </c>
      <c r="DQ200" s="122">
        <f t="shared" si="312"/>
        <v>0</v>
      </c>
      <c r="DR200" s="122">
        <f t="shared" si="312"/>
        <v>0</v>
      </c>
      <c r="DS200" s="122">
        <f t="shared" si="312"/>
        <v>0</v>
      </c>
      <c r="DT200" s="122">
        <f t="shared" si="312"/>
        <v>0</v>
      </c>
      <c r="DU200" s="122">
        <f t="shared" si="312"/>
        <v>0</v>
      </c>
      <c r="DV200" s="122">
        <f t="shared" si="312"/>
        <v>0</v>
      </c>
      <c r="DW200" s="122">
        <f t="shared" si="312"/>
        <v>0</v>
      </c>
      <c r="DX200" s="122">
        <f t="shared" si="312"/>
        <v>0</v>
      </c>
      <c r="DY200" s="122">
        <f t="shared" si="312"/>
        <v>0</v>
      </c>
    </row>
    <row r="201" spans="1:129" s="179" customFormat="1" ht="18.5" thickTop="1" thickBot="1" x14ac:dyDescent="0.3">
      <c r="A201" s="178"/>
      <c r="F201" s="178"/>
      <c r="K201" s="180"/>
      <c r="AK201" s="180"/>
      <c r="DB201" s="418"/>
      <c r="DC201" s="418"/>
      <c r="DD201" s="418"/>
      <c r="DE201" s="418"/>
      <c r="DF201" s="418"/>
      <c r="DG201" s="418"/>
      <c r="DH201" s="418"/>
      <c r="DI201" s="418"/>
      <c r="DJ201" s="418"/>
      <c r="DK201" s="418"/>
      <c r="DL201" s="418"/>
      <c r="DM201" s="418"/>
    </row>
    <row r="202" spans="1:129" x14ac:dyDescent="0.35">
      <c r="A202" s="114"/>
      <c r="F202" s="114"/>
      <c r="K202" s="118"/>
      <c r="AK202" s="120"/>
      <c r="DB202" s="160">
        <f t="shared" ref="DB202:DY202" si="313">DB$8</f>
        <v>45658</v>
      </c>
      <c r="DC202" s="5">
        <f t="shared" si="313"/>
        <v>45689</v>
      </c>
      <c r="DD202" s="5">
        <f t="shared" si="313"/>
        <v>45717</v>
      </c>
      <c r="DE202" s="5">
        <f t="shared" si="313"/>
        <v>45748</v>
      </c>
      <c r="DF202" s="5">
        <f t="shared" si="313"/>
        <v>45778</v>
      </c>
      <c r="DG202" s="5">
        <f t="shared" si="313"/>
        <v>45809</v>
      </c>
      <c r="DH202" s="5">
        <f t="shared" si="313"/>
        <v>45839</v>
      </c>
      <c r="DI202" s="5">
        <f t="shared" si="313"/>
        <v>45870</v>
      </c>
      <c r="DJ202" s="5">
        <f t="shared" si="313"/>
        <v>45901</v>
      </c>
      <c r="DK202" s="5">
        <f t="shared" si="313"/>
        <v>45931</v>
      </c>
      <c r="DL202" s="5">
        <f t="shared" si="313"/>
        <v>45962</v>
      </c>
      <c r="DM202" s="161">
        <f t="shared" si="313"/>
        <v>45992</v>
      </c>
      <c r="DN202" s="5">
        <f t="shared" si="313"/>
        <v>46023</v>
      </c>
      <c r="DO202" s="5">
        <f t="shared" si="313"/>
        <v>46054</v>
      </c>
      <c r="DP202" s="5">
        <f t="shared" si="313"/>
        <v>46082</v>
      </c>
      <c r="DQ202" s="5">
        <f t="shared" si="313"/>
        <v>46113</v>
      </c>
      <c r="DR202" s="5">
        <f t="shared" si="313"/>
        <v>46143</v>
      </c>
      <c r="DS202" s="5">
        <f t="shared" si="313"/>
        <v>46174</v>
      </c>
      <c r="DT202" s="5">
        <f t="shared" si="313"/>
        <v>46204</v>
      </c>
      <c r="DU202" s="5">
        <f t="shared" si="313"/>
        <v>46235</v>
      </c>
      <c r="DV202" s="5">
        <f t="shared" si="313"/>
        <v>46266</v>
      </c>
      <c r="DW202" s="5">
        <f t="shared" si="313"/>
        <v>46296</v>
      </c>
      <c r="DX202" s="5">
        <f t="shared" si="313"/>
        <v>46327</v>
      </c>
      <c r="DY202" s="5">
        <f t="shared" si="313"/>
        <v>46357</v>
      </c>
    </row>
    <row r="203" spans="1:129" ht="18" x14ac:dyDescent="0.35">
      <c r="A203" s="143">
        <f>'9510'!B1</f>
        <v>9510</v>
      </c>
      <c r="B203" s="6"/>
      <c r="C203" s="119"/>
      <c r="D203" s="117"/>
      <c r="E203" s="117"/>
      <c r="F203" s="117"/>
      <c r="G203" s="117"/>
      <c r="I203" s="117"/>
      <c r="J203" s="117"/>
      <c r="K203" s="117"/>
    </row>
    <row r="204" spans="1:129" ht="17.5" x14ac:dyDescent="0.25">
      <c r="A204" s="169">
        <f>'9510'!B4</f>
        <v>19983</v>
      </c>
      <c r="B204" s="182">
        <f>(A204-C222)/A204</f>
        <v>0.67262172846919877</v>
      </c>
      <c r="D204" s="144" t="str">
        <f>"Vacancies - "&amp;A203</f>
        <v>Vacancies - 9510</v>
      </c>
      <c r="E204" s="117" cm="1">
        <f t="array" ref="E204">(SUMPRODUCT(('Renew &amp; Vac '!$O$53:$O$67&lt;='2300'!E$159) * ('Renew &amp; Vac '!$P$53:$P$67&gt;='Renew &amp; Vac '!E$186) * ('Renew &amp; Vac '!$R$53:$R$67 * 'Renew &amp; Vac '!$N$53:$N$67)))/12</f>
        <v>0</v>
      </c>
      <c r="F204" s="117"/>
      <c r="G204" s="117"/>
      <c r="I204" s="117"/>
      <c r="K204" s="117"/>
      <c r="L204" s="118"/>
      <c r="O204" s="144" t="str">
        <f>"Renewals - "&amp;A203</f>
        <v>Renewals - 9510</v>
      </c>
    </row>
    <row r="205" spans="1:129" ht="18" x14ac:dyDescent="0.25">
      <c r="D205" s="414" t="s">
        <v>306</v>
      </c>
      <c r="E205" s="415"/>
      <c r="F205" s="415"/>
      <c r="G205" s="415"/>
      <c r="H205" s="415"/>
      <c r="I205" s="415"/>
      <c r="J205" s="416"/>
      <c r="L205" s="118"/>
      <c r="O205" s="414" t="s">
        <v>306</v>
      </c>
      <c r="P205" s="415"/>
      <c r="Q205" s="415"/>
      <c r="R205" s="415"/>
      <c r="S205" s="415"/>
      <c r="T205" s="415"/>
      <c r="U205" s="416"/>
      <c r="W205" s="142">
        <f>A203</f>
        <v>9510</v>
      </c>
      <c r="X205" s="417">
        <v>2025</v>
      </c>
      <c r="Y205" s="417"/>
      <c r="Z205" s="417"/>
      <c r="AA205" s="417"/>
      <c r="AB205" s="417"/>
      <c r="AC205" s="417"/>
      <c r="AD205" s="417"/>
      <c r="AE205" s="417"/>
      <c r="AF205" s="417"/>
      <c r="AG205" s="417"/>
      <c r="AH205" s="417"/>
      <c r="AI205" s="417"/>
      <c r="AJ205" s="417">
        <f>X205+1</f>
        <v>2026</v>
      </c>
      <c r="AK205" s="417"/>
      <c r="AL205" s="417"/>
      <c r="AM205" s="417"/>
      <c r="AN205" s="417"/>
      <c r="AO205" s="417"/>
      <c r="AP205" s="417"/>
      <c r="AQ205" s="417"/>
      <c r="AR205" s="417"/>
      <c r="AS205" s="417"/>
      <c r="AT205" s="417"/>
      <c r="AU205" s="417"/>
      <c r="DB205" s="412" t="str">
        <f>+$DB$7</f>
        <v>2025</v>
      </c>
      <c r="DC205" s="412"/>
      <c r="DD205" s="412"/>
      <c r="DE205" s="412"/>
      <c r="DF205" s="412"/>
      <c r="DG205" s="412"/>
      <c r="DH205" s="412"/>
      <c r="DI205" s="412"/>
      <c r="DJ205" s="412"/>
      <c r="DK205" s="412"/>
      <c r="DL205" s="412"/>
      <c r="DM205" s="412"/>
      <c r="DN205" s="412" t="str">
        <f>+$DN$7</f>
        <v>2026</v>
      </c>
      <c r="DO205" s="412"/>
      <c r="DP205" s="412"/>
      <c r="DQ205" s="412"/>
      <c r="DR205" s="412"/>
      <c r="DS205" s="412"/>
      <c r="DT205" s="412"/>
      <c r="DU205" s="412"/>
      <c r="DV205" s="412"/>
      <c r="DW205" s="412"/>
      <c r="DX205" s="412"/>
      <c r="DY205" s="412"/>
    </row>
    <row r="206" spans="1:129" x14ac:dyDescent="0.35">
      <c r="A206" s="129" t="s">
        <v>206</v>
      </c>
      <c r="B206" s="15" t="s">
        <v>302</v>
      </c>
      <c r="C206" s="136" t="s">
        <v>203</v>
      </c>
      <c r="D206" s="159" t="s">
        <v>307</v>
      </c>
      <c r="E206" s="129" t="s">
        <v>308</v>
      </c>
      <c r="F206" s="129"/>
      <c r="G206" s="128" t="s">
        <v>202</v>
      </c>
      <c r="H206" s="141" t="s">
        <v>526</v>
      </c>
      <c r="I206" s="141" t="s">
        <v>303</v>
      </c>
      <c r="J206" s="131" t="s">
        <v>201</v>
      </c>
      <c r="K206" s="118"/>
      <c r="L206" s="118"/>
      <c r="M206" s="15" t="s">
        <v>302</v>
      </c>
      <c r="N206" s="136" t="s">
        <v>203</v>
      </c>
      <c r="O206" s="159" t="s">
        <v>307</v>
      </c>
      <c r="P206" s="129" t="s">
        <v>308</v>
      </c>
      <c r="Q206" s="129"/>
      <c r="R206" s="128" t="s">
        <v>202</v>
      </c>
      <c r="S206" s="141" t="s">
        <v>526</v>
      </c>
      <c r="T206" s="141" t="s">
        <v>303</v>
      </c>
      <c r="U206" s="131" t="s">
        <v>201</v>
      </c>
      <c r="X206" s="160">
        <f>X$8</f>
        <v>45658</v>
      </c>
      <c r="Y206" s="5">
        <f t="shared" ref="Y206:AU206" si="314">Y$8</f>
        <v>45689</v>
      </c>
      <c r="Z206" s="5">
        <f t="shared" si="314"/>
        <v>45717</v>
      </c>
      <c r="AA206" s="5">
        <f t="shared" si="314"/>
        <v>45748</v>
      </c>
      <c r="AB206" s="5">
        <f t="shared" si="314"/>
        <v>45778</v>
      </c>
      <c r="AC206" s="5">
        <f t="shared" si="314"/>
        <v>45809</v>
      </c>
      <c r="AD206" s="5">
        <f t="shared" si="314"/>
        <v>45839</v>
      </c>
      <c r="AE206" s="5">
        <f t="shared" si="314"/>
        <v>45870</v>
      </c>
      <c r="AF206" s="5">
        <f t="shared" si="314"/>
        <v>45901</v>
      </c>
      <c r="AG206" s="5">
        <f t="shared" si="314"/>
        <v>45931</v>
      </c>
      <c r="AH206" s="5">
        <f t="shared" si="314"/>
        <v>45962</v>
      </c>
      <c r="AI206" s="161">
        <f t="shared" si="314"/>
        <v>45992</v>
      </c>
      <c r="AJ206" s="5">
        <f t="shared" si="314"/>
        <v>46023</v>
      </c>
      <c r="AK206" s="5">
        <f t="shared" si="314"/>
        <v>46054</v>
      </c>
      <c r="AL206" s="5">
        <f t="shared" si="314"/>
        <v>46082</v>
      </c>
      <c r="AM206" s="5">
        <f t="shared" si="314"/>
        <v>46113</v>
      </c>
      <c r="AN206" s="5">
        <f t="shared" si="314"/>
        <v>46143</v>
      </c>
      <c r="AO206" s="5">
        <f t="shared" si="314"/>
        <v>46174</v>
      </c>
      <c r="AP206" s="5">
        <f t="shared" si="314"/>
        <v>46204</v>
      </c>
      <c r="AQ206" s="5">
        <f t="shared" si="314"/>
        <v>46235</v>
      </c>
      <c r="AR206" s="5">
        <f t="shared" si="314"/>
        <v>46266</v>
      </c>
      <c r="AS206" s="5">
        <f t="shared" si="314"/>
        <v>46296</v>
      </c>
      <c r="AT206" s="5">
        <f t="shared" si="314"/>
        <v>46327</v>
      </c>
      <c r="AU206" s="5">
        <f t="shared" si="314"/>
        <v>46357</v>
      </c>
      <c r="AV206" s="210" t="str">
        <f>AJ205&amp;" - Totals"</f>
        <v>2026 - Totals</v>
      </c>
      <c r="DB206" s="160">
        <f t="shared" ref="DB206:DY206" si="315">DB$8</f>
        <v>45658</v>
      </c>
      <c r="DC206" s="5">
        <f t="shared" si="315"/>
        <v>45689</v>
      </c>
      <c r="DD206" s="5">
        <f t="shared" si="315"/>
        <v>45717</v>
      </c>
      <c r="DE206" s="5">
        <f t="shared" si="315"/>
        <v>45748</v>
      </c>
      <c r="DF206" s="5">
        <f t="shared" si="315"/>
        <v>45778</v>
      </c>
      <c r="DG206" s="5">
        <f t="shared" si="315"/>
        <v>45809</v>
      </c>
      <c r="DH206" s="5">
        <f t="shared" si="315"/>
        <v>45839</v>
      </c>
      <c r="DI206" s="5">
        <f t="shared" si="315"/>
        <v>45870</v>
      </c>
      <c r="DJ206" s="5">
        <f t="shared" si="315"/>
        <v>45901</v>
      </c>
      <c r="DK206" s="5">
        <f t="shared" si="315"/>
        <v>45931</v>
      </c>
      <c r="DL206" s="5">
        <f t="shared" si="315"/>
        <v>45962</v>
      </c>
      <c r="DM206" s="161">
        <f t="shared" si="315"/>
        <v>45992</v>
      </c>
      <c r="DN206" s="5">
        <f t="shared" si="315"/>
        <v>46023</v>
      </c>
      <c r="DO206" s="5">
        <f t="shared" si="315"/>
        <v>46054</v>
      </c>
      <c r="DP206" s="5">
        <f t="shared" si="315"/>
        <v>46082</v>
      </c>
      <c r="DQ206" s="5">
        <f t="shared" si="315"/>
        <v>46113</v>
      </c>
      <c r="DR206" s="5">
        <f t="shared" si="315"/>
        <v>46143</v>
      </c>
      <c r="DS206" s="5">
        <f t="shared" si="315"/>
        <v>46174</v>
      </c>
      <c r="DT206" s="5">
        <f t="shared" si="315"/>
        <v>46204</v>
      </c>
      <c r="DU206" s="5">
        <f t="shared" si="315"/>
        <v>46235</v>
      </c>
      <c r="DV206" s="5">
        <f t="shared" si="315"/>
        <v>46266</v>
      </c>
      <c r="DW206" s="5">
        <f t="shared" si="315"/>
        <v>46296</v>
      </c>
      <c r="DX206" s="5">
        <f t="shared" si="315"/>
        <v>46327</v>
      </c>
      <c r="DY206" s="5">
        <f t="shared" si="315"/>
        <v>46357</v>
      </c>
    </row>
    <row r="207" spans="1:129" x14ac:dyDescent="0.35">
      <c r="A207" s="118" t="s">
        <v>524</v>
      </c>
      <c r="B207" s="284" t="str">
        <f>IF(A207&lt;&gt;"","VACANT","")</f>
        <v>VACANT</v>
      </c>
      <c r="C207" s="334">
        <v>2486</v>
      </c>
      <c r="D207" s="281"/>
      <c r="E207" s="145"/>
      <c r="F207" s="172">
        <f>IFERROR(ROUNDUP(((DATEDIF(D209,E207,"d"))/365),1),0)</f>
        <v>0</v>
      </c>
      <c r="G207" s="146"/>
      <c r="H207" s="347">
        <f>(G207*C207)/12</f>
        <v>0</v>
      </c>
      <c r="I207" s="146"/>
      <c r="J207" s="156"/>
      <c r="K207" s="163"/>
      <c r="L207" s="118"/>
      <c r="M207" s="6"/>
      <c r="N207" s="137"/>
      <c r="O207" s="155"/>
      <c r="P207" s="145"/>
      <c r="Q207" s="172">
        <f t="shared" ref="Q207:Q221" si="316">IFERROR(ROUNDUP(((DATEDIF(O207,P207,"d"))/365),1),0)</f>
        <v>0</v>
      </c>
      <c r="R207" s="146"/>
      <c r="S207" s="347">
        <f>(R207*N207)/12</f>
        <v>0</v>
      </c>
      <c r="T207" s="146"/>
      <c r="U207" s="156"/>
      <c r="W207" s="114" t="s">
        <v>314</v>
      </c>
      <c r="X207" s="199" cm="1">
        <f t="array" ref="X207:AI207">_xlfn.LET(
  _xlpm.months, X206:AI206,
  _xlpm.totalSqft, A204,
  _xlpm.vacSF, C207:C221,
  _xlpm.vacStart, D207:D221,
  _xlpm.vacEnd, E207:E221,
  _xlpm.renSF, N207:N221,
  _xlpm.renEnd, P207:P221,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0.67259999999999998</v>
      </c>
      <c r="Y207" s="200">
        <v>0.67259999999999998</v>
      </c>
      <c r="Z207" s="200">
        <v>0.67259999999999998</v>
      </c>
      <c r="AA207" s="200">
        <v>0.67259999999999998</v>
      </c>
      <c r="AB207" s="200">
        <v>0.67259999999999998</v>
      </c>
      <c r="AC207" s="200">
        <v>0.67259999999999998</v>
      </c>
      <c r="AD207" s="200">
        <v>0.67259999999999998</v>
      </c>
      <c r="AE207" s="200">
        <v>0.67259999999999998</v>
      </c>
      <c r="AF207" s="200">
        <v>0.67259999999999998</v>
      </c>
      <c r="AG207" s="200">
        <v>0.67259999999999998</v>
      </c>
      <c r="AH207" s="200">
        <v>0.67259999999999998</v>
      </c>
      <c r="AI207" s="200">
        <v>0.67259999999999998</v>
      </c>
      <c r="AJ207" s="199" cm="1">
        <f t="array" ref="AJ207:AU207">_xlfn.LET(
  _xlpm.months, AJ206:AU206,
  _xlpm.totalSqft, A204,
  _xlpm.vacSF, C207:C221,
  _xlpm.vacStart, D207:D221,
  _xlpm.vacEnd, E207:E221,
  _xlpm.renSF, N207:N221,
  _xlpm.renEnd, P207:P221,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0.67259999999999998</v>
      </c>
      <c r="AK207" s="200">
        <v>0.67259999999999998</v>
      </c>
      <c r="AL207" s="200">
        <v>0.5978</v>
      </c>
      <c r="AM207" s="200">
        <v>0.5978</v>
      </c>
      <c r="AN207" s="200">
        <v>0.5978</v>
      </c>
      <c r="AO207" s="200">
        <v>0.64100000000000001</v>
      </c>
      <c r="AP207" s="200">
        <v>0.64100000000000001</v>
      </c>
      <c r="AQ207" s="200">
        <v>0.80069999999999997</v>
      </c>
      <c r="AR207" s="200">
        <v>0.80069999999999997</v>
      </c>
      <c r="AS207" s="200">
        <v>0.80069999999999997</v>
      </c>
      <c r="AT207" s="200">
        <v>0.80069999999999997</v>
      </c>
      <c r="AU207" s="200">
        <v>0.80069999999999997</v>
      </c>
      <c r="AV207" s="208"/>
      <c r="DB207" s="133">
        <f t="shared" ref="DB207:DY207" si="317">IF(AND($D209&lt;=DB206,$E207&gt;=DB206),(($G207*$C207)/12),0)</f>
        <v>0</v>
      </c>
      <c r="DC207" s="132">
        <f t="shared" si="317"/>
        <v>0</v>
      </c>
      <c r="DD207" s="132">
        <f t="shared" si="317"/>
        <v>0</v>
      </c>
      <c r="DE207" s="132">
        <f t="shared" si="317"/>
        <v>0</v>
      </c>
      <c r="DF207" s="132">
        <f t="shared" si="317"/>
        <v>0</v>
      </c>
      <c r="DG207" s="132">
        <f t="shared" si="317"/>
        <v>0</v>
      </c>
      <c r="DH207" s="132">
        <f t="shared" si="317"/>
        <v>0</v>
      </c>
      <c r="DI207" s="132">
        <f t="shared" si="317"/>
        <v>0</v>
      </c>
      <c r="DJ207" s="132">
        <f t="shared" si="317"/>
        <v>0</v>
      </c>
      <c r="DK207" s="132">
        <f t="shared" si="317"/>
        <v>0</v>
      </c>
      <c r="DL207" s="132">
        <f t="shared" si="317"/>
        <v>0</v>
      </c>
      <c r="DM207" s="134">
        <f t="shared" si="317"/>
        <v>0</v>
      </c>
      <c r="DN207" s="115">
        <f t="shared" si="317"/>
        <v>0</v>
      </c>
      <c r="DO207" s="115">
        <f t="shared" si="317"/>
        <v>0</v>
      </c>
      <c r="DP207" s="115">
        <f t="shared" si="317"/>
        <v>0</v>
      </c>
      <c r="DQ207" s="115">
        <f t="shared" si="317"/>
        <v>0</v>
      </c>
      <c r="DR207" s="115">
        <f t="shared" si="317"/>
        <v>0</v>
      </c>
      <c r="DS207" s="115">
        <f t="shared" si="317"/>
        <v>0</v>
      </c>
      <c r="DT207" s="115">
        <f t="shared" si="317"/>
        <v>0</v>
      </c>
      <c r="DU207" s="115">
        <f t="shared" si="317"/>
        <v>0</v>
      </c>
      <c r="DV207" s="115">
        <f t="shared" si="317"/>
        <v>0</v>
      </c>
      <c r="DW207" s="115">
        <f t="shared" si="317"/>
        <v>0</v>
      </c>
      <c r="DX207" s="115">
        <f t="shared" si="317"/>
        <v>0</v>
      </c>
      <c r="DY207" s="115">
        <f t="shared" si="317"/>
        <v>0</v>
      </c>
    </row>
    <row r="208" spans="1:129" x14ac:dyDescent="0.35">
      <c r="A208" s="118" t="s">
        <v>525</v>
      </c>
      <c r="B208" s="6" t="str">
        <f>IF(A208&lt;&gt;"","VACANT","")</f>
        <v>VACANT</v>
      </c>
      <c r="C208" s="335">
        <v>864</v>
      </c>
      <c r="D208" s="145">
        <v>46174</v>
      </c>
      <c r="E208" s="145">
        <v>46538</v>
      </c>
      <c r="F208" s="118">
        <f t="shared" ref="F208:F221" si="318">IFERROR(ROUNDUP(((DATEDIF(D208,E208,"d"))/365),1),0)</f>
        <v>1</v>
      </c>
      <c r="G208" s="146">
        <v>25</v>
      </c>
      <c r="H208" s="347">
        <f t="shared" ref="H208:H221" si="319">(G208*C208)/12</f>
        <v>1800</v>
      </c>
      <c r="I208" s="146">
        <v>0</v>
      </c>
      <c r="J208" s="156">
        <v>0</v>
      </c>
      <c r="K208" s="116"/>
      <c r="L208" s="118" t="s">
        <v>450</v>
      </c>
      <c r="M208" s="6" t="s">
        <v>341</v>
      </c>
      <c r="N208" s="137">
        <v>1174</v>
      </c>
      <c r="O208" s="155">
        <v>46235</v>
      </c>
      <c r="P208" s="145">
        <v>47330</v>
      </c>
      <c r="Q208" s="118">
        <f t="shared" si="316"/>
        <v>3</v>
      </c>
      <c r="R208" s="146">
        <v>28.1</v>
      </c>
      <c r="S208" s="347">
        <f t="shared" ref="S208:S221" si="320">(R208*N208)/12</f>
        <v>2749.1166666666668</v>
      </c>
      <c r="T208" s="146"/>
      <c r="U208" s="156"/>
      <c r="W208" s="114" t="s">
        <v>312</v>
      </c>
      <c r="X208" s="133" cm="1">
        <f t="array" ref="X208">((SUMPRODUCT(($D207:$D221&lt;=X$8) * ($E207:$E221&gt;=X$8) * ($G207:$G221 * $C207:$C221)))+(SUMPRODUCT(($O207:$O221&lt;=X$8) * ($P207:$P221&gt;=X$8) * ($R207:$R221 * $N207:$N221))))/12</f>
        <v>0</v>
      </c>
      <c r="Y208" s="115" cm="1">
        <f t="array" ref="Y208">((SUMPRODUCT(($D207:$D221&lt;=Y$8) * ($E207:$E221&gt;=Y$8) * ($G207:$G221 * $C207:$C221)))+(SUMPRODUCT(($O207:$O221&lt;=Y$8) * ($P207:$P221&gt;=Y$8) * ($R207:$R221 * $N207:$N221))))/12</f>
        <v>0</v>
      </c>
      <c r="Z208" s="115" cm="1">
        <f t="array" ref="Z208">((SUMPRODUCT(($D207:$D221&lt;=Z$8) * ($E207:$E221&gt;=Z$8) * ($G207:$G221 * $C207:$C221)))+(SUMPRODUCT(($O207:$O221&lt;=Z$8) * ($P207:$P221&gt;=Z$8) * ($R207:$R221 * $N207:$N221))))/12</f>
        <v>0</v>
      </c>
      <c r="AA208" s="115" cm="1">
        <f t="array" ref="AA208">((SUMPRODUCT(($D207:$D221&lt;=AA$8) * ($E207:$E221&gt;=AA$8) * ($G207:$G221 * $C207:$C221)))+(SUMPRODUCT(($O207:$O221&lt;=AA$8) * ($P207:$P221&gt;=AA$8) * ($R207:$R221 * $N207:$N221))))/12</f>
        <v>0</v>
      </c>
      <c r="AB208" s="115" cm="1">
        <f t="array" ref="AB208">((SUMPRODUCT(($D207:$D221&lt;=AB$8) * ($E207:$E221&gt;=AB$8) * ($G207:$G221 * $C207:$C221)))+(SUMPRODUCT(($O207:$O221&lt;=AB$8) * ($P207:$P221&gt;=AB$8) * ($R207:$R221 * $N207:$N221))))/12</f>
        <v>0</v>
      </c>
      <c r="AC208" s="115" cm="1">
        <f t="array" ref="AC208">((SUMPRODUCT(($D207:$D221&lt;=AC$8) * ($E207:$E221&gt;=AC$8) * ($G207:$G221 * $C207:$C221)))+(SUMPRODUCT(($O207:$O221&lt;=AC$8) * ($P207:$P221&gt;=AC$8) * ($R207:$R221 * $N207:$N221))))/12</f>
        <v>0</v>
      </c>
      <c r="AD208" s="115" cm="1">
        <f t="array" ref="AD208">((SUMPRODUCT(($D207:$D221&lt;=AD$8) * ($E207:$E221&gt;=AD$8) * ($G207:$G221 * $C207:$C221)))+(SUMPRODUCT(($O207:$O221&lt;=AD$8) * ($P207:$P221&gt;=AD$8) * ($R207:$R221 * $N207:$N221))))/12</f>
        <v>0</v>
      </c>
      <c r="AE208" s="115" cm="1">
        <f t="array" ref="AE208">((SUMPRODUCT(($D207:$D221&lt;=AE$8) * ($E207:$E221&gt;=AE$8) * ($G207:$G221 * $C207:$C221)))+(SUMPRODUCT(($O207:$O221&lt;=AE$8) * ($P207:$P221&gt;=AE$8) * ($R207:$R221 * $N207:$N221))))/12</f>
        <v>0</v>
      </c>
      <c r="AF208" s="115" cm="1">
        <f t="array" ref="AF208">((SUMPRODUCT(($D207:$D221&lt;=AF$8) * ($E207:$E221&gt;=AF$8) * ($G207:$G221 * $C207:$C221)))+(SUMPRODUCT(($O207:$O221&lt;=AF$8) * ($P207:$P221&gt;=AF$8) * ($R207:$R221 * $N207:$N221))))/12</f>
        <v>0</v>
      </c>
      <c r="AG208" s="115" cm="1">
        <f t="array" ref="AG208">((SUMPRODUCT(($D207:$D221&lt;=AG$8) * ($E207:$E221&gt;=AG$8) * ($G207:$G221 * $C207:$C221)))+(SUMPRODUCT(($O207:$O221&lt;=AG$8) * ($P207:$P221&gt;=AG$8) * ($R207:$R221 * $N207:$N221))))/12</f>
        <v>0</v>
      </c>
      <c r="AH208" s="115" cm="1">
        <f t="array" ref="AH208">((SUMPRODUCT(($D207:$D221&lt;=AH$8) * ($E207:$E221&gt;=AH$8) * ($G207:$G221 * $C207:$C221)))+(SUMPRODUCT(($O207:$O221&lt;=AH$8) * ($P207:$P221&gt;=AH$8) * ($R207:$R221 * $N207:$N221))))/12</f>
        <v>3150</v>
      </c>
      <c r="AI208" s="115" cm="1">
        <f t="array" ref="AI208">((SUMPRODUCT(($D207:$D221&lt;=AI$8) * ($E207:$E221&gt;=AI$8) * ($G207:$G221 * $C207:$C221)))+(SUMPRODUCT(($O207:$O221&lt;=AI$8) * ($P207:$P221&gt;=AI$8) * ($R207:$R221 * $N207:$N221))))/12</f>
        <v>3150</v>
      </c>
      <c r="AJ208" s="133" cm="1">
        <f t="array" ref="AJ208">((SUMPRODUCT(($D207:$D221&lt;=AJ$8) * ($E207:$E221&gt;=AJ$8) * ($G207:$G221 * $C207:$C221)))+(SUMPRODUCT(($O207:$O221&lt;=AJ$8) * ($P207:$P221&gt;=AJ$8) * ($R207:$R221 * $N207:$N221))))/12</f>
        <v>3150</v>
      </c>
      <c r="AK208" s="115" cm="1">
        <f t="array" ref="AK208">((SUMPRODUCT(($D207:$D221&lt;=AK$8) * ($E207:$E221&gt;=AK$8) * ($G207:$G221 * $C207:$C221)))+(SUMPRODUCT(($O207:$O221&lt;=AK$8) * ($P207:$P221&gt;=AK$8) * ($R207:$R221 * $N207:$N221))))/12</f>
        <v>3150</v>
      </c>
      <c r="AL208" s="115" cm="1">
        <f t="array" ref="AL208">((SUMPRODUCT(($D207:$D221&lt;=AL$8) * ($E207:$E221&gt;=AL$8) * ($G207:$G221 * $C207:$C221)))+(SUMPRODUCT(($O207:$O221&lt;=AL$8) * ($P207:$P221&gt;=AL$8) * ($R207:$R221 * $N207:$N221))))/12</f>
        <v>0</v>
      </c>
      <c r="AM208" s="115" cm="1">
        <f t="array" ref="AM208">((SUMPRODUCT(($D207:$D221&lt;=AM$8) * ($E207:$E221&gt;=AM$8) * ($G207:$G221 * $C207:$C221)))+(SUMPRODUCT(($O207:$O221&lt;=AM$8) * ($P207:$P221&gt;=AM$8) * ($R207:$R221 * $N207:$N221))))/12</f>
        <v>0</v>
      </c>
      <c r="AN208" s="115" cm="1">
        <f t="array" ref="AN208">((SUMPRODUCT(($D207:$D221&lt;=AN$8) * ($E207:$E221&gt;=AN$8) * ($G207:$G221 * $C207:$C221)))+(SUMPRODUCT(($O207:$O221&lt;=AN$8) * ($P207:$P221&gt;=AN$8) * ($R207:$R221 * $N207:$N221))))/12</f>
        <v>3200</v>
      </c>
      <c r="AO208" s="115" cm="1">
        <f t="array" ref="AO208">((SUMPRODUCT(($D207:$D221&lt;=AO$8) * ($E207:$E221&gt;=AO$8) * ($G207:$G221 * $C207:$C221)))+(SUMPRODUCT(($O207:$O221&lt;=AO$8) * ($P207:$P221&gt;=AO$8) * ($R207:$R221 * $N207:$N221))))/12</f>
        <v>5000</v>
      </c>
      <c r="AP208" s="115" cm="1">
        <f t="array" ref="AP208">((SUMPRODUCT(($D207:$D221&lt;=AP$8) * ($E207:$E221&gt;=AP$8) * ($G207:$G221 * $C207:$C221)))+(SUMPRODUCT(($O207:$O221&lt;=AP$8) * ($P207:$P221&gt;=AP$8) * ($R207:$R221 * $N207:$N221))))/12</f>
        <v>5000</v>
      </c>
      <c r="AQ208" s="115" cm="1">
        <f t="array" ref="AQ208">((SUMPRODUCT(($D207:$D221&lt;=AQ$8) * ($E207:$E221&gt;=AQ$8) * ($G207:$G221 * $C207:$C221)))+(SUMPRODUCT(($O207:$O221&lt;=AQ$8) * ($P207:$P221&gt;=AQ$8) * ($R207:$R221 * $N207:$N221))))/12</f>
        <v>13734.116666666667</v>
      </c>
      <c r="AR208" s="115" cm="1">
        <f t="array" ref="AR208">((SUMPRODUCT(($D207:$D221&lt;=AR$8) * ($E207:$E221&gt;=AR$8) * ($G207:$G221 * $C207:$C221)))+(SUMPRODUCT(($O207:$O221&lt;=AR$8) * ($P207:$P221&gt;=AR$8) * ($R207:$R221 * $N207:$N221))))/12</f>
        <v>13734.116666666667</v>
      </c>
      <c r="AS208" s="115" cm="1">
        <f t="array" ref="AS208">((SUMPRODUCT(($D207:$D221&lt;=AS$8) * ($E207:$E221&gt;=AS$8) * ($G207:$G221 * $C207:$C221)))+(SUMPRODUCT(($O207:$O221&lt;=AS$8) * ($P207:$P221&gt;=AS$8) * ($R207:$R221 * $N207:$N221))))/12</f>
        <v>13734.116666666667</v>
      </c>
      <c r="AT208" s="115" cm="1">
        <f t="array" ref="AT208">((SUMPRODUCT(($D207:$D221&lt;=AT$8) * ($E207:$E221&gt;=AT$8) * ($G207:$G221 * $C207:$C221)))+(SUMPRODUCT(($O207:$O221&lt;=AT$8) * ($P207:$P221&gt;=AT$8) * ($R207:$R221 * $N207:$N221))))/12</f>
        <v>13734.116666666667</v>
      </c>
      <c r="AU208" s="115" cm="1">
        <f t="array" ref="AU208">((SUMPRODUCT(($D207:$D221&lt;=AU$8) * ($E207:$E221&gt;=AU$8) * ($G207:$G221 * $C207:$C221)))+(SUMPRODUCT(($O207:$O221&lt;=AU$8) * ($P207:$P221&gt;=AU$8) * ($R207:$R221 * $N207:$N221))))/12</f>
        <v>13734.116666666667</v>
      </c>
      <c r="AV208" s="209">
        <f>SUM(AJ208:AU208)</f>
        <v>88170.583333333343</v>
      </c>
      <c r="DB208" s="133">
        <f t="shared" ref="DB208:DY208" si="321">IF(AND($D208&lt;=DB$8,$E208&gt;=DB$8),(($G208*$C208)/12),0)</f>
        <v>0</v>
      </c>
      <c r="DC208" s="132">
        <f t="shared" si="321"/>
        <v>0</v>
      </c>
      <c r="DD208" s="132">
        <f t="shared" si="321"/>
        <v>0</v>
      </c>
      <c r="DE208" s="132">
        <f t="shared" si="321"/>
        <v>0</v>
      </c>
      <c r="DF208" s="132">
        <f t="shared" si="321"/>
        <v>0</v>
      </c>
      <c r="DG208" s="132">
        <f t="shared" si="321"/>
        <v>0</v>
      </c>
      <c r="DH208" s="132">
        <f t="shared" si="321"/>
        <v>0</v>
      </c>
      <c r="DI208" s="132">
        <f t="shared" si="321"/>
        <v>0</v>
      </c>
      <c r="DJ208" s="132">
        <f t="shared" si="321"/>
        <v>0</v>
      </c>
      <c r="DK208" s="132">
        <f t="shared" si="321"/>
        <v>0</v>
      </c>
      <c r="DL208" s="132">
        <f t="shared" si="321"/>
        <v>0</v>
      </c>
      <c r="DM208" s="134">
        <f t="shared" si="321"/>
        <v>0</v>
      </c>
      <c r="DN208" s="115">
        <f t="shared" si="321"/>
        <v>0</v>
      </c>
      <c r="DO208" s="115">
        <f t="shared" si="321"/>
        <v>0</v>
      </c>
      <c r="DP208" s="115">
        <f t="shared" si="321"/>
        <v>0</v>
      </c>
      <c r="DQ208" s="115">
        <f t="shared" si="321"/>
        <v>0</v>
      </c>
      <c r="DR208" s="115">
        <f t="shared" si="321"/>
        <v>0</v>
      </c>
      <c r="DS208" s="115">
        <f t="shared" si="321"/>
        <v>1800</v>
      </c>
      <c r="DT208" s="115">
        <f t="shared" si="321"/>
        <v>1800</v>
      </c>
      <c r="DU208" s="115">
        <f t="shared" si="321"/>
        <v>1800</v>
      </c>
      <c r="DV208" s="115">
        <f t="shared" si="321"/>
        <v>1800</v>
      </c>
      <c r="DW208" s="115">
        <f t="shared" si="321"/>
        <v>1800</v>
      </c>
      <c r="DX208" s="115">
        <f t="shared" si="321"/>
        <v>1800</v>
      </c>
      <c r="DY208" s="115">
        <f t="shared" si="321"/>
        <v>1800</v>
      </c>
    </row>
    <row r="209" spans="1:129" x14ac:dyDescent="0.35">
      <c r="A209" s="118" t="s">
        <v>520</v>
      </c>
      <c r="B209" s="6" t="s">
        <v>479</v>
      </c>
      <c r="C209" s="335">
        <v>529</v>
      </c>
      <c r="D209" s="145">
        <v>46235</v>
      </c>
      <c r="E209" s="145">
        <v>48059</v>
      </c>
      <c r="F209" s="118">
        <f t="shared" si="318"/>
        <v>5</v>
      </c>
      <c r="G209" s="146">
        <v>22.5</v>
      </c>
      <c r="H209" s="347">
        <f t="shared" si="319"/>
        <v>991.875</v>
      </c>
      <c r="I209" s="146"/>
      <c r="J209" s="156"/>
      <c r="K209" s="116"/>
      <c r="L209" s="118" t="s">
        <v>455</v>
      </c>
      <c r="M209" s="6" t="s">
        <v>342</v>
      </c>
      <c r="N209" s="137">
        <v>837</v>
      </c>
      <c r="O209" s="155">
        <v>46296</v>
      </c>
      <c r="P209" s="145">
        <v>48121</v>
      </c>
      <c r="Q209" s="118">
        <f t="shared" si="316"/>
        <v>5</v>
      </c>
      <c r="R209" s="146"/>
      <c r="S209" s="347">
        <f t="shared" si="320"/>
        <v>0</v>
      </c>
      <c r="T209" s="146"/>
      <c r="U209" s="156"/>
      <c r="W209" s="114" t="s">
        <v>309</v>
      </c>
      <c r="X209" s="133" cm="1">
        <f t="array" ref="X209">(SUMPRODUCT((TEXT($O207:$O221,"yyyymm")=TEXT(X$8,"yyyymm")) * ($T207:$T221 * $N207:$N221)))+(SUMPRODUCT((TEXT($D207:$D221,"yyyymm")=TEXT(X$8,"yyyymm")) * ($I207:$I221 * $C207:$C221)))</f>
        <v>0</v>
      </c>
      <c r="Y209" s="115" cm="1">
        <f t="array" ref="Y209">(SUMPRODUCT((TEXT($O207:$O221,"yyyymm")=TEXT(Y$8,"yyyymm")) * ($T207:$T221 * $N207:$N221)))+(SUMPRODUCT((TEXT($D207:$D221,"yyyymm")=TEXT(Y$8,"yyyymm")) * ($I207:$I221 * $C207:$C221)))</f>
        <v>0</v>
      </c>
      <c r="Z209" s="115" cm="1">
        <f t="array" ref="Z209">(SUMPRODUCT((TEXT($O207:$O221,"yyyymm")=TEXT(Z$8,"yyyymm")) * ($T207:$T221 * $N207:$N221)))+(SUMPRODUCT((TEXT($D207:$D221,"yyyymm")=TEXT(Z$8,"yyyymm")) * ($I207:$I221 * $C207:$C221)))</f>
        <v>0</v>
      </c>
      <c r="AA209" s="115" cm="1">
        <f t="array" ref="AA209">(SUMPRODUCT((TEXT($O207:$O221,"yyyymm")=TEXT(AA$8,"yyyymm")) * ($T207:$T221 * $N207:$N221)))+(SUMPRODUCT((TEXT($D207:$D221,"yyyymm")=TEXT(AA$8,"yyyymm")) * ($I207:$I221 * $C207:$C221)))</f>
        <v>0</v>
      </c>
      <c r="AB209" s="115" cm="1">
        <f t="array" ref="AB209">(SUMPRODUCT((TEXT($O207:$O221,"yyyymm")=TEXT(AB$8,"yyyymm")) * ($T207:$T221 * $N207:$N221)))+(SUMPRODUCT((TEXT($D207:$D221,"yyyymm")=TEXT(AB$8,"yyyymm")) * ($I207:$I221 * $C207:$C221)))</f>
        <v>0</v>
      </c>
      <c r="AC209" s="115" cm="1">
        <f t="array" ref="AC209">(SUMPRODUCT((TEXT($O207:$O221,"yyyymm")=TEXT(AC$8,"yyyymm")) * ($T207:$T221 * $N207:$N221)))+(SUMPRODUCT((TEXT($D207:$D221,"yyyymm")=TEXT(AC$8,"yyyymm")) * ($I207:$I221 * $C207:$C221)))</f>
        <v>0</v>
      </c>
      <c r="AD209" s="115" cm="1">
        <f t="array" ref="AD209">(SUMPRODUCT((TEXT($O207:$O221,"yyyymm")=TEXT(AD$8,"yyyymm")) * ($T207:$T221 * $N207:$N221)))+(SUMPRODUCT((TEXT($D207:$D221,"yyyymm")=TEXT(AD$8,"yyyymm")) * ($I207:$I221 * $C207:$C221)))</f>
        <v>0</v>
      </c>
      <c r="AE209" s="115" cm="1">
        <f t="array" ref="AE209">(SUMPRODUCT((TEXT($O207:$O221,"yyyymm")=TEXT(AE$8,"yyyymm")) * ($T207:$T221 * $N207:$N221)))+(SUMPRODUCT((TEXT($D207:$D221,"yyyymm")=TEXT(AE$8,"yyyymm")) * ($I207:$I221 * $C207:$C221)))</f>
        <v>0</v>
      </c>
      <c r="AF209" s="115" cm="1">
        <f t="array" ref="AF209">(SUMPRODUCT((TEXT($O207:$O221,"yyyymm")=TEXT(AF$8,"yyyymm")) * ($T207:$T221 * $N207:$N221)))+(SUMPRODUCT((TEXT($D207:$D221,"yyyymm")=TEXT(AF$8,"yyyymm")) * ($I207:$I221 * $C207:$C221)))</f>
        <v>0</v>
      </c>
      <c r="AG209" s="115" cm="1">
        <f t="array" ref="AG209">(SUMPRODUCT((TEXT($O207:$O221,"yyyymm")=TEXT(AG$8,"yyyymm")) * ($T207:$T221 * $N207:$N221)))+(SUMPRODUCT((TEXT($D207:$D221,"yyyymm")=TEXT(AG$8,"yyyymm")) * ($I207:$I221 * $C207:$C221)))</f>
        <v>0</v>
      </c>
      <c r="AH209" s="115" cm="1">
        <f t="array" ref="AH209">(SUMPRODUCT((TEXT($O207:$O221,"yyyymm")=TEXT(AH$8,"yyyymm")) * ($T207:$T221 * $N207:$N221)))+(SUMPRODUCT((TEXT($D207:$D221,"yyyymm")=TEXT(AH$8,"yyyymm")) * ($I207:$I221 * $C207:$C221)))</f>
        <v>0</v>
      </c>
      <c r="AI209" s="115" cm="1">
        <f t="array" ref="AI209">(SUMPRODUCT((TEXT($O207:$O221,"yyyymm")=TEXT(AI$8,"yyyymm")) * ($T207:$T221 * $N207:$N221)))+(SUMPRODUCT((TEXT($D207:$D221,"yyyymm")=TEXT(AI$8,"yyyymm")) * ($I207:$I221 * $C207:$C221)))</f>
        <v>0</v>
      </c>
      <c r="AJ209" s="133" cm="1">
        <f t="array" ref="AJ209">(SUMPRODUCT((TEXT($O207:$O221,"yyyymm")=TEXT(AJ$8,"yyyymm")) * ($T207:$T221 * $N207:$N221)))+(SUMPRODUCT((TEXT($D207:$D221,"yyyymm")=TEXT(AJ$8,"yyyymm")) * ($I207:$I221 * $C207:$C221)))</f>
        <v>0</v>
      </c>
      <c r="AK209" s="115" cm="1">
        <f t="array" ref="AK209">(SUMPRODUCT((TEXT($O207:$O221,"yyyymm")=TEXT(AK$8,"yyyymm")) * ($T207:$T221 * $N207:$N221)))+(SUMPRODUCT((TEXT($D207:$D221,"yyyymm")=TEXT(AK$8,"yyyymm")) * ($I207:$I221 * $C207:$C221)))</f>
        <v>0</v>
      </c>
      <c r="AL209" s="115" cm="1">
        <f t="array" ref="AL209">(SUMPRODUCT((TEXT($O207:$O221,"yyyymm")=TEXT(AL$8,"yyyymm")) * ($T207:$T221 * $N207:$N221)))+(SUMPRODUCT((TEXT($D207:$D221,"yyyymm")=TEXT(AL$8,"yyyymm")) * ($I207:$I221 * $C207:$C221)))</f>
        <v>0</v>
      </c>
      <c r="AM209" s="115" cm="1">
        <f t="array" ref="AM209">(SUMPRODUCT((TEXT($O207:$O221,"yyyymm")=TEXT(AM$8,"yyyymm")) * ($T207:$T221 * $N207:$N221)))+(SUMPRODUCT((TEXT($D207:$D221,"yyyymm")=TEXT(AM$8,"yyyymm")) * ($I207:$I221 * $C207:$C221)))</f>
        <v>0</v>
      </c>
      <c r="AN209" s="115" cm="1">
        <f t="array" ref="AN209">(SUMPRODUCT((TEXT($O207:$O221,"yyyymm")=TEXT(AN$8,"yyyymm")) * ($T207:$T221 * $N207:$N221)))+(SUMPRODUCT((TEXT($D207:$D221,"yyyymm")=TEXT(AN$8,"yyyymm")) * ($I207:$I221 * $C207:$C221)))</f>
        <v>0</v>
      </c>
      <c r="AO209" s="115" cm="1">
        <f t="array" ref="AO209">(SUMPRODUCT((TEXT($O207:$O221,"yyyymm")=TEXT(AO$8,"yyyymm")) * ($T207:$T221 * $N207:$N221)))+(SUMPRODUCT((TEXT($D207:$D221,"yyyymm")=TEXT(AO$8,"yyyymm")) * ($I207:$I221 * $C207:$C221)))</f>
        <v>0</v>
      </c>
      <c r="AP209" s="115" cm="1">
        <f t="array" ref="AP209">(SUMPRODUCT((TEXT($O207:$O221,"yyyymm")=TEXT(AP$8,"yyyymm")) * ($T207:$T221 * $N207:$N221)))+(SUMPRODUCT((TEXT($D207:$D221,"yyyymm")=TEXT(AP$8,"yyyymm")) * ($I207:$I221 * $C207:$C221)))</f>
        <v>0</v>
      </c>
      <c r="AQ209" s="115" cm="1">
        <f t="array" ref="AQ209">(SUMPRODUCT((TEXT($O207:$O221,"yyyymm")=TEXT(AQ$8,"yyyymm")) * ($T207:$T221 * $N207:$N221)))+(SUMPRODUCT((TEXT($D207:$D221,"yyyymm")=TEXT(AQ$8,"yyyymm")) * ($I207:$I221 * $C207:$C221)))</f>
        <v>0</v>
      </c>
      <c r="AR209" s="115" cm="1">
        <f t="array" ref="AR209">(SUMPRODUCT((TEXT($O207:$O221,"yyyymm")=TEXT(AR$8,"yyyymm")) * ($T207:$T221 * $N207:$N221)))+(SUMPRODUCT((TEXT($D207:$D221,"yyyymm")=TEXT(AR$8,"yyyymm")) * ($I207:$I221 * $C207:$C221)))</f>
        <v>0</v>
      </c>
      <c r="AS209" s="115" cm="1">
        <f t="array" ref="AS209">(SUMPRODUCT((TEXT($O207:$O221,"yyyymm")=TEXT(AS$8,"yyyymm")) * ($T207:$T221 * $N207:$N221)))+(SUMPRODUCT((TEXT($D207:$D221,"yyyymm")=TEXT(AS$8,"yyyymm")) * ($I207:$I221 * $C207:$C221)))</f>
        <v>0</v>
      </c>
      <c r="AT209" s="115" cm="1">
        <f t="array" ref="AT209">(SUMPRODUCT((TEXT($O207:$O221,"yyyymm")=TEXT(AT$8,"yyyymm")) * ($T207:$T221 * $N207:$N221)))+(SUMPRODUCT((TEXT($D207:$D221,"yyyymm")=TEXT(AT$8,"yyyymm")) * ($I207:$I221 * $C207:$C221)))</f>
        <v>0</v>
      </c>
      <c r="AU209" s="115" cm="1">
        <f t="array" ref="AU209">(SUMPRODUCT((TEXT($O207:$O221,"yyyymm")=TEXT(AU$8,"yyyymm")) * ($T207:$T221 * $N207:$N221)))+(SUMPRODUCT((TEXT($D207:$D221,"yyyymm")=TEXT(AU$8,"yyyymm")) * ($I207:$I221 * $C207:$C221)))</f>
        <v>0</v>
      </c>
      <c r="AV209" s="209">
        <f t="shared" ref="AV209:AV210" si="322">SUM(AJ209:AU209)</f>
        <v>0</v>
      </c>
      <c r="DB209" s="133" t="e">
        <f>IF(AND(#REF!&lt;=DB$8,$E209&gt;=DB$8),(($G209*$C209)/12),0)</f>
        <v>#REF!</v>
      </c>
      <c r="DC209" s="132" t="e">
        <f>IF(AND(#REF!&lt;=DC$8,$E209&gt;=DC$8),(($G209*$C209)/12),0)</f>
        <v>#REF!</v>
      </c>
      <c r="DD209" s="132" t="e">
        <f>IF(AND(#REF!&lt;=DD$8,$E209&gt;=DD$8),(($G209*$C209)/12),0)</f>
        <v>#REF!</v>
      </c>
      <c r="DE209" s="132" t="e">
        <f>IF(AND(#REF!&lt;=DE$8,$E209&gt;=DE$8),(($G209*$C209)/12),0)</f>
        <v>#REF!</v>
      </c>
      <c r="DF209" s="132" t="e">
        <f>IF(AND(#REF!&lt;=DF$8,$E209&gt;=DF$8),(($G209*$C209)/12),0)</f>
        <v>#REF!</v>
      </c>
      <c r="DG209" s="132" t="e">
        <f>IF(AND(#REF!&lt;=DG$8,$E209&gt;=DG$8),(($G209*$C209)/12),0)</f>
        <v>#REF!</v>
      </c>
      <c r="DH209" s="132" t="e">
        <f>IF(AND(#REF!&lt;=DH$8,$E209&gt;=DH$8),(($G209*$C209)/12),0)</f>
        <v>#REF!</v>
      </c>
      <c r="DI209" s="132" t="e">
        <f>IF(AND(#REF!&lt;=DI$8,$E209&gt;=DI$8),(($G209*$C209)/12),0)</f>
        <v>#REF!</v>
      </c>
      <c r="DJ209" s="132" t="e">
        <f>IF(AND(#REF!&lt;=DJ$8,$E209&gt;=DJ$8),(($G209*$C209)/12),0)</f>
        <v>#REF!</v>
      </c>
      <c r="DK209" s="132" t="e">
        <f>IF(AND(#REF!&lt;=DK$8,$E209&gt;=DK$8),(($G209*$C209)/12),0)</f>
        <v>#REF!</v>
      </c>
      <c r="DL209" s="132" t="e">
        <f>IF(AND(#REF!&lt;=DL$8,$E209&gt;=DL$8),(($G209*$C209)/12),0)</f>
        <v>#REF!</v>
      </c>
      <c r="DM209" s="134" t="e">
        <f>IF(AND(#REF!&lt;=DM$8,$E209&gt;=DM$8),(($G209*$C209)/12),0)</f>
        <v>#REF!</v>
      </c>
      <c r="DN209" s="115" t="e">
        <f>IF(AND(#REF!&lt;=DN$8,$E209&gt;=DN$8),(($G209*$C209)/12),0)</f>
        <v>#REF!</v>
      </c>
      <c r="DO209" s="115" t="e">
        <f>IF(AND(#REF!&lt;=DO$8,$E209&gt;=DO$8),(($G209*$C209)/12),0)</f>
        <v>#REF!</v>
      </c>
      <c r="DP209" s="115" t="e">
        <f>IF(AND(#REF!&lt;=DP$8,$E209&gt;=DP$8),(($G209*$C209)/12),0)</f>
        <v>#REF!</v>
      </c>
      <c r="DQ209" s="115" t="e">
        <f>IF(AND(#REF!&lt;=DQ$8,$E209&gt;=DQ$8),(($G209*$C209)/12),0)</f>
        <v>#REF!</v>
      </c>
      <c r="DR209" s="115" t="e">
        <f>IF(AND(#REF!&lt;=DR$8,$E209&gt;=DR$8),(($G209*$C209)/12),0)</f>
        <v>#REF!</v>
      </c>
      <c r="DS209" s="115" t="e">
        <f>IF(AND(#REF!&lt;=DS$8,$E209&gt;=DS$8),(($G209*$C209)/12),0)</f>
        <v>#REF!</v>
      </c>
      <c r="DT209" s="115" t="e">
        <f>IF(AND(#REF!&lt;=DT$8,$E209&gt;=DT$8),(($G209*$C209)/12),0)</f>
        <v>#REF!</v>
      </c>
      <c r="DU209" s="115" t="e">
        <f>IF(AND(#REF!&lt;=DU$8,$E209&gt;=DU$8),(($G209*$C209)/12),0)</f>
        <v>#REF!</v>
      </c>
      <c r="DV209" s="115" t="e">
        <f>IF(AND(#REF!&lt;=DV$8,$E209&gt;=DV$8),(($G209*$C209)/12),0)</f>
        <v>#REF!</v>
      </c>
      <c r="DW209" s="115" t="e">
        <f>IF(AND(#REF!&lt;=DW$8,$E209&gt;=DW$8),(($G209*$C209)/12),0)</f>
        <v>#REF!</v>
      </c>
      <c r="DX209" s="115" t="e">
        <f>IF(AND(#REF!&lt;=DX$8,$E209&gt;=DX$8),(($G209*$C209)/12),0)</f>
        <v>#REF!</v>
      </c>
      <c r="DY209" s="115" t="e">
        <f>IF(AND(#REF!&lt;=DY$8,$E209&gt;=DY$8),(($G209*$C209)/12),0)</f>
        <v>#REF!</v>
      </c>
    </row>
    <row r="210" spans="1:129" x14ac:dyDescent="0.35">
      <c r="A210" s="118" t="s">
        <v>521</v>
      </c>
      <c r="B210" s="6" t="s">
        <v>479</v>
      </c>
      <c r="C210" s="335">
        <v>2663</v>
      </c>
      <c r="D210" s="145">
        <v>46235</v>
      </c>
      <c r="E210" s="145">
        <v>48059</v>
      </c>
      <c r="F210" s="118">
        <f t="shared" si="318"/>
        <v>5</v>
      </c>
      <c r="G210" s="148">
        <v>22.5</v>
      </c>
      <c r="H210" s="347">
        <f t="shared" si="319"/>
        <v>4993.125</v>
      </c>
      <c r="I210" s="146"/>
      <c r="J210" s="156"/>
      <c r="K210" s="116"/>
      <c r="L210" s="118" t="s">
        <v>522</v>
      </c>
      <c r="M210" s="6" t="s">
        <v>343</v>
      </c>
      <c r="N210" s="137">
        <v>837</v>
      </c>
      <c r="O210" s="155"/>
      <c r="P210" s="147"/>
      <c r="Q210" s="118">
        <f t="shared" si="316"/>
        <v>0</v>
      </c>
      <c r="R210" s="148"/>
      <c r="S210" s="347">
        <f t="shared" si="320"/>
        <v>0</v>
      </c>
      <c r="T210" s="146"/>
      <c r="U210" s="156"/>
      <c r="W210" s="114" t="s">
        <v>313</v>
      </c>
      <c r="X210" s="133" cm="1">
        <f t="array" ref="X210">IFERROR((SUMPRODUCT((TEXT($O207:$O221,"yyyymm")=TEXT(X$8,"yyyymm")) * ($U207:$U221 * $N207:$N221*$R207:$R221*$Q207:$Q221)))+(SUMPRODUCT((TEXT($D207:$D221,"yyyymm")=TEXT(X$8,"yyyymm")) * ($J207:$J221 * $C207:$C221*$G207:$G221*$F207:$F221))),0)</f>
        <v>0</v>
      </c>
      <c r="Y210" s="115" cm="1">
        <f t="array" ref="Y210">IFERROR((SUMPRODUCT((TEXT($O207:$O221,"yyyymm")=TEXT(Y$8,"yyyymm")) * ($U207:$U221 * $N207:$N221*$R207:$R221*$Q207:$Q221)))+(SUMPRODUCT((TEXT($D207:$D221,"yyyymm")=TEXT(Y$8,"yyyymm")) * ($J207:$J221 * $C207:$C221*$G207:$G221*$F207:$F221))),0)</f>
        <v>0</v>
      </c>
      <c r="Z210" s="115" cm="1">
        <f t="array" ref="Z210">IFERROR((SUMPRODUCT((TEXT($O207:$O221,"yyyymm")=TEXT(Z$8,"yyyymm")) * ($U207:$U221 * $N207:$N221*$R207:$R221*$Q207:$Q221)))+(SUMPRODUCT((TEXT($D207:$D221,"yyyymm")=TEXT(Z$8,"yyyymm")) * ($J207:$J221 * $C207:$C221*$G207:$G221*$F207:$F221))),0)</f>
        <v>0</v>
      </c>
      <c r="AA210" s="115" cm="1">
        <f t="array" ref="AA210">IFERROR((SUMPRODUCT((TEXT($O207:$O221,"yyyymm")=TEXT(AA$8,"yyyymm")) * ($U207:$U221 * $N207:$N221*$R207:$R221*$Q207:$Q221)))+(SUMPRODUCT((TEXT($D207:$D221,"yyyymm")=TEXT(AA$8,"yyyymm")) * ($J207:$J221 * $C207:$C221*$G207:$G221*$F207:$F221))),0)</f>
        <v>0</v>
      </c>
      <c r="AB210" s="115" cm="1">
        <f t="array" ref="AB210">IFERROR((SUMPRODUCT((TEXT($O207:$O221,"yyyymm")=TEXT(AB$8,"yyyymm")) * ($U207:$U221 * $N207:$N221*$R207:$R221*$Q207:$Q221)))+(SUMPRODUCT((TEXT($D207:$D221,"yyyymm")=TEXT(AB$8,"yyyymm")) * ($J207:$J221 * $C207:$C221*$G207:$G221*$F207:$F221))),0)</f>
        <v>0</v>
      </c>
      <c r="AC210" s="115" cm="1">
        <f t="array" ref="AC210">IFERROR((SUMPRODUCT((TEXT($O207:$O221,"yyyymm")=TEXT(AC$8,"yyyymm")) * ($U207:$U221 * $N207:$N221*$R207:$R221*$Q207:$Q221)))+(SUMPRODUCT((TEXT($D207:$D221,"yyyymm")=TEXT(AC$8,"yyyymm")) * ($J207:$J221 * $C207:$C221*$G207:$G221*$F207:$F221))),0)</f>
        <v>0</v>
      </c>
      <c r="AD210" s="115" cm="1">
        <f t="array" ref="AD210">IFERROR((SUMPRODUCT((TEXT($O207:$O221,"yyyymm")=TEXT(AD$8,"yyyymm")) * ($U207:$U221 * $N207:$N221*$R207:$R221*$Q207:$Q221)))+(SUMPRODUCT((TEXT($D207:$D221,"yyyymm")=TEXT(AD$8,"yyyymm")) * ($J207:$J221 * $C207:$C221*$G207:$G221*$F207:$F221))),0)</f>
        <v>0</v>
      </c>
      <c r="AE210" s="115" cm="1">
        <f t="array" ref="AE210">IFERROR((SUMPRODUCT((TEXT($O207:$O221,"yyyymm")=TEXT(AE$8,"yyyymm")) * ($U207:$U221 * $N207:$N221*$R207:$R221*$Q207:$Q221)))+(SUMPRODUCT((TEXT($D207:$D221,"yyyymm")=TEXT(AE$8,"yyyymm")) * ($J207:$J221 * $C207:$C221*$G207:$G221*$F207:$F221))),0)</f>
        <v>0</v>
      </c>
      <c r="AF210" s="115" cm="1">
        <f t="array" ref="AF210">IFERROR((SUMPRODUCT((TEXT($O207:$O221,"yyyymm")=TEXT(AF$8,"yyyymm")) * ($U207:$U221 * $N207:$N221*$R207:$R221*$Q207:$Q221)))+(SUMPRODUCT((TEXT($D207:$D221,"yyyymm")=TEXT(AF$8,"yyyymm")) * ($J207:$J221 * $C207:$C221*$G207:$G221*$F207:$F221))),0)</f>
        <v>0</v>
      </c>
      <c r="AG210" s="115" cm="1">
        <f t="array" ref="AG210">IFERROR((SUMPRODUCT((TEXT($O207:$O221,"yyyymm")=TEXT(AG$8,"yyyymm")) * ($U207:$U221 * $N207:$N221*$R207:$R221*$Q207:$Q221)))+(SUMPRODUCT((TEXT($D207:$D221,"yyyymm")=TEXT(AG$8,"yyyymm")) * ($J207:$J221 * $C207:$C221*$G207:$G221*$F207:$F221))),0)</f>
        <v>0</v>
      </c>
      <c r="AH210" s="115" cm="1">
        <f t="array" ref="AH210">IFERROR((SUMPRODUCT((TEXT($O207:$O221,"yyyymm")=TEXT(AH$8,"yyyymm")) * ($U207:$U221 * $N207:$N221*$R207:$R221*$Q207:$Q221)))+(SUMPRODUCT((TEXT($D207:$D221,"yyyymm")=TEXT(AH$8,"yyyymm")) * ($J207:$J221 * $C207:$C221*$G207:$G221*$F207:$F221))),0)</f>
        <v>0</v>
      </c>
      <c r="AI210" s="115" cm="1">
        <f t="array" ref="AI210">IFERROR((SUMPRODUCT((TEXT($O207:$O221,"yyyymm")=TEXT(AI$8,"yyyymm")) * ($U207:$U221 * $N207:$N221*$R207:$R221*$Q207:$Q221)))+(SUMPRODUCT((TEXT($D207:$D221,"yyyymm")=TEXT(AI$8,"yyyymm")) * ($J207:$J221 * $C207:$C221*$G207:$G221*$F207:$F221))),0)</f>
        <v>0</v>
      </c>
      <c r="AJ210" s="133" cm="1">
        <f t="array" ref="AJ210">IFERROR((SUMPRODUCT((TEXT($O207:$O221,"yyyymm")=TEXT(AJ$8,"yyyymm")) * ($U207:$U221 * $N207:$N221*$R207:$R221*$Q207:$Q221)))+(SUMPRODUCT((TEXT($D207:$D221,"yyyymm")=TEXT(AJ$8,"yyyymm")) * ($J207:$J221 * $C207:$C221*$G207:$G221*$F207:$F221))),0)</f>
        <v>0</v>
      </c>
      <c r="AK210" s="115" cm="1">
        <f t="array" ref="AK210">IFERROR((SUMPRODUCT((TEXT($O207:$O221,"yyyymm")=TEXT(AK$8,"yyyymm")) * ($U207:$U221 * $N207:$N221*$R207:$R221*$Q207:$Q221)))+(SUMPRODUCT((TEXT($D207:$D221,"yyyymm")=TEXT(AK$8,"yyyymm")) * ($J207:$J221 * $C207:$C221*$G207:$G221*$F207:$F221))),0)</f>
        <v>0</v>
      </c>
      <c r="AL210" s="115" cm="1">
        <f t="array" ref="AL210">IFERROR((SUMPRODUCT((TEXT($O207:$O221,"yyyymm")=TEXT(AL$8,"yyyymm")) * ($U207:$U221 * $N207:$N221*$R207:$R221*$Q207:$Q221)))+(SUMPRODUCT((TEXT($D207:$D221,"yyyymm")=TEXT(AL$8,"yyyymm")) * ($J207:$J221 * $C207:$C221*$G207:$G221*$F207:$F221))),0)</f>
        <v>0</v>
      </c>
      <c r="AM210" s="115" cm="1">
        <f t="array" ref="AM210">IFERROR((SUMPRODUCT((TEXT($O207:$O221,"yyyymm")=TEXT(AM$8,"yyyymm")) * ($U207:$U221 * $N207:$N221*$R207:$R221*$Q207:$Q221)))+(SUMPRODUCT((TEXT($D207:$D221,"yyyymm")=TEXT(AM$8,"yyyymm")) * ($J207:$J221 * $C207:$C221*$G207:$G221*$F207:$F221))),0)</f>
        <v>0</v>
      </c>
      <c r="AN210" s="115" cm="1">
        <f t="array" ref="AN210">IFERROR((SUMPRODUCT((TEXT($O207:$O221,"yyyymm")=TEXT(AN$8,"yyyymm")) * ($U207:$U221 * $N207:$N221*$R207:$R221*$Q207:$Q221)))+(SUMPRODUCT((TEXT($D207:$D221,"yyyymm")=TEXT(AN$8,"yyyymm")) * ($J207:$J221 * $C207:$C221*$G207:$G221*$F207:$F221))),0)</f>
        <v>0</v>
      </c>
      <c r="AO210" s="115" cm="1">
        <f t="array" ref="AO210">IFERROR((SUMPRODUCT((TEXT($O207:$O221,"yyyymm")=TEXT(AO$8,"yyyymm")) * ($U207:$U221 * $N207:$N221*$R207:$R221*$Q207:$Q221)))+(SUMPRODUCT((TEXT($D207:$D221,"yyyymm")=TEXT(AO$8,"yyyymm")) * ($J207:$J221 * $C207:$C221*$G207:$G221*$F207:$F221))),0)</f>
        <v>0</v>
      </c>
      <c r="AP210" s="115" cm="1">
        <f t="array" ref="AP210">IFERROR((SUMPRODUCT((TEXT($O207:$O221,"yyyymm")=TEXT(AP$8,"yyyymm")) * ($U207:$U221 * $N207:$N221*$R207:$R221*$Q207:$Q221)))+(SUMPRODUCT((TEXT($D207:$D221,"yyyymm")=TEXT(AP$8,"yyyymm")) * ($J207:$J221 * $C207:$C221*$G207:$G221*$F207:$F221))),0)</f>
        <v>0</v>
      </c>
      <c r="AQ210" s="115" cm="1">
        <f t="array" ref="AQ210">IFERROR((SUMPRODUCT((TEXT($O207:$O221,"yyyymm")=TEXT(AQ$8,"yyyymm")) * ($U207:$U221 * $N207:$N221*$R207:$R221*$Q207:$Q221)))+(SUMPRODUCT((TEXT($D207:$D221,"yyyymm")=TEXT(AQ$8,"yyyymm")) * ($J207:$J221 * $C207:$C221*$G207:$G221*$F207:$F221))),0)</f>
        <v>0</v>
      </c>
      <c r="AR210" s="115" cm="1">
        <f t="array" ref="AR210">IFERROR((SUMPRODUCT((TEXT($O207:$O221,"yyyymm")=TEXT(AR$8,"yyyymm")) * ($U207:$U221 * $N207:$N221*$R207:$R221*$Q207:$Q221)))+(SUMPRODUCT((TEXT($D207:$D221,"yyyymm")=TEXT(AR$8,"yyyymm")) * ($J207:$J221 * $C207:$C221*$G207:$G221*$F207:$F221))),0)</f>
        <v>0</v>
      </c>
      <c r="AS210" s="115" cm="1">
        <f t="array" ref="AS210">IFERROR((SUMPRODUCT((TEXT($O207:$O221,"yyyymm")=TEXT(AS$8,"yyyymm")) * ($U207:$U221 * $N207:$N221*$R207:$R221*$Q207:$Q221)))+(SUMPRODUCT((TEXT($D207:$D221,"yyyymm")=TEXT(AS$8,"yyyymm")) * ($J207:$J221 * $C207:$C221*$G207:$G221*$F207:$F221))),0)</f>
        <v>0</v>
      </c>
      <c r="AT210" s="115" cm="1">
        <f t="array" ref="AT210">IFERROR((SUMPRODUCT((TEXT($O207:$O221,"yyyymm")=TEXT(AT$8,"yyyymm")) * ($U207:$U221 * $N207:$N221*$R207:$R221*$Q207:$Q221)))+(SUMPRODUCT((TEXT($D207:$D221,"yyyymm")=TEXT(AT$8,"yyyymm")) * ($J207:$J221 * $C207:$C221*$G207:$G221*$F207:$F221))),0)</f>
        <v>0</v>
      </c>
      <c r="AU210" s="115" cm="1">
        <f t="array" ref="AU210">IFERROR((SUMPRODUCT((TEXT($O207:$O221,"yyyymm")=TEXT(AU$8,"yyyymm")) * ($U207:$U221 * $N207:$N221*$R207:$R221*$Q207:$Q221)))+(SUMPRODUCT((TEXT($D207:$D221,"yyyymm")=TEXT(AU$8,"yyyymm")) * ($J207:$J221 * $C207:$C221*$G207:$G221*$F207:$F221))),0)</f>
        <v>0</v>
      </c>
      <c r="AV210" s="209">
        <f t="shared" si="322"/>
        <v>0</v>
      </c>
      <c r="DB210" s="133" t="e">
        <f>IF(AND(#REF!&lt;=DB$8,$E210&gt;=DB$8),(($G210*$C210)/12),0)</f>
        <v>#REF!</v>
      </c>
      <c r="DC210" s="132" t="e">
        <f>IF(AND(#REF!&lt;=DC$8,$E210&gt;=DC$8),(($G210*$C210)/12),0)</f>
        <v>#REF!</v>
      </c>
      <c r="DD210" s="132" t="e">
        <f>IF(AND(#REF!&lt;=DD$8,$E210&gt;=DD$8),(($G210*$C210)/12),0)</f>
        <v>#REF!</v>
      </c>
      <c r="DE210" s="132" t="e">
        <f>IF(AND(#REF!&lt;=DE$8,$E210&gt;=DE$8),(($G210*$C210)/12),0)</f>
        <v>#REF!</v>
      </c>
      <c r="DF210" s="132" t="e">
        <f>IF(AND(#REF!&lt;=DF$8,$E210&gt;=DF$8),(($G210*$C210)/12),0)</f>
        <v>#REF!</v>
      </c>
      <c r="DG210" s="132" t="e">
        <f>IF(AND(#REF!&lt;=DG$8,$E210&gt;=DG$8),(($G210*$C210)/12),0)</f>
        <v>#REF!</v>
      </c>
      <c r="DH210" s="132" t="e">
        <f>IF(AND(#REF!&lt;=DH$8,$E210&gt;=DH$8),(($G210*$C210)/12),0)</f>
        <v>#REF!</v>
      </c>
      <c r="DI210" s="132" t="e">
        <f>IF(AND(#REF!&lt;=DI$8,$E210&gt;=DI$8),(($G210*$C210)/12),0)</f>
        <v>#REF!</v>
      </c>
      <c r="DJ210" s="132" t="e">
        <f>IF(AND(#REF!&lt;=DJ$8,$E210&gt;=DJ$8),(($G210*$C210)/12),0)</f>
        <v>#REF!</v>
      </c>
      <c r="DK210" s="132" t="e">
        <f>IF(AND(#REF!&lt;=DK$8,$E210&gt;=DK$8),(($G210*$C210)/12),0)</f>
        <v>#REF!</v>
      </c>
      <c r="DL210" s="132" t="e">
        <f>IF(AND(#REF!&lt;=DL$8,$E210&gt;=DL$8),(($G210*$C210)/12),0)</f>
        <v>#REF!</v>
      </c>
      <c r="DM210" s="134" t="e">
        <f>IF(AND(#REF!&lt;=DM$8,$E210&gt;=DM$8),(($G210*$C210)/12),0)</f>
        <v>#REF!</v>
      </c>
      <c r="DN210" s="115" t="e">
        <f>IF(AND(#REF!&lt;=DN$8,$E210&gt;=DN$8),(($G210*$C210)/12),0)</f>
        <v>#REF!</v>
      </c>
      <c r="DO210" s="115" t="e">
        <f>IF(AND(#REF!&lt;=DO$8,$E210&gt;=DO$8),(($G210*$C210)/12),0)</f>
        <v>#REF!</v>
      </c>
      <c r="DP210" s="115" t="e">
        <f>IF(AND(#REF!&lt;=DP$8,$E210&gt;=DP$8),(($G210*$C210)/12),0)</f>
        <v>#REF!</v>
      </c>
      <c r="DQ210" s="115" t="e">
        <f>IF(AND(#REF!&lt;=DQ$8,$E210&gt;=DQ$8),(($G210*$C210)/12),0)</f>
        <v>#REF!</v>
      </c>
      <c r="DR210" s="115" t="e">
        <f>IF(AND(#REF!&lt;=DR$8,$E210&gt;=DR$8),(($G210*$C210)/12),0)</f>
        <v>#REF!</v>
      </c>
      <c r="DS210" s="115" t="e">
        <f>IF(AND(#REF!&lt;=DS$8,$E210&gt;=DS$8),(($G210*$C210)/12),0)</f>
        <v>#REF!</v>
      </c>
      <c r="DT210" s="115" t="e">
        <f>IF(AND(#REF!&lt;=DT$8,$E210&gt;=DT$8),(($G210*$C210)/12),0)</f>
        <v>#REF!</v>
      </c>
      <c r="DU210" s="115" t="e">
        <f>IF(AND(#REF!&lt;=DU$8,$E210&gt;=DU$8),(($G210*$C210)/12),0)</f>
        <v>#REF!</v>
      </c>
      <c r="DV210" s="115" t="e">
        <f>IF(AND(#REF!&lt;=DV$8,$E210&gt;=DV$8),(($G210*$C210)/12),0)</f>
        <v>#REF!</v>
      </c>
      <c r="DW210" s="115" t="e">
        <f>IF(AND(#REF!&lt;=DW$8,$E210&gt;=DW$8),(($G210*$C210)/12),0)</f>
        <v>#REF!</v>
      </c>
      <c r="DX210" s="115" t="e">
        <f>IF(AND(#REF!&lt;=DX$8,$E210&gt;=DX$8),(($G210*$C210)/12),0)</f>
        <v>#REF!</v>
      </c>
      <c r="DY210" s="115" t="e">
        <f>IF(AND(#REF!&lt;=DY$8,$E210&gt;=DY$8),(($G210*$C210)/12),0)</f>
        <v>#REF!</v>
      </c>
    </row>
    <row r="211" spans="1:129" ht="17.5" x14ac:dyDescent="0.35">
      <c r="B211" s="6"/>
      <c r="C211" s="137"/>
      <c r="D211" s="155"/>
      <c r="E211" s="145"/>
      <c r="F211" s="118">
        <f t="shared" si="318"/>
        <v>0</v>
      </c>
      <c r="G211" s="146"/>
      <c r="H211" s="347">
        <f t="shared" si="319"/>
        <v>0</v>
      </c>
      <c r="I211" s="146"/>
      <c r="J211" s="156"/>
      <c r="K211" s="116"/>
      <c r="L211" s="118" t="s">
        <v>523</v>
      </c>
      <c r="M211" s="6" t="s">
        <v>344</v>
      </c>
      <c r="N211" s="137">
        <v>1496</v>
      </c>
      <c r="O211" s="155">
        <v>45962</v>
      </c>
      <c r="P211" s="145">
        <v>46081</v>
      </c>
      <c r="Q211" s="118">
        <f t="shared" si="316"/>
        <v>0.4</v>
      </c>
      <c r="R211" s="146">
        <f>(12*3150)/N211</f>
        <v>25.267379679144383</v>
      </c>
      <c r="S211" s="347">
        <f t="shared" si="320"/>
        <v>3150</v>
      </c>
      <c r="T211" s="146"/>
      <c r="U211" s="156"/>
      <c r="W211" s="176" t="s">
        <v>273</v>
      </c>
      <c r="X211" s="90">
        <f>SUM(X208:X210)</f>
        <v>0</v>
      </c>
      <c r="Y211" s="90">
        <f t="shared" ref="Y211:AV211" si="323">SUM(Y208:Y210)</f>
        <v>0</v>
      </c>
      <c r="Z211" s="90">
        <f t="shared" si="323"/>
        <v>0</v>
      </c>
      <c r="AA211" s="90">
        <f t="shared" si="323"/>
        <v>0</v>
      </c>
      <c r="AB211" s="90">
        <f t="shared" si="323"/>
        <v>0</v>
      </c>
      <c r="AC211" s="90">
        <f t="shared" si="323"/>
        <v>0</v>
      </c>
      <c r="AD211" s="90">
        <f t="shared" si="323"/>
        <v>0</v>
      </c>
      <c r="AE211" s="90">
        <f t="shared" si="323"/>
        <v>0</v>
      </c>
      <c r="AF211" s="90">
        <f t="shared" si="323"/>
        <v>0</v>
      </c>
      <c r="AG211" s="90">
        <f t="shared" si="323"/>
        <v>0</v>
      </c>
      <c r="AH211" s="90">
        <f t="shared" si="323"/>
        <v>3150</v>
      </c>
      <c r="AI211" s="90">
        <f t="shared" si="323"/>
        <v>3150</v>
      </c>
      <c r="AJ211" s="90">
        <f t="shared" si="323"/>
        <v>3150</v>
      </c>
      <c r="AK211" s="90">
        <f t="shared" si="323"/>
        <v>3150</v>
      </c>
      <c r="AL211" s="90">
        <f t="shared" si="323"/>
        <v>0</v>
      </c>
      <c r="AM211" s="90">
        <f t="shared" si="323"/>
        <v>0</v>
      </c>
      <c r="AN211" s="90">
        <f t="shared" si="323"/>
        <v>3200</v>
      </c>
      <c r="AO211" s="90">
        <f t="shared" si="323"/>
        <v>5000</v>
      </c>
      <c r="AP211" s="90">
        <f t="shared" si="323"/>
        <v>5000</v>
      </c>
      <c r="AQ211" s="90">
        <f t="shared" si="323"/>
        <v>13734.116666666667</v>
      </c>
      <c r="AR211" s="90">
        <f t="shared" si="323"/>
        <v>13734.116666666667</v>
      </c>
      <c r="AS211" s="90">
        <f t="shared" si="323"/>
        <v>13734.116666666667</v>
      </c>
      <c r="AT211" s="90">
        <f t="shared" si="323"/>
        <v>13734.116666666667</v>
      </c>
      <c r="AU211" s="177">
        <f t="shared" si="323"/>
        <v>13734.116666666667</v>
      </c>
      <c r="AV211" s="90">
        <f t="shared" si="323"/>
        <v>88170.583333333343</v>
      </c>
      <c r="DB211" s="133">
        <f t="shared" ref="DB211:DQ221" si="324">IF(AND($D211&lt;=DB$8,$E211&gt;=DB$8),(($G211*$C211)/12),0)</f>
        <v>0</v>
      </c>
      <c r="DC211" s="132">
        <f t="shared" si="324"/>
        <v>0</v>
      </c>
      <c r="DD211" s="132">
        <f t="shared" si="324"/>
        <v>0</v>
      </c>
      <c r="DE211" s="132">
        <f t="shared" si="324"/>
        <v>0</v>
      </c>
      <c r="DF211" s="132">
        <f t="shared" si="324"/>
        <v>0</v>
      </c>
      <c r="DG211" s="132">
        <f t="shared" si="324"/>
        <v>0</v>
      </c>
      <c r="DH211" s="132">
        <f t="shared" si="324"/>
        <v>0</v>
      </c>
      <c r="DI211" s="132">
        <f t="shared" si="324"/>
        <v>0</v>
      </c>
      <c r="DJ211" s="132">
        <f t="shared" si="324"/>
        <v>0</v>
      </c>
      <c r="DK211" s="132">
        <f t="shared" si="324"/>
        <v>0</v>
      </c>
      <c r="DL211" s="132">
        <f t="shared" si="324"/>
        <v>0</v>
      </c>
      <c r="DM211" s="134">
        <f t="shared" si="324"/>
        <v>0</v>
      </c>
      <c r="DN211" s="115">
        <f t="shared" si="324"/>
        <v>0</v>
      </c>
      <c r="DO211" s="115">
        <f t="shared" si="324"/>
        <v>0</v>
      </c>
      <c r="DP211" s="115">
        <f t="shared" si="324"/>
        <v>0</v>
      </c>
      <c r="DQ211" s="115">
        <f t="shared" si="324"/>
        <v>0</v>
      </c>
      <c r="DR211" s="115">
        <f t="shared" ref="DR211:DY221" si="325">IF(AND($D211&lt;=DR$8,$E211&gt;=DR$8),(($G211*$C211)/12),0)</f>
        <v>0</v>
      </c>
      <c r="DS211" s="115">
        <f t="shared" si="325"/>
        <v>0</v>
      </c>
      <c r="DT211" s="115">
        <f t="shared" si="325"/>
        <v>0</v>
      </c>
      <c r="DU211" s="115">
        <f t="shared" si="325"/>
        <v>0</v>
      </c>
      <c r="DV211" s="115">
        <f t="shared" si="325"/>
        <v>0</v>
      </c>
      <c r="DW211" s="115">
        <f t="shared" si="325"/>
        <v>0</v>
      </c>
      <c r="DX211" s="115">
        <f t="shared" si="325"/>
        <v>0</v>
      </c>
      <c r="DY211" s="115">
        <f t="shared" si="325"/>
        <v>0</v>
      </c>
    </row>
    <row r="212" spans="1:129" x14ac:dyDescent="0.35">
      <c r="B212" s="6"/>
      <c r="C212" s="283"/>
      <c r="D212" s="155"/>
      <c r="E212" s="145"/>
      <c r="F212" s="118">
        <f t="shared" si="318"/>
        <v>0</v>
      </c>
      <c r="G212" s="146"/>
      <c r="H212" s="347">
        <f t="shared" si="319"/>
        <v>0</v>
      </c>
      <c r="I212" s="146"/>
      <c r="J212" s="156"/>
      <c r="L212" s="118" t="s">
        <v>523</v>
      </c>
      <c r="M212" s="6" t="s">
        <v>615</v>
      </c>
      <c r="N212" s="137">
        <v>1496</v>
      </c>
      <c r="O212" s="155">
        <v>46143</v>
      </c>
      <c r="P212" s="145">
        <v>46873</v>
      </c>
      <c r="Q212" s="118">
        <f t="shared" si="316"/>
        <v>2</v>
      </c>
      <c r="R212" s="146">
        <f>(3200*12)/N212</f>
        <v>25.668449197860962</v>
      </c>
      <c r="S212" s="347">
        <f t="shared" si="320"/>
        <v>3200</v>
      </c>
      <c r="T212" s="146"/>
      <c r="U212" s="156"/>
      <c r="DB212" s="133">
        <f t="shared" si="324"/>
        <v>0</v>
      </c>
      <c r="DC212" s="132">
        <f t="shared" si="324"/>
        <v>0</v>
      </c>
      <c r="DD212" s="132">
        <f t="shared" si="324"/>
        <v>0</v>
      </c>
      <c r="DE212" s="132">
        <f t="shared" si="324"/>
        <v>0</v>
      </c>
      <c r="DF212" s="132">
        <f t="shared" si="324"/>
        <v>0</v>
      </c>
      <c r="DG212" s="132">
        <f t="shared" si="324"/>
        <v>0</v>
      </c>
      <c r="DH212" s="132">
        <f t="shared" si="324"/>
        <v>0</v>
      </c>
      <c r="DI212" s="132">
        <f t="shared" si="324"/>
        <v>0</v>
      </c>
      <c r="DJ212" s="132">
        <f t="shared" si="324"/>
        <v>0</v>
      </c>
      <c r="DK212" s="132">
        <f t="shared" si="324"/>
        <v>0</v>
      </c>
      <c r="DL212" s="132">
        <f t="shared" si="324"/>
        <v>0</v>
      </c>
      <c r="DM212" s="134">
        <f t="shared" si="324"/>
        <v>0</v>
      </c>
      <c r="DN212" s="115">
        <f t="shared" si="324"/>
        <v>0</v>
      </c>
      <c r="DO212" s="115">
        <f t="shared" si="324"/>
        <v>0</v>
      </c>
      <c r="DP212" s="115">
        <f t="shared" si="324"/>
        <v>0</v>
      </c>
      <c r="DQ212" s="115">
        <f t="shared" si="324"/>
        <v>0</v>
      </c>
      <c r="DR212" s="115">
        <f t="shared" si="325"/>
        <v>0</v>
      </c>
      <c r="DS212" s="115">
        <f t="shared" si="325"/>
        <v>0</v>
      </c>
      <c r="DT212" s="115">
        <f t="shared" si="325"/>
        <v>0</v>
      </c>
      <c r="DU212" s="115">
        <f t="shared" si="325"/>
        <v>0</v>
      </c>
      <c r="DV212" s="115">
        <f t="shared" si="325"/>
        <v>0</v>
      </c>
      <c r="DW212" s="115">
        <f t="shared" si="325"/>
        <v>0</v>
      </c>
      <c r="DX212" s="115">
        <f t="shared" si="325"/>
        <v>0</v>
      </c>
      <c r="DY212" s="115">
        <f t="shared" si="325"/>
        <v>0</v>
      </c>
    </row>
    <row r="213" spans="1:129" x14ac:dyDescent="0.35">
      <c r="B213" s="6"/>
      <c r="C213" s="137"/>
      <c r="D213" s="155"/>
      <c r="E213" s="145"/>
      <c r="F213" s="118">
        <f t="shared" si="318"/>
        <v>0</v>
      </c>
      <c r="G213" s="146"/>
      <c r="H213" s="347">
        <f t="shared" si="319"/>
        <v>0</v>
      </c>
      <c r="I213" s="148"/>
      <c r="J213" s="156"/>
      <c r="K213" s="116"/>
      <c r="L213" s="118"/>
      <c r="M213" s="6"/>
      <c r="N213" s="137"/>
      <c r="O213" s="155"/>
      <c r="P213" s="145"/>
      <c r="Q213" s="118">
        <f t="shared" si="316"/>
        <v>0</v>
      </c>
      <c r="R213" s="146"/>
      <c r="S213" s="347">
        <f t="shared" si="320"/>
        <v>0</v>
      </c>
      <c r="T213" s="146"/>
      <c r="U213" s="156"/>
      <c r="W213" s="171" t="s">
        <v>315</v>
      </c>
      <c r="AK213" s="115"/>
      <c r="DB213" s="133">
        <f t="shared" si="324"/>
        <v>0</v>
      </c>
      <c r="DC213" s="132">
        <f t="shared" si="324"/>
        <v>0</v>
      </c>
      <c r="DD213" s="132">
        <f t="shared" si="324"/>
        <v>0</v>
      </c>
      <c r="DE213" s="132">
        <f t="shared" si="324"/>
        <v>0</v>
      </c>
      <c r="DF213" s="132">
        <f t="shared" si="324"/>
        <v>0</v>
      </c>
      <c r="DG213" s="132">
        <f t="shared" si="324"/>
        <v>0</v>
      </c>
      <c r="DH213" s="132">
        <f t="shared" si="324"/>
        <v>0</v>
      </c>
      <c r="DI213" s="132">
        <f t="shared" si="324"/>
        <v>0</v>
      </c>
      <c r="DJ213" s="132">
        <f t="shared" si="324"/>
        <v>0</v>
      </c>
      <c r="DK213" s="132">
        <f t="shared" si="324"/>
        <v>0</v>
      </c>
      <c r="DL213" s="132">
        <f t="shared" si="324"/>
        <v>0</v>
      </c>
      <c r="DM213" s="134">
        <f t="shared" si="324"/>
        <v>0</v>
      </c>
      <c r="DN213" s="115">
        <f t="shared" si="324"/>
        <v>0</v>
      </c>
      <c r="DO213" s="115">
        <f t="shared" si="324"/>
        <v>0</v>
      </c>
      <c r="DP213" s="115">
        <f t="shared" si="324"/>
        <v>0</v>
      </c>
      <c r="DQ213" s="115">
        <f t="shared" si="324"/>
        <v>0</v>
      </c>
      <c r="DR213" s="115">
        <f t="shared" si="325"/>
        <v>0</v>
      </c>
      <c r="DS213" s="115">
        <f t="shared" si="325"/>
        <v>0</v>
      </c>
      <c r="DT213" s="115">
        <f t="shared" si="325"/>
        <v>0</v>
      </c>
      <c r="DU213" s="115">
        <f t="shared" si="325"/>
        <v>0</v>
      </c>
      <c r="DV213" s="115">
        <f t="shared" si="325"/>
        <v>0</v>
      </c>
      <c r="DW213" s="115">
        <f t="shared" si="325"/>
        <v>0</v>
      </c>
      <c r="DX213" s="115">
        <f t="shared" si="325"/>
        <v>0</v>
      </c>
      <c r="DY213" s="115">
        <f t="shared" si="325"/>
        <v>0</v>
      </c>
    </row>
    <row r="214" spans="1:129" x14ac:dyDescent="0.35">
      <c r="B214" s="6"/>
      <c r="C214" s="137"/>
      <c r="D214" s="155"/>
      <c r="E214" s="145"/>
      <c r="F214" s="118">
        <f t="shared" si="318"/>
        <v>0</v>
      </c>
      <c r="G214" s="146"/>
      <c r="H214" s="347">
        <f t="shared" si="319"/>
        <v>0</v>
      </c>
      <c r="I214" s="148"/>
      <c r="J214" s="156"/>
      <c r="K214" s="116"/>
      <c r="L214" s="118"/>
      <c r="M214" s="6"/>
      <c r="N214" s="137"/>
      <c r="O214" s="155"/>
      <c r="P214" s="145"/>
      <c r="Q214" s="118">
        <f t="shared" si="316"/>
        <v>0</v>
      </c>
      <c r="R214" s="146"/>
      <c r="S214" s="347">
        <f t="shared" si="320"/>
        <v>0</v>
      </c>
      <c r="T214" s="146"/>
      <c r="U214" s="156"/>
      <c r="W214" s="171" t="s">
        <v>316</v>
      </c>
      <c r="DB214" s="133">
        <f t="shared" si="324"/>
        <v>0</v>
      </c>
      <c r="DC214" s="132">
        <f t="shared" si="324"/>
        <v>0</v>
      </c>
      <c r="DD214" s="132">
        <f t="shared" si="324"/>
        <v>0</v>
      </c>
      <c r="DE214" s="132">
        <f t="shared" si="324"/>
        <v>0</v>
      </c>
      <c r="DF214" s="132">
        <f t="shared" si="324"/>
        <v>0</v>
      </c>
      <c r="DG214" s="132">
        <f t="shared" si="324"/>
        <v>0</v>
      </c>
      <c r="DH214" s="132">
        <f t="shared" si="324"/>
        <v>0</v>
      </c>
      <c r="DI214" s="132">
        <f t="shared" si="324"/>
        <v>0</v>
      </c>
      <c r="DJ214" s="132">
        <f t="shared" si="324"/>
        <v>0</v>
      </c>
      <c r="DK214" s="132">
        <f t="shared" si="324"/>
        <v>0</v>
      </c>
      <c r="DL214" s="132">
        <f t="shared" si="324"/>
        <v>0</v>
      </c>
      <c r="DM214" s="134">
        <f t="shared" si="324"/>
        <v>0</v>
      </c>
      <c r="DN214" s="115">
        <f t="shared" si="324"/>
        <v>0</v>
      </c>
      <c r="DO214" s="115">
        <f t="shared" si="324"/>
        <v>0</v>
      </c>
      <c r="DP214" s="115">
        <f t="shared" si="324"/>
        <v>0</v>
      </c>
      <c r="DQ214" s="115">
        <f t="shared" si="324"/>
        <v>0</v>
      </c>
      <c r="DR214" s="115">
        <f t="shared" si="325"/>
        <v>0</v>
      </c>
      <c r="DS214" s="115">
        <f t="shared" si="325"/>
        <v>0</v>
      </c>
      <c r="DT214" s="115">
        <f t="shared" si="325"/>
        <v>0</v>
      </c>
      <c r="DU214" s="115">
        <f t="shared" si="325"/>
        <v>0</v>
      </c>
      <c r="DV214" s="115">
        <f t="shared" si="325"/>
        <v>0</v>
      </c>
      <c r="DW214" s="115">
        <f t="shared" si="325"/>
        <v>0</v>
      </c>
      <c r="DX214" s="115">
        <f t="shared" si="325"/>
        <v>0</v>
      </c>
      <c r="DY214" s="115">
        <f t="shared" si="325"/>
        <v>0</v>
      </c>
    </row>
    <row r="215" spans="1:129" x14ac:dyDescent="0.35">
      <c r="B215" s="6"/>
      <c r="C215" s="137"/>
      <c r="D215" s="155"/>
      <c r="E215" s="145"/>
      <c r="F215" s="118">
        <f t="shared" si="318"/>
        <v>0</v>
      </c>
      <c r="G215" s="146"/>
      <c r="H215" s="347">
        <f t="shared" si="319"/>
        <v>0</v>
      </c>
      <c r="I215" s="148"/>
      <c r="J215" s="156"/>
      <c r="K215" s="116"/>
      <c r="L215" s="118"/>
      <c r="M215" s="6"/>
      <c r="N215" s="137"/>
      <c r="O215" s="155"/>
      <c r="P215" s="145"/>
      <c r="Q215" s="118">
        <f t="shared" si="316"/>
        <v>0</v>
      </c>
      <c r="R215" s="146"/>
      <c r="S215" s="347">
        <f t="shared" si="320"/>
        <v>0</v>
      </c>
      <c r="T215" s="146"/>
      <c r="U215" s="156"/>
      <c r="DB215" s="133">
        <f t="shared" si="324"/>
        <v>0</v>
      </c>
      <c r="DC215" s="132">
        <f t="shared" si="324"/>
        <v>0</v>
      </c>
      <c r="DD215" s="132">
        <f t="shared" si="324"/>
        <v>0</v>
      </c>
      <c r="DE215" s="132">
        <f t="shared" si="324"/>
        <v>0</v>
      </c>
      <c r="DF215" s="132">
        <f t="shared" si="324"/>
        <v>0</v>
      </c>
      <c r="DG215" s="132">
        <f t="shared" si="324"/>
        <v>0</v>
      </c>
      <c r="DH215" s="132">
        <f t="shared" si="324"/>
        <v>0</v>
      </c>
      <c r="DI215" s="132">
        <f t="shared" si="324"/>
        <v>0</v>
      </c>
      <c r="DJ215" s="132">
        <f t="shared" si="324"/>
        <v>0</v>
      </c>
      <c r="DK215" s="132">
        <f t="shared" si="324"/>
        <v>0</v>
      </c>
      <c r="DL215" s="132">
        <f t="shared" si="324"/>
        <v>0</v>
      </c>
      <c r="DM215" s="134">
        <f t="shared" si="324"/>
        <v>0</v>
      </c>
      <c r="DN215" s="115">
        <f t="shared" si="324"/>
        <v>0</v>
      </c>
      <c r="DO215" s="115">
        <f t="shared" si="324"/>
        <v>0</v>
      </c>
      <c r="DP215" s="115">
        <f t="shared" si="324"/>
        <v>0</v>
      </c>
      <c r="DQ215" s="115">
        <f t="shared" si="324"/>
        <v>0</v>
      </c>
      <c r="DR215" s="115">
        <f t="shared" si="325"/>
        <v>0</v>
      </c>
      <c r="DS215" s="115">
        <f t="shared" si="325"/>
        <v>0</v>
      </c>
      <c r="DT215" s="115">
        <f t="shared" si="325"/>
        <v>0</v>
      </c>
      <c r="DU215" s="115">
        <f t="shared" si="325"/>
        <v>0</v>
      </c>
      <c r="DV215" s="115">
        <f t="shared" si="325"/>
        <v>0</v>
      </c>
      <c r="DW215" s="115">
        <f t="shared" si="325"/>
        <v>0</v>
      </c>
      <c r="DX215" s="115">
        <f t="shared" si="325"/>
        <v>0</v>
      </c>
      <c r="DY215" s="115">
        <f t="shared" si="325"/>
        <v>0</v>
      </c>
    </row>
    <row r="216" spans="1:129" x14ac:dyDescent="0.35">
      <c r="B216" s="6" t="str">
        <f t="shared" ref="B216:B221" si="326">IF(A216&lt;&gt;"","VACANT","")</f>
        <v/>
      </c>
      <c r="C216" s="137"/>
      <c r="D216" s="155"/>
      <c r="E216" s="145"/>
      <c r="F216" s="118">
        <f t="shared" si="318"/>
        <v>0</v>
      </c>
      <c r="G216" s="146"/>
      <c r="H216" s="347">
        <f t="shared" si="319"/>
        <v>0</v>
      </c>
      <c r="I216" s="148"/>
      <c r="J216" s="156"/>
      <c r="K216" s="116"/>
      <c r="L216" s="118"/>
      <c r="M216" s="6"/>
      <c r="N216" s="137"/>
      <c r="O216" s="155"/>
      <c r="P216" s="145"/>
      <c r="Q216" s="118">
        <f t="shared" si="316"/>
        <v>0</v>
      </c>
      <c r="R216" s="146"/>
      <c r="S216" s="347">
        <f t="shared" si="320"/>
        <v>0</v>
      </c>
      <c r="T216" s="148"/>
      <c r="U216" s="156"/>
      <c r="DB216" s="133">
        <f t="shared" si="324"/>
        <v>0</v>
      </c>
      <c r="DC216" s="132">
        <f t="shared" si="324"/>
        <v>0</v>
      </c>
      <c r="DD216" s="132">
        <f t="shared" si="324"/>
        <v>0</v>
      </c>
      <c r="DE216" s="132">
        <f t="shared" si="324"/>
        <v>0</v>
      </c>
      <c r="DF216" s="132">
        <f t="shared" si="324"/>
        <v>0</v>
      </c>
      <c r="DG216" s="132">
        <f t="shared" si="324"/>
        <v>0</v>
      </c>
      <c r="DH216" s="132">
        <f t="shared" si="324"/>
        <v>0</v>
      </c>
      <c r="DI216" s="132">
        <f t="shared" si="324"/>
        <v>0</v>
      </c>
      <c r="DJ216" s="132">
        <f t="shared" si="324"/>
        <v>0</v>
      </c>
      <c r="DK216" s="132">
        <f t="shared" si="324"/>
        <v>0</v>
      </c>
      <c r="DL216" s="132">
        <f t="shared" si="324"/>
        <v>0</v>
      </c>
      <c r="DM216" s="134">
        <f t="shared" si="324"/>
        <v>0</v>
      </c>
      <c r="DN216" s="115">
        <f t="shared" si="324"/>
        <v>0</v>
      </c>
      <c r="DO216" s="115">
        <f t="shared" si="324"/>
        <v>0</v>
      </c>
      <c r="DP216" s="115">
        <f t="shared" si="324"/>
        <v>0</v>
      </c>
      <c r="DQ216" s="115">
        <f t="shared" si="324"/>
        <v>0</v>
      </c>
      <c r="DR216" s="115">
        <f t="shared" si="325"/>
        <v>0</v>
      </c>
      <c r="DS216" s="115">
        <f t="shared" si="325"/>
        <v>0</v>
      </c>
      <c r="DT216" s="115">
        <f t="shared" si="325"/>
        <v>0</v>
      </c>
      <c r="DU216" s="115">
        <f t="shared" si="325"/>
        <v>0</v>
      </c>
      <c r="DV216" s="115">
        <f t="shared" si="325"/>
        <v>0</v>
      </c>
      <c r="DW216" s="115">
        <f t="shared" si="325"/>
        <v>0</v>
      </c>
      <c r="DX216" s="115">
        <f t="shared" si="325"/>
        <v>0</v>
      </c>
      <c r="DY216" s="115">
        <f t="shared" si="325"/>
        <v>0</v>
      </c>
    </row>
    <row r="217" spans="1:129" x14ac:dyDescent="0.35">
      <c r="B217" s="6" t="str">
        <f t="shared" si="326"/>
        <v/>
      </c>
      <c r="C217" s="137"/>
      <c r="D217" s="155"/>
      <c r="E217" s="145"/>
      <c r="F217" s="118">
        <f t="shared" si="318"/>
        <v>0</v>
      </c>
      <c r="G217" s="146"/>
      <c r="H217" s="347">
        <f t="shared" si="319"/>
        <v>0</v>
      </c>
      <c r="I217" s="148"/>
      <c r="J217" s="156"/>
      <c r="K217" s="116"/>
      <c r="L217" s="118"/>
      <c r="M217" s="6"/>
      <c r="N217" s="137"/>
      <c r="O217" s="155"/>
      <c r="P217" s="145"/>
      <c r="Q217" s="118">
        <f t="shared" si="316"/>
        <v>0</v>
      </c>
      <c r="R217" s="146"/>
      <c r="S217" s="347">
        <f t="shared" si="320"/>
        <v>0</v>
      </c>
      <c r="T217" s="148"/>
      <c r="U217" s="156"/>
      <c r="DB217" s="133">
        <f t="shared" si="324"/>
        <v>0</v>
      </c>
      <c r="DC217" s="132">
        <f t="shared" si="324"/>
        <v>0</v>
      </c>
      <c r="DD217" s="132">
        <f t="shared" si="324"/>
        <v>0</v>
      </c>
      <c r="DE217" s="132">
        <f t="shared" si="324"/>
        <v>0</v>
      </c>
      <c r="DF217" s="132">
        <f t="shared" si="324"/>
        <v>0</v>
      </c>
      <c r="DG217" s="132">
        <f t="shared" si="324"/>
        <v>0</v>
      </c>
      <c r="DH217" s="132">
        <f t="shared" si="324"/>
        <v>0</v>
      </c>
      <c r="DI217" s="132">
        <f t="shared" si="324"/>
        <v>0</v>
      </c>
      <c r="DJ217" s="132">
        <f t="shared" si="324"/>
        <v>0</v>
      </c>
      <c r="DK217" s="132">
        <f t="shared" si="324"/>
        <v>0</v>
      </c>
      <c r="DL217" s="132">
        <f t="shared" si="324"/>
        <v>0</v>
      </c>
      <c r="DM217" s="134">
        <f t="shared" si="324"/>
        <v>0</v>
      </c>
      <c r="DN217" s="115">
        <f t="shared" si="324"/>
        <v>0</v>
      </c>
      <c r="DO217" s="115">
        <f t="shared" si="324"/>
        <v>0</v>
      </c>
      <c r="DP217" s="115">
        <f t="shared" si="324"/>
        <v>0</v>
      </c>
      <c r="DQ217" s="115">
        <f t="shared" si="324"/>
        <v>0</v>
      </c>
      <c r="DR217" s="115">
        <f t="shared" si="325"/>
        <v>0</v>
      </c>
      <c r="DS217" s="115">
        <f t="shared" si="325"/>
        <v>0</v>
      </c>
      <c r="DT217" s="115">
        <f t="shared" si="325"/>
        <v>0</v>
      </c>
      <c r="DU217" s="115">
        <f t="shared" si="325"/>
        <v>0</v>
      </c>
      <c r="DV217" s="115">
        <f t="shared" si="325"/>
        <v>0</v>
      </c>
      <c r="DW217" s="115">
        <f t="shared" si="325"/>
        <v>0</v>
      </c>
      <c r="DX217" s="115">
        <f t="shared" si="325"/>
        <v>0</v>
      </c>
      <c r="DY217" s="115">
        <f t="shared" si="325"/>
        <v>0</v>
      </c>
    </row>
    <row r="218" spans="1:129" x14ac:dyDescent="0.35">
      <c r="B218" s="6" t="str">
        <f t="shared" si="326"/>
        <v/>
      </c>
      <c r="C218" s="137"/>
      <c r="D218" s="155"/>
      <c r="E218" s="145"/>
      <c r="F218" s="118">
        <f t="shared" si="318"/>
        <v>0</v>
      </c>
      <c r="G218" s="146"/>
      <c r="H218" s="347">
        <f t="shared" si="319"/>
        <v>0</v>
      </c>
      <c r="I218" s="146"/>
      <c r="J218" s="156"/>
      <c r="K218" s="116"/>
      <c r="L218" s="118"/>
      <c r="M218" s="6"/>
      <c r="N218" s="137"/>
      <c r="O218" s="155"/>
      <c r="P218" s="145"/>
      <c r="Q218" s="118">
        <f t="shared" si="316"/>
        <v>0</v>
      </c>
      <c r="R218" s="146"/>
      <c r="S218" s="347">
        <f t="shared" si="320"/>
        <v>0</v>
      </c>
      <c r="T218" s="146"/>
      <c r="U218" s="156"/>
      <c r="DB218" s="133">
        <f t="shared" si="324"/>
        <v>0</v>
      </c>
      <c r="DC218" s="132">
        <f t="shared" si="324"/>
        <v>0</v>
      </c>
      <c r="DD218" s="132">
        <f t="shared" si="324"/>
        <v>0</v>
      </c>
      <c r="DE218" s="132">
        <f t="shared" si="324"/>
        <v>0</v>
      </c>
      <c r="DF218" s="132">
        <f t="shared" si="324"/>
        <v>0</v>
      </c>
      <c r="DG218" s="132">
        <f t="shared" si="324"/>
        <v>0</v>
      </c>
      <c r="DH218" s="132">
        <f t="shared" si="324"/>
        <v>0</v>
      </c>
      <c r="DI218" s="132">
        <f t="shared" si="324"/>
        <v>0</v>
      </c>
      <c r="DJ218" s="132">
        <f t="shared" si="324"/>
        <v>0</v>
      </c>
      <c r="DK218" s="132">
        <f t="shared" si="324"/>
        <v>0</v>
      </c>
      <c r="DL218" s="132">
        <f t="shared" si="324"/>
        <v>0</v>
      </c>
      <c r="DM218" s="134">
        <f t="shared" si="324"/>
        <v>0</v>
      </c>
      <c r="DN218" s="115">
        <f t="shared" si="324"/>
        <v>0</v>
      </c>
      <c r="DO218" s="115">
        <f t="shared" si="324"/>
        <v>0</v>
      </c>
      <c r="DP218" s="115">
        <f t="shared" si="324"/>
        <v>0</v>
      </c>
      <c r="DQ218" s="115">
        <f t="shared" si="324"/>
        <v>0</v>
      </c>
      <c r="DR218" s="115">
        <f t="shared" si="325"/>
        <v>0</v>
      </c>
      <c r="DS218" s="115">
        <f t="shared" si="325"/>
        <v>0</v>
      </c>
      <c r="DT218" s="115">
        <f t="shared" si="325"/>
        <v>0</v>
      </c>
      <c r="DU218" s="115">
        <f t="shared" si="325"/>
        <v>0</v>
      </c>
      <c r="DV218" s="115">
        <f t="shared" si="325"/>
        <v>0</v>
      </c>
      <c r="DW218" s="115">
        <f t="shared" si="325"/>
        <v>0</v>
      </c>
      <c r="DX218" s="115">
        <f t="shared" si="325"/>
        <v>0</v>
      </c>
      <c r="DY218" s="115">
        <f t="shared" si="325"/>
        <v>0</v>
      </c>
    </row>
    <row r="219" spans="1:129" x14ac:dyDescent="0.35">
      <c r="B219" s="6" t="str">
        <f t="shared" si="326"/>
        <v/>
      </c>
      <c r="C219" s="137"/>
      <c r="D219" s="155"/>
      <c r="E219" s="145"/>
      <c r="F219" s="118">
        <f t="shared" si="318"/>
        <v>0</v>
      </c>
      <c r="G219" s="146"/>
      <c r="H219" s="347">
        <f t="shared" si="319"/>
        <v>0</v>
      </c>
      <c r="I219" s="146"/>
      <c r="J219" s="156"/>
      <c r="K219" s="116"/>
      <c r="L219" s="118"/>
      <c r="M219" s="6"/>
      <c r="N219" s="137"/>
      <c r="O219" s="155"/>
      <c r="P219" s="145"/>
      <c r="Q219" s="118">
        <f t="shared" si="316"/>
        <v>0</v>
      </c>
      <c r="R219" s="146"/>
      <c r="S219" s="347">
        <f t="shared" si="320"/>
        <v>0</v>
      </c>
      <c r="T219" s="146"/>
      <c r="U219" s="156"/>
      <c r="DB219" s="133">
        <f t="shared" si="324"/>
        <v>0</v>
      </c>
      <c r="DC219" s="132">
        <f t="shared" si="324"/>
        <v>0</v>
      </c>
      <c r="DD219" s="132">
        <f t="shared" si="324"/>
        <v>0</v>
      </c>
      <c r="DE219" s="132">
        <f t="shared" si="324"/>
        <v>0</v>
      </c>
      <c r="DF219" s="132">
        <f t="shared" si="324"/>
        <v>0</v>
      </c>
      <c r="DG219" s="132">
        <f t="shared" si="324"/>
        <v>0</v>
      </c>
      <c r="DH219" s="132">
        <f t="shared" si="324"/>
        <v>0</v>
      </c>
      <c r="DI219" s="132">
        <f t="shared" si="324"/>
        <v>0</v>
      </c>
      <c r="DJ219" s="132">
        <f t="shared" si="324"/>
        <v>0</v>
      </c>
      <c r="DK219" s="132">
        <f t="shared" si="324"/>
        <v>0</v>
      </c>
      <c r="DL219" s="132">
        <f t="shared" si="324"/>
        <v>0</v>
      </c>
      <c r="DM219" s="134">
        <f t="shared" si="324"/>
        <v>0</v>
      </c>
      <c r="DN219" s="115">
        <f t="shared" si="324"/>
        <v>0</v>
      </c>
      <c r="DO219" s="115">
        <f t="shared" si="324"/>
        <v>0</v>
      </c>
      <c r="DP219" s="115">
        <f t="shared" si="324"/>
        <v>0</v>
      </c>
      <c r="DQ219" s="115">
        <f t="shared" si="324"/>
        <v>0</v>
      </c>
      <c r="DR219" s="115">
        <f t="shared" si="325"/>
        <v>0</v>
      </c>
      <c r="DS219" s="115">
        <f t="shared" si="325"/>
        <v>0</v>
      </c>
      <c r="DT219" s="115">
        <f t="shared" si="325"/>
        <v>0</v>
      </c>
      <c r="DU219" s="115">
        <f t="shared" si="325"/>
        <v>0</v>
      </c>
      <c r="DV219" s="115">
        <f t="shared" si="325"/>
        <v>0</v>
      </c>
      <c r="DW219" s="115">
        <f t="shared" si="325"/>
        <v>0</v>
      </c>
      <c r="DX219" s="115">
        <f t="shared" si="325"/>
        <v>0</v>
      </c>
      <c r="DY219" s="115">
        <f t="shared" si="325"/>
        <v>0</v>
      </c>
    </row>
    <row r="220" spans="1:129" x14ac:dyDescent="0.35">
      <c r="B220" s="6" t="str">
        <f t="shared" si="326"/>
        <v/>
      </c>
      <c r="C220" s="137"/>
      <c r="D220" s="155"/>
      <c r="E220" s="145"/>
      <c r="F220" s="118">
        <f t="shared" si="318"/>
        <v>0</v>
      </c>
      <c r="G220" s="146"/>
      <c r="H220" s="347">
        <f t="shared" si="319"/>
        <v>0</v>
      </c>
      <c r="I220" s="146"/>
      <c r="J220" s="156"/>
      <c r="K220" s="116"/>
      <c r="L220" s="118"/>
      <c r="M220" s="6"/>
      <c r="N220" s="137"/>
      <c r="O220" s="155"/>
      <c r="P220" s="145"/>
      <c r="Q220" s="118">
        <f t="shared" si="316"/>
        <v>0</v>
      </c>
      <c r="R220" s="146"/>
      <c r="S220" s="347">
        <f t="shared" si="320"/>
        <v>0</v>
      </c>
      <c r="T220" s="146"/>
      <c r="U220" s="156"/>
      <c r="DB220" s="133">
        <f t="shared" si="324"/>
        <v>0</v>
      </c>
      <c r="DC220" s="132">
        <f t="shared" si="324"/>
        <v>0</v>
      </c>
      <c r="DD220" s="132">
        <f t="shared" si="324"/>
        <v>0</v>
      </c>
      <c r="DE220" s="132">
        <f t="shared" si="324"/>
        <v>0</v>
      </c>
      <c r="DF220" s="132">
        <f t="shared" si="324"/>
        <v>0</v>
      </c>
      <c r="DG220" s="132">
        <f t="shared" si="324"/>
        <v>0</v>
      </c>
      <c r="DH220" s="132">
        <f t="shared" si="324"/>
        <v>0</v>
      </c>
      <c r="DI220" s="132">
        <f t="shared" si="324"/>
        <v>0</v>
      </c>
      <c r="DJ220" s="132">
        <f t="shared" si="324"/>
        <v>0</v>
      </c>
      <c r="DK220" s="132">
        <f t="shared" si="324"/>
        <v>0</v>
      </c>
      <c r="DL220" s="132">
        <f t="shared" si="324"/>
        <v>0</v>
      </c>
      <c r="DM220" s="134">
        <f t="shared" si="324"/>
        <v>0</v>
      </c>
      <c r="DN220" s="115">
        <f t="shared" si="324"/>
        <v>0</v>
      </c>
      <c r="DO220" s="115">
        <f t="shared" si="324"/>
        <v>0</v>
      </c>
      <c r="DP220" s="115">
        <f t="shared" si="324"/>
        <v>0</v>
      </c>
      <c r="DQ220" s="115">
        <f t="shared" si="324"/>
        <v>0</v>
      </c>
      <c r="DR220" s="115">
        <f t="shared" si="325"/>
        <v>0</v>
      </c>
      <c r="DS220" s="115">
        <f t="shared" si="325"/>
        <v>0</v>
      </c>
      <c r="DT220" s="115">
        <f t="shared" si="325"/>
        <v>0</v>
      </c>
      <c r="DU220" s="115">
        <f t="shared" si="325"/>
        <v>0</v>
      </c>
      <c r="DV220" s="115">
        <f t="shared" si="325"/>
        <v>0</v>
      </c>
      <c r="DW220" s="115">
        <f t="shared" si="325"/>
        <v>0</v>
      </c>
      <c r="DX220" s="115">
        <f t="shared" si="325"/>
        <v>0</v>
      </c>
      <c r="DY220" s="115">
        <f t="shared" si="325"/>
        <v>0</v>
      </c>
    </row>
    <row r="221" spans="1:129" x14ac:dyDescent="0.35">
      <c r="A221" s="129"/>
      <c r="B221" s="15" t="str">
        <f t="shared" si="326"/>
        <v/>
      </c>
      <c r="C221" s="138"/>
      <c r="D221" s="157"/>
      <c r="E221" s="149"/>
      <c r="F221" s="129">
        <f t="shared" si="318"/>
        <v>0</v>
      </c>
      <c r="G221" s="150"/>
      <c r="H221" s="348">
        <f t="shared" si="319"/>
        <v>0</v>
      </c>
      <c r="I221" s="150"/>
      <c r="J221" s="158"/>
      <c r="K221" s="116"/>
      <c r="L221" s="129"/>
      <c r="M221" s="15"/>
      <c r="N221" s="138"/>
      <c r="O221" s="157"/>
      <c r="P221" s="149"/>
      <c r="Q221" s="129">
        <f t="shared" si="316"/>
        <v>0</v>
      </c>
      <c r="R221" s="150"/>
      <c r="S221" s="348">
        <f t="shared" si="320"/>
        <v>0</v>
      </c>
      <c r="T221" s="150"/>
      <c r="U221" s="158"/>
      <c r="AK221" s="115"/>
      <c r="DB221" s="133">
        <f t="shared" si="324"/>
        <v>0</v>
      </c>
      <c r="DC221" s="132">
        <f t="shared" si="324"/>
        <v>0</v>
      </c>
      <c r="DD221" s="132">
        <f t="shared" si="324"/>
        <v>0</v>
      </c>
      <c r="DE221" s="132">
        <f t="shared" si="324"/>
        <v>0</v>
      </c>
      <c r="DF221" s="132">
        <f t="shared" si="324"/>
        <v>0</v>
      </c>
      <c r="DG221" s="132">
        <f t="shared" si="324"/>
        <v>0</v>
      </c>
      <c r="DH221" s="132">
        <f t="shared" si="324"/>
        <v>0</v>
      </c>
      <c r="DI221" s="132">
        <f t="shared" si="324"/>
        <v>0</v>
      </c>
      <c r="DJ221" s="132">
        <f t="shared" si="324"/>
        <v>0</v>
      </c>
      <c r="DK221" s="132">
        <f t="shared" si="324"/>
        <v>0</v>
      </c>
      <c r="DL221" s="132">
        <f t="shared" si="324"/>
        <v>0</v>
      </c>
      <c r="DM221" s="134">
        <f t="shared" si="324"/>
        <v>0</v>
      </c>
      <c r="DN221" s="115">
        <f t="shared" si="324"/>
        <v>0</v>
      </c>
      <c r="DO221" s="115">
        <f t="shared" si="324"/>
        <v>0</v>
      </c>
      <c r="DP221" s="115">
        <f t="shared" si="324"/>
        <v>0</v>
      </c>
      <c r="DQ221" s="115">
        <f t="shared" si="324"/>
        <v>0</v>
      </c>
      <c r="DR221" s="115">
        <f t="shared" si="325"/>
        <v>0</v>
      </c>
      <c r="DS221" s="115">
        <f t="shared" si="325"/>
        <v>0</v>
      </c>
      <c r="DT221" s="115">
        <f t="shared" si="325"/>
        <v>0</v>
      </c>
      <c r="DU221" s="115">
        <f t="shared" si="325"/>
        <v>0</v>
      </c>
      <c r="DV221" s="115">
        <f t="shared" si="325"/>
        <v>0</v>
      </c>
      <c r="DW221" s="115">
        <f t="shared" si="325"/>
        <v>0</v>
      </c>
      <c r="DX221" s="115">
        <f t="shared" si="325"/>
        <v>0</v>
      </c>
      <c r="DY221" s="115">
        <f t="shared" si="325"/>
        <v>0</v>
      </c>
    </row>
    <row r="222" spans="1:129" ht="16.5" thickBot="1" x14ac:dyDescent="0.35">
      <c r="A222" s="117"/>
      <c r="B222" s="16" t="s">
        <v>301</v>
      </c>
      <c r="C222" s="139">
        <f>SUM(C207:C221)</f>
        <v>6542</v>
      </c>
      <c r="D222" s="125"/>
      <c r="E222" s="125"/>
      <c r="F222" s="135"/>
      <c r="G222" s="126"/>
      <c r="H222" s="126"/>
      <c r="I222" s="126"/>
      <c r="J222" s="127"/>
      <c r="K222" s="116"/>
      <c r="L222" s="117"/>
      <c r="M222" s="16" t="s">
        <v>304</v>
      </c>
      <c r="N222" s="139">
        <f>SUM(N207:N221)-N212</f>
        <v>4344</v>
      </c>
      <c r="O222" s="125"/>
      <c r="P222" s="125"/>
      <c r="Q222" s="135"/>
      <c r="R222" s="126"/>
      <c r="S222" s="126"/>
      <c r="T222" s="126"/>
      <c r="U222" s="127"/>
      <c r="AK222" s="115"/>
      <c r="DB222" s="122" t="e">
        <f>SUM(DB207:DB221)</f>
        <v>#REF!</v>
      </c>
      <c r="DC222" s="122" t="e">
        <f t="shared" ref="DC222:DY222" si="327">SUM(DC207:DC221)</f>
        <v>#REF!</v>
      </c>
      <c r="DD222" s="122" t="e">
        <f t="shared" si="327"/>
        <v>#REF!</v>
      </c>
      <c r="DE222" s="122" t="e">
        <f t="shared" si="327"/>
        <v>#REF!</v>
      </c>
      <c r="DF222" s="122" t="e">
        <f t="shared" si="327"/>
        <v>#REF!</v>
      </c>
      <c r="DG222" s="122" t="e">
        <f t="shared" si="327"/>
        <v>#REF!</v>
      </c>
      <c r="DH222" s="122" t="e">
        <f t="shared" si="327"/>
        <v>#REF!</v>
      </c>
      <c r="DI222" s="122" t="e">
        <f t="shared" si="327"/>
        <v>#REF!</v>
      </c>
      <c r="DJ222" s="122" t="e">
        <f t="shared" si="327"/>
        <v>#REF!</v>
      </c>
      <c r="DK222" s="122" t="e">
        <f t="shared" si="327"/>
        <v>#REF!</v>
      </c>
      <c r="DL222" s="122" t="e">
        <f t="shared" si="327"/>
        <v>#REF!</v>
      </c>
      <c r="DM222" s="122" t="e">
        <f t="shared" si="327"/>
        <v>#REF!</v>
      </c>
      <c r="DN222" s="122" t="e">
        <f t="shared" si="327"/>
        <v>#REF!</v>
      </c>
      <c r="DO222" s="122" t="e">
        <f t="shared" si="327"/>
        <v>#REF!</v>
      </c>
      <c r="DP222" s="122" t="e">
        <f t="shared" si="327"/>
        <v>#REF!</v>
      </c>
      <c r="DQ222" s="122" t="e">
        <f t="shared" si="327"/>
        <v>#REF!</v>
      </c>
      <c r="DR222" s="122" t="e">
        <f t="shared" si="327"/>
        <v>#REF!</v>
      </c>
      <c r="DS222" s="122" t="e">
        <f t="shared" si="327"/>
        <v>#REF!</v>
      </c>
      <c r="DT222" s="122" t="e">
        <f t="shared" si="327"/>
        <v>#REF!</v>
      </c>
      <c r="DU222" s="122" t="e">
        <f t="shared" si="327"/>
        <v>#REF!</v>
      </c>
      <c r="DV222" s="122" t="e">
        <f t="shared" si="327"/>
        <v>#REF!</v>
      </c>
      <c r="DW222" s="122" t="e">
        <f t="shared" si="327"/>
        <v>#REF!</v>
      </c>
      <c r="DX222" s="122" t="e">
        <f t="shared" si="327"/>
        <v>#REF!</v>
      </c>
      <c r="DY222" s="122" t="e">
        <f t="shared" si="327"/>
        <v>#REF!</v>
      </c>
    </row>
    <row r="223" spans="1:129" s="179" customFormat="1" ht="18.5" thickTop="1" thickBot="1" x14ac:dyDescent="0.3">
      <c r="A223" s="178"/>
      <c r="F223" s="178"/>
      <c r="K223" s="180"/>
      <c r="AK223" s="180"/>
      <c r="DB223" s="418"/>
      <c r="DC223" s="418"/>
      <c r="DD223" s="418"/>
      <c r="DE223" s="418"/>
      <c r="DF223" s="418"/>
      <c r="DG223" s="418"/>
      <c r="DH223" s="418"/>
      <c r="DI223" s="418"/>
      <c r="DJ223" s="418"/>
      <c r="DK223" s="418"/>
      <c r="DL223" s="418"/>
      <c r="DM223" s="418"/>
    </row>
    <row r="227" spans="9:9" x14ac:dyDescent="0.25">
      <c r="I227" s="333"/>
    </row>
  </sheetData>
  <sheetProtection selectLockedCells="1"/>
  <mergeCells count="68">
    <mergeCell ref="DN205:DY205"/>
    <mergeCell ref="DB223:DM223"/>
    <mergeCell ref="DB201:DM201"/>
    <mergeCell ref="D205:J205"/>
    <mergeCell ref="O205:U205"/>
    <mergeCell ref="X205:AI205"/>
    <mergeCell ref="AJ205:AU205"/>
    <mergeCell ref="DB205:DM205"/>
    <mergeCell ref="DN161:DY161"/>
    <mergeCell ref="DB179:DM179"/>
    <mergeCell ref="D183:J183"/>
    <mergeCell ref="O183:U183"/>
    <mergeCell ref="X183:AI183"/>
    <mergeCell ref="AJ183:AU183"/>
    <mergeCell ref="DB183:DM183"/>
    <mergeCell ref="DN183:DY183"/>
    <mergeCell ref="D161:J161"/>
    <mergeCell ref="O161:U161"/>
    <mergeCell ref="X161:AI161"/>
    <mergeCell ref="AJ161:AU161"/>
    <mergeCell ref="DB161:DM161"/>
    <mergeCell ref="DB47:DM47"/>
    <mergeCell ref="X7:AI7"/>
    <mergeCell ref="AJ7:AU7"/>
    <mergeCell ref="X29:AI29"/>
    <mergeCell ref="AJ29:AU29"/>
    <mergeCell ref="DB25:DM25"/>
    <mergeCell ref="DB157:DM157"/>
    <mergeCell ref="O117:U117"/>
    <mergeCell ref="DB135:DM135"/>
    <mergeCell ref="X51:AI51"/>
    <mergeCell ref="AJ51:AU51"/>
    <mergeCell ref="X73:AI73"/>
    <mergeCell ref="AJ73:AU73"/>
    <mergeCell ref="X95:AI95"/>
    <mergeCell ref="AJ95:AU95"/>
    <mergeCell ref="DB91:DM91"/>
    <mergeCell ref="O51:U51"/>
    <mergeCell ref="DB69:DM69"/>
    <mergeCell ref="D95:J95"/>
    <mergeCell ref="DB95:DM95"/>
    <mergeCell ref="DN95:DY95"/>
    <mergeCell ref="D139:J139"/>
    <mergeCell ref="DB139:DM139"/>
    <mergeCell ref="DN139:DY139"/>
    <mergeCell ref="X139:AI139"/>
    <mergeCell ref="O95:U95"/>
    <mergeCell ref="DB113:DM113"/>
    <mergeCell ref="D117:J117"/>
    <mergeCell ref="DB117:DM117"/>
    <mergeCell ref="DN117:DY117"/>
    <mergeCell ref="X117:AI117"/>
    <mergeCell ref="AJ117:AU117"/>
    <mergeCell ref="AJ139:AU139"/>
    <mergeCell ref="O139:U139"/>
    <mergeCell ref="D73:J73"/>
    <mergeCell ref="DB73:DM73"/>
    <mergeCell ref="DN73:DY73"/>
    <mergeCell ref="D51:J51"/>
    <mergeCell ref="DB51:DM51"/>
    <mergeCell ref="DN51:DY51"/>
    <mergeCell ref="O73:U73"/>
    <mergeCell ref="DN7:DY7"/>
    <mergeCell ref="D7:J7"/>
    <mergeCell ref="O7:U7"/>
    <mergeCell ref="D29:J29"/>
    <mergeCell ref="O29:U29"/>
    <mergeCell ref="DB7:DM7"/>
  </mergeCells>
  <conditionalFormatting sqref="D209">
    <cfRule type="notContainsBlanks" dxfId="84" priority="452">
      <formula>LEN(TRIM(D209))&gt;0</formula>
    </cfRule>
    <cfRule type="expression" dxfId="83" priority="453">
      <formula>$A207&gt;1</formula>
    </cfRule>
  </conditionalFormatting>
  <conditionalFormatting sqref="D224:D1048576">
    <cfRule type="cellIs" dxfId="82" priority="446" operator="greaterThan">
      <formula>46023</formula>
    </cfRule>
  </conditionalFormatting>
  <conditionalFormatting sqref="D9:G23 I9:J23 D31:G45 I31:J45 D53:G67 I53:J67">
    <cfRule type="expression" dxfId="81" priority="443">
      <formula>$A9&gt;1</formula>
    </cfRule>
  </conditionalFormatting>
  <conditionalFormatting sqref="D9:G23 I9:J23 O9:R23 T9:U23 O31:R45 T31:U45 P53:R53 O53:O54 Q53:Q54 T53:U67 Q54:R54 O55:R67 O75:R89 T75:U89 O97:R111 T97:U111 O119:R133 T119:U133 O141:R155 T141:U155">
    <cfRule type="notContainsBlanks" dxfId="80" priority="402">
      <formula>LEN(TRIM(D9))&gt;0</formula>
    </cfRule>
  </conditionalFormatting>
  <conditionalFormatting sqref="D31:G45 I31:J45">
    <cfRule type="notContainsBlanks" dxfId="79" priority="217">
      <formula>LEN(TRIM(D31))&gt;0</formula>
    </cfRule>
  </conditionalFormatting>
  <conditionalFormatting sqref="D53:G67 I53:J67">
    <cfRule type="notContainsBlanks" dxfId="78" priority="213">
      <formula>LEN(TRIM(D53))&gt;0</formula>
    </cfRule>
  </conditionalFormatting>
  <conditionalFormatting sqref="D75:G89 I75:J89 E207:G207 I207:J221 D208:G209 F209:F214 E210:G210 D211:G221">
    <cfRule type="expression" dxfId="77" priority="208">
      <formula>$A75&gt;1</formula>
    </cfRule>
    <cfRule type="notContainsBlanks" dxfId="76" priority="207">
      <formula>LEN(TRIM(D75))&gt;0</formula>
    </cfRule>
  </conditionalFormatting>
  <conditionalFormatting sqref="D97:G111 I97:J111">
    <cfRule type="expression" dxfId="75" priority="202">
      <formula>$A97&gt;1</formula>
    </cfRule>
    <cfRule type="notContainsBlanks" dxfId="74" priority="201">
      <formula>LEN(TRIM(D97))&gt;0</formula>
    </cfRule>
  </conditionalFormatting>
  <conditionalFormatting sqref="D119:G133 I119:J133">
    <cfRule type="notContainsBlanks" dxfId="73" priority="195">
      <formula>LEN(TRIM(D119))&gt;0</formula>
    </cfRule>
    <cfRule type="expression" dxfId="72" priority="196">
      <formula>$A119&gt;1</formula>
    </cfRule>
  </conditionalFormatting>
  <conditionalFormatting sqref="D141:G155 I141:J155">
    <cfRule type="expression" dxfId="71" priority="190">
      <formula>$A141&gt;1</formula>
    </cfRule>
    <cfRule type="notContainsBlanks" dxfId="70" priority="189">
      <formula>LEN(TRIM(D141))&gt;0</formula>
    </cfRule>
  </conditionalFormatting>
  <conditionalFormatting sqref="D163:G177 I163:J177">
    <cfRule type="notContainsBlanks" dxfId="69" priority="55">
      <formula>LEN(TRIM(D163))&gt;0</formula>
    </cfRule>
    <cfRule type="expression" dxfId="68" priority="56">
      <formula>$A163&gt;1</formula>
    </cfRule>
  </conditionalFormatting>
  <conditionalFormatting sqref="D185:G199 I185:J199">
    <cfRule type="notContainsBlanks" dxfId="67" priority="47">
      <formula>LEN(TRIM(D185))&gt;0</formula>
    </cfRule>
    <cfRule type="expression" dxfId="66" priority="48">
      <formula>$A185&gt;1</formula>
    </cfRule>
  </conditionalFormatting>
  <conditionalFormatting sqref="F9:F23">
    <cfRule type="cellIs" dxfId="65" priority="226" operator="equal">
      <formula>0</formula>
    </cfRule>
  </conditionalFormatting>
  <conditionalFormatting sqref="F31:F45">
    <cfRule type="cellIs" dxfId="64" priority="216" operator="equal">
      <formula>0</formula>
    </cfRule>
  </conditionalFormatting>
  <conditionalFormatting sqref="F53:F67">
    <cfRule type="cellIs" dxfId="63" priority="212" operator="equal">
      <formula>0</formula>
    </cfRule>
  </conditionalFormatting>
  <conditionalFormatting sqref="F75:F89">
    <cfRule type="cellIs" dxfId="62" priority="206" operator="equal">
      <formula>0</formula>
    </cfRule>
  </conditionalFormatting>
  <conditionalFormatting sqref="F97:F111">
    <cfRule type="cellIs" dxfId="61" priority="200" operator="equal">
      <formula>0</formula>
    </cfRule>
  </conditionalFormatting>
  <conditionalFormatting sqref="F119:F133">
    <cfRule type="cellIs" dxfId="60" priority="194" operator="equal">
      <formula>0</formula>
    </cfRule>
  </conditionalFormatting>
  <conditionalFormatting sqref="F141:F155">
    <cfRule type="cellIs" dxfId="59" priority="188" operator="equal">
      <formula>0</formula>
    </cfRule>
  </conditionalFormatting>
  <conditionalFormatting sqref="F163:F177">
    <cfRule type="cellIs" dxfId="58" priority="54" operator="equal">
      <formula>0</formula>
    </cfRule>
  </conditionalFormatting>
  <conditionalFormatting sqref="F185:F199">
    <cfRule type="cellIs" dxfId="57" priority="46" operator="equal">
      <formula>0</formula>
    </cfRule>
  </conditionalFormatting>
  <conditionalFormatting sqref="F207:F221">
    <cfRule type="cellIs" dxfId="56" priority="38" operator="equal">
      <formula>0</formula>
    </cfRule>
  </conditionalFormatting>
  <conditionalFormatting sqref="H9:H23">
    <cfRule type="cellIs" dxfId="55" priority="5" operator="equal">
      <formula>0</formula>
    </cfRule>
  </conditionalFormatting>
  <conditionalFormatting sqref="H31:H45">
    <cfRule type="cellIs" dxfId="54" priority="6" operator="equal">
      <formula>0</formula>
    </cfRule>
  </conditionalFormatting>
  <conditionalFormatting sqref="H53:H67">
    <cfRule type="cellIs" dxfId="53" priority="7" operator="equal">
      <formula>0</formula>
    </cfRule>
  </conditionalFormatting>
  <conditionalFormatting sqref="H75:H89">
    <cfRule type="cellIs" dxfId="52" priority="8" operator="equal">
      <formula>0</formula>
    </cfRule>
  </conditionalFormatting>
  <conditionalFormatting sqref="H97:H111">
    <cfRule type="cellIs" dxfId="51" priority="9" operator="equal">
      <formula>0</formula>
    </cfRule>
  </conditionalFormatting>
  <conditionalFormatting sqref="H119:H133">
    <cfRule type="cellIs" dxfId="50" priority="10" operator="equal">
      <formula>0</formula>
    </cfRule>
  </conditionalFormatting>
  <conditionalFormatting sqref="H141:H155">
    <cfRule type="cellIs" dxfId="49" priority="4" operator="equal">
      <formula>0</formula>
    </cfRule>
  </conditionalFormatting>
  <conditionalFormatting sqref="H163:H177">
    <cfRule type="cellIs" dxfId="48" priority="3" operator="equal">
      <formula>0</formula>
    </cfRule>
  </conditionalFormatting>
  <conditionalFormatting sqref="H185:H199">
    <cfRule type="cellIs" dxfId="47" priority="2" operator="equal">
      <formula>0</formula>
    </cfRule>
  </conditionalFormatting>
  <conditionalFormatting sqref="H207:H221">
    <cfRule type="cellIs" dxfId="46" priority="1" operator="equal">
      <formula>0</formula>
    </cfRule>
  </conditionalFormatting>
  <conditionalFormatting sqref="O9:R23 T9:U23 O31:R45 T31:U45 O53:O54 Q53:R54 T53:U67 O55:R67 O75:R89 T75:U89 O97:R111 T97:U111 O119:R133 T119:U133 O141:R155 T141:U155">
    <cfRule type="expression" dxfId="45" priority="447">
      <formula>$L9&gt;1</formula>
    </cfRule>
  </conditionalFormatting>
  <conditionalFormatting sqref="O163:R177 T163:U177 O185:R199 T185:U199 O207:R221 T207:U221">
    <cfRule type="expression" dxfId="44" priority="58">
      <formula>$L163&gt;1</formula>
    </cfRule>
    <cfRule type="notContainsBlanks" dxfId="43" priority="53">
      <formula>LEN(TRIM(O163))&gt;0</formula>
    </cfRule>
  </conditionalFormatting>
  <conditionalFormatting sqref="P53">
    <cfRule type="expression" dxfId="42" priority="449">
      <formula>$L54&gt;1</formula>
    </cfRule>
  </conditionalFormatting>
  <conditionalFormatting sqref="Q9:Q23">
    <cfRule type="cellIs" dxfId="41" priority="218" operator="equal">
      <formula>0</formula>
    </cfRule>
  </conditionalFormatting>
  <conditionalFormatting sqref="Q31:Q45">
    <cfRule type="cellIs" dxfId="40" priority="214" operator="equal">
      <formula>0</formula>
    </cfRule>
  </conditionalFormatting>
  <conditionalFormatting sqref="Q53:Q67">
    <cfRule type="cellIs" dxfId="39" priority="209" operator="equal">
      <formula>0</formula>
    </cfRule>
  </conditionalFormatting>
  <conditionalFormatting sqref="Q75:Q89">
    <cfRule type="cellIs" dxfId="38" priority="203" operator="equal">
      <formula>0</formula>
    </cfRule>
  </conditionalFormatting>
  <conditionalFormatting sqref="Q97:Q111">
    <cfRule type="cellIs" dxfId="37" priority="197" operator="equal">
      <formula>0</formula>
    </cfRule>
  </conditionalFormatting>
  <conditionalFormatting sqref="Q119:Q133">
    <cfRule type="cellIs" dxfId="36" priority="191" operator="equal">
      <formula>0</formula>
    </cfRule>
  </conditionalFormatting>
  <conditionalFormatting sqref="Q141:Q155">
    <cfRule type="cellIs" dxfId="35" priority="185" operator="equal">
      <formula>0</formula>
    </cfRule>
  </conditionalFormatting>
  <conditionalFormatting sqref="Q163:Q177">
    <cfRule type="cellIs" dxfId="34" priority="52" operator="equal">
      <formula>0</formula>
    </cfRule>
  </conditionalFormatting>
  <conditionalFormatting sqref="Q185:Q199">
    <cfRule type="cellIs" dxfId="33" priority="44" operator="equal">
      <formula>0</formula>
    </cfRule>
  </conditionalFormatting>
  <conditionalFormatting sqref="Q207:Q221">
    <cfRule type="cellIs" dxfId="32" priority="36" operator="equal">
      <formula>0</formula>
    </cfRule>
  </conditionalFormatting>
  <conditionalFormatting sqref="S9:S23">
    <cfRule type="cellIs" dxfId="31" priority="15" operator="equal">
      <formula>0</formula>
    </cfRule>
  </conditionalFormatting>
  <conditionalFormatting sqref="S31:S45">
    <cfRule type="cellIs" dxfId="30" priority="16" operator="equal">
      <formula>0</formula>
    </cfRule>
  </conditionalFormatting>
  <conditionalFormatting sqref="S53:S67">
    <cfRule type="cellIs" dxfId="29" priority="17" operator="equal">
      <formula>0</formula>
    </cfRule>
  </conditionalFormatting>
  <conditionalFormatting sqref="S75:S89">
    <cfRule type="cellIs" dxfId="28" priority="18" operator="equal">
      <formula>0</formula>
    </cfRule>
  </conditionalFormatting>
  <conditionalFormatting sqref="S97:S111">
    <cfRule type="cellIs" dxfId="27" priority="19" operator="equal">
      <formula>0</formula>
    </cfRule>
  </conditionalFormatting>
  <conditionalFormatting sqref="S119:S133">
    <cfRule type="cellIs" dxfId="26" priority="20" operator="equal">
      <formula>0</formula>
    </cfRule>
  </conditionalFormatting>
  <conditionalFormatting sqref="S141:S155">
    <cfRule type="cellIs" dxfId="25" priority="14" operator="equal">
      <formula>0</formula>
    </cfRule>
  </conditionalFormatting>
  <conditionalFormatting sqref="S163:S177">
    <cfRule type="cellIs" dxfId="24" priority="13" operator="equal">
      <formula>0</formula>
    </cfRule>
  </conditionalFormatting>
  <conditionalFormatting sqref="S185:S199">
    <cfRule type="cellIs" dxfId="23" priority="12" operator="equal">
      <formula>0</formula>
    </cfRule>
  </conditionalFormatting>
  <conditionalFormatting sqref="S207:S221">
    <cfRule type="cellIs" dxfId="22" priority="11" operator="equal">
      <formula>0</formula>
    </cfRule>
  </conditionalFormatting>
  <conditionalFormatting sqref="X9:AV12">
    <cfRule type="cellIs" dxfId="21" priority="65" operator="equal">
      <formula>0</formula>
    </cfRule>
  </conditionalFormatting>
  <conditionalFormatting sqref="X31:AV34">
    <cfRule type="cellIs" dxfId="20" priority="29" operator="equal">
      <formula>0</formula>
    </cfRule>
  </conditionalFormatting>
  <conditionalFormatting sqref="X53:AV56">
    <cfRule type="cellIs" dxfId="19" priority="28" operator="equal">
      <formula>0</formula>
    </cfRule>
  </conditionalFormatting>
  <conditionalFormatting sqref="X75:AV78">
    <cfRule type="cellIs" dxfId="18" priority="27" operator="equal">
      <formula>0</formula>
    </cfRule>
  </conditionalFormatting>
  <conditionalFormatting sqref="X97:AV100">
    <cfRule type="cellIs" dxfId="17" priority="26" operator="equal">
      <formula>0</formula>
    </cfRule>
  </conditionalFormatting>
  <conditionalFormatting sqref="X119:AV122">
    <cfRule type="cellIs" dxfId="16" priority="25" operator="equal">
      <formula>0</formula>
    </cfRule>
  </conditionalFormatting>
  <conditionalFormatting sqref="X141:AV144">
    <cfRule type="cellIs" dxfId="15" priority="24" operator="equal">
      <formula>0</formula>
    </cfRule>
  </conditionalFormatting>
  <conditionalFormatting sqref="X163:AV166">
    <cfRule type="cellIs" dxfId="14" priority="23" operator="equal">
      <formula>0</formula>
    </cfRule>
  </conditionalFormatting>
  <conditionalFormatting sqref="X185:AV188">
    <cfRule type="cellIs" dxfId="13" priority="22" operator="equal">
      <formula>0</formula>
    </cfRule>
  </conditionalFormatting>
  <conditionalFormatting sqref="X207:AV210">
    <cfRule type="cellIs" dxfId="12" priority="21" operator="equal">
      <formula>0</formula>
    </cfRule>
  </conditionalFormatting>
  <conditionalFormatting sqref="AP62">
    <cfRule type="cellIs" dxfId="11" priority="32" operator="equal">
      <formula>0</formula>
    </cfRule>
  </conditionalFormatting>
  <conditionalFormatting sqref="DB9:DY24">
    <cfRule type="cellIs" dxfId="10" priority="315" operator="equal">
      <formula>0</formula>
    </cfRule>
  </conditionalFormatting>
  <conditionalFormatting sqref="DB27:DY27 DB29:DY42">
    <cfRule type="cellIs" dxfId="9" priority="439" operator="equal">
      <formula>0</formula>
    </cfRule>
  </conditionalFormatting>
  <conditionalFormatting sqref="DB53:DY68">
    <cfRule type="cellIs" dxfId="8" priority="428" operator="equal">
      <formula>0</formula>
    </cfRule>
  </conditionalFormatting>
  <conditionalFormatting sqref="DB75:DY90">
    <cfRule type="cellIs" dxfId="7" priority="314" operator="equal">
      <formula>0</formula>
    </cfRule>
  </conditionalFormatting>
  <conditionalFormatting sqref="DB97:DY112">
    <cfRule type="cellIs" dxfId="6" priority="312" operator="equal">
      <formula>0</formula>
    </cfRule>
  </conditionalFormatting>
  <conditionalFormatting sqref="DB119:DY134">
    <cfRule type="cellIs" dxfId="5" priority="310" operator="equal">
      <formula>0</formula>
    </cfRule>
  </conditionalFormatting>
  <conditionalFormatting sqref="DB141:DY156">
    <cfRule type="cellIs" dxfId="4" priority="308" operator="equal">
      <formula>0</formula>
    </cfRule>
  </conditionalFormatting>
  <conditionalFormatting sqref="DB163:DY178">
    <cfRule type="cellIs" dxfId="3" priority="57" operator="equal">
      <formula>0</formula>
    </cfRule>
  </conditionalFormatting>
  <conditionalFormatting sqref="DB185:DY200">
    <cfRule type="cellIs" dxfId="2" priority="49" operator="equal">
      <formula>0</formula>
    </cfRule>
  </conditionalFormatting>
  <conditionalFormatting sqref="DB207:DY222">
    <cfRule type="cellIs" dxfId="1" priority="41" operator="equal">
      <formula>0</formula>
    </cfRule>
  </conditionalFormatting>
  <pageMargins left="0.25" right="0.25" top="0.75" bottom="0.75" header="0.3" footer="0.3"/>
  <pageSetup scale="49" fitToHeight="3" orientation="landscape" r:id="rId1"/>
  <headerFooter>
    <oddFooter>&amp;L&amp;Z&amp;F</oddFooter>
  </headerFooter>
  <rowBreaks count="1" manualBreakCount="1">
    <brk id="113" max="20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3">
    <tabColor rgb="FF92D050"/>
  </sheetPr>
  <dimension ref="A1:P56"/>
  <sheetViews>
    <sheetView zoomScale="145" zoomScaleNormal="145" workbookViewId="0">
      <selection activeCell="O26" sqref="O26"/>
    </sheetView>
  </sheetViews>
  <sheetFormatPr defaultColWidth="8.81640625" defaultRowHeight="16" x14ac:dyDescent="0.35"/>
  <cols>
    <col min="1" max="1" width="12.453125" style="6" bestFit="1" customWidth="1"/>
    <col min="2" max="2" width="11.1796875" style="6" bestFit="1" customWidth="1"/>
    <col min="3" max="3" width="28.453125" style="6" bestFit="1" customWidth="1"/>
    <col min="4" max="4" width="17" style="6" bestFit="1" customWidth="1"/>
    <col min="5" max="5" width="11.1796875" style="6" bestFit="1" customWidth="1"/>
    <col min="6" max="6" width="9.453125" style="6" bestFit="1" customWidth="1"/>
    <col min="7" max="8" width="12.54296875" style="6" bestFit="1" customWidth="1"/>
    <col min="9" max="9" width="9.453125" style="6" bestFit="1" customWidth="1"/>
    <col min="10" max="10" width="12.54296875" style="6" bestFit="1" customWidth="1"/>
    <col min="11" max="11" width="12.54296875" style="6" customWidth="1"/>
    <col min="12" max="14" width="9.453125" style="6" bestFit="1" customWidth="1"/>
    <col min="15" max="15" width="11.1796875" style="6" bestFit="1" customWidth="1"/>
    <col min="16" max="16" width="16.7265625" style="6" bestFit="1" customWidth="1"/>
    <col min="17" max="16384" width="8.81640625" style="6"/>
  </cols>
  <sheetData>
    <row r="1" spans="1:16" ht="20.5" x14ac:dyDescent="0.35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2">
        <f>'All Shopping Centers'!Q1</f>
        <v>46023</v>
      </c>
    </row>
    <row r="2" spans="1:16" x14ac:dyDescent="0.35">
      <c r="B2" s="18"/>
      <c r="C2" s="18"/>
      <c r="D2" s="18"/>
      <c r="E2" s="262"/>
      <c r="F2" s="262"/>
      <c r="G2" s="262"/>
      <c r="H2" s="262"/>
      <c r="I2" s="262"/>
      <c r="J2" s="262"/>
      <c r="K2" s="262"/>
      <c r="L2" s="262"/>
      <c r="M2" s="18"/>
      <c r="N2" s="18"/>
      <c r="O2" s="18"/>
    </row>
    <row r="3" spans="1:16" x14ac:dyDescent="0.35">
      <c r="E3" s="23"/>
      <c r="F3" s="23"/>
      <c r="G3" s="23"/>
      <c r="H3" s="23"/>
      <c r="I3" s="23"/>
      <c r="J3" s="419">
        <f>'7010'!B1</f>
        <v>7010</v>
      </c>
      <c r="K3" s="420"/>
      <c r="L3" s="23"/>
    </row>
    <row r="4" spans="1:16" x14ac:dyDescent="0.35">
      <c r="C4" s="15"/>
      <c r="D4" s="49" t="s">
        <v>473</v>
      </c>
      <c r="E4" s="358">
        <f>'1100'!B1</f>
        <v>1100</v>
      </c>
      <c r="F4" s="277">
        <f>'1500'!B1</f>
        <v>1500</v>
      </c>
      <c r="G4" s="358">
        <f>'2300'!B1</f>
        <v>2300</v>
      </c>
      <c r="H4" s="358">
        <f>'4500'!B1</f>
        <v>4500</v>
      </c>
      <c r="I4" s="278">
        <f>'5600'!B1</f>
        <v>5600</v>
      </c>
      <c r="J4" s="367" t="s">
        <v>539</v>
      </c>
      <c r="K4" s="368" t="s">
        <v>540</v>
      </c>
      <c r="L4" s="278">
        <f>'7200'!B1</f>
        <v>7200</v>
      </c>
      <c r="M4" s="278">
        <f>'7300'!B1</f>
        <v>7300</v>
      </c>
      <c r="N4" s="278">
        <f>'8200'!B1</f>
        <v>8200</v>
      </c>
      <c r="O4" s="278">
        <f>'9510'!B1</f>
        <v>9510</v>
      </c>
      <c r="P4" s="278" t="s">
        <v>459</v>
      </c>
    </row>
    <row r="5" spans="1:16" x14ac:dyDescent="0.35">
      <c r="B5" s="360" t="s">
        <v>101</v>
      </c>
      <c r="C5" s="264" t="s">
        <v>27</v>
      </c>
      <c r="D5" s="6">
        <f>SUM(E5:O5)</f>
        <v>109668.00000000001</v>
      </c>
      <c r="E5" s="6">
        <f>VLOOKUP(B5,'1100'!$A$26:$Q$71,17,FALSE)</f>
        <v>3062.1917941149718</v>
      </c>
      <c r="F5" s="6">
        <f>VLOOKUP(B5,'1500'!$A$26:$Q$71,17,FALSE)</f>
        <v>842.49997472935127</v>
      </c>
      <c r="G5" s="6">
        <f>VLOOKUP(B5,'2300'!$A$26:$Q$71,17,FALSE)</f>
        <v>22751.933528085803</v>
      </c>
      <c r="H5" s="6">
        <f>VLOOKUP(B5,'4500'!$A$26:$Q$71,17,FALSE)</f>
        <v>30599.377371650382</v>
      </c>
      <c r="I5" s="6">
        <f>VLOOKUP(B5,'5600'!$A$26:$Q$71,17,FALSE)</f>
        <v>489.98024846101754</v>
      </c>
      <c r="J5" s="369">
        <f>VLOOKUP(B5,'7010'!A26:Q74,17,FALSE)*0.86</f>
        <v>23264.727789020402</v>
      </c>
      <c r="K5" s="370">
        <f>VLOOKUP(B5,'7010'!A26:Q74,17,FALSE)*0.14</f>
        <v>3787.2812679800659</v>
      </c>
      <c r="L5" s="6">
        <f>VLOOKUP($B5,'7200'!$A$26:$Q$71,17,FALSE)</f>
        <v>5476.6193532735597</v>
      </c>
      <c r="M5" s="6">
        <f>VLOOKUP($B5,'7300'!$A$26:$Q$71,17,FALSE)</f>
        <v>8314.1444874607041</v>
      </c>
      <c r="N5" s="6">
        <f>VLOOKUP($B5,'8200'!$A$26:$Q$71,17,FALSE)</f>
        <v>3695.1753277603125</v>
      </c>
      <c r="O5" s="6">
        <f>VLOOKUP($B5,'9510'!$A$26:$Q$71,17,FALSE)</f>
        <v>7384.0688574634341</v>
      </c>
    </row>
    <row r="6" spans="1:16" x14ac:dyDescent="0.35">
      <c r="B6" s="360" t="s">
        <v>102</v>
      </c>
      <c r="C6" s="264" t="s">
        <v>20</v>
      </c>
      <c r="D6" s="6">
        <f>SUM(E6:O6)</f>
        <v>38643.400000000009</v>
      </c>
      <c r="E6" s="6">
        <f>VLOOKUP(B6,'1100'!$A$26:$Q$71,17,FALSE)</f>
        <v>6007.9900000000007</v>
      </c>
      <c r="F6" s="6">
        <f>VLOOKUP(B6,'1500'!$A$26:$Q$71,17,FALSE)</f>
        <v>0</v>
      </c>
      <c r="G6" s="6">
        <f>VLOOKUP(B6,'2300'!$A$26:$Q$71,17,FALSE)</f>
        <v>8078.2900000000009</v>
      </c>
      <c r="H6" s="6">
        <f>VLOOKUP(B6,'4500'!$A$26:$Q$71,17,FALSE)</f>
        <v>8357.42</v>
      </c>
      <c r="I6" s="6">
        <f>VLOOKUP(B6,'5600'!$A$26:$Q$71,17,FALSE)</f>
        <v>0</v>
      </c>
      <c r="J6" s="51">
        <f>VLOOKUP(B6,'7010'!A27:Q75,17,FALSE)*0.86</f>
        <v>7653.8280000000004</v>
      </c>
      <c r="K6" s="371">
        <f>VLOOKUP(B6,'7010'!A27:Q75,17,FALSE)*0.14+'7010'!Q31</f>
        <v>6145.9719999999998</v>
      </c>
      <c r="L6" s="6">
        <f>VLOOKUP($B6,'7200'!$A$26:$Q$71,17,FALSE)</f>
        <v>0</v>
      </c>
      <c r="M6" s="6">
        <f>VLOOKUP($B6,'7300'!$A$26:$Q$71,17,FALSE)</f>
        <v>0</v>
      </c>
      <c r="N6" s="6">
        <f>VLOOKUP($B6,'8200'!$A$26:$Q$71,17,FALSE)</f>
        <v>0</v>
      </c>
      <c r="O6" s="6">
        <f>VLOOKUP($B6,'9510'!$A$26:$Q$71,17,FALSE)</f>
        <v>2399.9</v>
      </c>
    </row>
    <row r="7" spans="1:16" x14ac:dyDescent="0.35">
      <c r="A7" s="23"/>
      <c r="B7" s="360" t="s">
        <v>103</v>
      </c>
      <c r="C7" s="264" t="s">
        <v>91</v>
      </c>
      <c r="D7" s="6">
        <f t="shared" ref="D7:D27" si="0">SUM(E7:O7)</f>
        <v>6355.1</v>
      </c>
      <c r="E7" s="6">
        <f>VLOOKUP(B7,'1100'!$A$26:$Q$71,17,FALSE)</f>
        <v>0</v>
      </c>
      <c r="F7" s="6">
        <f>VLOOKUP(B7,'1500'!$A$26:$Q$71,17,FALSE)</f>
        <v>0</v>
      </c>
      <c r="G7" s="6">
        <f>VLOOKUP(B7,'2300'!$A$26:$Q$71,17,FALSE)</f>
        <v>0</v>
      </c>
      <c r="H7" s="6">
        <f>VLOOKUP(B7,'4500'!$A$26:$Q$71,17,FALSE)</f>
        <v>2224.8000000000006</v>
      </c>
      <c r="I7" s="6">
        <f>VLOOKUP(B7,'5600'!$A$26:$Q$71,17,FALSE)</f>
        <v>0</v>
      </c>
      <c r="J7" s="51">
        <v>0</v>
      </c>
      <c r="K7" s="371">
        <f>VLOOKUP(B7,'7010'!A26:Q74,17,FALSE)</f>
        <v>4130.3</v>
      </c>
      <c r="L7" s="6">
        <f>VLOOKUP($B7,'7200'!$A$26:$Q$71,17,FALSE)</f>
        <v>0</v>
      </c>
      <c r="M7" s="6">
        <f>VLOOKUP($B7,'7300'!$A$26:$Q$71,17,FALSE)</f>
        <v>0</v>
      </c>
      <c r="N7" s="6">
        <f>VLOOKUP($B7,'8200'!$A$26:$Q$71,17,FALSE)</f>
        <v>0</v>
      </c>
      <c r="O7" s="6">
        <f>VLOOKUP($B7,'9510'!$A$26:$Q$71,17,FALSE)</f>
        <v>0</v>
      </c>
    </row>
    <row r="8" spans="1:16" x14ac:dyDescent="0.35">
      <c r="B8" s="360" t="s">
        <v>104</v>
      </c>
      <c r="C8" s="264" t="s">
        <v>32</v>
      </c>
      <c r="D8" s="6">
        <f t="shared" si="0"/>
        <v>184046.8</v>
      </c>
      <c r="E8" s="6">
        <f>VLOOKUP(B8,'1100'!$A$26:$Q$71,17,FALSE)</f>
        <v>6250</v>
      </c>
      <c r="F8" s="6">
        <f>VLOOKUP(B8,'1500'!$A$26:$Q$71,17,FALSE)</f>
        <v>0</v>
      </c>
      <c r="G8" s="6">
        <f>VLOOKUP(B8,'2300'!$A$26:$Q$71,17,FALSE)</f>
        <v>35350</v>
      </c>
      <c r="H8" s="6">
        <f>VLOOKUP(B8,'4500'!$A$26:$Q$71,17,FALSE)</f>
        <v>23900</v>
      </c>
      <c r="I8" s="6">
        <f>VLOOKUP(B8,'5600'!$A$26:$Q$71,17,FALSE)</f>
        <v>0</v>
      </c>
      <c r="J8" s="51">
        <f>VLOOKUP(B8,'7010'!A27:Q75,17,FALSE)-K8</f>
        <v>75406.299999999988</v>
      </c>
      <c r="K8" s="371">
        <f>'7010'!Q37</f>
        <v>7570.5</v>
      </c>
      <c r="L8" s="6">
        <f>VLOOKUP($B8,'7200'!$A$26:$Q$71,17,FALSE)</f>
        <v>0</v>
      </c>
      <c r="M8" s="6">
        <f>VLOOKUP($B8,'7300'!$A$26:$Q$71,17,FALSE)</f>
        <v>0</v>
      </c>
      <c r="N8" s="6">
        <f>VLOOKUP($B8,'8200'!$A$26:$Q$71,17,FALSE)</f>
        <v>0</v>
      </c>
      <c r="O8" s="6">
        <f>VLOOKUP($B8,'9510'!$A$26:$Q$71,17,FALSE)</f>
        <v>35570</v>
      </c>
    </row>
    <row r="9" spans="1:16" x14ac:dyDescent="0.35">
      <c r="B9" s="360" t="s">
        <v>136</v>
      </c>
      <c r="C9" s="264" t="s">
        <v>34</v>
      </c>
      <c r="D9" s="6">
        <f t="shared" ref="D9" si="1">SUM(E9:O9)</f>
        <v>140940.20000000001</v>
      </c>
      <c r="E9" s="6">
        <f>VLOOKUP(B9,'1100'!$A$26:$Q$71,17,FALSE)</f>
        <v>3600</v>
      </c>
      <c r="F9" s="6">
        <f>VLOOKUP(B9,'1500'!$A$26:$Q$71,17,FALSE)</f>
        <v>0</v>
      </c>
      <c r="G9" s="6">
        <f>VLOOKUP(B9,'2300'!$A$26:$Q$71,17,FALSE)</f>
        <v>34608</v>
      </c>
      <c r="H9" s="6">
        <f>VLOOKUP(B9,'4500'!$A$26:$Q$71,17,FALSE)</f>
        <v>47215.200000000004</v>
      </c>
      <c r="I9" s="6">
        <f>VLOOKUP(B9,'5600'!$A$26:$Q$71,17,FALSE)</f>
        <v>0</v>
      </c>
      <c r="J9" s="51">
        <f>VLOOKUP(B9,'7010'!A28:Q76,17,FALSE)*0.86</f>
        <v>33483.24</v>
      </c>
      <c r="K9" s="371">
        <f>VLOOKUP(B9,'7010'!A28:Q76,17,FALSE)*0.14</f>
        <v>5450.76</v>
      </c>
      <c r="L9" s="6">
        <f>VLOOKUP($B9,'7200'!$A$26:$Q$71,17,FALSE)</f>
        <v>0</v>
      </c>
      <c r="M9" s="6">
        <f>VLOOKUP($B9,'7300'!$A$26:$Q$71,17,FALSE)</f>
        <v>0</v>
      </c>
      <c r="N9" s="6">
        <f>VLOOKUP($B9,'8200'!$A$26:$Q$71,17,FALSE)</f>
        <v>0</v>
      </c>
      <c r="O9" s="6">
        <f>VLOOKUP($B9,'9510'!$A$26:$Q$71,17,FALSE)</f>
        <v>16583</v>
      </c>
    </row>
    <row r="10" spans="1:16" x14ac:dyDescent="0.35">
      <c r="B10" s="360" t="s">
        <v>108</v>
      </c>
      <c r="C10" s="264" t="s">
        <v>44</v>
      </c>
      <c r="D10" s="6">
        <f>SUM(E10:O10)</f>
        <v>315426.40000000002</v>
      </c>
      <c r="E10" s="6">
        <f>VLOOKUP(B10,'1100'!$A$26:$Q$71,17,FALSE)</f>
        <v>16068</v>
      </c>
      <c r="F10" s="6">
        <f>VLOOKUP(B10,'1500'!$A$26:$Q$71,17,FALSE)</f>
        <v>0</v>
      </c>
      <c r="G10" s="6">
        <f>VLOOKUP(B10,'2300'!$A$26:$Q$71,17,FALSE)</f>
        <v>14400</v>
      </c>
      <c r="H10" s="6">
        <f>VLOOKUP(B10,'4500'!$A$26:$Q$71,17,FALSE)</f>
        <v>128750</v>
      </c>
      <c r="I10" s="6">
        <f>VLOOKUP(B10,'5600'!$A$26:$Q$71,17,FALSE)</f>
        <v>0</v>
      </c>
      <c r="J10" s="51">
        <f>VLOOKUP(B10,'7010'!A33:Q79,17,FALSE)*0.86</f>
        <v>130548</v>
      </c>
      <c r="K10" s="371">
        <f>VLOOKUP(B10,'7010'!A33:Q79,17,FALSE)*0.14</f>
        <v>21252.000000000004</v>
      </c>
      <c r="L10" s="6">
        <f>VLOOKUP($B10,'7200'!$A$26:$Q$71,17,FALSE)</f>
        <v>0</v>
      </c>
      <c r="M10" s="6">
        <f>VLOOKUP($B10,'7300'!$A$26:$Q$71,17,FALSE)</f>
        <v>0</v>
      </c>
      <c r="N10" s="6">
        <f>VLOOKUP($B10,'8200'!$A$26:$Q$71,17,FALSE)</f>
        <v>0</v>
      </c>
      <c r="O10" s="6">
        <f>VLOOKUP($B10,'9510'!$A$26:$Q$71,17,FALSE)</f>
        <v>4408.3999999999996</v>
      </c>
    </row>
    <row r="11" spans="1:16" x14ac:dyDescent="0.35">
      <c r="B11" s="360" t="s">
        <v>110</v>
      </c>
      <c r="C11" s="264" t="s">
        <v>47</v>
      </c>
      <c r="D11" s="6">
        <f t="shared" si="0"/>
        <v>58282.799999999996</v>
      </c>
      <c r="E11" s="6">
        <f>VLOOKUP(B11,'1100'!$A$26:$Q$71,17,FALSE)</f>
        <v>0</v>
      </c>
      <c r="F11" s="6">
        <f>VLOOKUP(B11,'1500'!$A$26:$Q$71,17,FALSE)</f>
        <v>0</v>
      </c>
      <c r="G11" s="6">
        <f>VLOOKUP(B11,'2300'!$A$26:$Q$71,17,FALSE)</f>
        <v>1236</v>
      </c>
      <c r="H11" s="6">
        <f>VLOOKUP(B11,'4500'!$A$26:$Q$71,17,FALSE)</f>
        <v>20832</v>
      </c>
      <c r="I11" s="6">
        <f>VLOOKUP(B11,'5600'!$A$26:$Q$71,17,FALSE)</f>
        <v>0</v>
      </c>
      <c r="J11" s="51">
        <v>0</v>
      </c>
      <c r="K11" s="371">
        <f>VLOOKUP(B11,'7010'!A29:Q77,17,FALSE)</f>
        <v>9022.7999999999975</v>
      </c>
      <c r="L11" s="6">
        <f>VLOOKUP($B11,'7200'!$A$26:$Q$71,17,FALSE)</f>
        <v>0</v>
      </c>
      <c r="M11" s="6">
        <f>VLOOKUP($B11,'7300'!$A$26:$Q$71,17,FALSE)</f>
        <v>0</v>
      </c>
      <c r="N11" s="6">
        <f>VLOOKUP($B11,'8200'!$A$26:$Q$71,17,FALSE)</f>
        <v>0</v>
      </c>
      <c r="O11" s="6">
        <f>VLOOKUP($B11,'9510'!$A$26:$Q$71,17,FALSE)</f>
        <v>27192</v>
      </c>
    </row>
    <row r="12" spans="1:16" x14ac:dyDescent="0.35">
      <c r="B12" s="360" t="s">
        <v>105</v>
      </c>
      <c r="C12" s="264" t="s">
        <v>38</v>
      </c>
      <c r="D12" s="6">
        <f t="shared" si="0"/>
        <v>157155.18</v>
      </c>
      <c r="E12" s="6">
        <f>VLOOKUP(B12,'1100'!$A$26:$Q$71,17,FALSE)</f>
        <v>5000</v>
      </c>
      <c r="F12" s="6">
        <f>VLOOKUP(B12,'1500'!$A$26:$Q$71,17,FALSE)</f>
        <v>0</v>
      </c>
      <c r="G12" s="6">
        <f>VLOOKUP(B12,'2300'!$A$26:$Q$71,17,FALSE)</f>
        <v>31600.400000000001</v>
      </c>
      <c r="H12" s="6">
        <f>VLOOKUP(B12,'4500'!$A$26:$Q$71,17,FALSE)</f>
        <v>37974.53</v>
      </c>
      <c r="I12" s="6">
        <f>VLOOKUP(B12,'5600'!$A$26:$Q$71,17,FALSE)</f>
        <v>0</v>
      </c>
      <c r="J12" s="51">
        <f>VLOOKUP(B12,'7010'!A32:Q78,17,FALSE)*0.86</f>
        <v>52634.235999999997</v>
      </c>
      <c r="K12" s="371">
        <f>VLOOKUP(B12,'7010'!A32:Q78,17,FALSE)*0.14</f>
        <v>8568.3640000000014</v>
      </c>
      <c r="L12" s="6">
        <f>VLOOKUP($B12,'7200'!$A$26:$Q$71,17,FALSE)</f>
        <v>0</v>
      </c>
      <c r="M12" s="6">
        <f>VLOOKUP($B12,'7300'!$A$26:$Q$71,17,FALSE)</f>
        <v>0</v>
      </c>
      <c r="N12" s="6">
        <f>VLOOKUP($B12,'8200'!$A$26:$Q$71,17,FALSE)</f>
        <v>0</v>
      </c>
      <c r="O12" s="6">
        <f>VLOOKUP($B12,'9510'!$A$26:$Q$71,17,FALSE)</f>
        <v>21377.65</v>
      </c>
    </row>
    <row r="13" spans="1:16" x14ac:dyDescent="0.35">
      <c r="B13" s="360" t="s">
        <v>106</v>
      </c>
      <c r="C13" s="264" t="s">
        <v>39</v>
      </c>
      <c r="D13" s="6">
        <f t="shared" si="0"/>
        <v>151410</v>
      </c>
      <c r="E13" s="6">
        <f>VLOOKUP(B13,'1100'!$A$26:$Q$71,17,FALSE)</f>
        <v>11330</v>
      </c>
      <c r="F13" s="6">
        <f>VLOOKUP(B13,'1500'!$A$26:$Q$71,17,FALSE)</f>
        <v>0</v>
      </c>
      <c r="G13" s="6">
        <f>VLOOKUP(B13,'2300'!$A$26:$Q$71,17,FALSE)</f>
        <v>44290</v>
      </c>
      <c r="H13" s="6">
        <f>VLOOKUP(B13,'4500'!$A$26:$Q$71,17,FALSE)</f>
        <v>32445</v>
      </c>
      <c r="I13" s="6">
        <f>VLOOKUP(B13,'5600'!$A$26:$Q$71,17,FALSE)</f>
        <v>0</v>
      </c>
      <c r="J13" s="51">
        <f>VLOOKUP(B13,'7010'!A34:Q80,17,FALSE)*0.86</f>
        <v>35874.9</v>
      </c>
      <c r="K13" s="371">
        <f>VLOOKUP(B13,'7010'!A34:Q80,17,FALSE)*0.14</f>
        <v>5840.1</v>
      </c>
      <c r="L13" s="6">
        <f>VLOOKUP($B13,'7200'!$A$26:$Q$71,17,FALSE)</f>
        <v>0</v>
      </c>
      <c r="M13" s="6">
        <f>VLOOKUP($B13,'7300'!$A$26:$Q$71,17,FALSE)</f>
        <v>0</v>
      </c>
      <c r="N13" s="6">
        <f>VLOOKUP($B13,'8200'!$A$26:$Q$71,17,FALSE)</f>
        <v>0</v>
      </c>
      <c r="O13" s="6">
        <f>VLOOKUP($B13,'9510'!$A$26:$Q$71,17,FALSE)</f>
        <v>21630</v>
      </c>
    </row>
    <row r="14" spans="1:16" x14ac:dyDescent="0.35">
      <c r="B14" s="360" t="s">
        <v>107</v>
      </c>
      <c r="C14" s="264" t="s">
        <v>43</v>
      </c>
      <c r="D14" s="6">
        <f t="shared" si="0"/>
        <v>95546.599999999991</v>
      </c>
      <c r="E14" s="6">
        <f>VLOOKUP(B14,'1100'!$A$26:$Q$71,17,FALSE)</f>
        <v>4353</v>
      </c>
      <c r="F14" s="6">
        <f>VLOOKUP(B14,'1500'!$A$26:$Q$71,17,FALSE)</f>
        <v>0</v>
      </c>
      <c r="G14" s="6">
        <f>VLOOKUP(B14,'2300'!$A$26:$Q$71,17,FALSE)</f>
        <v>33338.5</v>
      </c>
      <c r="H14" s="6">
        <f>VLOOKUP(B14,'4500'!$A$26:$Q$71,17,FALSE)</f>
        <v>20723.600000000002</v>
      </c>
      <c r="I14" s="6">
        <f>VLOOKUP(B14,'5600'!$A$26:$Q$71,17,FALSE)</f>
        <v>0</v>
      </c>
      <c r="J14" s="51">
        <f>VLOOKUP(B14,'7010'!A35:Q81,17,FALSE)*0.86</f>
        <v>19088.989999999998</v>
      </c>
      <c r="K14" s="371">
        <f>VLOOKUP(B14,'7010'!A35:Q81,17,FALSE)*0.14</f>
        <v>3107.51</v>
      </c>
      <c r="L14" s="6">
        <f>VLOOKUP($B14,'7200'!$A$26:$Q$71,17,FALSE)</f>
        <v>0</v>
      </c>
      <c r="M14" s="6">
        <f>VLOOKUP($B14,'7300'!$A$26:$Q$71,17,FALSE)</f>
        <v>0</v>
      </c>
      <c r="N14" s="6">
        <f>VLOOKUP($B14,'8200'!$A$26:$Q$71,17,FALSE)</f>
        <v>0</v>
      </c>
      <c r="O14" s="6">
        <f>VLOOKUP($B14,'9510'!$A$26:$Q$71,17,FALSE)</f>
        <v>14935</v>
      </c>
    </row>
    <row r="15" spans="1:16" x14ac:dyDescent="0.35">
      <c r="B15" s="360" t="s">
        <v>112</v>
      </c>
      <c r="C15" s="264" t="s">
        <v>48</v>
      </c>
      <c r="D15" s="6">
        <f t="shared" si="0"/>
        <v>190003.24000000002</v>
      </c>
      <c r="E15" s="6">
        <f>VLOOKUP($C15,'1100'!$D$26:$Q$71,14,FALSE)</f>
        <v>6742.4</v>
      </c>
      <c r="F15" s="6">
        <f>VLOOKUP($C15,'1500'!$D$26:$Q$71,14,FALSE)</f>
        <v>626.07999999999993</v>
      </c>
      <c r="G15" s="6">
        <f>VLOOKUP($C15,'2300'!$D$26:$Q$71,14,FALSE)</f>
        <v>39479.160000000003</v>
      </c>
      <c r="H15" s="6">
        <f>VLOOKUP($C15,'4500'!$D$26:$Q$71,14,FALSE)</f>
        <v>67496.240000000005</v>
      </c>
      <c r="I15" s="6">
        <f>VLOOKUP($C15,'5600'!$D$26:$Q$71,14,FALSE)</f>
        <v>361.20000000000005</v>
      </c>
      <c r="J15" s="51">
        <f>VLOOKUP($C15,'7010'!$D$26:$Q$73,14,FALSE)*0.86</f>
        <v>37006.625600000007</v>
      </c>
      <c r="K15" s="371">
        <f>VLOOKUP($C15,'7010'!$D$26:$Q$73,14,FALSE)*0.14</f>
        <v>6024.3344000000016</v>
      </c>
      <c r="L15" s="6">
        <f>VLOOKUP($C15,'7200'!$D$26:$Q$71,14,FALSE)</f>
        <v>5056.7999999999993</v>
      </c>
      <c r="M15" s="6">
        <f>VLOOKUP($C15,'7300'!$D$26:$Q$71,14,FALSE)</f>
        <v>14122.919999999998</v>
      </c>
      <c r="N15" s="6">
        <f>VLOOKUP($C15,'8200'!$D$26:$Q$71,14,FALSE)</f>
        <v>5815.32</v>
      </c>
      <c r="O15" s="6">
        <f>VLOOKUP($C15,'9510'!$D$26:$Q$71,14,FALSE)</f>
        <v>7272.16</v>
      </c>
    </row>
    <row r="16" spans="1:16" ht="16.5" thickBot="1" x14ac:dyDescent="0.4">
      <c r="B16" s="360" t="s">
        <v>113</v>
      </c>
      <c r="C16" s="359" t="s">
        <v>257</v>
      </c>
      <c r="D16" s="6">
        <f t="shared" si="0"/>
        <v>25956</v>
      </c>
      <c r="E16" s="6">
        <f>VLOOKUP(B16,'1100'!$A$26:$Q$71,17,FALSE)</f>
        <v>0</v>
      </c>
      <c r="F16" s="6">
        <f>VLOOKUP(B16,'1500'!$A$26:$Q$71,17,FALSE)</f>
        <v>0</v>
      </c>
      <c r="G16" s="6">
        <f>VLOOKUP(B16,'2300'!$A$26:$Q$71,17,FALSE)</f>
        <v>0</v>
      </c>
      <c r="H16" s="6">
        <f>VLOOKUP(B16,'4500'!$A$26:$Q$71,17,FALSE)</f>
        <v>0</v>
      </c>
      <c r="I16" s="6">
        <f>VLOOKUP(B16,'5600'!$A$26:$Q$71,17,FALSE)</f>
        <v>0</v>
      </c>
      <c r="J16" s="51">
        <v>0</v>
      </c>
      <c r="K16" s="371">
        <f>VLOOKUP(B16,'7010'!A40:Q85,17,FALSE)</f>
        <v>25956</v>
      </c>
      <c r="L16" s="6">
        <f>VLOOKUP(B16,'7200'!$A$26:$Q$71,17,FALSE)</f>
        <v>0</v>
      </c>
      <c r="M16" s="6">
        <f>VLOOKUP($B16,'7200'!$A$26:$Q$71,17,FALSE)</f>
        <v>0</v>
      </c>
      <c r="N16" s="6">
        <f>VLOOKUP($B16,'7200'!$A$26:$Q$71,17,FALSE)</f>
        <v>0</v>
      </c>
      <c r="O16" s="6">
        <f>VLOOKUP($B16,'7200'!$A$26:$Q$71,17,FALSE)</f>
        <v>0</v>
      </c>
    </row>
    <row r="17" spans="1:16" ht="16.5" thickBot="1" x14ac:dyDescent="0.4">
      <c r="B17" s="361"/>
      <c r="C17" s="280" t="s">
        <v>264</v>
      </c>
      <c r="D17" s="279">
        <f>SUM(E17:O17)</f>
        <v>1473433.7199999997</v>
      </c>
      <c r="E17" s="279">
        <f t="shared" ref="E17:P17" si="2">SUM(E5:E16)</f>
        <v>62413.581794114973</v>
      </c>
      <c r="F17" s="279">
        <f t="shared" si="2"/>
        <v>1468.5799747293513</v>
      </c>
      <c r="G17" s="279">
        <f t="shared" si="2"/>
        <v>265132.2835280858</v>
      </c>
      <c r="H17" s="279">
        <f t="shared" si="2"/>
        <v>420518.16737165034</v>
      </c>
      <c r="I17" s="279">
        <f t="shared" si="2"/>
        <v>851.18024846101753</v>
      </c>
      <c r="J17" s="279">
        <f t="shared" si="2"/>
        <v>414960.84738902043</v>
      </c>
      <c r="K17" s="279">
        <f t="shared" si="2"/>
        <v>106855.92166798009</v>
      </c>
      <c r="L17" s="279">
        <f t="shared" si="2"/>
        <v>10533.419353273559</v>
      </c>
      <c r="M17" s="279">
        <f t="shared" si="2"/>
        <v>22437.064487460702</v>
      </c>
      <c r="N17" s="279">
        <f t="shared" si="2"/>
        <v>9510.4953277603126</v>
      </c>
      <c r="O17" s="279">
        <f t="shared" si="2"/>
        <v>158752.17885746344</v>
      </c>
      <c r="P17" s="279">
        <f t="shared" si="2"/>
        <v>0</v>
      </c>
    </row>
    <row r="18" spans="1:16" x14ac:dyDescent="0.35">
      <c r="B18" s="361"/>
      <c r="C18" s="266"/>
      <c r="E18" s="31"/>
    </row>
    <row r="19" spans="1:16" x14ac:dyDescent="0.35">
      <c r="B19" s="360" t="s">
        <v>112</v>
      </c>
      <c r="C19" s="263" t="s">
        <v>89</v>
      </c>
      <c r="D19" s="45"/>
      <c r="E19" s="45">
        <f>VLOOKUP($C19,'1100'!$D$26:$Q$71,14,FALSE)</f>
        <v>1119.7199999999998</v>
      </c>
      <c r="F19" s="45">
        <f>VLOOKUP($C19,'1500'!$D$26:$Q$71,14,FALSE)</f>
        <v>337.12</v>
      </c>
      <c r="G19" s="45">
        <f>VLOOKUP($C19,'2300'!$D$26:$Q$71,14,FALSE)</f>
        <v>9487.52</v>
      </c>
      <c r="H19" s="45">
        <f>VLOOKUP($C19,'4500'!$D$26:$Q$71,14,FALSE)</f>
        <v>11931.64</v>
      </c>
      <c r="I19" s="45">
        <f>VLOOKUP($C19,'5600'!$D$26:$Q$71,14,FALSE)</f>
        <v>168.56</v>
      </c>
      <c r="J19" s="45">
        <f>VLOOKUP($C19,'7010'!$D$26:$Q$73,14,FALSE)*0.86</f>
        <v>8055.7231999999995</v>
      </c>
      <c r="K19" s="45">
        <f>VLOOKUP($C19,'7010'!$D$26:$Q$73,14,FALSE)*0.14</f>
        <v>1311.3968</v>
      </c>
      <c r="L19" s="45">
        <f>VLOOKUP($C19,'7200'!$D$26:$Q$71,14,FALSE)</f>
        <v>1806</v>
      </c>
      <c r="M19" s="45">
        <f>VLOOKUP($C19,'7300'!$D$26:$Q$71,14,FALSE)</f>
        <v>2865.5200000000004</v>
      </c>
      <c r="N19" s="45">
        <f>VLOOKUP($C19,'8200'!$D$26:$Q$71,14,FALSE)</f>
        <v>1179.92</v>
      </c>
      <c r="O19" s="45">
        <f>VLOOKUP($C19,'9510'!$D$26:$Q$71,14,FALSE)</f>
        <v>30328.760000000002</v>
      </c>
      <c r="P19" s="362"/>
    </row>
    <row r="20" spans="1:16" x14ac:dyDescent="0.35">
      <c r="B20" s="360" t="s">
        <v>111</v>
      </c>
      <c r="C20" s="265" t="s">
        <v>22</v>
      </c>
      <c r="D20" s="15"/>
      <c r="E20" s="15">
        <f>VLOOKUP($B20,'1100'!$A$26:$Q$71,17,FALSE)</f>
        <v>16692.609999999997</v>
      </c>
      <c r="F20" s="15">
        <f>VLOOKUP($B20,'1500'!$A$26:$Q$71,17,FALSE)</f>
        <v>8659.4160000000029</v>
      </c>
      <c r="G20" s="15">
        <f>VLOOKUP($B20,'2300'!$A$26:$Q$71,17,FALSE)</f>
        <v>162566.76</v>
      </c>
      <c r="H20" s="15">
        <f>VLOOKUP($B20,'4500'!$A$26:$Q$71,17,FALSE)</f>
        <v>189958.79999999996</v>
      </c>
      <c r="I20" s="15">
        <f>VLOOKUP($B20,'5600'!$A$26:$Q$71,17,FALSE)</f>
        <v>3095.5310999999997</v>
      </c>
      <c r="J20" s="15">
        <f>VLOOKUP($B20,'7010'!$A$26:$Q$73,17,FALSE)*0.86</f>
        <v>135936.25259999995</v>
      </c>
      <c r="K20" s="15">
        <f>VLOOKUP($B20,'7010'!$A$26:$Q$73,17,FALSE)*0.14</f>
        <v>22129.157399999993</v>
      </c>
      <c r="L20" s="15">
        <f>VLOOKUP($B20,'7200'!$A$26:$Q$71,17,FALSE)</f>
        <v>37723.101100000014</v>
      </c>
      <c r="M20" s="15">
        <f>VLOOKUP($B20,'7300'!$A$26:$Q$71,17,FALSE)</f>
        <v>45737.819500000005</v>
      </c>
      <c r="N20" s="15">
        <f>VLOOKUP($B20,'8200'!$A$26:$Q$71,17,FALSE)</f>
        <v>23884.752400000008</v>
      </c>
      <c r="O20" s="15">
        <f>VLOOKUP($B20,'9510'!$A$26:$Q$71,17,FALSE)</f>
        <v>32702.499999999996</v>
      </c>
      <c r="P20" s="363"/>
    </row>
    <row r="21" spans="1:16" x14ac:dyDescent="0.35">
      <c r="B21" s="361"/>
      <c r="C21" s="266"/>
      <c r="E21" s="31"/>
    </row>
    <row r="22" spans="1:16" x14ac:dyDescent="0.35">
      <c r="B22" s="361"/>
      <c r="C22" s="266"/>
      <c r="E22" s="31"/>
    </row>
    <row r="23" spans="1:16" x14ac:dyDescent="0.35">
      <c r="B23" s="361"/>
      <c r="C23" s="261" t="s">
        <v>474</v>
      </c>
      <c r="D23" s="6">
        <f t="shared" si="0"/>
        <v>1090945</v>
      </c>
      <c r="E23" s="267">
        <v>30641</v>
      </c>
      <c r="F23" s="267">
        <v>0</v>
      </c>
      <c r="G23" s="267">
        <v>253413</v>
      </c>
      <c r="H23" s="267">
        <v>366102</v>
      </c>
      <c r="I23" s="267">
        <v>0</v>
      </c>
      <c r="J23" s="267">
        <v>324916</v>
      </c>
      <c r="K23" s="267">
        <v>42435</v>
      </c>
      <c r="L23" s="267">
        <v>0</v>
      </c>
      <c r="M23" s="267">
        <v>0</v>
      </c>
      <c r="N23" s="267">
        <v>0</v>
      </c>
      <c r="O23" s="267">
        <f>95995-22557</f>
        <v>73438</v>
      </c>
      <c r="P23" s="267">
        <f>22557</f>
        <v>22557</v>
      </c>
    </row>
    <row r="24" spans="1:16" x14ac:dyDescent="0.35">
      <c r="A24" s="23"/>
      <c r="B24" s="361"/>
      <c r="C24" s="261" t="s">
        <v>478</v>
      </c>
      <c r="D24" s="6">
        <f t="shared" si="0"/>
        <v>26467</v>
      </c>
      <c r="E24" s="267">
        <v>498</v>
      </c>
      <c r="F24" s="267">
        <v>0</v>
      </c>
      <c r="G24" s="267">
        <v>9488</v>
      </c>
      <c r="H24" s="267">
        <v>10365</v>
      </c>
      <c r="I24" s="267">
        <v>0</v>
      </c>
      <c r="J24" s="267">
        <v>5618</v>
      </c>
      <c r="K24" s="267">
        <v>498</v>
      </c>
      <c r="L24" s="267">
        <v>0</v>
      </c>
      <c r="M24" s="267">
        <v>0</v>
      </c>
      <c r="N24" s="267">
        <v>0</v>
      </c>
      <c r="O24" s="267">
        <v>0</v>
      </c>
      <c r="P24" s="267">
        <v>0</v>
      </c>
    </row>
    <row r="25" spans="1:16" x14ac:dyDescent="0.35">
      <c r="A25" s="23"/>
      <c r="C25" s="261" t="s">
        <v>475</v>
      </c>
      <c r="D25" s="6">
        <f t="shared" si="0"/>
        <v>433426</v>
      </c>
      <c r="E25" s="267">
        <v>7293</v>
      </c>
      <c r="F25" s="267">
        <v>0</v>
      </c>
      <c r="G25" s="267">
        <v>134306</v>
      </c>
      <c r="H25" s="267">
        <v>181490</v>
      </c>
      <c r="I25" s="267">
        <v>0</v>
      </c>
      <c r="J25" s="267">
        <v>87666</v>
      </c>
      <c r="K25" s="267">
        <v>8409</v>
      </c>
      <c r="L25" s="267">
        <v>0</v>
      </c>
      <c r="M25" s="267">
        <v>0</v>
      </c>
      <c r="N25" s="267">
        <v>0</v>
      </c>
      <c r="O25" s="267">
        <f>20538-6276</f>
        <v>14262</v>
      </c>
      <c r="P25" s="267">
        <v>6276</v>
      </c>
    </row>
    <row r="26" spans="1:16" x14ac:dyDescent="0.35">
      <c r="C26" s="261" t="s">
        <v>476</v>
      </c>
      <c r="D26" s="6">
        <f t="shared" si="0"/>
        <v>90900</v>
      </c>
      <c r="E26" s="78">
        <f>ROUND(+E23/12,-2)</f>
        <v>2600</v>
      </c>
      <c r="F26" s="78">
        <f t="shared" ref="F26:O26" si="3">ROUND(+F23/12,-2)</f>
        <v>0</v>
      </c>
      <c r="G26" s="78">
        <f>ROUND(+G23/12,-2)</f>
        <v>21100</v>
      </c>
      <c r="H26" s="78">
        <f>ROUND(+H23/12,-2)</f>
        <v>30500</v>
      </c>
      <c r="I26" s="78">
        <f t="shared" si="3"/>
        <v>0</v>
      </c>
      <c r="J26" s="78">
        <f t="shared" si="3"/>
        <v>27100</v>
      </c>
      <c r="K26" s="78">
        <f t="shared" ref="K26" si="4">ROUND(+K23/12,-2)</f>
        <v>3500</v>
      </c>
      <c r="L26" s="78">
        <f t="shared" si="3"/>
        <v>0</v>
      </c>
      <c r="M26" s="78">
        <f t="shared" si="3"/>
        <v>0</v>
      </c>
      <c r="N26" s="78">
        <f t="shared" si="3"/>
        <v>0</v>
      </c>
      <c r="O26" s="78">
        <f t="shared" si="3"/>
        <v>6100</v>
      </c>
      <c r="P26" s="78">
        <f>P23/4</f>
        <v>5639.25</v>
      </c>
    </row>
    <row r="27" spans="1:16" x14ac:dyDescent="0.35">
      <c r="A27" s="268"/>
      <c r="C27" s="261" t="s">
        <v>477</v>
      </c>
      <c r="D27" s="6">
        <f t="shared" si="0"/>
        <v>36100</v>
      </c>
      <c r="E27" s="78">
        <f t="shared" ref="E27:O27" si="5">ROUND(+E25/12,-2)</f>
        <v>600</v>
      </c>
      <c r="F27" s="78">
        <f t="shared" si="5"/>
        <v>0</v>
      </c>
      <c r="G27" s="78">
        <f t="shared" si="5"/>
        <v>11200</v>
      </c>
      <c r="H27" s="78">
        <f t="shared" si="5"/>
        <v>15100</v>
      </c>
      <c r="I27" s="78">
        <f t="shared" si="5"/>
        <v>0</v>
      </c>
      <c r="J27" s="78">
        <f t="shared" si="5"/>
        <v>7300</v>
      </c>
      <c r="K27" s="78">
        <f t="shared" ref="K27" si="6">ROUND(+K25/12,-2)</f>
        <v>700</v>
      </c>
      <c r="L27" s="78">
        <f t="shared" si="5"/>
        <v>0</v>
      </c>
      <c r="M27" s="78">
        <f t="shared" si="5"/>
        <v>0</v>
      </c>
      <c r="N27" s="78">
        <f t="shared" si="5"/>
        <v>0</v>
      </c>
      <c r="O27" s="78">
        <f t="shared" si="5"/>
        <v>1200</v>
      </c>
      <c r="P27" s="78">
        <f>P25/4</f>
        <v>1569</v>
      </c>
    </row>
    <row r="28" spans="1:16" x14ac:dyDescent="0.35">
      <c r="A28" s="268"/>
    </row>
    <row r="29" spans="1:16" x14ac:dyDescent="0.35">
      <c r="A29" s="268"/>
      <c r="C29" s="6" t="s">
        <v>460</v>
      </c>
    </row>
    <row r="30" spans="1:16" x14ac:dyDescent="0.35">
      <c r="A30" s="268"/>
    </row>
    <row r="31" spans="1:16" x14ac:dyDescent="0.35">
      <c r="A31" s="268"/>
    </row>
    <row r="32" spans="1:16" x14ac:dyDescent="0.35">
      <c r="A32" s="268"/>
    </row>
    <row r="33" spans="1:7" x14ac:dyDescent="0.35">
      <c r="A33" s="269"/>
    </row>
    <row r="34" spans="1:7" x14ac:dyDescent="0.35">
      <c r="A34" s="269"/>
    </row>
    <row r="35" spans="1:7" x14ac:dyDescent="0.35">
      <c r="A35" s="269"/>
    </row>
    <row r="40" spans="1:7" x14ac:dyDescent="0.35">
      <c r="E40" s="270"/>
    </row>
    <row r="41" spans="1:7" x14ac:dyDescent="0.35">
      <c r="F41" s="23"/>
      <c r="G41" s="271"/>
    </row>
    <row r="42" spans="1:7" x14ac:dyDescent="0.35">
      <c r="F42" s="272"/>
      <c r="G42" s="271"/>
    </row>
    <row r="43" spans="1:7" x14ac:dyDescent="0.35">
      <c r="F43" s="272"/>
      <c r="G43" s="271"/>
    </row>
    <row r="44" spans="1:7" x14ac:dyDescent="0.35">
      <c r="F44" s="272"/>
      <c r="G44" s="271"/>
    </row>
    <row r="46" spans="1:7" x14ac:dyDescent="0.35">
      <c r="G46" s="273"/>
    </row>
    <row r="47" spans="1:7" x14ac:dyDescent="0.35">
      <c r="E47" s="270"/>
    </row>
    <row r="48" spans="1:7" x14ac:dyDescent="0.35">
      <c r="F48" s="23"/>
      <c r="G48" s="273"/>
    </row>
    <row r="49" spans="5:12" x14ac:dyDescent="0.35">
      <c r="F49" s="272"/>
      <c r="G49" s="271"/>
    </row>
    <row r="51" spans="5:12" x14ac:dyDescent="0.35">
      <c r="E51" s="270"/>
      <c r="L51" s="274"/>
    </row>
    <row r="52" spans="5:12" x14ac:dyDescent="0.35">
      <c r="F52" s="23"/>
    </row>
    <row r="54" spans="5:12" x14ac:dyDescent="0.35">
      <c r="I54" s="275"/>
      <c r="J54" s="275"/>
      <c r="K54" s="275"/>
      <c r="L54" s="275"/>
    </row>
    <row r="56" spans="5:12" x14ac:dyDescent="0.35">
      <c r="E56" s="276"/>
    </row>
  </sheetData>
  <mergeCells count="1">
    <mergeCell ref="J3:K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5">
    <tabColor rgb="FFFFC000"/>
    <pageSetUpPr fitToPage="1"/>
  </sheetPr>
  <dimension ref="B1:T123"/>
  <sheetViews>
    <sheetView topLeftCell="B1" zoomScale="115" zoomScaleNormal="115" workbookViewId="0">
      <selection activeCell="D9" sqref="D9:D10"/>
    </sheetView>
  </sheetViews>
  <sheetFormatPr defaultColWidth="8.81640625" defaultRowHeight="16" x14ac:dyDescent="0.35"/>
  <cols>
    <col min="1" max="1" width="8.81640625" style="6"/>
    <col min="2" max="2" width="14.1796875" style="6" customWidth="1"/>
    <col min="3" max="3" width="18.54296875" style="79" bestFit="1" customWidth="1"/>
    <col min="4" max="4" width="18.54296875" style="79" customWidth="1"/>
    <col min="5" max="16" width="12.1796875" style="6" bestFit="1" customWidth="1"/>
    <col min="17" max="17" width="14.1796875" style="6" customWidth="1"/>
    <col min="18" max="18" width="4.1796875" style="6" customWidth="1"/>
    <col min="19" max="19" width="9.453125" style="6" customWidth="1"/>
    <col min="20" max="20" width="8.81640625" style="6"/>
    <col min="21" max="21" width="9.81640625" style="6" customWidth="1"/>
    <col min="22" max="23" width="13.81640625" style="6" bestFit="1" customWidth="1"/>
    <col min="24" max="24" width="12" style="6" bestFit="1" customWidth="1"/>
    <col min="25" max="31" width="8.81640625" style="6"/>
    <col min="32" max="32" width="33.81640625" style="6" bestFit="1" customWidth="1"/>
    <col min="33" max="33" width="13.81640625" style="6" bestFit="1" customWidth="1"/>
    <col min="34" max="34" width="12" style="6" bestFit="1" customWidth="1"/>
    <col min="35" max="16384" width="8.81640625" style="6"/>
  </cols>
  <sheetData>
    <row r="1" spans="2:20" ht="29" x14ac:dyDescent="0.5">
      <c r="C1" s="32"/>
      <c r="D1" s="32"/>
      <c r="E1" s="17" t="s">
        <v>318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22">
        <f>'Cover Sheet'!$A$3</f>
        <v>46023</v>
      </c>
      <c r="S1" s="6" t="s">
        <v>299</v>
      </c>
    </row>
    <row r="2" spans="2:20" ht="18" x14ac:dyDescent="0.35">
      <c r="C2" s="32"/>
      <c r="D2" s="32"/>
      <c r="E2" s="74" t="s">
        <v>319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4" spans="2:20" ht="18" x14ac:dyDescent="0.35">
      <c r="D4" s="24" t="s">
        <v>298</v>
      </c>
      <c r="E4" s="24" t="s">
        <v>0</v>
      </c>
      <c r="F4" s="24" t="s">
        <v>1</v>
      </c>
      <c r="G4" s="24" t="s">
        <v>2</v>
      </c>
      <c r="H4" s="24" t="s">
        <v>3</v>
      </c>
      <c r="I4" s="24" t="s">
        <v>4</v>
      </c>
      <c r="J4" s="24" t="s">
        <v>5</v>
      </c>
      <c r="K4" s="24" t="s">
        <v>6</v>
      </c>
      <c r="L4" s="24" t="s">
        <v>7</v>
      </c>
      <c r="M4" s="24" t="s">
        <v>8</v>
      </c>
      <c r="N4" s="24" t="s">
        <v>9</v>
      </c>
      <c r="O4" s="24" t="s">
        <v>10</v>
      </c>
      <c r="P4" s="24" t="s">
        <v>11</v>
      </c>
      <c r="Q4" s="24" t="s">
        <v>12</v>
      </c>
      <c r="R4" s="83"/>
      <c r="S4" s="15" t="s">
        <v>268</v>
      </c>
    </row>
    <row r="5" spans="2:20" ht="18" x14ac:dyDescent="0.35"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2:20" x14ac:dyDescent="0.35">
      <c r="B6" s="216">
        <f>'1100'!B1</f>
        <v>1100</v>
      </c>
      <c r="C6" s="80" t="s">
        <v>209</v>
      </c>
      <c r="D6" s="92">
        <f>1.03*3405.52</f>
        <v>3507.6856000000002</v>
      </c>
      <c r="E6" s="45">
        <f>ROUND(D6/12,0)</f>
        <v>292</v>
      </c>
      <c r="F6" s="45">
        <f>+E6</f>
        <v>292</v>
      </c>
      <c r="G6" s="45">
        <f t="shared" ref="G6:N6" si="0">+F6</f>
        <v>292</v>
      </c>
      <c r="H6" s="45">
        <f t="shared" si="0"/>
        <v>292</v>
      </c>
      <c r="I6" s="45">
        <f t="shared" si="0"/>
        <v>292</v>
      </c>
      <c r="J6" s="45">
        <f t="shared" si="0"/>
        <v>292</v>
      </c>
      <c r="K6" s="45">
        <f t="shared" si="0"/>
        <v>292</v>
      </c>
      <c r="L6" s="45">
        <f t="shared" si="0"/>
        <v>292</v>
      </c>
      <c r="M6" s="45">
        <f t="shared" si="0"/>
        <v>292</v>
      </c>
      <c r="N6" s="45">
        <f t="shared" si="0"/>
        <v>292</v>
      </c>
      <c r="O6" s="45">
        <f>N6*1.02</f>
        <v>297.84000000000003</v>
      </c>
      <c r="P6" s="45">
        <f t="shared" ref="P6:P7" si="1">+O6</f>
        <v>297.84000000000003</v>
      </c>
      <c r="Q6" s="45">
        <f>SUM(E6:P6)</f>
        <v>3515.6800000000003</v>
      </c>
      <c r="R6" s="77"/>
      <c r="S6" s="81" t="s">
        <v>207</v>
      </c>
      <c r="T6" s="6" t="s">
        <v>48</v>
      </c>
    </row>
    <row r="7" spans="2:20" x14ac:dyDescent="0.35">
      <c r="B7" s="71"/>
      <c r="C7" s="80" t="s">
        <v>210</v>
      </c>
      <c r="D7" s="93">
        <f>1.03*3124.53</f>
        <v>3218.2659000000003</v>
      </c>
      <c r="E7" s="15">
        <f>ROUND(D7/12,0)</f>
        <v>268</v>
      </c>
      <c r="F7" s="15">
        <f t="shared" ref="F7:F52" si="2">+E7</f>
        <v>268</v>
      </c>
      <c r="G7" s="15">
        <f t="shared" ref="G7:G52" si="3">+F7</f>
        <v>268</v>
      </c>
      <c r="H7" s="15">
        <f t="shared" ref="H7:H52" si="4">+G7</f>
        <v>268</v>
      </c>
      <c r="I7" s="15">
        <f t="shared" ref="I7:I52" si="5">+H7</f>
        <v>268</v>
      </c>
      <c r="J7" s="15">
        <f t="shared" ref="J7:J52" si="6">+I7</f>
        <v>268</v>
      </c>
      <c r="K7" s="15">
        <f t="shared" ref="K7:K52" si="7">+J7</f>
        <v>268</v>
      </c>
      <c r="L7" s="15">
        <f t="shared" ref="L7:L52" si="8">+K7</f>
        <v>268</v>
      </c>
      <c r="M7" s="15">
        <f t="shared" ref="M7:M52" si="9">+L7</f>
        <v>268</v>
      </c>
      <c r="N7" s="15">
        <f t="shared" ref="N7:N52" si="10">+M7</f>
        <v>268</v>
      </c>
      <c r="O7" s="15">
        <f>N7*1.02</f>
        <v>273.36</v>
      </c>
      <c r="P7" s="15">
        <f t="shared" si="1"/>
        <v>273.36</v>
      </c>
      <c r="Q7" s="6">
        <f>SUM(E7:P7)</f>
        <v>3226.7200000000003</v>
      </c>
      <c r="R7" s="77"/>
      <c r="S7" s="81" t="s">
        <v>207</v>
      </c>
      <c r="T7" s="6" t="s">
        <v>48</v>
      </c>
    </row>
    <row r="8" spans="2:20" x14ac:dyDescent="0.35">
      <c r="B8" s="71"/>
      <c r="C8" s="84" t="s">
        <v>269</v>
      </c>
      <c r="D8" s="28">
        <f>SUM(D6:D7)</f>
        <v>6725.951500000001</v>
      </c>
      <c r="E8" s="28">
        <f>SUM(E6:E7)</f>
        <v>560</v>
      </c>
      <c r="F8" s="28">
        <f t="shared" ref="F8:N8" si="11">SUM(F6:F7)</f>
        <v>560</v>
      </c>
      <c r="G8" s="28">
        <f t="shared" si="11"/>
        <v>560</v>
      </c>
      <c r="H8" s="28">
        <f t="shared" si="11"/>
        <v>560</v>
      </c>
      <c r="I8" s="28">
        <f t="shared" si="11"/>
        <v>560</v>
      </c>
      <c r="J8" s="28">
        <f t="shared" si="11"/>
        <v>560</v>
      </c>
      <c r="K8" s="28">
        <f t="shared" si="11"/>
        <v>560</v>
      </c>
      <c r="L8" s="28">
        <f t="shared" si="11"/>
        <v>560</v>
      </c>
      <c r="M8" s="28">
        <f t="shared" si="11"/>
        <v>560</v>
      </c>
      <c r="N8" s="28">
        <f t="shared" si="11"/>
        <v>560</v>
      </c>
      <c r="O8" s="28">
        <f t="shared" ref="O8" si="12">SUM(O6:O7)</f>
        <v>571.20000000000005</v>
      </c>
      <c r="P8" s="28">
        <f t="shared" ref="P8:Q8" si="13">SUM(P6:P7)</f>
        <v>571.20000000000005</v>
      </c>
      <c r="Q8" s="28">
        <f t="shared" si="13"/>
        <v>6742.4000000000005</v>
      </c>
      <c r="R8" s="77"/>
      <c r="S8" s="81"/>
    </row>
    <row r="9" spans="2:20" x14ac:dyDescent="0.35">
      <c r="B9" s="71"/>
      <c r="C9" s="80" t="s">
        <v>211</v>
      </c>
      <c r="D9" s="92">
        <f>1.03*1079.46</f>
        <v>1111.8438000000001</v>
      </c>
      <c r="E9" s="45">
        <f>ROUND(D9/12,0)</f>
        <v>93</v>
      </c>
      <c r="F9" s="45">
        <f t="shared" si="2"/>
        <v>93</v>
      </c>
      <c r="G9" s="45">
        <f t="shared" si="3"/>
        <v>93</v>
      </c>
      <c r="H9" s="45">
        <f t="shared" si="4"/>
        <v>93</v>
      </c>
      <c r="I9" s="45">
        <f t="shared" si="5"/>
        <v>93</v>
      </c>
      <c r="J9" s="45">
        <f t="shared" si="6"/>
        <v>93</v>
      </c>
      <c r="K9" s="45">
        <f t="shared" si="7"/>
        <v>93</v>
      </c>
      <c r="L9" s="45">
        <f t="shared" si="8"/>
        <v>93</v>
      </c>
      <c r="M9" s="45">
        <f t="shared" si="9"/>
        <v>93</v>
      </c>
      <c r="N9" s="45">
        <f t="shared" si="10"/>
        <v>93</v>
      </c>
      <c r="O9" s="45">
        <f>N9*1.02</f>
        <v>94.86</v>
      </c>
      <c r="P9" s="45">
        <f t="shared" ref="P9:P10" si="14">+O9</f>
        <v>94.86</v>
      </c>
      <c r="Q9" s="45">
        <f>SUM(E9:P9)</f>
        <v>1119.7199999999998</v>
      </c>
      <c r="R9" s="77"/>
      <c r="S9" s="81" t="s">
        <v>208</v>
      </c>
      <c r="T9" s="6" t="s">
        <v>89</v>
      </c>
    </row>
    <row r="10" spans="2:20" x14ac:dyDescent="0.35">
      <c r="B10" s="71"/>
      <c r="C10" s="80" t="s">
        <v>212</v>
      </c>
      <c r="D10" s="93">
        <v>0</v>
      </c>
      <c r="E10" s="15">
        <f>ROUND(D10/12,0)</f>
        <v>0</v>
      </c>
      <c r="F10" s="15">
        <f t="shared" si="2"/>
        <v>0</v>
      </c>
      <c r="G10" s="15">
        <f t="shared" si="3"/>
        <v>0</v>
      </c>
      <c r="H10" s="15">
        <f t="shared" si="4"/>
        <v>0</v>
      </c>
      <c r="I10" s="15">
        <f t="shared" si="5"/>
        <v>0</v>
      </c>
      <c r="J10" s="15">
        <f t="shared" si="6"/>
        <v>0</v>
      </c>
      <c r="K10" s="15">
        <f t="shared" si="7"/>
        <v>0</v>
      </c>
      <c r="L10" s="15">
        <f t="shared" si="8"/>
        <v>0</v>
      </c>
      <c r="M10" s="15">
        <f t="shared" si="9"/>
        <v>0</v>
      </c>
      <c r="N10" s="15">
        <f t="shared" si="10"/>
        <v>0</v>
      </c>
      <c r="O10" s="15">
        <f>N10*1.02</f>
        <v>0</v>
      </c>
      <c r="P10" s="15">
        <f t="shared" si="14"/>
        <v>0</v>
      </c>
      <c r="Q10" s="15">
        <f>SUM(E10:P10)</f>
        <v>0</v>
      </c>
      <c r="R10" s="77"/>
      <c r="S10" s="81" t="s">
        <v>231</v>
      </c>
      <c r="T10" s="6" t="s">
        <v>50</v>
      </c>
    </row>
    <row r="11" spans="2:20" x14ac:dyDescent="0.35">
      <c r="B11" s="71"/>
      <c r="C11" s="85" t="s">
        <v>264</v>
      </c>
      <c r="D11" s="8">
        <f>SUM(D8:D10)</f>
        <v>7837.7953000000016</v>
      </c>
      <c r="E11" s="8">
        <f>SUM(E8:E10)</f>
        <v>653</v>
      </c>
      <c r="F11" s="8">
        <f t="shared" ref="F11:N11" si="15">SUM(F8:F10)</f>
        <v>653</v>
      </c>
      <c r="G11" s="8">
        <f t="shared" si="15"/>
        <v>653</v>
      </c>
      <c r="H11" s="8">
        <f t="shared" si="15"/>
        <v>653</v>
      </c>
      <c r="I11" s="8">
        <f t="shared" si="15"/>
        <v>653</v>
      </c>
      <c r="J11" s="8">
        <f t="shared" si="15"/>
        <v>653</v>
      </c>
      <c r="K11" s="8">
        <f t="shared" si="15"/>
        <v>653</v>
      </c>
      <c r="L11" s="8">
        <f t="shared" si="15"/>
        <v>653</v>
      </c>
      <c r="M11" s="8">
        <f t="shared" si="15"/>
        <v>653</v>
      </c>
      <c r="N11" s="8">
        <f t="shared" si="15"/>
        <v>653</v>
      </c>
      <c r="O11" s="8">
        <f t="shared" ref="O11" si="16">SUM(O8:O10)</f>
        <v>666.06000000000006</v>
      </c>
      <c r="P11" s="8">
        <f t="shared" ref="P11:Q11" si="17">SUM(P8:P10)</f>
        <v>666.06000000000006</v>
      </c>
      <c r="Q11" s="8">
        <f t="shared" si="17"/>
        <v>7862.1200000000008</v>
      </c>
      <c r="R11" s="77"/>
      <c r="S11" s="81"/>
    </row>
    <row r="12" spans="2:20" x14ac:dyDescent="0.35">
      <c r="B12" s="71"/>
      <c r="C12" s="80"/>
      <c r="D12" s="77"/>
      <c r="R12" s="77"/>
      <c r="S12" s="81"/>
    </row>
    <row r="13" spans="2:20" x14ac:dyDescent="0.35">
      <c r="B13" s="216">
        <f>'1500'!B1</f>
        <v>1500</v>
      </c>
      <c r="C13" s="80" t="s">
        <v>209</v>
      </c>
      <c r="D13" s="92">
        <f>1.03*315.91</f>
        <v>325.38730000000004</v>
      </c>
      <c r="E13" s="45">
        <f>ROUND(D13/12,0)</f>
        <v>27</v>
      </c>
      <c r="F13" s="45">
        <f t="shared" si="2"/>
        <v>27</v>
      </c>
      <c r="G13" s="45">
        <f t="shared" si="3"/>
        <v>27</v>
      </c>
      <c r="H13" s="45">
        <f t="shared" si="4"/>
        <v>27</v>
      </c>
      <c r="I13" s="45">
        <f t="shared" si="5"/>
        <v>27</v>
      </c>
      <c r="J13" s="45">
        <f t="shared" si="6"/>
        <v>27</v>
      </c>
      <c r="K13" s="45">
        <f t="shared" si="7"/>
        <v>27</v>
      </c>
      <c r="L13" s="45">
        <f t="shared" si="8"/>
        <v>27</v>
      </c>
      <c r="M13" s="45">
        <f t="shared" si="9"/>
        <v>27</v>
      </c>
      <c r="N13" s="45">
        <f t="shared" si="10"/>
        <v>27</v>
      </c>
      <c r="O13" s="45">
        <f>N13*1.02</f>
        <v>27.54</v>
      </c>
      <c r="P13" s="45">
        <f t="shared" ref="P13:P14" si="18">+O13</f>
        <v>27.54</v>
      </c>
      <c r="Q13" s="45">
        <f>SUM(E13:P13)</f>
        <v>325.08000000000004</v>
      </c>
      <c r="R13" s="77"/>
      <c r="S13" s="81" t="s">
        <v>207</v>
      </c>
      <c r="T13" s="6" t="s">
        <v>48</v>
      </c>
    </row>
    <row r="14" spans="2:20" x14ac:dyDescent="0.35">
      <c r="B14" s="71"/>
      <c r="C14" s="80" t="s">
        <v>210</v>
      </c>
      <c r="D14" s="93">
        <f>1.03*289.85</f>
        <v>298.5455</v>
      </c>
      <c r="E14" s="15">
        <f>ROUND(D14/12,0)</f>
        <v>25</v>
      </c>
      <c r="F14" s="15">
        <f t="shared" si="2"/>
        <v>25</v>
      </c>
      <c r="G14" s="15">
        <f t="shared" si="3"/>
        <v>25</v>
      </c>
      <c r="H14" s="15">
        <f t="shared" si="4"/>
        <v>25</v>
      </c>
      <c r="I14" s="15">
        <f t="shared" si="5"/>
        <v>25</v>
      </c>
      <c r="J14" s="15">
        <f t="shared" si="6"/>
        <v>25</v>
      </c>
      <c r="K14" s="15">
        <f t="shared" si="7"/>
        <v>25</v>
      </c>
      <c r="L14" s="15">
        <f t="shared" si="8"/>
        <v>25</v>
      </c>
      <c r="M14" s="15">
        <f t="shared" si="9"/>
        <v>25</v>
      </c>
      <c r="N14" s="15">
        <f t="shared" si="10"/>
        <v>25</v>
      </c>
      <c r="O14" s="15">
        <f>N14*1.02</f>
        <v>25.5</v>
      </c>
      <c r="P14" s="15">
        <f t="shared" si="18"/>
        <v>25.5</v>
      </c>
      <c r="Q14" s="6">
        <f>SUM(E14:P14)</f>
        <v>301</v>
      </c>
      <c r="R14" s="77"/>
      <c r="S14" s="81" t="s">
        <v>207</v>
      </c>
      <c r="T14" s="6" t="s">
        <v>48</v>
      </c>
    </row>
    <row r="15" spans="2:20" x14ac:dyDescent="0.35">
      <c r="B15" s="71"/>
      <c r="C15" s="84" t="s">
        <v>269</v>
      </c>
      <c r="D15" s="28">
        <f>SUM(D13:D14)</f>
        <v>623.93280000000004</v>
      </c>
      <c r="E15" s="28">
        <f>SUM(E13:E14)</f>
        <v>52</v>
      </c>
      <c r="F15" s="28">
        <f t="shared" ref="F15" si="19">SUM(F13:F14)</f>
        <v>52</v>
      </c>
      <c r="G15" s="28">
        <f t="shared" ref="G15" si="20">SUM(G13:G14)</f>
        <v>52</v>
      </c>
      <c r="H15" s="28">
        <f t="shared" ref="H15" si="21">SUM(H13:H14)</f>
        <v>52</v>
      </c>
      <c r="I15" s="28">
        <f t="shared" ref="I15" si="22">SUM(I13:I14)</f>
        <v>52</v>
      </c>
      <c r="J15" s="28">
        <f t="shared" ref="J15" si="23">SUM(J13:J14)</f>
        <v>52</v>
      </c>
      <c r="K15" s="28">
        <f t="shared" ref="K15" si="24">SUM(K13:K14)</f>
        <v>52</v>
      </c>
      <c r="L15" s="28">
        <f t="shared" ref="L15" si="25">SUM(L13:L14)</f>
        <v>52</v>
      </c>
      <c r="M15" s="28">
        <f t="shared" ref="M15" si="26">SUM(M13:M14)</f>
        <v>52</v>
      </c>
      <c r="N15" s="28">
        <f t="shared" ref="N15:O15" si="27">SUM(N13:N14)</f>
        <v>52</v>
      </c>
      <c r="O15" s="28">
        <f t="shared" si="27"/>
        <v>53.04</v>
      </c>
      <c r="P15" s="28">
        <f t="shared" ref="P15:Q15" si="28">SUM(P13:P14)</f>
        <v>53.04</v>
      </c>
      <c r="Q15" s="28">
        <f t="shared" si="28"/>
        <v>626.08000000000004</v>
      </c>
      <c r="R15" s="77"/>
      <c r="S15" s="81"/>
    </row>
    <row r="16" spans="2:20" x14ac:dyDescent="0.35">
      <c r="B16" s="71"/>
      <c r="C16" s="80" t="s">
        <v>211</v>
      </c>
      <c r="D16" s="92">
        <f>1.03*329.31</f>
        <v>339.1893</v>
      </c>
      <c r="E16" s="45">
        <f>ROUND(D16/12,0)</f>
        <v>28</v>
      </c>
      <c r="F16" s="6">
        <f t="shared" si="2"/>
        <v>28</v>
      </c>
      <c r="G16" s="6">
        <f t="shared" si="3"/>
        <v>28</v>
      </c>
      <c r="H16" s="6">
        <f t="shared" si="4"/>
        <v>28</v>
      </c>
      <c r="I16" s="6">
        <f t="shared" si="5"/>
        <v>28</v>
      </c>
      <c r="J16" s="6">
        <f t="shared" si="6"/>
        <v>28</v>
      </c>
      <c r="K16" s="6">
        <f t="shared" si="7"/>
        <v>28</v>
      </c>
      <c r="L16" s="6">
        <f t="shared" si="8"/>
        <v>28</v>
      </c>
      <c r="M16" s="6">
        <f t="shared" si="9"/>
        <v>28</v>
      </c>
      <c r="N16" s="6">
        <f t="shared" si="10"/>
        <v>28</v>
      </c>
      <c r="O16" s="45">
        <f>N16*1.02</f>
        <v>28.560000000000002</v>
      </c>
      <c r="P16" s="6">
        <f t="shared" ref="P16:P17" si="29">+O16</f>
        <v>28.560000000000002</v>
      </c>
      <c r="Q16" s="45">
        <f>SUM(E16:P16)</f>
        <v>337.12</v>
      </c>
      <c r="R16" s="77"/>
      <c r="S16" s="81" t="s">
        <v>208</v>
      </c>
      <c r="T16" s="6" t="s">
        <v>89</v>
      </c>
    </row>
    <row r="17" spans="2:20" x14ac:dyDescent="0.35">
      <c r="B17" s="71"/>
      <c r="C17" s="80" t="s">
        <v>212</v>
      </c>
      <c r="D17" s="93">
        <v>0</v>
      </c>
      <c r="E17" s="15">
        <f>ROUND(D17/12,0)</f>
        <v>0</v>
      </c>
      <c r="F17" s="6">
        <f t="shared" si="2"/>
        <v>0</v>
      </c>
      <c r="G17" s="6">
        <f t="shared" si="3"/>
        <v>0</v>
      </c>
      <c r="H17" s="6">
        <f t="shared" si="4"/>
        <v>0</v>
      </c>
      <c r="I17" s="6">
        <f t="shared" si="5"/>
        <v>0</v>
      </c>
      <c r="J17" s="6">
        <f t="shared" si="6"/>
        <v>0</v>
      </c>
      <c r="K17" s="6">
        <f t="shared" si="7"/>
        <v>0</v>
      </c>
      <c r="L17" s="6">
        <f t="shared" si="8"/>
        <v>0</v>
      </c>
      <c r="M17" s="6">
        <f t="shared" si="9"/>
        <v>0</v>
      </c>
      <c r="N17" s="6">
        <f t="shared" si="10"/>
        <v>0</v>
      </c>
      <c r="O17" s="15">
        <f>N17*1.02</f>
        <v>0</v>
      </c>
      <c r="P17" s="6">
        <f t="shared" si="29"/>
        <v>0</v>
      </c>
      <c r="Q17" s="15">
        <f>SUM(E17:P17)</f>
        <v>0</v>
      </c>
      <c r="R17" s="77"/>
      <c r="S17" s="81" t="s">
        <v>231</v>
      </c>
      <c r="T17" s="6" t="s">
        <v>50</v>
      </c>
    </row>
    <row r="18" spans="2:20" x14ac:dyDescent="0.35">
      <c r="B18" s="71"/>
      <c r="C18" s="85" t="s">
        <v>264</v>
      </c>
      <c r="D18" s="87">
        <f t="shared" ref="D18" si="30">SUM(D15:D17)</f>
        <v>963.12210000000005</v>
      </c>
      <c r="E18" s="87">
        <f>SUM(E15:E17)</f>
        <v>80</v>
      </c>
      <c r="F18" s="87">
        <f t="shared" ref="F18" si="31">SUM(F15:F17)</f>
        <v>80</v>
      </c>
      <c r="G18" s="87">
        <f t="shared" ref="G18" si="32">SUM(G15:G17)</f>
        <v>80</v>
      </c>
      <c r="H18" s="87">
        <f t="shared" ref="H18" si="33">SUM(H15:H17)</f>
        <v>80</v>
      </c>
      <c r="I18" s="87">
        <f t="shared" ref="I18" si="34">SUM(I15:I17)</f>
        <v>80</v>
      </c>
      <c r="J18" s="87">
        <f t="shared" ref="J18" si="35">SUM(J15:J17)</f>
        <v>80</v>
      </c>
      <c r="K18" s="87">
        <f t="shared" ref="K18" si="36">SUM(K15:K17)</f>
        <v>80</v>
      </c>
      <c r="L18" s="87">
        <f t="shared" ref="L18" si="37">SUM(L15:L17)</f>
        <v>80</v>
      </c>
      <c r="M18" s="87">
        <f t="shared" ref="M18" si="38">SUM(M15:M17)</f>
        <v>80</v>
      </c>
      <c r="N18" s="87">
        <f t="shared" ref="N18" si="39">SUM(N15:N17)</f>
        <v>80</v>
      </c>
      <c r="O18" s="87">
        <f t="shared" ref="O18" si="40">SUM(O15:O17)</f>
        <v>81.599999999999994</v>
      </c>
      <c r="P18" s="87">
        <f t="shared" ref="P18:Q18" si="41">SUM(P15:P17)</f>
        <v>81.599999999999994</v>
      </c>
      <c r="Q18" s="8">
        <f t="shared" si="41"/>
        <v>963.2</v>
      </c>
      <c r="R18" s="77"/>
      <c r="S18" s="81"/>
    </row>
    <row r="19" spans="2:20" x14ac:dyDescent="0.35">
      <c r="B19" s="71"/>
      <c r="C19" s="80"/>
      <c r="D19" s="77"/>
      <c r="R19" s="77"/>
      <c r="S19" s="81"/>
    </row>
    <row r="20" spans="2:20" x14ac:dyDescent="0.35">
      <c r="B20" s="216">
        <f>'2300'!B1</f>
        <v>2300</v>
      </c>
      <c r="C20" s="80" t="s">
        <v>209</v>
      </c>
      <c r="D20" s="92">
        <f>1.03*19925.87</f>
        <v>20523.646099999998</v>
      </c>
      <c r="E20" s="45">
        <f>ROUND(D20/12,0)</f>
        <v>1710</v>
      </c>
      <c r="F20" s="45">
        <f t="shared" si="2"/>
        <v>1710</v>
      </c>
      <c r="G20" s="45">
        <f t="shared" si="3"/>
        <v>1710</v>
      </c>
      <c r="H20" s="45">
        <f t="shared" si="4"/>
        <v>1710</v>
      </c>
      <c r="I20" s="45">
        <f t="shared" si="5"/>
        <v>1710</v>
      </c>
      <c r="J20" s="45">
        <f t="shared" si="6"/>
        <v>1710</v>
      </c>
      <c r="K20" s="45">
        <f t="shared" si="7"/>
        <v>1710</v>
      </c>
      <c r="L20" s="45">
        <f t="shared" si="8"/>
        <v>1710</v>
      </c>
      <c r="M20" s="45">
        <f t="shared" si="9"/>
        <v>1710</v>
      </c>
      <c r="N20" s="45">
        <f t="shared" si="10"/>
        <v>1710</v>
      </c>
      <c r="O20" s="45">
        <f>N20*1.02</f>
        <v>1744.2</v>
      </c>
      <c r="P20" s="45">
        <f t="shared" ref="P20:P21" si="42">+O20</f>
        <v>1744.2</v>
      </c>
      <c r="Q20" s="45">
        <f>SUM(E20:P20)</f>
        <v>20588.400000000001</v>
      </c>
      <c r="R20" s="77"/>
      <c r="S20" s="81" t="s">
        <v>207</v>
      </c>
      <c r="T20" s="6" t="s">
        <v>48</v>
      </c>
    </row>
    <row r="21" spans="2:20" x14ac:dyDescent="0.35">
      <c r="B21" s="71"/>
      <c r="C21" s="80" t="s">
        <v>210</v>
      </c>
      <c r="D21" s="93">
        <f>1.03*18281.79</f>
        <v>18830.243700000003</v>
      </c>
      <c r="E21" s="15">
        <f>ROUND(D21/12,0)</f>
        <v>1569</v>
      </c>
      <c r="F21" s="15">
        <f t="shared" si="2"/>
        <v>1569</v>
      </c>
      <c r="G21" s="15">
        <f t="shared" si="3"/>
        <v>1569</v>
      </c>
      <c r="H21" s="15">
        <f t="shared" si="4"/>
        <v>1569</v>
      </c>
      <c r="I21" s="15">
        <f t="shared" si="5"/>
        <v>1569</v>
      </c>
      <c r="J21" s="15">
        <f t="shared" si="6"/>
        <v>1569</v>
      </c>
      <c r="K21" s="15">
        <f t="shared" si="7"/>
        <v>1569</v>
      </c>
      <c r="L21" s="15">
        <f t="shared" si="8"/>
        <v>1569</v>
      </c>
      <c r="M21" s="15">
        <f t="shared" si="9"/>
        <v>1569</v>
      </c>
      <c r="N21" s="15">
        <f t="shared" si="10"/>
        <v>1569</v>
      </c>
      <c r="O21" s="15">
        <f>N21*1.02</f>
        <v>1600.38</v>
      </c>
      <c r="P21" s="15">
        <f t="shared" si="42"/>
        <v>1600.38</v>
      </c>
      <c r="Q21" s="6">
        <f>SUM(E21:P21)</f>
        <v>18890.760000000002</v>
      </c>
      <c r="R21" s="77"/>
      <c r="S21" s="81" t="s">
        <v>207</v>
      </c>
      <c r="T21" s="6" t="s">
        <v>48</v>
      </c>
    </row>
    <row r="22" spans="2:20" x14ac:dyDescent="0.35">
      <c r="B22" s="71"/>
      <c r="C22" s="84" t="s">
        <v>269</v>
      </c>
      <c r="D22" s="28">
        <f>SUM(D20:D21)</f>
        <v>39353.889800000004</v>
      </c>
      <c r="E22" s="28">
        <f>SUM(E20:E21)</f>
        <v>3279</v>
      </c>
      <c r="F22" s="28">
        <f t="shared" ref="F22" si="43">SUM(F20:F21)</f>
        <v>3279</v>
      </c>
      <c r="G22" s="28">
        <f t="shared" ref="G22" si="44">SUM(G20:G21)</f>
        <v>3279</v>
      </c>
      <c r="H22" s="28">
        <f t="shared" ref="H22" si="45">SUM(H20:H21)</f>
        <v>3279</v>
      </c>
      <c r="I22" s="28">
        <f t="shared" ref="I22" si="46">SUM(I20:I21)</f>
        <v>3279</v>
      </c>
      <c r="J22" s="28">
        <f t="shared" ref="J22" si="47">SUM(J20:J21)</f>
        <v>3279</v>
      </c>
      <c r="K22" s="28">
        <f t="shared" ref="K22" si="48">SUM(K20:K21)</f>
        <v>3279</v>
      </c>
      <c r="L22" s="28">
        <f t="shared" ref="L22" si="49">SUM(L20:L21)</f>
        <v>3279</v>
      </c>
      <c r="M22" s="28">
        <f t="shared" ref="M22" si="50">SUM(M20:M21)</f>
        <v>3279</v>
      </c>
      <c r="N22" s="28">
        <f t="shared" ref="N22:O22" si="51">SUM(N20:N21)</f>
        <v>3279</v>
      </c>
      <c r="O22" s="28">
        <f t="shared" si="51"/>
        <v>3344.58</v>
      </c>
      <c r="P22" s="28">
        <f t="shared" ref="P22:Q22" si="52">SUM(P20:P21)</f>
        <v>3344.58</v>
      </c>
      <c r="Q22" s="28">
        <f t="shared" si="52"/>
        <v>39479.160000000003</v>
      </c>
      <c r="R22" s="77"/>
      <c r="S22" s="81"/>
    </row>
    <row r="23" spans="2:20" x14ac:dyDescent="0.35">
      <c r="B23" s="71"/>
      <c r="C23" s="80" t="s">
        <v>211</v>
      </c>
      <c r="D23" s="92">
        <f>1.03*9178.67</f>
        <v>9454.0300999999999</v>
      </c>
      <c r="E23" s="45">
        <f>ROUND(D23/12,0)</f>
        <v>788</v>
      </c>
      <c r="F23" s="6">
        <f t="shared" si="2"/>
        <v>788</v>
      </c>
      <c r="G23" s="6">
        <f t="shared" si="3"/>
        <v>788</v>
      </c>
      <c r="H23" s="6">
        <f t="shared" si="4"/>
        <v>788</v>
      </c>
      <c r="I23" s="6">
        <f t="shared" si="5"/>
        <v>788</v>
      </c>
      <c r="J23" s="6">
        <f t="shared" si="6"/>
        <v>788</v>
      </c>
      <c r="K23" s="6">
        <f t="shared" si="7"/>
        <v>788</v>
      </c>
      <c r="L23" s="6">
        <f t="shared" si="8"/>
        <v>788</v>
      </c>
      <c r="M23" s="6">
        <f t="shared" si="9"/>
        <v>788</v>
      </c>
      <c r="N23" s="6">
        <f t="shared" si="10"/>
        <v>788</v>
      </c>
      <c r="O23" s="45">
        <f>N23*1.02</f>
        <v>803.76</v>
      </c>
      <c r="P23" s="6">
        <f t="shared" ref="P23:P24" si="53">+O23</f>
        <v>803.76</v>
      </c>
      <c r="Q23" s="45">
        <f>SUM(E23:P23)</f>
        <v>9487.52</v>
      </c>
      <c r="R23" s="77"/>
      <c r="S23" s="81" t="s">
        <v>208</v>
      </c>
      <c r="T23" s="6" t="s">
        <v>89</v>
      </c>
    </row>
    <row r="24" spans="2:20" x14ac:dyDescent="0.35">
      <c r="B24" s="71"/>
      <c r="C24" s="80" t="s">
        <v>212</v>
      </c>
      <c r="D24" s="93">
        <v>0</v>
      </c>
      <c r="E24" s="15">
        <f>ROUND(D24/12,0)</f>
        <v>0</v>
      </c>
      <c r="F24" s="6">
        <f t="shared" si="2"/>
        <v>0</v>
      </c>
      <c r="G24" s="6">
        <f t="shared" si="3"/>
        <v>0</v>
      </c>
      <c r="H24" s="6">
        <f t="shared" si="4"/>
        <v>0</v>
      </c>
      <c r="I24" s="6">
        <f t="shared" si="5"/>
        <v>0</v>
      </c>
      <c r="J24" s="6">
        <f t="shared" si="6"/>
        <v>0</v>
      </c>
      <c r="K24" s="6">
        <f t="shared" si="7"/>
        <v>0</v>
      </c>
      <c r="L24" s="6">
        <f t="shared" si="8"/>
        <v>0</v>
      </c>
      <c r="M24" s="6">
        <f t="shared" si="9"/>
        <v>0</v>
      </c>
      <c r="N24" s="6">
        <f t="shared" si="10"/>
        <v>0</v>
      </c>
      <c r="O24" s="15">
        <f>N24*1.02</f>
        <v>0</v>
      </c>
      <c r="P24" s="6">
        <f t="shared" si="53"/>
        <v>0</v>
      </c>
      <c r="Q24" s="15">
        <f>SUM(E24:P24)</f>
        <v>0</v>
      </c>
      <c r="R24" s="77"/>
      <c r="S24" s="81" t="s">
        <v>231</v>
      </c>
      <c r="T24" s="6" t="s">
        <v>50</v>
      </c>
    </row>
    <row r="25" spans="2:20" x14ac:dyDescent="0.35">
      <c r="B25" s="71"/>
      <c r="C25" s="85" t="s">
        <v>264</v>
      </c>
      <c r="D25" s="87">
        <f t="shared" ref="D25" si="54">SUM(D22:D24)</f>
        <v>48807.919900000008</v>
      </c>
      <c r="E25" s="87">
        <f>SUM(E22:E24)</f>
        <v>4067</v>
      </c>
      <c r="F25" s="87">
        <f t="shared" ref="F25" si="55">SUM(F22:F24)</f>
        <v>4067</v>
      </c>
      <c r="G25" s="87">
        <f t="shared" ref="G25" si="56">SUM(G22:G24)</f>
        <v>4067</v>
      </c>
      <c r="H25" s="87">
        <f t="shared" ref="H25" si="57">SUM(H22:H24)</f>
        <v>4067</v>
      </c>
      <c r="I25" s="87">
        <f t="shared" ref="I25" si="58">SUM(I22:I24)</f>
        <v>4067</v>
      </c>
      <c r="J25" s="87">
        <f t="shared" ref="J25" si="59">SUM(J22:J24)</f>
        <v>4067</v>
      </c>
      <c r="K25" s="87">
        <f t="shared" ref="K25" si="60">SUM(K22:K24)</f>
        <v>4067</v>
      </c>
      <c r="L25" s="87">
        <f t="shared" ref="L25" si="61">SUM(L22:L24)</f>
        <v>4067</v>
      </c>
      <c r="M25" s="87">
        <f t="shared" ref="M25" si="62">SUM(M22:M24)</f>
        <v>4067</v>
      </c>
      <c r="N25" s="87">
        <f t="shared" ref="N25" si="63">SUM(N22:N24)</f>
        <v>4067</v>
      </c>
      <c r="O25" s="87">
        <f t="shared" ref="O25" si="64">SUM(O22:O24)</f>
        <v>4148.34</v>
      </c>
      <c r="P25" s="87">
        <f t="shared" ref="P25:Q25" si="65">SUM(P22:P24)</f>
        <v>4148.34</v>
      </c>
      <c r="Q25" s="8">
        <f t="shared" si="65"/>
        <v>48966.680000000008</v>
      </c>
      <c r="R25" s="77"/>
      <c r="S25" s="81"/>
    </row>
    <row r="26" spans="2:20" x14ac:dyDescent="0.35">
      <c r="B26" s="71"/>
      <c r="C26" s="80"/>
      <c r="D26" s="77"/>
      <c r="R26" s="77"/>
      <c r="S26" s="81"/>
    </row>
    <row r="27" spans="2:20" x14ac:dyDescent="0.35">
      <c r="B27" s="216">
        <f>'4500'!B1</f>
        <v>4500</v>
      </c>
      <c r="C27" s="80" t="s">
        <v>209</v>
      </c>
      <c r="D27" s="92">
        <f>1.03*34133.89</f>
        <v>35157.9067</v>
      </c>
      <c r="E27" s="45">
        <f>ROUND(D27/12,0)</f>
        <v>2930</v>
      </c>
      <c r="F27" s="45">
        <f t="shared" si="2"/>
        <v>2930</v>
      </c>
      <c r="G27" s="45">
        <f t="shared" si="3"/>
        <v>2930</v>
      </c>
      <c r="H27" s="45">
        <f t="shared" si="4"/>
        <v>2930</v>
      </c>
      <c r="I27" s="45">
        <f t="shared" si="5"/>
        <v>2930</v>
      </c>
      <c r="J27" s="45">
        <f t="shared" si="6"/>
        <v>2930</v>
      </c>
      <c r="K27" s="45">
        <f t="shared" si="7"/>
        <v>2930</v>
      </c>
      <c r="L27" s="45">
        <f t="shared" si="8"/>
        <v>2930</v>
      </c>
      <c r="M27" s="45">
        <f t="shared" si="9"/>
        <v>2930</v>
      </c>
      <c r="N27" s="45">
        <f t="shared" si="10"/>
        <v>2930</v>
      </c>
      <c r="O27" s="45">
        <f>N27*1.02</f>
        <v>2988.6</v>
      </c>
      <c r="P27" s="45">
        <f t="shared" ref="P27:P28" si="66">+O27</f>
        <v>2988.6</v>
      </c>
      <c r="Q27" s="45">
        <f>SUM(E27:P27)</f>
        <v>35277.199999999997</v>
      </c>
      <c r="R27" s="77"/>
      <c r="S27" s="81" t="s">
        <v>207</v>
      </c>
      <c r="T27" s="6" t="s">
        <v>48</v>
      </c>
    </row>
    <row r="28" spans="2:20" x14ac:dyDescent="0.35">
      <c r="B28" s="71"/>
      <c r="C28" s="80" t="s">
        <v>210</v>
      </c>
      <c r="D28" s="93">
        <f>1.03*31179.89</f>
        <v>32115.286700000001</v>
      </c>
      <c r="E28" s="15">
        <f>ROUND(D28/12,0)</f>
        <v>2676</v>
      </c>
      <c r="F28" s="15">
        <f t="shared" si="2"/>
        <v>2676</v>
      </c>
      <c r="G28" s="15">
        <f t="shared" si="3"/>
        <v>2676</v>
      </c>
      <c r="H28" s="15">
        <f t="shared" si="4"/>
        <v>2676</v>
      </c>
      <c r="I28" s="15">
        <f t="shared" si="5"/>
        <v>2676</v>
      </c>
      <c r="J28" s="15">
        <f t="shared" si="6"/>
        <v>2676</v>
      </c>
      <c r="K28" s="15">
        <f t="shared" si="7"/>
        <v>2676</v>
      </c>
      <c r="L28" s="15">
        <f t="shared" si="8"/>
        <v>2676</v>
      </c>
      <c r="M28" s="15">
        <f t="shared" si="9"/>
        <v>2676</v>
      </c>
      <c r="N28" s="15">
        <f t="shared" si="10"/>
        <v>2676</v>
      </c>
      <c r="O28" s="15">
        <f>N28*1.02</f>
        <v>2729.52</v>
      </c>
      <c r="P28" s="15">
        <f t="shared" si="66"/>
        <v>2729.52</v>
      </c>
      <c r="Q28" s="6">
        <f>SUM(E28:P28)</f>
        <v>32219.040000000001</v>
      </c>
      <c r="R28" s="77"/>
      <c r="S28" s="81" t="s">
        <v>207</v>
      </c>
      <c r="T28" s="6" t="s">
        <v>48</v>
      </c>
    </row>
    <row r="29" spans="2:20" x14ac:dyDescent="0.35">
      <c r="B29" s="71"/>
      <c r="C29" s="84" t="s">
        <v>269</v>
      </c>
      <c r="D29" s="28">
        <f>SUM(D27:D28)</f>
        <v>67273.193400000004</v>
      </c>
      <c r="E29" s="28">
        <f>SUM(E27:E28)</f>
        <v>5606</v>
      </c>
      <c r="F29" s="28">
        <f t="shared" ref="F29" si="67">SUM(F27:F28)</f>
        <v>5606</v>
      </c>
      <c r="G29" s="28">
        <f t="shared" ref="G29" si="68">SUM(G27:G28)</f>
        <v>5606</v>
      </c>
      <c r="H29" s="28">
        <f t="shared" ref="H29" si="69">SUM(H27:H28)</f>
        <v>5606</v>
      </c>
      <c r="I29" s="28">
        <f t="shared" ref="I29" si="70">SUM(I27:I28)</f>
        <v>5606</v>
      </c>
      <c r="J29" s="28">
        <f t="shared" ref="J29" si="71">SUM(J27:J28)</f>
        <v>5606</v>
      </c>
      <c r="K29" s="28">
        <f t="shared" ref="K29" si="72">SUM(K27:K28)</f>
        <v>5606</v>
      </c>
      <c r="L29" s="28">
        <f t="shared" ref="L29" si="73">SUM(L27:L28)</f>
        <v>5606</v>
      </c>
      <c r="M29" s="28">
        <f t="shared" ref="M29" si="74">SUM(M27:M28)</f>
        <v>5606</v>
      </c>
      <c r="N29" s="28">
        <f t="shared" ref="N29:O29" si="75">SUM(N27:N28)</f>
        <v>5606</v>
      </c>
      <c r="O29" s="28">
        <f t="shared" si="75"/>
        <v>5718.12</v>
      </c>
      <c r="P29" s="28">
        <f t="shared" ref="P29:Q29" si="76">SUM(P27:P28)</f>
        <v>5718.12</v>
      </c>
      <c r="Q29" s="28">
        <f t="shared" si="76"/>
        <v>67496.239999999991</v>
      </c>
      <c r="R29" s="77"/>
      <c r="S29" s="81"/>
    </row>
    <row r="30" spans="2:20" x14ac:dyDescent="0.35">
      <c r="B30" s="71"/>
      <c r="C30" s="80" t="s">
        <v>211</v>
      </c>
      <c r="D30" s="92">
        <f>1.03*11543.52</f>
        <v>11889.8256</v>
      </c>
      <c r="E30" s="6">
        <f>ROUND(D30/12,0)</f>
        <v>991</v>
      </c>
      <c r="F30" s="6">
        <f t="shared" si="2"/>
        <v>991</v>
      </c>
      <c r="G30" s="6">
        <f t="shared" si="3"/>
        <v>991</v>
      </c>
      <c r="H30" s="6">
        <f t="shared" si="4"/>
        <v>991</v>
      </c>
      <c r="I30" s="6">
        <f t="shared" si="5"/>
        <v>991</v>
      </c>
      <c r="J30" s="6">
        <f t="shared" si="6"/>
        <v>991</v>
      </c>
      <c r="K30" s="6">
        <f t="shared" si="7"/>
        <v>991</v>
      </c>
      <c r="L30" s="6">
        <f t="shared" si="8"/>
        <v>991</v>
      </c>
      <c r="M30" s="6">
        <f t="shared" si="9"/>
        <v>991</v>
      </c>
      <c r="N30" s="6">
        <f t="shared" si="10"/>
        <v>991</v>
      </c>
      <c r="O30" s="45">
        <f>N30*1.02</f>
        <v>1010.82</v>
      </c>
      <c r="P30" s="6">
        <f t="shared" ref="P30:P31" si="77">+O30</f>
        <v>1010.82</v>
      </c>
      <c r="Q30" s="45">
        <f>SUM(E30:P30)</f>
        <v>11931.64</v>
      </c>
      <c r="R30" s="77"/>
      <c r="S30" s="81" t="s">
        <v>208</v>
      </c>
      <c r="T30" s="6" t="s">
        <v>89</v>
      </c>
    </row>
    <row r="31" spans="2:20" x14ac:dyDescent="0.35">
      <c r="B31" s="71"/>
      <c r="C31" s="80" t="s">
        <v>212</v>
      </c>
      <c r="D31" s="93">
        <v>0</v>
      </c>
      <c r="E31" s="6">
        <f>ROUND(D31/12,0)</f>
        <v>0</v>
      </c>
      <c r="F31" s="6">
        <f t="shared" si="2"/>
        <v>0</v>
      </c>
      <c r="G31" s="6">
        <f t="shared" si="3"/>
        <v>0</v>
      </c>
      <c r="H31" s="6">
        <f t="shared" si="4"/>
        <v>0</v>
      </c>
      <c r="I31" s="6">
        <f t="shared" si="5"/>
        <v>0</v>
      </c>
      <c r="J31" s="6">
        <f t="shared" si="6"/>
        <v>0</v>
      </c>
      <c r="K31" s="6">
        <f t="shared" si="7"/>
        <v>0</v>
      </c>
      <c r="L31" s="6">
        <f t="shared" si="8"/>
        <v>0</v>
      </c>
      <c r="M31" s="6">
        <f t="shared" si="9"/>
        <v>0</v>
      </c>
      <c r="N31" s="6">
        <f t="shared" si="10"/>
        <v>0</v>
      </c>
      <c r="O31" s="15">
        <f>N31*1.02</f>
        <v>0</v>
      </c>
      <c r="P31" s="6">
        <f t="shared" si="77"/>
        <v>0</v>
      </c>
      <c r="Q31" s="15">
        <f>SUM(E31:P31)</f>
        <v>0</v>
      </c>
      <c r="R31" s="77"/>
      <c r="S31" s="81" t="s">
        <v>231</v>
      </c>
      <c r="T31" s="6" t="s">
        <v>50</v>
      </c>
    </row>
    <row r="32" spans="2:20" x14ac:dyDescent="0.35">
      <c r="B32" s="71"/>
      <c r="C32" s="85" t="s">
        <v>264</v>
      </c>
      <c r="D32" s="87">
        <f t="shared" ref="D32" si="78">SUM(D29:D31)</f>
        <v>79163.019</v>
      </c>
      <c r="E32" s="87">
        <f>SUM(E29:E31)</f>
        <v>6597</v>
      </c>
      <c r="F32" s="87">
        <f t="shared" ref="F32" si="79">SUM(F29:F31)</f>
        <v>6597</v>
      </c>
      <c r="G32" s="87">
        <f t="shared" ref="G32" si="80">SUM(G29:G31)</f>
        <v>6597</v>
      </c>
      <c r="H32" s="87">
        <f t="shared" ref="H32" si="81">SUM(H29:H31)</f>
        <v>6597</v>
      </c>
      <c r="I32" s="87">
        <f t="shared" ref="I32" si="82">SUM(I29:I31)</f>
        <v>6597</v>
      </c>
      <c r="J32" s="87">
        <f t="shared" ref="J32" si="83">SUM(J29:J31)</f>
        <v>6597</v>
      </c>
      <c r="K32" s="87">
        <f t="shared" ref="K32" si="84">SUM(K29:K31)</f>
        <v>6597</v>
      </c>
      <c r="L32" s="87">
        <f t="shared" ref="L32" si="85">SUM(L29:L31)</f>
        <v>6597</v>
      </c>
      <c r="M32" s="87">
        <f t="shared" ref="M32" si="86">SUM(M29:M31)</f>
        <v>6597</v>
      </c>
      <c r="N32" s="87">
        <f t="shared" ref="N32" si="87">SUM(N29:N31)</f>
        <v>6597</v>
      </c>
      <c r="O32" s="87">
        <f t="shared" ref="O32" si="88">SUM(O29:O31)</f>
        <v>6728.94</v>
      </c>
      <c r="P32" s="87">
        <f t="shared" ref="P32:Q32" si="89">SUM(P29:P31)</f>
        <v>6728.94</v>
      </c>
      <c r="Q32" s="8">
        <f t="shared" si="89"/>
        <v>79427.87999999999</v>
      </c>
      <c r="R32" s="77"/>
      <c r="S32" s="81"/>
    </row>
    <row r="33" spans="2:20" x14ac:dyDescent="0.35">
      <c r="B33" s="71"/>
      <c r="C33" s="80"/>
      <c r="D33" s="77"/>
      <c r="R33" s="77"/>
      <c r="S33" s="81"/>
    </row>
    <row r="34" spans="2:20" x14ac:dyDescent="0.35">
      <c r="B34" s="216">
        <f>'5600'!B1</f>
        <v>5600</v>
      </c>
      <c r="C34" s="80" t="s">
        <v>209</v>
      </c>
      <c r="D34" s="92">
        <f>1.03*183.77</f>
        <v>189.28310000000002</v>
      </c>
      <c r="E34" s="45">
        <f>ROUND(D34/12,0)</f>
        <v>16</v>
      </c>
      <c r="F34" s="45">
        <f t="shared" si="2"/>
        <v>16</v>
      </c>
      <c r="G34" s="45">
        <f t="shared" si="3"/>
        <v>16</v>
      </c>
      <c r="H34" s="45">
        <f t="shared" si="4"/>
        <v>16</v>
      </c>
      <c r="I34" s="45">
        <f t="shared" si="5"/>
        <v>16</v>
      </c>
      <c r="J34" s="45">
        <f t="shared" si="6"/>
        <v>16</v>
      </c>
      <c r="K34" s="45">
        <f t="shared" si="7"/>
        <v>16</v>
      </c>
      <c r="L34" s="45">
        <f t="shared" si="8"/>
        <v>16</v>
      </c>
      <c r="M34" s="45">
        <f t="shared" si="9"/>
        <v>16</v>
      </c>
      <c r="N34" s="45">
        <f t="shared" si="10"/>
        <v>16</v>
      </c>
      <c r="O34" s="45">
        <f>N34*1.02</f>
        <v>16.32</v>
      </c>
      <c r="P34" s="45">
        <f t="shared" ref="P34:P35" si="90">+O34</f>
        <v>16.32</v>
      </c>
      <c r="Q34" s="45">
        <f>SUM(E34:P34)</f>
        <v>192.64</v>
      </c>
      <c r="R34" s="77"/>
      <c r="S34" s="81" t="s">
        <v>207</v>
      </c>
      <c r="T34" s="6" t="s">
        <v>48</v>
      </c>
    </row>
    <row r="35" spans="2:20" x14ac:dyDescent="0.35">
      <c r="B35" s="71"/>
      <c r="C35" s="80" t="s">
        <v>210</v>
      </c>
      <c r="D35" s="93">
        <f>1.03*168.61</f>
        <v>173.66830000000002</v>
      </c>
      <c r="E35" s="15">
        <f>ROUND(D35/12,0)</f>
        <v>14</v>
      </c>
      <c r="F35" s="15">
        <f t="shared" si="2"/>
        <v>14</v>
      </c>
      <c r="G35" s="15">
        <f t="shared" si="3"/>
        <v>14</v>
      </c>
      <c r="H35" s="15">
        <f t="shared" si="4"/>
        <v>14</v>
      </c>
      <c r="I35" s="15">
        <f t="shared" si="5"/>
        <v>14</v>
      </c>
      <c r="J35" s="15">
        <f t="shared" si="6"/>
        <v>14</v>
      </c>
      <c r="K35" s="15">
        <f t="shared" si="7"/>
        <v>14</v>
      </c>
      <c r="L35" s="15">
        <f t="shared" si="8"/>
        <v>14</v>
      </c>
      <c r="M35" s="15">
        <f t="shared" si="9"/>
        <v>14</v>
      </c>
      <c r="N35" s="15">
        <f t="shared" si="10"/>
        <v>14</v>
      </c>
      <c r="O35" s="15">
        <f>N35*1.02</f>
        <v>14.280000000000001</v>
      </c>
      <c r="P35" s="15">
        <f t="shared" si="90"/>
        <v>14.280000000000001</v>
      </c>
      <c r="Q35" s="6">
        <f>SUM(E35:P35)</f>
        <v>168.56</v>
      </c>
      <c r="R35" s="77"/>
      <c r="S35" s="81" t="s">
        <v>207</v>
      </c>
      <c r="T35" s="6" t="s">
        <v>48</v>
      </c>
    </row>
    <row r="36" spans="2:20" x14ac:dyDescent="0.35">
      <c r="B36" s="71"/>
      <c r="C36" s="84" t="s">
        <v>269</v>
      </c>
      <c r="D36" s="28">
        <f>SUM(D34:D35)</f>
        <v>362.95140000000004</v>
      </c>
      <c r="E36" s="28">
        <f>SUM(E34:E35)</f>
        <v>30</v>
      </c>
      <c r="F36" s="28">
        <f t="shared" ref="F36" si="91">SUM(F34:F35)</f>
        <v>30</v>
      </c>
      <c r="G36" s="28">
        <f t="shared" ref="G36" si="92">SUM(G34:G35)</f>
        <v>30</v>
      </c>
      <c r="H36" s="28">
        <f t="shared" ref="H36" si="93">SUM(H34:H35)</f>
        <v>30</v>
      </c>
      <c r="I36" s="28">
        <f t="shared" ref="I36" si="94">SUM(I34:I35)</f>
        <v>30</v>
      </c>
      <c r="J36" s="28">
        <f t="shared" ref="J36" si="95">SUM(J34:J35)</f>
        <v>30</v>
      </c>
      <c r="K36" s="28">
        <f t="shared" ref="K36" si="96">SUM(K34:K35)</f>
        <v>30</v>
      </c>
      <c r="L36" s="28">
        <f t="shared" ref="L36" si="97">SUM(L34:L35)</f>
        <v>30</v>
      </c>
      <c r="M36" s="28">
        <f t="shared" ref="M36" si="98">SUM(M34:M35)</f>
        <v>30</v>
      </c>
      <c r="N36" s="28">
        <f t="shared" ref="N36:O36" si="99">SUM(N34:N35)</f>
        <v>30</v>
      </c>
      <c r="O36" s="28">
        <f t="shared" si="99"/>
        <v>30.6</v>
      </c>
      <c r="P36" s="28">
        <f t="shared" ref="P36:Q36" si="100">SUM(P34:P35)</f>
        <v>30.6</v>
      </c>
      <c r="Q36" s="28">
        <f t="shared" si="100"/>
        <v>361.2</v>
      </c>
      <c r="R36" s="77"/>
      <c r="S36" s="81"/>
    </row>
    <row r="37" spans="2:20" x14ac:dyDescent="0.35">
      <c r="B37" s="71"/>
      <c r="C37" s="80" t="s">
        <v>211</v>
      </c>
      <c r="D37" s="92">
        <f>1.03*160.3</f>
        <v>165.10900000000001</v>
      </c>
      <c r="E37" s="6">
        <f>ROUND(D37/12,0)</f>
        <v>14</v>
      </c>
      <c r="F37" s="6">
        <f t="shared" si="2"/>
        <v>14</v>
      </c>
      <c r="G37" s="6">
        <f t="shared" si="3"/>
        <v>14</v>
      </c>
      <c r="H37" s="6">
        <f t="shared" si="4"/>
        <v>14</v>
      </c>
      <c r="I37" s="6">
        <f t="shared" si="5"/>
        <v>14</v>
      </c>
      <c r="J37" s="6">
        <f t="shared" si="6"/>
        <v>14</v>
      </c>
      <c r="K37" s="6">
        <f t="shared" si="7"/>
        <v>14</v>
      </c>
      <c r="L37" s="6">
        <f t="shared" si="8"/>
        <v>14</v>
      </c>
      <c r="M37" s="6">
        <f t="shared" si="9"/>
        <v>14</v>
      </c>
      <c r="N37" s="6">
        <f t="shared" si="10"/>
        <v>14</v>
      </c>
      <c r="O37" s="45">
        <f>N37*1.02</f>
        <v>14.280000000000001</v>
      </c>
      <c r="P37" s="6">
        <f t="shared" ref="P37:P38" si="101">+O37</f>
        <v>14.280000000000001</v>
      </c>
      <c r="Q37" s="45">
        <f>SUM(E37:P37)</f>
        <v>168.56</v>
      </c>
      <c r="R37" s="77"/>
      <c r="S37" s="81" t="s">
        <v>208</v>
      </c>
      <c r="T37" s="6" t="s">
        <v>89</v>
      </c>
    </row>
    <row r="38" spans="2:20" x14ac:dyDescent="0.35">
      <c r="B38" s="71"/>
      <c r="C38" s="80" t="s">
        <v>212</v>
      </c>
      <c r="D38" s="93">
        <v>0</v>
      </c>
      <c r="E38" s="6">
        <f>ROUND(D38/12,0)</f>
        <v>0</v>
      </c>
      <c r="F38" s="6">
        <f t="shared" si="2"/>
        <v>0</v>
      </c>
      <c r="G38" s="6">
        <f t="shared" si="3"/>
        <v>0</v>
      </c>
      <c r="H38" s="6">
        <f t="shared" si="4"/>
        <v>0</v>
      </c>
      <c r="I38" s="6">
        <f t="shared" si="5"/>
        <v>0</v>
      </c>
      <c r="J38" s="6">
        <f t="shared" si="6"/>
        <v>0</v>
      </c>
      <c r="K38" s="6">
        <f t="shared" si="7"/>
        <v>0</v>
      </c>
      <c r="L38" s="6">
        <f t="shared" si="8"/>
        <v>0</v>
      </c>
      <c r="M38" s="6">
        <f t="shared" si="9"/>
        <v>0</v>
      </c>
      <c r="N38" s="6">
        <f t="shared" si="10"/>
        <v>0</v>
      </c>
      <c r="O38" s="15">
        <f>N38*1.02</f>
        <v>0</v>
      </c>
      <c r="P38" s="6">
        <f t="shared" si="101"/>
        <v>0</v>
      </c>
      <c r="Q38" s="15">
        <f>SUM(E38:P38)</f>
        <v>0</v>
      </c>
      <c r="R38" s="77"/>
      <c r="S38" s="81" t="s">
        <v>231</v>
      </c>
      <c r="T38" s="6" t="s">
        <v>50</v>
      </c>
    </row>
    <row r="39" spans="2:20" x14ac:dyDescent="0.35">
      <c r="B39" s="71"/>
      <c r="C39" s="85" t="s">
        <v>264</v>
      </c>
      <c r="D39" s="87">
        <f t="shared" ref="D39" si="102">SUM(D36:D38)</f>
        <v>528.06040000000007</v>
      </c>
      <c r="E39" s="87">
        <f>SUM(E36:E38)</f>
        <v>44</v>
      </c>
      <c r="F39" s="87">
        <f t="shared" ref="F39" si="103">SUM(F36:F38)</f>
        <v>44</v>
      </c>
      <c r="G39" s="87">
        <f t="shared" ref="G39" si="104">SUM(G36:G38)</f>
        <v>44</v>
      </c>
      <c r="H39" s="87">
        <f t="shared" ref="H39" si="105">SUM(H36:H38)</f>
        <v>44</v>
      </c>
      <c r="I39" s="87">
        <f t="shared" ref="I39" si="106">SUM(I36:I38)</f>
        <v>44</v>
      </c>
      <c r="J39" s="87">
        <f t="shared" ref="J39" si="107">SUM(J36:J38)</f>
        <v>44</v>
      </c>
      <c r="K39" s="87">
        <f t="shared" ref="K39" si="108">SUM(K36:K38)</f>
        <v>44</v>
      </c>
      <c r="L39" s="87">
        <f t="shared" ref="L39" si="109">SUM(L36:L38)</f>
        <v>44</v>
      </c>
      <c r="M39" s="87">
        <f t="shared" ref="M39" si="110">SUM(M36:M38)</f>
        <v>44</v>
      </c>
      <c r="N39" s="87">
        <f t="shared" ref="N39" si="111">SUM(N36:N38)</f>
        <v>44</v>
      </c>
      <c r="O39" s="87">
        <f t="shared" ref="O39" si="112">SUM(O36:O38)</f>
        <v>44.88</v>
      </c>
      <c r="P39" s="87">
        <f t="shared" ref="P39:Q39" si="113">SUM(P36:P38)</f>
        <v>44.88</v>
      </c>
      <c r="Q39" s="8">
        <f t="shared" si="113"/>
        <v>529.76</v>
      </c>
      <c r="R39" s="77"/>
      <c r="S39" s="81"/>
    </row>
    <row r="40" spans="2:20" x14ac:dyDescent="0.35">
      <c r="B40" s="71"/>
      <c r="C40" s="80"/>
      <c r="D40" s="77"/>
      <c r="R40" s="77"/>
      <c r="S40" s="81"/>
    </row>
    <row r="41" spans="2:20" x14ac:dyDescent="0.35">
      <c r="B41" s="216">
        <f>'7010'!B1</f>
        <v>7010</v>
      </c>
      <c r="C41" s="80" t="s">
        <v>209</v>
      </c>
      <c r="D41" s="92">
        <f>1.03*21711.07</f>
        <v>22362.402099999999</v>
      </c>
      <c r="E41" s="45">
        <f>ROUND(D41/12,0)</f>
        <v>1864</v>
      </c>
      <c r="F41" s="45">
        <f t="shared" si="2"/>
        <v>1864</v>
      </c>
      <c r="G41" s="45">
        <f t="shared" si="3"/>
        <v>1864</v>
      </c>
      <c r="H41" s="45">
        <f t="shared" si="4"/>
        <v>1864</v>
      </c>
      <c r="I41" s="45">
        <f t="shared" si="5"/>
        <v>1864</v>
      </c>
      <c r="J41" s="45">
        <f t="shared" si="6"/>
        <v>1864</v>
      </c>
      <c r="K41" s="45">
        <f t="shared" si="7"/>
        <v>1864</v>
      </c>
      <c r="L41" s="45">
        <f t="shared" si="8"/>
        <v>1864</v>
      </c>
      <c r="M41" s="45">
        <f t="shared" si="9"/>
        <v>1864</v>
      </c>
      <c r="N41" s="45">
        <f t="shared" si="10"/>
        <v>1864</v>
      </c>
      <c r="O41" s="45">
        <f>N41*1.02</f>
        <v>1901.28</v>
      </c>
      <c r="P41" s="45">
        <f t="shared" ref="P41:P42" si="114">+O41</f>
        <v>1901.28</v>
      </c>
      <c r="Q41" s="45">
        <f>SUM(E41:P41)</f>
        <v>22442.559999999998</v>
      </c>
      <c r="R41" s="77"/>
      <c r="S41" s="81" t="s">
        <v>207</v>
      </c>
      <c r="T41" s="6" t="s">
        <v>48</v>
      </c>
    </row>
    <row r="42" spans="2:20" x14ac:dyDescent="0.35">
      <c r="B42" s="71"/>
      <c r="C42" s="80" t="s">
        <v>210</v>
      </c>
      <c r="D42" s="93">
        <f>1.03*19919.69</f>
        <v>20517.280699999999</v>
      </c>
      <c r="E42" s="15">
        <f>ROUND(D42/12,0)</f>
        <v>1710</v>
      </c>
      <c r="F42" s="15">
        <f t="shared" si="2"/>
        <v>1710</v>
      </c>
      <c r="G42" s="15">
        <f t="shared" si="3"/>
        <v>1710</v>
      </c>
      <c r="H42" s="15">
        <f t="shared" si="4"/>
        <v>1710</v>
      </c>
      <c r="I42" s="15">
        <f t="shared" si="5"/>
        <v>1710</v>
      </c>
      <c r="J42" s="15">
        <f t="shared" si="6"/>
        <v>1710</v>
      </c>
      <c r="K42" s="15">
        <f t="shared" si="7"/>
        <v>1710</v>
      </c>
      <c r="L42" s="15">
        <f t="shared" si="8"/>
        <v>1710</v>
      </c>
      <c r="M42" s="15">
        <f t="shared" si="9"/>
        <v>1710</v>
      </c>
      <c r="N42" s="15">
        <f t="shared" si="10"/>
        <v>1710</v>
      </c>
      <c r="O42" s="15">
        <f>N42*1.02</f>
        <v>1744.2</v>
      </c>
      <c r="P42" s="15">
        <f t="shared" si="114"/>
        <v>1744.2</v>
      </c>
      <c r="Q42" s="6">
        <f>SUM(E42:P42)</f>
        <v>20588.400000000001</v>
      </c>
      <c r="R42" s="77"/>
      <c r="S42" s="81" t="s">
        <v>207</v>
      </c>
      <c r="T42" s="6" t="s">
        <v>48</v>
      </c>
    </row>
    <row r="43" spans="2:20" x14ac:dyDescent="0.35">
      <c r="B43" s="71"/>
      <c r="C43" s="84" t="s">
        <v>269</v>
      </c>
      <c r="D43" s="28">
        <f>SUM(D41:D42)</f>
        <v>42879.682799999995</v>
      </c>
      <c r="E43" s="28">
        <f>SUM(E41:E42)</f>
        <v>3574</v>
      </c>
      <c r="F43" s="28">
        <f t="shared" ref="F43" si="115">SUM(F41:F42)</f>
        <v>3574</v>
      </c>
      <c r="G43" s="28">
        <f t="shared" ref="G43" si="116">SUM(G41:G42)</f>
        <v>3574</v>
      </c>
      <c r="H43" s="28">
        <f t="shared" ref="H43" si="117">SUM(H41:H42)</f>
        <v>3574</v>
      </c>
      <c r="I43" s="28">
        <f t="shared" ref="I43" si="118">SUM(I41:I42)</f>
        <v>3574</v>
      </c>
      <c r="J43" s="28">
        <f t="shared" ref="J43" si="119">SUM(J41:J42)</f>
        <v>3574</v>
      </c>
      <c r="K43" s="28">
        <f t="shared" ref="K43" si="120">SUM(K41:K42)</f>
        <v>3574</v>
      </c>
      <c r="L43" s="28">
        <f t="shared" ref="L43" si="121">SUM(L41:L42)</f>
        <v>3574</v>
      </c>
      <c r="M43" s="28">
        <f t="shared" ref="M43" si="122">SUM(M41:M42)</f>
        <v>3574</v>
      </c>
      <c r="N43" s="28">
        <f t="shared" ref="N43:O43" si="123">SUM(N41:N42)</f>
        <v>3574</v>
      </c>
      <c r="O43" s="28">
        <f t="shared" si="123"/>
        <v>3645.48</v>
      </c>
      <c r="P43" s="28">
        <f t="shared" ref="P43:Q43" si="124">SUM(P41:P42)</f>
        <v>3645.48</v>
      </c>
      <c r="Q43" s="28">
        <f t="shared" si="124"/>
        <v>43030.96</v>
      </c>
      <c r="R43" s="77"/>
      <c r="S43" s="81"/>
    </row>
    <row r="44" spans="2:20" x14ac:dyDescent="0.35">
      <c r="B44" s="71"/>
      <c r="C44" s="80" t="s">
        <v>211</v>
      </c>
      <c r="D44" s="92">
        <f>1.03*9069.07</f>
        <v>9341.1420999999991</v>
      </c>
      <c r="E44" s="6">
        <f>ROUND(D44/12,0)</f>
        <v>778</v>
      </c>
      <c r="F44" s="6">
        <f t="shared" si="2"/>
        <v>778</v>
      </c>
      <c r="G44" s="6">
        <f t="shared" si="3"/>
        <v>778</v>
      </c>
      <c r="H44" s="6">
        <f t="shared" si="4"/>
        <v>778</v>
      </c>
      <c r="I44" s="6">
        <f t="shared" si="5"/>
        <v>778</v>
      </c>
      <c r="J44" s="6">
        <f t="shared" si="6"/>
        <v>778</v>
      </c>
      <c r="K44" s="6">
        <f t="shared" si="7"/>
        <v>778</v>
      </c>
      <c r="L44" s="6">
        <f t="shared" si="8"/>
        <v>778</v>
      </c>
      <c r="M44" s="6">
        <f t="shared" si="9"/>
        <v>778</v>
      </c>
      <c r="N44" s="6">
        <f t="shared" si="10"/>
        <v>778</v>
      </c>
      <c r="O44" s="45">
        <f>N44*1.02</f>
        <v>793.56000000000006</v>
      </c>
      <c r="P44" s="6">
        <f t="shared" ref="P44:P45" si="125">+O44</f>
        <v>793.56000000000006</v>
      </c>
      <c r="Q44" s="45">
        <f>SUM(E44:P44)</f>
        <v>9367.119999999999</v>
      </c>
      <c r="R44" s="77"/>
      <c r="S44" s="81" t="s">
        <v>208</v>
      </c>
      <c r="T44" s="6" t="s">
        <v>89</v>
      </c>
    </row>
    <row r="45" spans="2:20" x14ac:dyDescent="0.35">
      <c r="B45" s="71"/>
      <c r="C45" s="80" t="s">
        <v>212</v>
      </c>
      <c r="D45" s="93">
        <v>0</v>
      </c>
      <c r="E45" s="6">
        <f>ROUND(D45/12,0)</f>
        <v>0</v>
      </c>
      <c r="F45" s="6">
        <f t="shared" si="2"/>
        <v>0</v>
      </c>
      <c r="G45" s="6">
        <f t="shared" si="3"/>
        <v>0</v>
      </c>
      <c r="H45" s="6">
        <f t="shared" si="4"/>
        <v>0</v>
      </c>
      <c r="I45" s="6">
        <f t="shared" si="5"/>
        <v>0</v>
      </c>
      <c r="J45" s="6">
        <f t="shared" si="6"/>
        <v>0</v>
      </c>
      <c r="K45" s="6">
        <f t="shared" si="7"/>
        <v>0</v>
      </c>
      <c r="L45" s="6">
        <f t="shared" si="8"/>
        <v>0</v>
      </c>
      <c r="M45" s="6">
        <f t="shared" si="9"/>
        <v>0</v>
      </c>
      <c r="N45" s="6">
        <f t="shared" si="10"/>
        <v>0</v>
      </c>
      <c r="O45" s="15">
        <f>N45*1.02</f>
        <v>0</v>
      </c>
      <c r="P45" s="6">
        <f t="shared" si="125"/>
        <v>0</v>
      </c>
      <c r="Q45" s="15">
        <f>SUM(E45:P45)</f>
        <v>0</v>
      </c>
      <c r="R45" s="77"/>
      <c r="S45" s="81" t="s">
        <v>231</v>
      </c>
      <c r="T45" s="6" t="s">
        <v>50</v>
      </c>
    </row>
    <row r="46" spans="2:20" x14ac:dyDescent="0.35">
      <c r="B46" s="71"/>
      <c r="C46" s="85" t="s">
        <v>264</v>
      </c>
      <c r="D46" s="87">
        <f t="shared" ref="D46" si="126">SUM(D43:D45)</f>
        <v>52220.824899999992</v>
      </c>
      <c r="E46" s="87">
        <f>SUM(E43:E45)</f>
        <v>4352</v>
      </c>
      <c r="F46" s="87">
        <f t="shared" ref="F46" si="127">SUM(F43:F45)</f>
        <v>4352</v>
      </c>
      <c r="G46" s="87">
        <f t="shared" ref="G46" si="128">SUM(G43:G45)</f>
        <v>4352</v>
      </c>
      <c r="H46" s="87">
        <f t="shared" ref="H46" si="129">SUM(H43:H45)</f>
        <v>4352</v>
      </c>
      <c r="I46" s="87">
        <f t="shared" ref="I46" si="130">SUM(I43:I45)</f>
        <v>4352</v>
      </c>
      <c r="J46" s="87">
        <f t="shared" ref="J46" si="131">SUM(J43:J45)</f>
        <v>4352</v>
      </c>
      <c r="K46" s="87">
        <f t="shared" ref="K46" si="132">SUM(K43:K45)</f>
        <v>4352</v>
      </c>
      <c r="L46" s="87">
        <f t="shared" ref="L46" si="133">SUM(L43:L45)</f>
        <v>4352</v>
      </c>
      <c r="M46" s="87">
        <f t="shared" ref="M46" si="134">SUM(M43:M45)</f>
        <v>4352</v>
      </c>
      <c r="N46" s="87">
        <f t="shared" ref="N46" si="135">SUM(N43:N45)</f>
        <v>4352</v>
      </c>
      <c r="O46" s="87">
        <f t="shared" ref="O46" si="136">SUM(O43:O45)</f>
        <v>4439.04</v>
      </c>
      <c r="P46" s="87">
        <f t="shared" ref="P46:Q46" si="137">SUM(P43:P45)</f>
        <v>4439.04</v>
      </c>
      <c r="Q46" s="8">
        <f t="shared" si="137"/>
        <v>52398.080000000002</v>
      </c>
      <c r="R46" s="77"/>
      <c r="S46" s="81"/>
    </row>
    <row r="47" spans="2:20" x14ac:dyDescent="0.35">
      <c r="B47" s="71"/>
      <c r="C47" s="80"/>
      <c r="D47" s="77"/>
      <c r="R47" s="77"/>
      <c r="S47" s="81"/>
    </row>
    <row r="48" spans="2:20" x14ac:dyDescent="0.35">
      <c r="B48" s="216">
        <f>'7200'!B1</f>
        <v>7200</v>
      </c>
      <c r="C48" s="80" t="s">
        <v>209</v>
      </c>
      <c r="D48" s="92">
        <f>1.03*2548.84</f>
        <v>2625.3052000000002</v>
      </c>
      <c r="E48" s="45">
        <f>ROUND(D48/12,0)</f>
        <v>219</v>
      </c>
      <c r="F48" s="45">
        <f t="shared" si="2"/>
        <v>219</v>
      </c>
      <c r="G48" s="45">
        <f t="shared" si="3"/>
        <v>219</v>
      </c>
      <c r="H48" s="45">
        <f t="shared" si="4"/>
        <v>219</v>
      </c>
      <c r="I48" s="45">
        <f t="shared" si="5"/>
        <v>219</v>
      </c>
      <c r="J48" s="45">
        <f t="shared" si="6"/>
        <v>219</v>
      </c>
      <c r="K48" s="45">
        <f t="shared" si="7"/>
        <v>219</v>
      </c>
      <c r="L48" s="45">
        <f t="shared" si="8"/>
        <v>219</v>
      </c>
      <c r="M48" s="45">
        <f t="shared" si="9"/>
        <v>219</v>
      </c>
      <c r="N48" s="45">
        <f t="shared" si="10"/>
        <v>219</v>
      </c>
      <c r="O48" s="45">
        <f>N48*1.02</f>
        <v>223.38</v>
      </c>
      <c r="P48" s="45">
        <f t="shared" ref="P48:P49" si="138">+O48</f>
        <v>223.38</v>
      </c>
      <c r="Q48" s="45">
        <f>SUM(E48:P48)</f>
        <v>2636.76</v>
      </c>
      <c r="R48" s="77"/>
      <c r="S48" s="81" t="s">
        <v>207</v>
      </c>
      <c r="T48" s="6" t="s">
        <v>48</v>
      </c>
    </row>
    <row r="49" spans="2:20" x14ac:dyDescent="0.35">
      <c r="B49" s="71"/>
      <c r="C49" s="80" t="s">
        <v>210</v>
      </c>
      <c r="D49" s="93">
        <f>1.03*2338.54</f>
        <v>2408.6961999999999</v>
      </c>
      <c r="E49" s="15">
        <f>ROUND(D49/12,0)</f>
        <v>201</v>
      </c>
      <c r="F49" s="15">
        <f t="shared" si="2"/>
        <v>201</v>
      </c>
      <c r="G49" s="15">
        <f t="shared" si="3"/>
        <v>201</v>
      </c>
      <c r="H49" s="15">
        <f t="shared" si="4"/>
        <v>201</v>
      </c>
      <c r="I49" s="15">
        <f t="shared" si="5"/>
        <v>201</v>
      </c>
      <c r="J49" s="15">
        <f t="shared" si="6"/>
        <v>201</v>
      </c>
      <c r="K49" s="15">
        <f t="shared" si="7"/>
        <v>201</v>
      </c>
      <c r="L49" s="15">
        <f t="shared" si="8"/>
        <v>201</v>
      </c>
      <c r="M49" s="15">
        <f t="shared" si="9"/>
        <v>201</v>
      </c>
      <c r="N49" s="15">
        <f t="shared" si="10"/>
        <v>201</v>
      </c>
      <c r="O49" s="15">
        <f>N49*1.02</f>
        <v>205.02</v>
      </c>
      <c r="P49" s="15">
        <f t="shared" si="138"/>
        <v>205.02</v>
      </c>
      <c r="Q49" s="6">
        <f>SUM(E49:P49)</f>
        <v>2420.04</v>
      </c>
      <c r="R49" s="77"/>
      <c r="S49" s="81" t="s">
        <v>207</v>
      </c>
      <c r="T49" s="6" t="s">
        <v>48</v>
      </c>
    </row>
    <row r="50" spans="2:20" x14ac:dyDescent="0.35">
      <c r="B50" s="71"/>
      <c r="C50" s="84" t="s">
        <v>269</v>
      </c>
      <c r="D50" s="28">
        <f>SUM(D48:D49)</f>
        <v>5034.0014000000001</v>
      </c>
      <c r="E50" s="28">
        <f>SUM(E48:E49)</f>
        <v>420</v>
      </c>
      <c r="F50" s="28">
        <f t="shared" ref="F50" si="139">SUM(F48:F49)</f>
        <v>420</v>
      </c>
      <c r="G50" s="28">
        <f t="shared" ref="G50" si="140">SUM(G48:G49)</f>
        <v>420</v>
      </c>
      <c r="H50" s="28">
        <f t="shared" ref="H50" si="141">SUM(H48:H49)</f>
        <v>420</v>
      </c>
      <c r="I50" s="28">
        <f t="shared" ref="I50" si="142">SUM(I48:I49)</f>
        <v>420</v>
      </c>
      <c r="J50" s="28">
        <f t="shared" ref="J50" si="143">SUM(J48:J49)</f>
        <v>420</v>
      </c>
      <c r="K50" s="28">
        <f t="shared" ref="K50" si="144">SUM(K48:K49)</f>
        <v>420</v>
      </c>
      <c r="L50" s="28">
        <f t="shared" ref="L50" si="145">SUM(L48:L49)</f>
        <v>420</v>
      </c>
      <c r="M50" s="28">
        <f t="shared" ref="M50" si="146">SUM(M48:M49)</f>
        <v>420</v>
      </c>
      <c r="N50" s="28">
        <f t="shared" ref="N50:O50" si="147">SUM(N48:N49)</f>
        <v>420</v>
      </c>
      <c r="O50" s="28">
        <f t="shared" si="147"/>
        <v>428.4</v>
      </c>
      <c r="P50" s="28">
        <f t="shared" ref="P50:Q50" si="148">SUM(P48:P49)</f>
        <v>428.4</v>
      </c>
      <c r="Q50" s="28">
        <f t="shared" si="148"/>
        <v>5056.8</v>
      </c>
      <c r="R50" s="77"/>
      <c r="S50" s="81"/>
    </row>
    <row r="51" spans="2:20" x14ac:dyDescent="0.35">
      <c r="B51" s="71"/>
      <c r="C51" s="80" t="s">
        <v>211</v>
      </c>
      <c r="D51" s="92">
        <f>1.03*1751.48</f>
        <v>1804.0244</v>
      </c>
      <c r="E51" s="6">
        <f>ROUND(D51/12,0)</f>
        <v>150</v>
      </c>
      <c r="F51" s="6">
        <f t="shared" si="2"/>
        <v>150</v>
      </c>
      <c r="G51" s="6">
        <f t="shared" si="3"/>
        <v>150</v>
      </c>
      <c r="H51" s="6">
        <f t="shared" si="4"/>
        <v>150</v>
      </c>
      <c r="I51" s="6">
        <f t="shared" si="5"/>
        <v>150</v>
      </c>
      <c r="J51" s="6">
        <f t="shared" si="6"/>
        <v>150</v>
      </c>
      <c r="K51" s="6">
        <f t="shared" si="7"/>
        <v>150</v>
      </c>
      <c r="L51" s="6">
        <f t="shared" si="8"/>
        <v>150</v>
      </c>
      <c r="M51" s="6">
        <f t="shared" si="9"/>
        <v>150</v>
      </c>
      <c r="N51" s="6">
        <f t="shared" si="10"/>
        <v>150</v>
      </c>
      <c r="O51" s="45">
        <f>N51*1.02</f>
        <v>153</v>
      </c>
      <c r="P51" s="6">
        <f t="shared" ref="P51:P52" si="149">+O51</f>
        <v>153</v>
      </c>
      <c r="Q51" s="45">
        <f>SUM(E51:P51)</f>
        <v>1806</v>
      </c>
      <c r="R51" s="77"/>
      <c r="S51" s="81" t="s">
        <v>208</v>
      </c>
      <c r="T51" s="6" t="s">
        <v>89</v>
      </c>
    </row>
    <row r="52" spans="2:20" x14ac:dyDescent="0.35">
      <c r="B52" s="71"/>
      <c r="C52" s="80" t="s">
        <v>212</v>
      </c>
      <c r="D52" s="93">
        <v>0</v>
      </c>
      <c r="E52" s="6">
        <f>ROUND(D52/12,0)</f>
        <v>0</v>
      </c>
      <c r="F52" s="6">
        <f t="shared" si="2"/>
        <v>0</v>
      </c>
      <c r="G52" s="6">
        <f t="shared" si="3"/>
        <v>0</v>
      </c>
      <c r="H52" s="6">
        <f t="shared" si="4"/>
        <v>0</v>
      </c>
      <c r="I52" s="6">
        <f t="shared" si="5"/>
        <v>0</v>
      </c>
      <c r="J52" s="6">
        <f t="shared" si="6"/>
        <v>0</v>
      </c>
      <c r="K52" s="6">
        <f t="shared" si="7"/>
        <v>0</v>
      </c>
      <c r="L52" s="6">
        <f t="shared" si="8"/>
        <v>0</v>
      </c>
      <c r="M52" s="6">
        <f t="shared" si="9"/>
        <v>0</v>
      </c>
      <c r="N52" s="6">
        <f t="shared" si="10"/>
        <v>0</v>
      </c>
      <c r="O52" s="15">
        <f>N52*1.02</f>
        <v>0</v>
      </c>
      <c r="P52" s="6">
        <f t="shared" si="149"/>
        <v>0</v>
      </c>
      <c r="Q52" s="15">
        <f>SUM(E52:P52)</f>
        <v>0</v>
      </c>
      <c r="R52" s="77"/>
      <c r="S52" s="81" t="s">
        <v>231</v>
      </c>
      <c r="T52" s="6" t="s">
        <v>50</v>
      </c>
    </row>
    <row r="53" spans="2:20" x14ac:dyDescent="0.35">
      <c r="B53" s="71"/>
      <c r="C53" s="85" t="s">
        <v>264</v>
      </c>
      <c r="D53" s="87">
        <f t="shared" ref="D53" si="150">SUM(D50:D52)</f>
        <v>6838.0258000000003</v>
      </c>
      <c r="E53" s="87">
        <f>SUM(E50:E52)</f>
        <v>570</v>
      </c>
      <c r="F53" s="87">
        <f t="shared" ref="F53" si="151">SUM(F50:F52)</f>
        <v>570</v>
      </c>
      <c r="G53" s="87">
        <f t="shared" ref="G53" si="152">SUM(G50:G52)</f>
        <v>570</v>
      </c>
      <c r="H53" s="87">
        <f t="shared" ref="H53" si="153">SUM(H50:H52)</f>
        <v>570</v>
      </c>
      <c r="I53" s="87">
        <f t="shared" ref="I53" si="154">SUM(I50:I52)</f>
        <v>570</v>
      </c>
      <c r="J53" s="87">
        <f t="shared" ref="J53" si="155">SUM(J50:J52)</f>
        <v>570</v>
      </c>
      <c r="K53" s="87">
        <f t="shared" ref="K53" si="156">SUM(K50:K52)</f>
        <v>570</v>
      </c>
      <c r="L53" s="87">
        <f t="shared" ref="L53" si="157">SUM(L50:L52)</f>
        <v>570</v>
      </c>
      <c r="M53" s="87">
        <f t="shared" ref="M53" si="158">SUM(M50:M52)</f>
        <v>570</v>
      </c>
      <c r="N53" s="87">
        <f t="shared" ref="N53" si="159">SUM(N50:N52)</f>
        <v>570</v>
      </c>
      <c r="O53" s="87">
        <f t="shared" ref="O53" si="160">SUM(O50:O52)</f>
        <v>581.4</v>
      </c>
      <c r="P53" s="87">
        <f t="shared" ref="P53:Q53" si="161">SUM(P50:P52)</f>
        <v>581.4</v>
      </c>
      <c r="Q53" s="8">
        <f t="shared" si="161"/>
        <v>6862.8</v>
      </c>
      <c r="R53" s="77"/>
      <c r="S53" s="81"/>
    </row>
    <row r="54" spans="2:20" x14ac:dyDescent="0.35">
      <c r="B54" s="71"/>
      <c r="C54" s="85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77"/>
      <c r="S54" s="81"/>
    </row>
    <row r="55" spans="2:20" x14ac:dyDescent="0.35">
      <c r="B55" s="216">
        <f>'7300'!B1</f>
        <v>7300</v>
      </c>
      <c r="C55" s="80" t="s">
        <v>209</v>
      </c>
      <c r="D55" s="92">
        <f>1.03*7127.04</f>
        <v>7340.8512000000001</v>
      </c>
      <c r="E55" s="45">
        <f>ROUND(D55/12,0)</f>
        <v>612</v>
      </c>
      <c r="F55" s="45">
        <f t="shared" ref="F55:F56" si="162">+E55</f>
        <v>612</v>
      </c>
      <c r="G55" s="45">
        <f t="shared" ref="G55:G56" si="163">+F55</f>
        <v>612</v>
      </c>
      <c r="H55" s="45">
        <f t="shared" ref="H55:H56" si="164">+G55</f>
        <v>612</v>
      </c>
      <c r="I55" s="45">
        <f t="shared" ref="I55:I56" si="165">+H55</f>
        <v>612</v>
      </c>
      <c r="J55" s="45">
        <f t="shared" ref="J55:J56" si="166">+I55</f>
        <v>612</v>
      </c>
      <c r="K55" s="45">
        <f t="shared" ref="K55:K56" si="167">+J55</f>
        <v>612</v>
      </c>
      <c r="L55" s="45">
        <f t="shared" ref="L55:L56" si="168">+K55</f>
        <v>612</v>
      </c>
      <c r="M55" s="45">
        <f t="shared" ref="M55:M56" si="169">+L55</f>
        <v>612</v>
      </c>
      <c r="N55" s="45">
        <f t="shared" ref="N55:N56" si="170">+M55</f>
        <v>612</v>
      </c>
      <c r="O55" s="45">
        <f>N55*1.02</f>
        <v>624.24</v>
      </c>
      <c r="P55" s="45">
        <f t="shared" ref="P55:P56" si="171">+O55</f>
        <v>624.24</v>
      </c>
      <c r="Q55" s="45">
        <f>SUM(E55:P55)</f>
        <v>7368.48</v>
      </c>
      <c r="R55" s="77"/>
      <c r="S55" s="81" t="s">
        <v>207</v>
      </c>
      <c r="T55" s="6" t="s">
        <v>48</v>
      </c>
    </row>
    <row r="56" spans="2:20" x14ac:dyDescent="0.35">
      <c r="B56" s="71"/>
      <c r="C56" s="80" t="s">
        <v>210</v>
      </c>
      <c r="D56" s="93">
        <f>1.03*6538.99</f>
        <v>6735.1597000000002</v>
      </c>
      <c r="E56" s="15">
        <f>ROUND(D56/12,0)</f>
        <v>561</v>
      </c>
      <c r="F56" s="15">
        <f t="shared" si="162"/>
        <v>561</v>
      </c>
      <c r="G56" s="15">
        <f t="shared" si="163"/>
        <v>561</v>
      </c>
      <c r="H56" s="15">
        <f t="shared" si="164"/>
        <v>561</v>
      </c>
      <c r="I56" s="15">
        <f t="shared" si="165"/>
        <v>561</v>
      </c>
      <c r="J56" s="15">
        <f t="shared" si="166"/>
        <v>561</v>
      </c>
      <c r="K56" s="15">
        <f t="shared" si="167"/>
        <v>561</v>
      </c>
      <c r="L56" s="15">
        <f t="shared" si="168"/>
        <v>561</v>
      </c>
      <c r="M56" s="15">
        <f t="shared" si="169"/>
        <v>561</v>
      </c>
      <c r="N56" s="15">
        <f t="shared" si="170"/>
        <v>561</v>
      </c>
      <c r="O56" s="15">
        <f>N56*1.02</f>
        <v>572.22</v>
      </c>
      <c r="P56" s="15">
        <f t="shared" si="171"/>
        <v>572.22</v>
      </c>
      <c r="Q56" s="6">
        <f>SUM(E56:P56)</f>
        <v>6754.4400000000005</v>
      </c>
      <c r="R56" s="77"/>
      <c r="S56" s="81" t="s">
        <v>207</v>
      </c>
      <c r="T56" s="6" t="s">
        <v>48</v>
      </c>
    </row>
    <row r="57" spans="2:20" x14ac:dyDescent="0.35">
      <c r="B57" s="71"/>
      <c r="C57" s="84" t="s">
        <v>269</v>
      </c>
      <c r="D57" s="28">
        <f>SUM(D55:D56)</f>
        <v>14076.010900000001</v>
      </c>
      <c r="E57" s="28">
        <f>SUM(E55:E56)</f>
        <v>1173</v>
      </c>
      <c r="F57" s="28">
        <f t="shared" ref="F57:Q57" si="172">SUM(F55:F56)</f>
        <v>1173</v>
      </c>
      <c r="G57" s="28">
        <f t="shared" si="172"/>
        <v>1173</v>
      </c>
      <c r="H57" s="28">
        <f t="shared" si="172"/>
        <v>1173</v>
      </c>
      <c r="I57" s="28">
        <f t="shared" si="172"/>
        <v>1173</v>
      </c>
      <c r="J57" s="28">
        <f t="shared" si="172"/>
        <v>1173</v>
      </c>
      <c r="K57" s="28">
        <f t="shared" si="172"/>
        <v>1173</v>
      </c>
      <c r="L57" s="28">
        <f t="shared" si="172"/>
        <v>1173</v>
      </c>
      <c r="M57" s="28">
        <f t="shared" si="172"/>
        <v>1173</v>
      </c>
      <c r="N57" s="28">
        <f t="shared" si="172"/>
        <v>1173</v>
      </c>
      <c r="O57" s="28">
        <f t="shared" si="172"/>
        <v>1196.46</v>
      </c>
      <c r="P57" s="28">
        <f t="shared" si="172"/>
        <v>1196.46</v>
      </c>
      <c r="Q57" s="28">
        <f t="shared" si="172"/>
        <v>14122.92</v>
      </c>
      <c r="R57" s="77"/>
      <c r="S57" s="81"/>
    </row>
    <row r="58" spans="2:20" x14ac:dyDescent="0.35">
      <c r="B58" s="71"/>
      <c r="C58" s="80" t="s">
        <v>211</v>
      </c>
      <c r="D58" s="92">
        <f>1.03*2773.88</f>
        <v>2857.0964000000004</v>
      </c>
      <c r="E58" s="6">
        <f>ROUND(D58/12,0)</f>
        <v>238</v>
      </c>
      <c r="F58" s="6">
        <f t="shared" ref="F58:F59" si="173">+E58</f>
        <v>238</v>
      </c>
      <c r="G58" s="6">
        <f t="shared" ref="G58:G59" si="174">+F58</f>
        <v>238</v>
      </c>
      <c r="H58" s="6">
        <f t="shared" ref="H58:H59" si="175">+G58</f>
        <v>238</v>
      </c>
      <c r="I58" s="6">
        <f t="shared" ref="I58:I59" si="176">+H58</f>
        <v>238</v>
      </c>
      <c r="J58" s="6">
        <f t="shared" ref="J58:J59" si="177">+I58</f>
        <v>238</v>
      </c>
      <c r="K58" s="6">
        <f t="shared" ref="K58:K59" si="178">+J58</f>
        <v>238</v>
      </c>
      <c r="L58" s="6">
        <f t="shared" ref="L58:L59" si="179">+K58</f>
        <v>238</v>
      </c>
      <c r="M58" s="6">
        <f t="shared" ref="M58:M59" si="180">+L58</f>
        <v>238</v>
      </c>
      <c r="N58" s="6">
        <f t="shared" ref="N58:N59" si="181">+M58</f>
        <v>238</v>
      </c>
      <c r="O58" s="45">
        <f>N58*1.02</f>
        <v>242.76</v>
      </c>
      <c r="P58" s="6">
        <f t="shared" ref="P58:P59" si="182">+O58</f>
        <v>242.76</v>
      </c>
      <c r="Q58" s="45">
        <f>SUM(E58:P58)</f>
        <v>2865.5200000000004</v>
      </c>
      <c r="R58" s="77"/>
      <c r="S58" s="81" t="s">
        <v>208</v>
      </c>
      <c r="T58" s="6" t="s">
        <v>89</v>
      </c>
    </row>
    <row r="59" spans="2:20" x14ac:dyDescent="0.35">
      <c r="B59" s="71"/>
      <c r="C59" s="80" t="s">
        <v>212</v>
      </c>
      <c r="D59" s="93">
        <v>0</v>
      </c>
      <c r="E59" s="6">
        <f>ROUND(D59/12,0)</f>
        <v>0</v>
      </c>
      <c r="F59" s="6">
        <f t="shared" si="173"/>
        <v>0</v>
      </c>
      <c r="G59" s="6">
        <f t="shared" si="174"/>
        <v>0</v>
      </c>
      <c r="H59" s="6">
        <f t="shared" si="175"/>
        <v>0</v>
      </c>
      <c r="I59" s="6">
        <f t="shared" si="176"/>
        <v>0</v>
      </c>
      <c r="J59" s="6">
        <f t="shared" si="177"/>
        <v>0</v>
      </c>
      <c r="K59" s="6">
        <f t="shared" si="178"/>
        <v>0</v>
      </c>
      <c r="L59" s="6">
        <f t="shared" si="179"/>
        <v>0</v>
      </c>
      <c r="M59" s="6">
        <f t="shared" si="180"/>
        <v>0</v>
      </c>
      <c r="N59" s="6">
        <f t="shared" si="181"/>
        <v>0</v>
      </c>
      <c r="O59" s="15">
        <f>N59*1.02</f>
        <v>0</v>
      </c>
      <c r="P59" s="6">
        <f t="shared" si="182"/>
        <v>0</v>
      </c>
      <c r="Q59" s="15">
        <f>SUM(E59:P59)</f>
        <v>0</v>
      </c>
      <c r="R59" s="77"/>
      <c r="S59" s="81" t="s">
        <v>231</v>
      </c>
      <c r="T59" s="6" t="s">
        <v>50</v>
      </c>
    </row>
    <row r="60" spans="2:20" x14ac:dyDescent="0.35">
      <c r="B60" s="71"/>
      <c r="C60" s="85" t="s">
        <v>264</v>
      </c>
      <c r="D60" s="87">
        <f t="shared" ref="D60" si="183">SUM(D57:D59)</f>
        <v>16933.107300000003</v>
      </c>
      <c r="E60" s="87">
        <f>SUM(E57:E59)</f>
        <v>1411</v>
      </c>
      <c r="F60" s="87">
        <f t="shared" ref="F60:Q60" si="184">SUM(F57:F59)</f>
        <v>1411</v>
      </c>
      <c r="G60" s="87">
        <f t="shared" si="184"/>
        <v>1411</v>
      </c>
      <c r="H60" s="87">
        <f t="shared" si="184"/>
        <v>1411</v>
      </c>
      <c r="I60" s="87">
        <f t="shared" si="184"/>
        <v>1411</v>
      </c>
      <c r="J60" s="87">
        <f t="shared" si="184"/>
        <v>1411</v>
      </c>
      <c r="K60" s="87">
        <f t="shared" si="184"/>
        <v>1411</v>
      </c>
      <c r="L60" s="87">
        <f t="shared" si="184"/>
        <v>1411</v>
      </c>
      <c r="M60" s="87">
        <f t="shared" si="184"/>
        <v>1411</v>
      </c>
      <c r="N60" s="87">
        <f t="shared" si="184"/>
        <v>1411</v>
      </c>
      <c r="O60" s="87">
        <f t="shared" si="184"/>
        <v>1439.22</v>
      </c>
      <c r="P60" s="87">
        <f t="shared" si="184"/>
        <v>1439.22</v>
      </c>
      <c r="Q60" s="8">
        <f t="shared" si="184"/>
        <v>16988.440000000002</v>
      </c>
      <c r="R60" s="77"/>
      <c r="S60" s="81"/>
    </row>
    <row r="61" spans="2:20" x14ac:dyDescent="0.35">
      <c r="B61" s="71"/>
      <c r="C61" s="85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77"/>
      <c r="S61" s="81"/>
    </row>
    <row r="62" spans="2:20" x14ac:dyDescent="0.35">
      <c r="B62" s="216">
        <f>'8200'!B1</f>
        <v>8200</v>
      </c>
      <c r="C62" s="80" t="s">
        <v>209</v>
      </c>
      <c r="D62" s="92">
        <f>1.03*2817.15</f>
        <v>2901.6645000000003</v>
      </c>
      <c r="E62" s="45">
        <f>ROUND(D62/12,0)</f>
        <v>242</v>
      </c>
      <c r="F62" s="45">
        <f t="shared" ref="F62:F63" si="185">+E62</f>
        <v>242</v>
      </c>
      <c r="G62" s="45">
        <f t="shared" ref="G62:G63" si="186">+F62</f>
        <v>242</v>
      </c>
      <c r="H62" s="45">
        <f t="shared" ref="H62:H63" si="187">+G62</f>
        <v>242</v>
      </c>
      <c r="I62" s="45">
        <f t="shared" ref="I62:I63" si="188">+H62</f>
        <v>242</v>
      </c>
      <c r="J62" s="45">
        <f t="shared" ref="J62:J63" si="189">+I62</f>
        <v>242</v>
      </c>
      <c r="K62" s="45">
        <f t="shared" ref="K62:K63" si="190">+J62</f>
        <v>242</v>
      </c>
      <c r="L62" s="45">
        <f t="shared" ref="L62:L63" si="191">+K62</f>
        <v>242</v>
      </c>
      <c r="M62" s="45">
        <f t="shared" ref="M62:M63" si="192">+L62</f>
        <v>242</v>
      </c>
      <c r="N62" s="45">
        <f t="shared" ref="N62:N63" si="193">+M62</f>
        <v>242</v>
      </c>
      <c r="O62" s="45">
        <f>N62*1.02</f>
        <v>246.84</v>
      </c>
      <c r="P62" s="45">
        <f t="shared" ref="P62:P63" si="194">+O62</f>
        <v>246.84</v>
      </c>
      <c r="Q62" s="45">
        <f>SUM(E62:P62)</f>
        <v>2913.6800000000003</v>
      </c>
      <c r="R62" s="77"/>
      <c r="S62" s="81" t="s">
        <v>207</v>
      </c>
      <c r="T62" s="6" t="s">
        <v>48</v>
      </c>
    </row>
    <row r="63" spans="2:20" x14ac:dyDescent="0.35">
      <c r="B63" s="71"/>
      <c r="C63" s="80" t="s">
        <v>210</v>
      </c>
      <c r="D63" s="93">
        <f>1.03*2807.05</f>
        <v>2891.2615000000001</v>
      </c>
      <c r="E63" s="15">
        <f>ROUND(D63/12,0)</f>
        <v>241</v>
      </c>
      <c r="F63" s="15">
        <f t="shared" si="185"/>
        <v>241</v>
      </c>
      <c r="G63" s="15">
        <f t="shared" si="186"/>
        <v>241</v>
      </c>
      <c r="H63" s="15">
        <f t="shared" si="187"/>
        <v>241</v>
      </c>
      <c r="I63" s="15">
        <f t="shared" si="188"/>
        <v>241</v>
      </c>
      <c r="J63" s="15">
        <f t="shared" si="189"/>
        <v>241</v>
      </c>
      <c r="K63" s="15">
        <f t="shared" si="190"/>
        <v>241</v>
      </c>
      <c r="L63" s="15">
        <f t="shared" si="191"/>
        <v>241</v>
      </c>
      <c r="M63" s="15">
        <f t="shared" si="192"/>
        <v>241</v>
      </c>
      <c r="N63" s="15">
        <f t="shared" si="193"/>
        <v>241</v>
      </c>
      <c r="O63" s="15">
        <f>N63*1.02</f>
        <v>245.82</v>
      </c>
      <c r="P63" s="15">
        <f t="shared" si="194"/>
        <v>245.82</v>
      </c>
      <c r="Q63" s="6">
        <f>SUM(E63:P63)</f>
        <v>2901.6400000000003</v>
      </c>
      <c r="R63" s="77"/>
      <c r="S63" s="81" t="s">
        <v>207</v>
      </c>
      <c r="T63" s="6" t="s">
        <v>48</v>
      </c>
    </row>
    <row r="64" spans="2:20" x14ac:dyDescent="0.35">
      <c r="B64" s="71"/>
      <c r="C64" s="84" t="s">
        <v>269</v>
      </c>
      <c r="D64" s="28">
        <f>SUM(D62:D63)</f>
        <v>5792.9260000000004</v>
      </c>
      <c r="E64" s="28">
        <f>SUM(E62:E63)</f>
        <v>483</v>
      </c>
      <c r="F64" s="28">
        <f t="shared" ref="F64:Q64" si="195">SUM(F62:F63)</f>
        <v>483</v>
      </c>
      <c r="G64" s="28">
        <f t="shared" si="195"/>
        <v>483</v>
      </c>
      <c r="H64" s="28">
        <f t="shared" si="195"/>
        <v>483</v>
      </c>
      <c r="I64" s="28">
        <f t="shared" si="195"/>
        <v>483</v>
      </c>
      <c r="J64" s="28">
        <f t="shared" si="195"/>
        <v>483</v>
      </c>
      <c r="K64" s="28">
        <f t="shared" si="195"/>
        <v>483</v>
      </c>
      <c r="L64" s="28">
        <f t="shared" si="195"/>
        <v>483</v>
      </c>
      <c r="M64" s="28">
        <f t="shared" si="195"/>
        <v>483</v>
      </c>
      <c r="N64" s="28">
        <f t="shared" si="195"/>
        <v>483</v>
      </c>
      <c r="O64" s="28">
        <f t="shared" si="195"/>
        <v>492.65999999999997</v>
      </c>
      <c r="P64" s="28">
        <f t="shared" si="195"/>
        <v>492.65999999999997</v>
      </c>
      <c r="Q64" s="28">
        <f t="shared" si="195"/>
        <v>5815.3200000000006</v>
      </c>
      <c r="R64" s="77"/>
      <c r="S64" s="81"/>
    </row>
    <row r="65" spans="2:20" x14ac:dyDescent="0.35">
      <c r="B65" s="71"/>
      <c r="C65" s="80" t="s">
        <v>211</v>
      </c>
      <c r="D65" s="92">
        <f>1.03*1142.02</f>
        <v>1176.2806</v>
      </c>
      <c r="E65" s="6">
        <f>ROUND(D65/12,0)</f>
        <v>98</v>
      </c>
      <c r="F65" s="6">
        <f t="shared" ref="F65:F66" si="196">+E65</f>
        <v>98</v>
      </c>
      <c r="G65" s="6">
        <f t="shared" ref="G65:G66" si="197">+F65</f>
        <v>98</v>
      </c>
      <c r="H65" s="6">
        <f t="shared" ref="H65:H66" si="198">+G65</f>
        <v>98</v>
      </c>
      <c r="I65" s="6">
        <f t="shared" ref="I65:I66" si="199">+H65</f>
        <v>98</v>
      </c>
      <c r="J65" s="6">
        <f t="shared" ref="J65:J66" si="200">+I65</f>
        <v>98</v>
      </c>
      <c r="K65" s="6">
        <f t="shared" ref="K65:K66" si="201">+J65</f>
        <v>98</v>
      </c>
      <c r="L65" s="6">
        <f t="shared" ref="L65:L66" si="202">+K65</f>
        <v>98</v>
      </c>
      <c r="M65" s="6">
        <f t="shared" ref="M65:M66" si="203">+L65</f>
        <v>98</v>
      </c>
      <c r="N65" s="6">
        <f t="shared" ref="N65:N66" si="204">+M65</f>
        <v>98</v>
      </c>
      <c r="O65" s="45">
        <f>N65*1.02</f>
        <v>99.960000000000008</v>
      </c>
      <c r="P65" s="6">
        <f t="shared" ref="P65:P66" si="205">+O65</f>
        <v>99.960000000000008</v>
      </c>
      <c r="Q65" s="45">
        <f>SUM(E65:P65)</f>
        <v>1179.92</v>
      </c>
      <c r="R65" s="77"/>
      <c r="S65" s="81" t="s">
        <v>208</v>
      </c>
      <c r="T65" s="6" t="s">
        <v>89</v>
      </c>
    </row>
    <row r="66" spans="2:20" x14ac:dyDescent="0.35">
      <c r="B66" s="71"/>
      <c r="C66" s="80" t="s">
        <v>212</v>
      </c>
      <c r="D66" s="93">
        <v>0</v>
      </c>
      <c r="E66" s="6">
        <f>ROUND(D66/12,0)</f>
        <v>0</v>
      </c>
      <c r="F66" s="6">
        <f t="shared" si="196"/>
        <v>0</v>
      </c>
      <c r="G66" s="6">
        <f t="shared" si="197"/>
        <v>0</v>
      </c>
      <c r="H66" s="6">
        <f t="shared" si="198"/>
        <v>0</v>
      </c>
      <c r="I66" s="6">
        <f t="shared" si="199"/>
        <v>0</v>
      </c>
      <c r="J66" s="6">
        <f t="shared" si="200"/>
        <v>0</v>
      </c>
      <c r="K66" s="6">
        <f t="shared" si="201"/>
        <v>0</v>
      </c>
      <c r="L66" s="6">
        <f t="shared" si="202"/>
        <v>0</v>
      </c>
      <c r="M66" s="6">
        <f t="shared" si="203"/>
        <v>0</v>
      </c>
      <c r="N66" s="6">
        <f t="shared" si="204"/>
        <v>0</v>
      </c>
      <c r="O66" s="15">
        <f>N66*1.02</f>
        <v>0</v>
      </c>
      <c r="P66" s="6">
        <f t="shared" si="205"/>
        <v>0</v>
      </c>
      <c r="Q66" s="15">
        <f>SUM(E66:P66)</f>
        <v>0</v>
      </c>
      <c r="R66" s="77"/>
      <c r="S66" s="81" t="s">
        <v>231</v>
      </c>
      <c r="T66" s="6" t="s">
        <v>50</v>
      </c>
    </row>
    <row r="67" spans="2:20" x14ac:dyDescent="0.35">
      <c r="B67" s="71"/>
      <c r="C67" s="85" t="s">
        <v>264</v>
      </c>
      <c r="D67" s="87">
        <f t="shared" ref="D67" si="206">SUM(D64:D66)</f>
        <v>6969.2066000000004</v>
      </c>
      <c r="E67" s="87">
        <f>SUM(E64:E66)</f>
        <v>581</v>
      </c>
      <c r="F67" s="87">
        <f t="shared" ref="F67:Q67" si="207">SUM(F64:F66)</f>
        <v>581</v>
      </c>
      <c r="G67" s="87">
        <f t="shared" si="207"/>
        <v>581</v>
      </c>
      <c r="H67" s="87">
        <f t="shared" si="207"/>
        <v>581</v>
      </c>
      <c r="I67" s="87">
        <f t="shared" si="207"/>
        <v>581</v>
      </c>
      <c r="J67" s="87">
        <f t="shared" si="207"/>
        <v>581</v>
      </c>
      <c r="K67" s="87">
        <f t="shared" si="207"/>
        <v>581</v>
      </c>
      <c r="L67" s="87">
        <f t="shared" si="207"/>
        <v>581</v>
      </c>
      <c r="M67" s="87">
        <f t="shared" si="207"/>
        <v>581</v>
      </c>
      <c r="N67" s="87">
        <f t="shared" si="207"/>
        <v>581</v>
      </c>
      <c r="O67" s="87">
        <f t="shared" si="207"/>
        <v>592.62</v>
      </c>
      <c r="P67" s="87">
        <f t="shared" si="207"/>
        <v>592.62</v>
      </c>
      <c r="Q67" s="8">
        <f t="shared" si="207"/>
        <v>6995.2400000000007</v>
      </c>
      <c r="R67" s="77"/>
      <c r="S67" s="81"/>
    </row>
    <row r="68" spans="2:20" x14ac:dyDescent="0.35">
      <c r="B68" s="71"/>
      <c r="C68" s="8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77"/>
      <c r="S68" s="81"/>
    </row>
    <row r="69" spans="2:20" x14ac:dyDescent="0.35">
      <c r="B69" s="216">
        <f>'9510'!B1</f>
        <v>9510</v>
      </c>
      <c r="C69" s="80" t="s">
        <v>209</v>
      </c>
      <c r="D69" s="92">
        <f>1.03*3666.34</f>
        <v>3776.3302000000003</v>
      </c>
      <c r="E69" s="45">
        <f>ROUND(D69/12,0)</f>
        <v>315</v>
      </c>
      <c r="F69" s="45">
        <f t="shared" ref="F69:F70" si="208">+E69</f>
        <v>315</v>
      </c>
      <c r="G69" s="45">
        <f t="shared" ref="G69:G70" si="209">+F69</f>
        <v>315</v>
      </c>
      <c r="H69" s="45">
        <f t="shared" ref="H69:H70" si="210">+G69</f>
        <v>315</v>
      </c>
      <c r="I69" s="45">
        <f t="shared" ref="I69:I70" si="211">+H69</f>
        <v>315</v>
      </c>
      <c r="J69" s="45">
        <f t="shared" ref="J69:J70" si="212">+I69</f>
        <v>315</v>
      </c>
      <c r="K69" s="45">
        <f t="shared" ref="K69:K70" si="213">+J69</f>
        <v>315</v>
      </c>
      <c r="L69" s="45">
        <f t="shared" ref="L69:L70" si="214">+K69</f>
        <v>315</v>
      </c>
      <c r="M69" s="45">
        <f t="shared" ref="M69:M70" si="215">+L69</f>
        <v>315</v>
      </c>
      <c r="N69" s="45">
        <f t="shared" ref="N69:N70" si="216">+M69</f>
        <v>315</v>
      </c>
      <c r="O69" s="45">
        <f>N69*1.02</f>
        <v>321.3</v>
      </c>
      <c r="P69" s="45">
        <f t="shared" ref="P69:P70" si="217">+O69</f>
        <v>321.3</v>
      </c>
      <c r="Q69" s="45">
        <f>SUM(E69:P69)</f>
        <v>3792.6000000000004</v>
      </c>
      <c r="R69" s="77"/>
      <c r="S69" s="81" t="s">
        <v>207</v>
      </c>
      <c r="T69" s="6" t="s">
        <v>48</v>
      </c>
    </row>
    <row r="70" spans="2:20" x14ac:dyDescent="0.35">
      <c r="B70" s="71"/>
      <c r="C70" s="80" t="s">
        <v>210</v>
      </c>
      <c r="D70" s="93">
        <f>1.03*3363.83</f>
        <v>3464.7449000000001</v>
      </c>
      <c r="E70" s="15">
        <f>ROUND(D70/12,0)</f>
        <v>289</v>
      </c>
      <c r="F70" s="15">
        <f t="shared" si="208"/>
        <v>289</v>
      </c>
      <c r="G70" s="15">
        <f t="shared" si="209"/>
        <v>289</v>
      </c>
      <c r="H70" s="15">
        <f t="shared" si="210"/>
        <v>289</v>
      </c>
      <c r="I70" s="15">
        <f t="shared" si="211"/>
        <v>289</v>
      </c>
      <c r="J70" s="15">
        <f t="shared" si="212"/>
        <v>289</v>
      </c>
      <c r="K70" s="15">
        <f t="shared" si="213"/>
        <v>289</v>
      </c>
      <c r="L70" s="15">
        <f t="shared" si="214"/>
        <v>289</v>
      </c>
      <c r="M70" s="15">
        <f t="shared" si="215"/>
        <v>289</v>
      </c>
      <c r="N70" s="15">
        <f t="shared" si="216"/>
        <v>289</v>
      </c>
      <c r="O70" s="15">
        <f>N70*1.02</f>
        <v>294.78000000000003</v>
      </c>
      <c r="P70" s="15">
        <f t="shared" si="217"/>
        <v>294.78000000000003</v>
      </c>
      <c r="Q70" s="6">
        <f>SUM(E70:P70)</f>
        <v>3479.5600000000004</v>
      </c>
      <c r="R70" s="77"/>
      <c r="S70" s="81" t="s">
        <v>207</v>
      </c>
      <c r="T70" s="6" t="s">
        <v>48</v>
      </c>
    </row>
    <row r="71" spans="2:20" x14ac:dyDescent="0.35">
      <c r="B71" s="71"/>
      <c r="C71" s="84" t="s">
        <v>269</v>
      </c>
      <c r="D71" s="28">
        <f>SUM(D69:D70)</f>
        <v>7241.0751</v>
      </c>
      <c r="E71" s="28">
        <f>SUM(E69:E70)</f>
        <v>604</v>
      </c>
      <c r="F71" s="28">
        <f t="shared" ref="F71:Q71" si="218">SUM(F69:F70)</f>
        <v>604</v>
      </c>
      <c r="G71" s="28">
        <f t="shared" si="218"/>
        <v>604</v>
      </c>
      <c r="H71" s="28">
        <f t="shared" si="218"/>
        <v>604</v>
      </c>
      <c r="I71" s="28">
        <f t="shared" si="218"/>
        <v>604</v>
      </c>
      <c r="J71" s="28">
        <f t="shared" si="218"/>
        <v>604</v>
      </c>
      <c r="K71" s="28">
        <f t="shared" si="218"/>
        <v>604</v>
      </c>
      <c r="L71" s="28">
        <f t="shared" si="218"/>
        <v>604</v>
      </c>
      <c r="M71" s="28">
        <f t="shared" si="218"/>
        <v>604</v>
      </c>
      <c r="N71" s="28">
        <f t="shared" si="218"/>
        <v>604</v>
      </c>
      <c r="O71" s="28">
        <f t="shared" si="218"/>
        <v>616.08000000000004</v>
      </c>
      <c r="P71" s="28">
        <f t="shared" si="218"/>
        <v>616.08000000000004</v>
      </c>
      <c r="Q71" s="28">
        <f t="shared" si="218"/>
        <v>7272.1600000000008</v>
      </c>
      <c r="R71" s="77"/>
      <c r="S71" s="81"/>
    </row>
    <row r="72" spans="2:20" x14ac:dyDescent="0.35">
      <c r="B72" s="71"/>
      <c r="C72" s="80" t="s">
        <v>211</v>
      </c>
      <c r="D72" s="92">
        <f>1.03*29345</f>
        <v>30225.350000000002</v>
      </c>
      <c r="E72" s="6">
        <f>ROUND(D72/12,0)</f>
        <v>2519</v>
      </c>
      <c r="F72" s="6">
        <f t="shared" ref="F72:F73" si="219">+E72</f>
        <v>2519</v>
      </c>
      <c r="G72" s="6">
        <f t="shared" ref="G72:G73" si="220">+F72</f>
        <v>2519</v>
      </c>
      <c r="H72" s="6">
        <f t="shared" ref="H72:H73" si="221">+G72</f>
        <v>2519</v>
      </c>
      <c r="I72" s="6">
        <f t="shared" ref="I72:I73" si="222">+H72</f>
        <v>2519</v>
      </c>
      <c r="J72" s="6">
        <f t="shared" ref="J72:J73" si="223">+I72</f>
        <v>2519</v>
      </c>
      <c r="K72" s="6">
        <f t="shared" ref="K72:K73" si="224">+J72</f>
        <v>2519</v>
      </c>
      <c r="L72" s="6">
        <f t="shared" ref="L72:L73" si="225">+K72</f>
        <v>2519</v>
      </c>
      <c r="M72" s="6">
        <f t="shared" ref="M72:M73" si="226">+L72</f>
        <v>2519</v>
      </c>
      <c r="N72" s="6">
        <f t="shared" ref="N72:N73" si="227">+M72</f>
        <v>2519</v>
      </c>
      <c r="O72" s="45">
        <f>N72*1.02</f>
        <v>2569.38</v>
      </c>
      <c r="P72" s="6">
        <f t="shared" ref="P72:P73" si="228">+O72</f>
        <v>2569.38</v>
      </c>
      <c r="Q72" s="45">
        <f>SUM(E72:P72)</f>
        <v>30328.760000000002</v>
      </c>
      <c r="R72" s="77"/>
      <c r="S72" s="81" t="s">
        <v>208</v>
      </c>
      <c r="T72" s="6" t="s">
        <v>89</v>
      </c>
    </row>
    <row r="73" spans="2:20" x14ac:dyDescent="0.35">
      <c r="B73" s="71"/>
      <c r="C73" s="80" t="s">
        <v>212</v>
      </c>
      <c r="D73" s="93">
        <v>0</v>
      </c>
      <c r="E73" s="6">
        <f>ROUND(D73/12,0)</f>
        <v>0</v>
      </c>
      <c r="F73" s="6">
        <f t="shared" si="219"/>
        <v>0</v>
      </c>
      <c r="G73" s="6">
        <f t="shared" si="220"/>
        <v>0</v>
      </c>
      <c r="H73" s="6">
        <f t="shared" si="221"/>
        <v>0</v>
      </c>
      <c r="I73" s="6">
        <f t="shared" si="222"/>
        <v>0</v>
      </c>
      <c r="J73" s="6">
        <f t="shared" si="223"/>
        <v>0</v>
      </c>
      <c r="K73" s="6">
        <f t="shared" si="224"/>
        <v>0</v>
      </c>
      <c r="L73" s="6">
        <f t="shared" si="225"/>
        <v>0</v>
      </c>
      <c r="M73" s="6">
        <f t="shared" si="226"/>
        <v>0</v>
      </c>
      <c r="N73" s="6">
        <f t="shared" si="227"/>
        <v>0</v>
      </c>
      <c r="O73" s="15">
        <f>N73*1.02</f>
        <v>0</v>
      </c>
      <c r="P73" s="6">
        <f t="shared" si="228"/>
        <v>0</v>
      </c>
      <c r="Q73" s="15">
        <f>SUM(E73:P73)</f>
        <v>0</v>
      </c>
      <c r="R73" s="77"/>
      <c r="S73" s="81" t="s">
        <v>231</v>
      </c>
      <c r="T73" s="6" t="s">
        <v>50</v>
      </c>
    </row>
    <row r="74" spans="2:20" x14ac:dyDescent="0.35">
      <c r="B74" s="71"/>
      <c r="C74" s="85" t="s">
        <v>264</v>
      </c>
      <c r="D74" s="87">
        <f t="shared" ref="D74" si="229">SUM(D71:D73)</f>
        <v>37466.4251</v>
      </c>
      <c r="E74" s="87">
        <f>SUM(E71:E73)</f>
        <v>3123</v>
      </c>
      <c r="F74" s="87">
        <f t="shared" ref="F74:Q74" si="230">SUM(F71:F73)</f>
        <v>3123</v>
      </c>
      <c r="G74" s="87">
        <f t="shared" si="230"/>
        <v>3123</v>
      </c>
      <c r="H74" s="87">
        <f t="shared" si="230"/>
        <v>3123</v>
      </c>
      <c r="I74" s="87">
        <f t="shared" si="230"/>
        <v>3123</v>
      </c>
      <c r="J74" s="87">
        <f t="shared" si="230"/>
        <v>3123</v>
      </c>
      <c r="K74" s="87">
        <f t="shared" si="230"/>
        <v>3123</v>
      </c>
      <c r="L74" s="87">
        <f t="shared" si="230"/>
        <v>3123</v>
      </c>
      <c r="M74" s="87">
        <f t="shared" si="230"/>
        <v>3123</v>
      </c>
      <c r="N74" s="87">
        <f t="shared" si="230"/>
        <v>3123</v>
      </c>
      <c r="O74" s="87">
        <f t="shared" si="230"/>
        <v>3185.46</v>
      </c>
      <c r="P74" s="87">
        <f t="shared" si="230"/>
        <v>3185.46</v>
      </c>
      <c r="Q74" s="8">
        <f t="shared" si="230"/>
        <v>37600.920000000006</v>
      </c>
      <c r="R74" s="77"/>
      <c r="S74" s="81"/>
    </row>
    <row r="75" spans="2:20" x14ac:dyDescent="0.35">
      <c r="B75" s="71"/>
      <c r="C75" s="8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77"/>
      <c r="S75" s="81"/>
    </row>
    <row r="76" spans="2:20" s="7" customFormat="1" ht="18" x14ac:dyDescent="0.35">
      <c r="B76" s="88"/>
      <c r="C76" s="89" t="s">
        <v>270</v>
      </c>
      <c r="D76" s="90">
        <f>SUM(D11,D18,D25,D32,D39,D46,D53,D60,D67,D74)</f>
        <v>257727.50640000001</v>
      </c>
      <c r="E76" s="90">
        <f t="shared" ref="E76:Q76" si="231">SUM(E11,E18,E25,E32,E39,E46,E53,E60,E67,E74)</f>
        <v>21478</v>
      </c>
      <c r="F76" s="90">
        <f t="shared" si="231"/>
        <v>21478</v>
      </c>
      <c r="G76" s="90">
        <f t="shared" si="231"/>
        <v>21478</v>
      </c>
      <c r="H76" s="90">
        <f t="shared" si="231"/>
        <v>21478</v>
      </c>
      <c r="I76" s="90">
        <f t="shared" si="231"/>
        <v>21478</v>
      </c>
      <c r="J76" s="90">
        <f t="shared" si="231"/>
        <v>21478</v>
      </c>
      <c r="K76" s="90">
        <f t="shared" si="231"/>
        <v>21478</v>
      </c>
      <c r="L76" s="90">
        <f t="shared" si="231"/>
        <v>21478</v>
      </c>
      <c r="M76" s="90">
        <f t="shared" si="231"/>
        <v>21478</v>
      </c>
      <c r="N76" s="90">
        <f t="shared" si="231"/>
        <v>21478</v>
      </c>
      <c r="O76" s="90">
        <f t="shared" si="231"/>
        <v>21907.559999999998</v>
      </c>
      <c r="P76" s="90">
        <f t="shared" si="231"/>
        <v>21907.559999999998</v>
      </c>
      <c r="Q76" s="90">
        <f t="shared" si="231"/>
        <v>258595.12000000002</v>
      </c>
      <c r="R76" s="91"/>
      <c r="S76" s="48"/>
    </row>
    <row r="77" spans="2:20" x14ac:dyDescent="0.35">
      <c r="B77" s="71"/>
      <c r="C77" s="85"/>
      <c r="D77" s="85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6"/>
      <c r="R77" s="78"/>
      <c r="S77" s="81"/>
    </row>
    <row r="78" spans="2:20" x14ac:dyDescent="0.35">
      <c r="B78" s="71"/>
      <c r="C78" s="85"/>
      <c r="D78" s="85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6"/>
      <c r="R78" s="78"/>
      <c r="S78" s="81"/>
    </row>
    <row r="79" spans="2:20" ht="17.5" x14ac:dyDescent="0.35">
      <c r="C79" s="9" t="s">
        <v>321</v>
      </c>
      <c r="Q79" s="78"/>
      <c r="R79" s="78"/>
      <c r="S79" s="81"/>
    </row>
    <row r="80" spans="2:20" ht="18" x14ac:dyDescent="0.35">
      <c r="C80" s="6"/>
      <c r="E80" s="24" t="s">
        <v>0</v>
      </c>
      <c r="F80" s="24" t="s">
        <v>1</v>
      </c>
      <c r="G80" s="24" t="s">
        <v>2</v>
      </c>
      <c r="H80" s="24" t="s">
        <v>3</v>
      </c>
      <c r="I80" s="24" t="s">
        <v>4</v>
      </c>
      <c r="J80" s="24" t="s">
        <v>5</v>
      </c>
      <c r="K80" s="24" t="s">
        <v>6</v>
      </c>
      <c r="L80" s="24" t="s">
        <v>7</v>
      </c>
      <c r="M80" s="24" t="s">
        <v>8</v>
      </c>
      <c r="N80" s="24" t="s">
        <v>9</v>
      </c>
      <c r="O80" s="24" t="s">
        <v>10</v>
      </c>
      <c r="P80" s="24" t="s">
        <v>11</v>
      </c>
      <c r="Q80" s="24" t="s">
        <v>12</v>
      </c>
      <c r="R80" s="83"/>
      <c r="S80" s="81" t="s">
        <v>230</v>
      </c>
    </row>
    <row r="81" spans="2:19" x14ac:dyDescent="0.35">
      <c r="C81" s="216">
        <f>B6</f>
        <v>1100</v>
      </c>
      <c r="D81" s="80"/>
      <c r="E81" s="6">
        <f>+Q81/12</f>
        <v>1391.0508333333335</v>
      </c>
      <c r="F81" s="6">
        <f>+E81</f>
        <v>1391.0508333333335</v>
      </c>
      <c r="G81" s="6">
        <f>+F81</f>
        <v>1391.0508333333335</v>
      </c>
      <c r="H81" s="6">
        <f t="shared" ref="H81:P81" si="232">+G81</f>
        <v>1391.0508333333335</v>
      </c>
      <c r="I81" s="6">
        <f t="shared" si="232"/>
        <v>1391.0508333333335</v>
      </c>
      <c r="J81" s="6">
        <f t="shared" si="232"/>
        <v>1391.0508333333335</v>
      </c>
      <c r="K81" s="6">
        <f t="shared" si="232"/>
        <v>1391.0508333333335</v>
      </c>
      <c r="L81" s="6">
        <f t="shared" si="232"/>
        <v>1391.0508333333335</v>
      </c>
      <c r="M81" s="6">
        <f t="shared" si="232"/>
        <v>1391.0508333333335</v>
      </c>
      <c r="N81" s="6">
        <f t="shared" si="232"/>
        <v>1391.0508333333335</v>
      </c>
      <c r="O81" s="6">
        <f t="shared" si="232"/>
        <v>1391.0508333333335</v>
      </c>
      <c r="P81" s="6">
        <f t="shared" si="232"/>
        <v>1391.0508333333335</v>
      </c>
      <c r="Q81" s="201">
        <f>16692.61</f>
        <v>16692.61</v>
      </c>
      <c r="R81" s="72"/>
      <c r="S81" s="81"/>
    </row>
    <row r="82" spans="2:19" x14ac:dyDescent="0.35">
      <c r="C82" s="216">
        <f>B13</f>
        <v>1500</v>
      </c>
      <c r="D82" s="80"/>
      <c r="E82" s="6">
        <f t="shared" ref="E82:E88" si="233">+Q82/12</f>
        <v>721.61800000000005</v>
      </c>
      <c r="F82" s="6">
        <f t="shared" ref="F82:F88" si="234">+E82</f>
        <v>721.61800000000005</v>
      </c>
      <c r="G82" s="6">
        <f t="shared" ref="G82:P82" si="235">+F82</f>
        <v>721.61800000000005</v>
      </c>
      <c r="H82" s="6">
        <f t="shared" si="235"/>
        <v>721.61800000000005</v>
      </c>
      <c r="I82" s="6">
        <f t="shared" si="235"/>
        <v>721.61800000000005</v>
      </c>
      <c r="J82" s="6">
        <f t="shared" si="235"/>
        <v>721.61800000000005</v>
      </c>
      <c r="K82" s="6">
        <f t="shared" si="235"/>
        <v>721.61800000000005</v>
      </c>
      <c r="L82" s="6">
        <f t="shared" si="235"/>
        <v>721.61800000000005</v>
      </c>
      <c r="M82" s="6">
        <f t="shared" si="235"/>
        <v>721.61800000000005</v>
      </c>
      <c r="N82" s="6">
        <f t="shared" si="235"/>
        <v>721.61800000000005</v>
      </c>
      <c r="O82" s="6">
        <f t="shared" si="235"/>
        <v>721.61800000000005</v>
      </c>
      <c r="P82" s="6">
        <f t="shared" si="235"/>
        <v>721.61800000000005</v>
      </c>
      <c r="Q82" s="201">
        <f>1.03*8407.2</f>
        <v>8659.4160000000011</v>
      </c>
      <c r="R82" s="72"/>
      <c r="S82" s="81"/>
    </row>
    <row r="83" spans="2:19" x14ac:dyDescent="0.35">
      <c r="C83" s="216">
        <f>B20</f>
        <v>2300</v>
      </c>
      <c r="D83" s="80"/>
      <c r="E83" s="6">
        <f t="shared" si="233"/>
        <v>13547.230000000001</v>
      </c>
      <c r="F83" s="6">
        <f t="shared" si="234"/>
        <v>13547.230000000001</v>
      </c>
      <c r="G83" s="6">
        <f t="shared" ref="G83:P83" si="236">+F83</f>
        <v>13547.230000000001</v>
      </c>
      <c r="H83" s="6">
        <f t="shared" si="236"/>
        <v>13547.230000000001</v>
      </c>
      <c r="I83" s="6">
        <f t="shared" si="236"/>
        <v>13547.230000000001</v>
      </c>
      <c r="J83" s="6">
        <f t="shared" si="236"/>
        <v>13547.230000000001</v>
      </c>
      <c r="K83" s="6">
        <f t="shared" si="236"/>
        <v>13547.230000000001</v>
      </c>
      <c r="L83" s="6">
        <f t="shared" si="236"/>
        <v>13547.230000000001</v>
      </c>
      <c r="M83" s="6">
        <f t="shared" si="236"/>
        <v>13547.230000000001</v>
      </c>
      <c r="N83" s="6">
        <f t="shared" si="236"/>
        <v>13547.230000000001</v>
      </c>
      <c r="O83" s="6">
        <f t="shared" si="236"/>
        <v>13547.230000000001</v>
      </c>
      <c r="P83" s="6">
        <f t="shared" si="236"/>
        <v>13547.230000000001</v>
      </c>
      <c r="Q83" s="201">
        <f>162566.76</f>
        <v>162566.76</v>
      </c>
      <c r="R83" s="72"/>
      <c r="S83" s="81"/>
    </row>
    <row r="84" spans="2:19" x14ac:dyDescent="0.35">
      <c r="C84" s="216">
        <f>B27</f>
        <v>4500</v>
      </c>
      <c r="D84" s="80"/>
      <c r="E84" s="6">
        <f t="shared" si="233"/>
        <v>14640.07</v>
      </c>
      <c r="F84" s="6">
        <f t="shared" si="234"/>
        <v>14640.07</v>
      </c>
      <c r="G84" s="6">
        <f t="shared" ref="G84:P86" si="237">+F84</f>
        <v>14640.07</v>
      </c>
      <c r="H84" s="6">
        <f t="shared" si="237"/>
        <v>14640.07</v>
      </c>
      <c r="I84" s="6">
        <f t="shared" si="237"/>
        <v>14640.07</v>
      </c>
      <c r="J84" s="6">
        <f t="shared" si="237"/>
        <v>14640.07</v>
      </c>
      <c r="K84" s="6">
        <f t="shared" si="237"/>
        <v>14640.07</v>
      </c>
      <c r="L84" s="6">
        <f t="shared" si="237"/>
        <v>14640.07</v>
      </c>
      <c r="M84" s="6">
        <f t="shared" si="237"/>
        <v>14640.07</v>
      </c>
      <c r="N84" s="6">
        <f t="shared" si="237"/>
        <v>14640.07</v>
      </c>
      <c r="O84" s="6">
        <f t="shared" si="237"/>
        <v>14640.07</v>
      </c>
      <c r="P84" s="6">
        <f t="shared" si="237"/>
        <v>14640.07</v>
      </c>
      <c r="Q84" s="201">
        <f>175680.84</f>
        <v>175680.84</v>
      </c>
      <c r="R84" s="72"/>
      <c r="S84" s="81"/>
    </row>
    <row r="85" spans="2:19" x14ac:dyDescent="0.35">
      <c r="C85" s="216">
        <f>C84</f>
        <v>4500</v>
      </c>
      <c r="D85" s="80" t="s">
        <v>345</v>
      </c>
      <c r="E85" s="6">
        <f t="shared" ref="E85" si="238">+Q85/12</f>
        <v>1189.83</v>
      </c>
      <c r="F85" s="6">
        <f t="shared" ref="F85" si="239">+E85</f>
        <v>1189.83</v>
      </c>
      <c r="G85" s="6">
        <f t="shared" ref="G85" si="240">+F85</f>
        <v>1189.83</v>
      </c>
      <c r="H85" s="6">
        <f t="shared" ref="H85" si="241">+G85</f>
        <v>1189.83</v>
      </c>
      <c r="I85" s="6">
        <f t="shared" ref="I85" si="242">+H85</f>
        <v>1189.83</v>
      </c>
      <c r="J85" s="6">
        <f t="shared" ref="J85" si="243">+I85</f>
        <v>1189.83</v>
      </c>
      <c r="K85" s="6">
        <f t="shared" ref="K85" si="244">+J85</f>
        <v>1189.83</v>
      </c>
      <c r="L85" s="6">
        <f t="shared" ref="L85" si="245">+K85</f>
        <v>1189.83</v>
      </c>
      <c r="M85" s="6">
        <f t="shared" ref="M85" si="246">+L85</f>
        <v>1189.83</v>
      </c>
      <c r="N85" s="6">
        <f t="shared" ref="N85" si="247">+M85</f>
        <v>1189.83</v>
      </c>
      <c r="O85" s="6">
        <f t="shared" ref="O85" si="248">+N85</f>
        <v>1189.83</v>
      </c>
      <c r="P85" s="6">
        <f t="shared" ref="P85" si="249">+O85</f>
        <v>1189.83</v>
      </c>
      <c r="Q85" s="201">
        <f>14277.96</f>
        <v>14277.96</v>
      </c>
      <c r="R85" s="72"/>
      <c r="S85" s="81"/>
    </row>
    <row r="86" spans="2:19" x14ac:dyDescent="0.35">
      <c r="C86" s="216">
        <f>B34</f>
        <v>5600</v>
      </c>
      <c r="D86" s="84"/>
      <c r="E86" s="6">
        <f t="shared" si="233"/>
        <v>257.96092500000003</v>
      </c>
      <c r="F86" s="6">
        <f t="shared" si="234"/>
        <v>257.96092500000003</v>
      </c>
      <c r="G86" s="6">
        <f t="shared" si="237"/>
        <v>257.96092500000003</v>
      </c>
      <c r="H86" s="6">
        <f t="shared" si="237"/>
        <v>257.96092500000003</v>
      </c>
      <c r="I86" s="6">
        <f t="shared" si="237"/>
        <v>257.96092500000003</v>
      </c>
      <c r="J86" s="6">
        <f t="shared" si="237"/>
        <v>257.96092500000003</v>
      </c>
      <c r="K86" s="6">
        <f t="shared" si="237"/>
        <v>257.96092500000003</v>
      </c>
      <c r="L86" s="6">
        <f t="shared" si="237"/>
        <v>257.96092500000003</v>
      </c>
      <c r="M86" s="6">
        <f t="shared" si="237"/>
        <v>257.96092500000003</v>
      </c>
      <c r="N86" s="6">
        <f t="shared" si="237"/>
        <v>257.96092500000003</v>
      </c>
      <c r="O86" s="6">
        <f t="shared" si="237"/>
        <v>257.96092500000003</v>
      </c>
      <c r="P86" s="6">
        <f t="shared" si="237"/>
        <v>257.96092500000003</v>
      </c>
      <c r="Q86" s="201">
        <f>1.03*3005.37</f>
        <v>3095.5311000000002</v>
      </c>
      <c r="R86" s="72"/>
      <c r="S86" s="81"/>
    </row>
    <row r="87" spans="2:19" x14ac:dyDescent="0.35">
      <c r="C87" s="216">
        <f>B41</f>
        <v>7010</v>
      </c>
      <c r="D87" s="84"/>
      <c r="E87" s="6">
        <f t="shared" si="233"/>
        <v>13172.1175</v>
      </c>
      <c r="F87" s="6">
        <f t="shared" si="234"/>
        <v>13172.1175</v>
      </c>
      <c r="G87" s="6">
        <f t="shared" ref="G87:P88" si="250">+F87</f>
        <v>13172.1175</v>
      </c>
      <c r="H87" s="6">
        <f t="shared" si="250"/>
        <v>13172.1175</v>
      </c>
      <c r="I87" s="6">
        <f t="shared" si="250"/>
        <v>13172.1175</v>
      </c>
      <c r="J87" s="6">
        <f t="shared" si="250"/>
        <v>13172.1175</v>
      </c>
      <c r="K87" s="6">
        <f t="shared" si="250"/>
        <v>13172.1175</v>
      </c>
      <c r="L87" s="6">
        <f t="shared" si="250"/>
        <v>13172.1175</v>
      </c>
      <c r="M87" s="6">
        <f t="shared" si="250"/>
        <v>13172.1175</v>
      </c>
      <c r="N87" s="6">
        <f t="shared" si="250"/>
        <v>13172.1175</v>
      </c>
      <c r="O87" s="6">
        <f t="shared" si="250"/>
        <v>13172.1175</v>
      </c>
      <c r="P87" s="6">
        <f t="shared" si="250"/>
        <v>13172.1175</v>
      </c>
      <c r="Q87" s="201">
        <f>158065.41</f>
        <v>158065.41</v>
      </c>
      <c r="R87" s="72"/>
      <c r="S87" s="81"/>
    </row>
    <row r="88" spans="2:19" x14ac:dyDescent="0.35">
      <c r="C88" s="216">
        <f>B48</f>
        <v>7200</v>
      </c>
      <c r="D88" s="84"/>
      <c r="E88" s="6">
        <f t="shared" si="233"/>
        <v>3143.5917583333339</v>
      </c>
      <c r="F88" s="6">
        <f t="shared" si="234"/>
        <v>3143.5917583333339</v>
      </c>
      <c r="G88" s="6">
        <f t="shared" si="250"/>
        <v>3143.5917583333339</v>
      </c>
      <c r="H88" s="6">
        <f t="shared" si="250"/>
        <v>3143.5917583333339</v>
      </c>
      <c r="I88" s="6">
        <f t="shared" si="250"/>
        <v>3143.5917583333339</v>
      </c>
      <c r="J88" s="6">
        <f t="shared" si="250"/>
        <v>3143.5917583333339</v>
      </c>
      <c r="K88" s="6">
        <f t="shared" si="250"/>
        <v>3143.5917583333339</v>
      </c>
      <c r="L88" s="6">
        <f t="shared" si="250"/>
        <v>3143.5917583333339</v>
      </c>
      <c r="M88" s="6">
        <f t="shared" si="250"/>
        <v>3143.5917583333339</v>
      </c>
      <c r="N88" s="6">
        <f t="shared" si="250"/>
        <v>3143.5917583333339</v>
      </c>
      <c r="O88" s="6">
        <f t="shared" si="250"/>
        <v>3143.5917583333339</v>
      </c>
      <c r="P88" s="6">
        <f t="shared" si="250"/>
        <v>3143.5917583333339</v>
      </c>
      <c r="Q88" s="228">
        <f>1.03*36624.37</f>
        <v>37723.101100000007</v>
      </c>
      <c r="R88" s="229"/>
      <c r="S88" s="81"/>
    </row>
    <row r="89" spans="2:19" x14ac:dyDescent="0.35">
      <c r="C89" s="216">
        <f>B55</f>
        <v>7300</v>
      </c>
      <c r="D89" s="84"/>
      <c r="E89" s="6">
        <f t="shared" ref="E89:E92" si="251">+Q89/12</f>
        <v>3811.4849583333339</v>
      </c>
      <c r="F89" s="6">
        <f t="shared" ref="F89:F92" si="252">+E89</f>
        <v>3811.4849583333339</v>
      </c>
      <c r="G89" s="6">
        <f t="shared" ref="G89:G92" si="253">+F89</f>
        <v>3811.4849583333339</v>
      </c>
      <c r="H89" s="6">
        <f t="shared" ref="H89:H92" si="254">+G89</f>
        <v>3811.4849583333339</v>
      </c>
      <c r="I89" s="6">
        <f t="shared" ref="I89:I92" si="255">+H89</f>
        <v>3811.4849583333339</v>
      </c>
      <c r="J89" s="6">
        <f t="shared" ref="J89:J92" si="256">+I89</f>
        <v>3811.4849583333339</v>
      </c>
      <c r="K89" s="6">
        <f t="shared" ref="K89:K92" si="257">+J89</f>
        <v>3811.4849583333339</v>
      </c>
      <c r="L89" s="6">
        <f t="shared" ref="L89:L92" si="258">+K89</f>
        <v>3811.4849583333339</v>
      </c>
      <c r="M89" s="6">
        <f t="shared" ref="M89:M92" si="259">+L89</f>
        <v>3811.4849583333339</v>
      </c>
      <c r="N89" s="6">
        <f t="shared" ref="N89:N92" si="260">+M89</f>
        <v>3811.4849583333339</v>
      </c>
      <c r="O89" s="6">
        <f t="shared" ref="O89:O92" si="261">+N89</f>
        <v>3811.4849583333339</v>
      </c>
      <c r="P89" s="6">
        <f t="shared" ref="P89:P92" si="262">+O89</f>
        <v>3811.4849583333339</v>
      </c>
      <c r="Q89" s="228">
        <f>1.03*44405.65</f>
        <v>45737.819500000005</v>
      </c>
      <c r="R89" s="229"/>
      <c r="S89" s="81"/>
    </row>
    <row r="90" spans="2:19" x14ac:dyDescent="0.35">
      <c r="C90" s="216">
        <f>B62</f>
        <v>8200</v>
      </c>
      <c r="D90" s="84" t="s">
        <v>346</v>
      </c>
      <c r="E90" s="6">
        <f t="shared" si="251"/>
        <v>1990.3960333333334</v>
      </c>
      <c r="F90" s="6">
        <f t="shared" si="252"/>
        <v>1990.3960333333334</v>
      </c>
      <c r="G90" s="6">
        <f t="shared" si="253"/>
        <v>1990.3960333333334</v>
      </c>
      <c r="H90" s="6">
        <f t="shared" si="254"/>
        <v>1990.3960333333334</v>
      </c>
      <c r="I90" s="6">
        <f t="shared" si="255"/>
        <v>1990.3960333333334</v>
      </c>
      <c r="J90" s="6">
        <f t="shared" si="256"/>
        <v>1990.3960333333334</v>
      </c>
      <c r="K90" s="6">
        <f t="shared" si="257"/>
        <v>1990.3960333333334</v>
      </c>
      <c r="L90" s="6">
        <f t="shared" si="258"/>
        <v>1990.3960333333334</v>
      </c>
      <c r="M90" s="6">
        <f t="shared" si="259"/>
        <v>1990.3960333333334</v>
      </c>
      <c r="N90" s="6">
        <f t="shared" si="260"/>
        <v>1990.3960333333334</v>
      </c>
      <c r="O90" s="6">
        <f t="shared" si="261"/>
        <v>1990.3960333333334</v>
      </c>
      <c r="P90" s="6">
        <f t="shared" si="262"/>
        <v>1990.3960333333334</v>
      </c>
      <c r="Q90" s="228">
        <f>1.03*23189.08</f>
        <v>23884.752400000001</v>
      </c>
      <c r="R90" s="229"/>
      <c r="S90" s="81"/>
    </row>
    <row r="91" spans="2:19" x14ac:dyDescent="0.35">
      <c r="C91" s="216">
        <f>C90</f>
        <v>8200</v>
      </c>
      <c r="D91" s="84" t="s">
        <v>347</v>
      </c>
      <c r="E91" s="6">
        <f t="shared" ref="E91" si="263">+Q91/12</f>
        <v>0</v>
      </c>
      <c r="F91" s="6">
        <f t="shared" ref="F91" si="264">+E91</f>
        <v>0</v>
      </c>
      <c r="G91" s="6">
        <f t="shared" ref="G91" si="265">+F91</f>
        <v>0</v>
      </c>
      <c r="H91" s="6">
        <f t="shared" ref="H91" si="266">+G91</f>
        <v>0</v>
      </c>
      <c r="I91" s="6">
        <f t="shared" ref="I91" si="267">+H91</f>
        <v>0</v>
      </c>
      <c r="J91" s="6">
        <f t="shared" ref="J91" si="268">+I91</f>
        <v>0</v>
      </c>
      <c r="K91" s="6">
        <f t="shared" ref="K91" si="269">+J91</f>
        <v>0</v>
      </c>
      <c r="L91" s="6">
        <f t="shared" ref="L91" si="270">+K91</f>
        <v>0</v>
      </c>
      <c r="M91" s="6">
        <f t="shared" ref="M91" si="271">+L91</f>
        <v>0</v>
      </c>
      <c r="N91" s="6">
        <f t="shared" ref="N91" si="272">+M91</f>
        <v>0</v>
      </c>
      <c r="O91" s="6">
        <f t="shared" ref="O91" si="273">+N91</f>
        <v>0</v>
      </c>
      <c r="P91" s="6">
        <f t="shared" ref="P91" si="274">+O91</f>
        <v>0</v>
      </c>
      <c r="Q91" s="228">
        <v>0</v>
      </c>
      <c r="R91" s="229"/>
      <c r="S91" s="81"/>
    </row>
    <row r="92" spans="2:19" x14ac:dyDescent="0.35">
      <c r="C92" s="216">
        <f>B69</f>
        <v>9510</v>
      </c>
      <c r="D92" s="84"/>
      <c r="E92" s="15">
        <f t="shared" si="251"/>
        <v>2725.2083333333335</v>
      </c>
      <c r="F92" s="15">
        <f t="shared" si="252"/>
        <v>2725.2083333333335</v>
      </c>
      <c r="G92" s="15">
        <f t="shared" si="253"/>
        <v>2725.2083333333335</v>
      </c>
      <c r="H92" s="15">
        <f t="shared" si="254"/>
        <v>2725.2083333333335</v>
      </c>
      <c r="I92" s="15">
        <f t="shared" si="255"/>
        <v>2725.2083333333335</v>
      </c>
      <c r="J92" s="15">
        <f t="shared" si="256"/>
        <v>2725.2083333333335</v>
      </c>
      <c r="K92" s="15">
        <f t="shared" si="257"/>
        <v>2725.2083333333335</v>
      </c>
      <c r="L92" s="15">
        <f t="shared" si="258"/>
        <v>2725.2083333333335</v>
      </c>
      <c r="M92" s="15">
        <f t="shared" si="259"/>
        <v>2725.2083333333335</v>
      </c>
      <c r="N92" s="15">
        <f t="shared" si="260"/>
        <v>2725.2083333333335</v>
      </c>
      <c r="O92" s="15">
        <f t="shared" si="261"/>
        <v>2725.2083333333335</v>
      </c>
      <c r="P92" s="15">
        <f t="shared" si="262"/>
        <v>2725.2083333333335</v>
      </c>
      <c r="Q92" s="228">
        <f>1.03*31750</f>
        <v>32702.5</v>
      </c>
      <c r="R92" s="229"/>
      <c r="S92" s="81"/>
    </row>
    <row r="93" spans="2:19" x14ac:dyDescent="0.35">
      <c r="C93" s="71"/>
      <c r="D93" s="85" t="s">
        <v>320</v>
      </c>
      <c r="E93" s="87">
        <f>SUM(E81:E92)</f>
        <v>56590.55834166667</v>
      </c>
      <c r="F93" s="87">
        <f t="shared" ref="F93:Q93" si="275">SUM(F81:F92)</f>
        <v>56590.55834166667</v>
      </c>
      <c r="G93" s="87">
        <f t="shared" si="275"/>
        <v>56590.55834166667</v>
      </c>
      <c r="H93" s="87">
        <f t="shared" si="275"/>
        <v>56590.55834166667</v>
      </c>
      <c r="I93" s="87">
        <f t="shared" si="275"/>
        <v>56590.55834166667</v>
      </c>
      <c r="J93" s="87">
        <f t="shared" si="275"/>
        <v>56590.55834166667</v>
      </c>
      <c r="K93" s="87">
        <f t="shared" si="275"/>
        <v>56590.55834166667</v>
      </c>
      <c r="L93" s="87">
        <f t="shared" si="275"/>
        <v>56590.55834166667</v>
      </c>
      <c r="M93" s="87">
        <f t="shared" si="275"/>
        <v>56590.55834166667</v>
      </c>
      <c r="N93" s="87">
        <f t="shared" si="275"/>
        <v>56590.55834166667</v>
      </c>
      <c r="O93" s="87">
        <f t="shared" si="275"/>
        <v>56590.55834166667</v>
      </c>
      <c r="P93" s="87">
        <f t="shared" si="275"/>
        <v>56590.55834166667</v>
      </c>
      <c r="Q93" s="87">
        <f t="shared" si="275"/>
        <v>679086.70010000002</v>
      </c>
      <c r="R93" s="77"/>
      <c r="S93" s="81"/>
    </row>
    <row r="94" spans="2:19" x14ac:dyDescent="0.35">
      <c r="B94" s="71"/>
      <c r="C94" s="85"/>
      <c r="D94" s="85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spans="2:19" x14ac:dyDescent="0.35">
      <c r="B95" s="71"/>
      <c r="C95" s="85"/>
      <c r="D95" s="85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 spans="2:19" ht="17.5" x14ac:dyDescent="0.35">
      <c r="C96" s="9" t="s">
        <v>322</v>
      </c>
      <c r="D96" s="32"/>
      <c r="Q96" s="78"/>
    </row>
    <row r="97" spans="3:17" ht="18" x14ac:dyDescent="0.35">
      <c r="C97" s="6"/>
      <c r="E97" s="24" t="s">
        <v>0</v>
      </c>
      <c r="F97" s="24" t="s">
        <v>1</v>
      </c>
      <c r="G97" s="24" t="s">
        <v>2</v>
      </c>
      <c r="H97" s="24" t="s">
        <v>3</v>
      </c>
      <c r="I97" s="24" t="s">
        <v>4</v>
      </c>
      <c r="J97" s="24" t="s">
        <v>5</v>
      </c>
      <c r="K97" s="24" t="s">
        <v>6</v>
      </c>
      <c r="L97" s="24" t="s">
        <v>7</v>
      </c>
      <c r="M97" s="24" t="s">
        <v>8</v>
      </c>
      <c r="N97" s="24" t="s">
        <v>9</v>
      </c>
      <c r="O97" s="24" t="s">
        <v>10</v>
      </c>
      <c r="P97" s="24" t="s">
        <v>11</v>
      </c>
      <c r="Q97" s="24" t="s">
        <v>12</v>
      </c>
    </row>
    <row r="98" spans="3:17" x14ac:dyDescent="0.35">
      <c r="C98" s="216">
        <f>C81</f>
        <v>1100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72">
        <f t="shared" ref="Q98:Q105" si="276">SUM(E98:P98)</f>
        <v>0</v>
      </c>
    </row>
    <row r="99" spans="3:17" x14ac:dyDescent="0.35">
      <c r="C99" s="216">
        <f>C82</f>
        <v>1500</v>
      </c>
      <c r="D99" s="80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2">
        <f t="shared" si="276"/>
        <v>0</v>
      </c>
    </row>
    <row r="100" spans="3:17" x14ac:dyDescent="0.35">
      <c r="C100" s="216">
        <f>C83</f>
        <v>2300</v>
      </c>
      <c r="D100" s="80" t="s">
        <v>532</v>
      </c>
      <c r="E100" s="6">
        <v>12479.199977184926</v>
      </c>
      <c r="F100" s="6">
        <v>12442.590039788874</v>
      </c>
      <c r="G100" s="6">
        <v>12405.873323408749</v>
      </c>
      <c r="H100" s="6">
        <v>12369.049516605848</v>
      </c>
      <c r="I100" s="6">
        <v>12332.118307033104</v>
      </c>
      <c r="J100" s="6">
        <v>12295.079381432446</v>
      </c>
      <c r="K100" s="6">
        <v>12257.932425632114</v>
      </c>
      <c r="L100" s="6">
        <v>12220.677124544032</v>
      </c>
      <c r="M100" s="6">
        <v>12183.313162161108</v>
      </c>
      <c r="N100" s="6">
        <v>12145.84022155457</v>
      </c>
      <c r="O100" s="6">
        <v>12108.257984871259</v>
      </c>
      <c r="P100" s="6">
        <v>12070.566133330958</v>
      </c>
      <c r="Q100" s="72">
        <f t="shared" si="276"/>
        <v>147310.49759754798</v>
      </c>
    </row>
    <row r="101" spans="3:17" x14ac:dyDescent="0.35">
      <c r="C101" s="216">
        <f>C84</f>
        <v>4500</v>
      </c>
      <c r="D101" s="80" t="s">
        <v>532</v>
      </c>
      <c r="E101" s="6">
        <v>23652.975074322418</v>
      </c>
      <c r="F101" s="6">
        <v>23588.942399230935</v>
      </c>
      <c r="G101" s="6">
        <v>23524.720294142313</v>
      </c>
      <c r="H101" s="6">
        <v>23460.308198659459</v>
      </c>
      <c r="I101" s="6">
        <v>23395.705550727471</v>
      </c>
      <c r="J101" s="6">
        <v>23330.911786628687</v>
      </c>
      <c r="K101" s="6">
        <v>23265.926340977774</v>
      </c>
      <c r="L101" s="6">
        <v>23200.748646716816</v>
      </c>
      <c r="M101" s="55">
        <v>23135.378135110332</v>
      </c>
      <c r="N101" s="55">
        <v>23069.814235740352</v>
      </c>
      <c r="O101" s="55">
        <v>23004.05637650139</v>
      </c>
      <c r="P101" s="55">
        <v>22938.10398359552</v>
      </c>
      <c r="Q101" s="94">
        <f t="shared" si="276"/>
        <v>279567.59102235344</v>
      </c>
    </row>
    <row r="102" spans="3:17" x14ac:dyDescent="0.35">
      <c r="C102" s="216">
        <f>C86</f>
        <v>5600</v>
      </c>
      <c r="D102" s="8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72">
        <f>SUM(E102:P102)</f>
        <v>0</v>
      </c>
    </row>
    <row r="103" spans="3:17" x14ac:dyDescent="0.35">
      <c r="C103" s="216">
        <f>C87</f>
        <v>7010</v>
      </c>
      <c r="D103" s="80" t="s">
        <v>532</v>
      </c>
      <c r="E103" s="6">
        <v>11855.239978325679</v>
      </c>
      <c r="F103" s="6">
        <v>11820.46053779943</v>
      </c>
      <c r="G103" s="6">
        <v>11785.579657238311</v>
      </c>
      <c r="H103" s="6">
        <v>11750.597040775556</v>
      </c>
      <c r="I103" s="6">
        <v>11715.51239168145</v>
      </c>
      <c r="J103" s="6">
        <v>11680.325412360822</v>
      </c>
      <c r="K103" s="6">
        <v>11645.035804350508</v>
      </c>
      <c r="L103" s="6">
        <v>11609.64326831683</v>
      </c>
      <c r="M103" s="6">
        <v>11574.147504053051</v>
      </c>
      <c r="N103" s="6">
        <v>11538.548210476842</v>
      </c>
      <c r="O103" s="6">
        <v>11502.845085627696</v>
      </c>
      <c r="P103" s="6">
        <v>11467.037826664409</v>
      </c>
      <c r="Q103" s="72">
        <f t="shared" si="276"/>
        <v>139944.97271767058</v>
      </c>
    </row>
    <row r="104" spans="3:17" x14ac:dyDescent="0.35">
      <c r="C104" s="216">
        <f>C88</f>
        <v>7200</v>
      </c>
      <c r="D104" s="80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72">
        <f t="shared" si="276"/>
        <v>0</v>
      </c>
    </row>
    <row r="105" spans="3:17" x14ac:dyDescent="0.35">
      <c r="C105" s="216">
        <f>C89</f>
        <v>7300</v>
      </c>
      <c r="D105" s="80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72">
        <f t="shared" si="276"/>
        <v>0</v>
      </c>
    </row>
    <row r="106" spans="3:17" x14ac:dyDescent="0.35">
      <c r="C106" s="216">
        <f>C90</f>
        <v>8200</v>
      </c>
      <c r="D106" s="80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72">
        <f>SUM(E106:P106)</f>
        <v>0</v>
      </c>
    </row>
    <row r="107" spans="3:17" x14ac:dyDescent="0.35">
      <c r="C107" s="216">
        <f>C92</f>
        <v>9510</v>
      </c>
      <c r="D107" s="80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72">
        <f>SUM(E107:P107)</f>
        <v>0</v>
      </c>
    </row>
    <row r="108" spans="3:17" x14ac:dyDescent="0.35">
      <c r="C108" s="6"/>
      <c r="D108" s="85" t="s">
        <v>534</v>
      </c>
      <c r="E108" s="87">
        <f t="shared" ref="E108:Q108" si="277">SUM(E99:E107)</f>
        <v>47987.415029833021</v>
      </c>
      <c r="F108" s="87">
        <f t="shared" si="277"/>
        <v>47851.992976819238</v>
      </c>
      <c r="G108" s="87">
        <f t="shared" si="277"/>
        <v>47716.173274789369</v>
      </c>
      <c r="H108" s="87">
        <f t="shared" si="277"/>
        <v>47579.954756040868</v>
      </c>
      <c r="I108" s="87">
        <f t="shared" si="277"/>
        <v>47443.336249442022</v>
      </c>
      <c r="J108" s="87">
        <f t="shared" si="277"/>
        <v>47306.316580421953</v>
      </c>
      <c r="K108" s="87">
        <f t="shared" si="277"/>
        <v>47168.894570960401</v>
      </c>
      <c r="L108" s="87">
        <f t="shared" si="277"/>
        <v>47031.069039577684</v>
      </c>
      <c r="M108" s="87">
        <f t="shared" si="277"/>
        <v>46892.838801324491</v>
      </c>
      <c r="N108" s="87">
        <f t="shared" si="277"/>
        <v>46754.202667771766</v>
      </c>
      <c r="O108" s="87">
        <f t="shared" si="277"/>
        <v>46615.159447000347</v>
      </c>
      <c r="P108" s="87">
        <f t="shared" si="277"/>
        <v>46475.707943590889</v>
      </c>
      <c r="Q108" s="87">
        <f t="shared" si="277"/>
        <v>566823.06133757206</v>
      </c>
    </row>
    <row r="109" spans="3:17" x14ac:dyDescent="0.35">
      <c r="Q109" s="364"/>
    </row>
    <row r="111" spans="3:17" ht="17.5" x14ac:dyDescent="0.35">
      <c r="C111" s="9" t="s">
        <v>533</v>
      </c>
      <c r="D111" s="32"/>
      <c r="Q111" s="78"/>
    </row>
    <row r="112" spans="3:17" ht="18" x14ac:dyDescent="0.35">
      <c r="C112" s="6"/>
      <c r="E112" s="24" t="s">
        <v>0</v>
      </c>
      <c r="F112" s="24" t="s">
        <v>1</v>
      </c>
      <c r="G112" s="24" t="s">
        <v>2</v>
      </c>
      <c r="H112" s="24" t="s">
        <v>3</v>
      </c>
      <c r="I112" s="24" t="s">
        <v>4</v>
      </c>
      <c r="J112" s="24" t="s">
        <v>5</v>
      </c>
      <c r="K112" s="24" t="s">
        <v>6</v>
      </c>
      <c r="L112" s="24" t="s">
        <v>7</v>
      </c>
      <c r="M112" s="24" t="s">
        <v>8</v>
      </c>
      <c r="N112" s="24" t="s">
        <v>9</v>
      </c>
      <c r="O112" s="24" t="s">
        <v>10</v>
      </c>
      <c r="P112" s="24" t="s">
        <v>11</v>
      </c>
      <c r="Q112" s="24" t="s">
        <v>12</v>
      </c>
    </row>
    <row r="113" spans="3:17" x14ac:dyDescent="0.35">
      <c r="C113" s="216">
        <f>C98</f>
        <v>1100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72">
        <f t="shared" ref="Q113:Q116" si="278">SUM(E113:P113)</f>
        <v>0</v>
      </c>
    </row>
    <row r="114" spans="3:17" x14ac:dyDescent="0.35">
      <c r="C114" s="216">
        <f t="shared" ref="C114:C122" si="279">C99</f>
        <v>1500</v>
      </c>
      <c r="D114" s="80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72">
        <f t="shared" si="278"/>
        <v>0</v>
      </c>
    </row>
    <row r="115" spans="3:17" x14ac:dyDescent="0.35">
      <c r="C115" s="216">
        <f t="shared" si="279"/>
        <v>2300</v>
      </c>
      <c r="D115" s="80" t="s">
        <v>532</v>
      </c>
      <c r="E115" s="6">
        <v>12551.978535789716</v>
      </c>
      <c r="F115" s="6">
        <v>12588.588473185771</v>
      </c>
      <c r="G115" s="6">
        <v>12625.305189565895</v>
      </c>
      <c r="H115" s="6">
        <v>12662.128996368796</v>
      </c>
      <c r="I115" s="6">
        <v>12699.060205941538</v>
      </c>
      <c r="J115" s="6">
        <v>12736.099131542202</v>
      </c>
      <c r="K115" s="6">
        <v>12773.246087342532</v>
      </c>
      <c r="L115" s="6">
        <v>12810.501388430615</v>
      </c>
      <c r="M115" s="6">
        <v>12847.865350813538</v>
      </c>
      <c r="N115" s="6">
        <v>12885.338291420077</v>
      </c>
      <c r="O115" s="365">
        <v>12922.920528103385</v>
      </c>
      <c r="P115" s="6">
        <v>12960.612379643688</v>
      </c>
      <c r="Q115" s="72">
        <f t="shared" si="278"/>
        <v>153063.64455814773</v>
      </c>
    </row>
    <row r="116" spans="3:17" x14ac:dyDescent="0.35">
      <c r="C116" s="216">
        <f t="shared" si="279"/>
        <v>4500</v>
      </c>
      <c r="D116" s="80" t="s">
        <v>532</v>
      </c>
      <c r="E116" s="6">
        <v>21644.847918247906</v>
      </c>
      <c r="F116" s="6">
        <v>21708.880593339389</v>
      </c>
      <c r="G116" s="6">
        <v>21773.102698428014</v>
      </c>
      <c r="H116" s="6">
        <v>21837.514793910861</v>
      </c>
      <c r="I116" s="6">
        <v>21902.117441842853</v>
      </c>
      <c r="J116" s="6">
        <v>21966.911205941637</v>
      </c>
      <c r="K116" s="6">
        <v>22031.896651592549</v>
      </c>
      <c r="L116" s="6">
        <v>22097.074345853507</v>
      </c>
      <c r="M116" s="55">
        <v>22162.444857459992</v>
      </c>
      <c r="N116" s="55">
        <v>22228.008756829975</v>
      </c>
      <c r="O116" s="55">
        <v>22293.766616068933</v>
      </c>
      <c r="P116" s="55">
        <v>22359.719008974804</v>
      </c>
      <c r="Q116" s="94">
        <f t="shared" si="278"/>
        <v>264006.28488849039</v>
      </c>
    </row>
    <row r="117" spans="3:17" x14ac:dyDescent="0.35">
      <c r="C117" s="216">
        <f t="shared" si="279"/>
        <v>5600</v>
      </c>
      <c r="D117" s="80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72">
        <f>SUM(E117:P117)</f>
        <v>0</v>
      </c>
    </row>
    <row r="118" spans="3:17" x14ac:dyDescent="0.35">
      <c r="C118" s="216">
        <f t="shared" si="279"/>
        <v>7010</v>
      </c>
      <c r="D118" s="80" t="s">
        <v>532</v>
      </c>
      <c r="E118" s="6">
        <v>11924.379609000229</v>
      </c>
      <c r="F118" s="6">
        <v>11959.159049526481</v>
      </c>
      <c r="G118" s="6">
        <v>11994.0399300876</v>
      </c>
      <c r="H118" s="6">
        <v>12029.022546550357</v>
      </c>
      <c r="I118" s="6">
        <v>12064.107195644461</v>
      </c>
      <c r="J118" s="6">
        <v>12099.294174965089</v>
      </c>
      <c r="K118" s="6">
        <v>12134.583782975405</v>
      </c>
      <c r="L118" s="6">
        <v>12169.976319009083</v>
      </c>
      <c r="M118" s="6">
        <v>12205.47208327286</v>
      </c>
      <c r="N118" s="6">
        <v>12241.071376849073</v>
      </c>
      <c r="O118" s="6">
        <v>12276.774501698215</v>
      </c>
      <c r="P118" s="6">
        <v>12312.581760661502</v>
      </c>
      <c r="Q118" s="72">
        <f t="shared" ref="Q118:Q120" si="280">SUM(E118:P118)</f>
        <v>145410.46233024038</v>
      </c>
    </row>
    <row r="119" spans="3:17" x14ac:dyDescent="0.35">
      <c r="C119" s="216">
        <f t="shared" si="279"/>
        <v>7200</v>
      </c>
      <c r="D119" s="80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72">
        <f t="shared" si="280"/>
        <v>0</v>
      </c>
    </row>
    <row r="120" spans="3:17" x14ac:dyDescent="0.35">
      <c r="C120" s="216">
        <f t="shared" si="279"/>
        <v>7300</v>
      </c>
      <c r="D120" s="80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72">
        <f t="shared" si="280"/>
        <v>0</v>
      </c>
    </row>
    <row r="121" spans="3:17" x14ac:dyDescent="0.35">
      <c r="C121" s="216">
        <f t="shared" si="279"/>
        <v>8200</v>
      </c>
      <c r="D121" s="8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72">
        <f>SUM(E121:P121)</f>
        <v>0</v>
      </c>
    </row>
    <row r="122" spans="3:17" x14ac:dyDescent="0.35">
      <c r="C122" s="216">
        <f t="shared" si="279"/>
        <v>9510</v>
      </c>
      <c r="D122" s="8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72">
        <f>SUM(E122:P122)</f>
        <v>0</v>
      </c>
    </row>
    <row r="123" spans="3:17" x14ac:dyDescent="0.35">
      <c r="C123" s="85"/>
      <c r="D123" s="85" t="s">
        <v>535</v>
      </c>
      <c r="E123" s="87">
        <f t="shared" ref="E123:Q123" si="281">SUM(E114:E122)</f>
        <v>46121.206063037855</v>
      </c>
      <c r="F123" s="87">
        <f t="shared" si="281"/>
        <v>46256.628116051645</v>
      </c>
      <c r="G123" s="87">
        <f t="shared" si="281"/>
        <v>46392.447818081513</v>
      </c>
      <c r="H123" s="87">
        <f t="shared" si="281"/>
        <v>46528.666336830021</v>
      </c>
      <c r="I123" s="87">
        <f t="shared" si="281"/>
        <v>46665.284843428846</v>
      </c>
      <c r="J123" s="87">
        <f t="shared" si="281"/>
        <v>46802.304512448929</v>
      </c>
      <c r="K123" s="87">
        <f t="shared" si="281"/>
        <v>46939.726521910488</v>
      </c>
      <c r="L123" s="87">
        <f t="shared" si="281"/>
        <v>47077.552053293206</v>
      </c>
      <c r="M123" s="87">
        <f t="shared" si="281"/>
        <v>47215.782291546391</v>
      </c>
      <c r="N123" s="87">
        <f t="shared" si="281"/>
        <v>47354.418425099131</v>
      </c>
      <c r="O123" s="87">
        <f t="shared" si="281"/>
        <v>47493.461645870535</v>
      </c>
      <c r="P123" s="87">
        <f t="shared" si="281"/>
        <v>47632.913149279993</v>
      </c>
      <c r="Q123" s="87">
        <f t="shared" si="281"/>
        <v>562480.3917768785</v>
      </c>
    </row>
  </sheetData>
  <sheetProtection sheet="1" selectLockedCells="1"/>
  <phoneticPr fontId="4" type="noConversion"/>
  <conditionalFormatting sqref="O115">
    <cfRule type="expression" dxfId="0" priority="1">
      <formula>$D115=$L$1</formula>
    </cfRule>
  </conditionalFormatting>
  <pageMargins left="0.7" right="0.7" top="0.75" bottom="0.75" header="0.3" footer="0.3"/>
  <pageSetup scale="41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  <pageSetUpPr fitToPage="1"/>
  </sheetPr>
  <dimension ref="A1:Q129"/>
  <sheetViews>
    <sheetView topLeftCell="A95" zoomScale="115" zoomScaleNormal="115" workbookViewId="0">
      <selection activeCell="D123" sqref="D123"/>
    </sheetView>
  </sheetViews>
  <sheetFormatPr defaultColWidth="8.81640625" defaultRowHeight="16" x14ac:dyDescent="0.35"/>
  <cols>
    <col min="1" max="1" width="17" style="6" bestFit="1" customWidth="1"/>
    <col min="2" max="2" width="14.453125" style="6" customWidth="1"/>
    <col min="3" max="14" width="9.54296875" style="6" bestFit="1" customWidth="1"/>
    <col min="15" max="15" width="10.81640625" style="6" bestFit="1" customWidth="1"/>
    <col min="16" max="16" width="8.81640625" style="6" bestFit="1" customWidth="1"/>
    <col min="17" max="17" width="12.54296875" style="6" customWidth="1"/>
    <col min="18" max="16384" width="8.81640625" style="6"/>
  </cols>
  <sheetData>
    <row r="1" spans="1:17" ht="29" x14ac:dyDescent="0.5">
      <c r="A1" s="6" t="s">
        <v>104</v>
      </c>
      <c r="C1" s="17" t="s">
        <v>32</v>
      </c>
      <c r="D1" s="18"/>
      <c r="E1" s="287"/>
      <c r="F1" s="287"/>
      <c r="G1" s="287"/>
      <c r="H1" s="287"/>
      <c r="I1" s="287"/>
      <c r="J1" s="287"/>
      <c r="K1" s="287"/>
      <c r="L1" s="18"/>
      <c r="M1" s="18"/>
      <c r="N1" s="18"/>
      <c r="O1" s="22">
        <f>'Cover Sheet'!$A$3</f>
        <v>46023</v>
      </c>
    </row>
    <row r="2" spans="1:17" x14ac:dyDescent="0.35">
      <c r="C2" s="18" t="str">
        <f>'All Shopping Centers'!J2</f>
        <v>Shopping Centers</v>
      </c>
      <c r="D2" s="18"/>
      <c r="E2" s="287"/>
      <c r="F2" s="287"/>
      <c r="G2" s="287"/>
      <c r="H2" s="287"/>
      <c r="I2" s="287"/>
      <c r="J2" s="287"/>
      <c r="K2" s="287"/>
      <c r="L2" s="18"/>
      <c r="M2" s="18"/>
      <c r="N2" s="18"/>
    </row>
    <row r="3" spans="1:17" x14ac:dyDescent="0.35">
      <c r="G3" s="56"/>
    </row>
    <row r="4" spans="1:17" ht="17.5" x14ac:dyDescent="0.35">
      <c r="B4" s="9" t="s">
        <v>480</v>
      </c>
      <c r="M4" s="78"/>
      <c r="N4" s="78"/>
    </row>
    <row r="5" spans="1:17" x14ac:dyDescent="0.35">
      <c r="C5" s="75" t="s">
        <v>0</v>
      </c>
      <c r="D5" s="75" t="s">
        <v>1</v>
      </c>
      <c r="E5" s="75" t="s">
        <v>2</v>
      </c>
      <c r="F5" s="75" t="s">
        <v>3</v>
      </c>
      <c r="G5" s="75" t="s">
        <v>4</v>
      </c>
      <c r="H5" s="75" t="s">
        <v>5</v>
      </c>
      <c r="I5" s="75" t="s">
        <v>6</v>
      </c>
      <c r="J5" s="75" t="s">
        <v>7</v>
      </c>
      <c r="K5" s="75" t="s">
        <v>8</v>
      </c>
      <c r="L5" s="75" t="s">
        <v>9</v>
      </c>
      <c r="M5" s="75" t="s">
        <v>10</v>
      </c>
      <c r="N5" s="75" t="s">
        <v>11</v>
      </c>
      <c r="O5" s="285" t="s">
        <v>12</v>
      </c>
      <c r="P5" s="13"/>
      <c r="Q5" s="23"/>
    </row>
    <row r="6" spans="1:17" x14ac:dyDescent="0.35">
      <c r="B6" s="216">
        <f>'1100'!$B$1</f>
        <v>1100</v>
      </c>
      <c r="C6" s="45">
        <f>C35+C49</f>
        <v>200</v>
      </c>
      <c r="D6" s="45">
        <f t="shared" ref="D6:N6" si="0">D35+D49</f>
        <v>200</v>
      </c>
      <c r="E6" s="45">
        <f t="shared" si="0"/>
        <v>200</v>
      </c>
      <c r="F6" s="45">
        <f t="shared" si="0"/>
        <v>500</v>
      </c>
      <c r="G6" s="45">
        <f t="shared" si="0"/>
        <v>200</v>
      </c>
      <c r="H6" s="45">
        <f t="shared" si="0"/>
        <v>200</v>
      </c>
      <c r="I6" s="45">
        <f t="shared" si="0"/>
        <v>200</v>
      </c>
      <c r="J6" s="45">
        <f t="shared" si="0"/>
        <v>200</v>
      </c>
      <c r="K6" s="45">
        <f t="shared" si="0"/>
        <v>200</v>
      </c>
      <c r="L6" s="45">
        <f t="shared" si="0"/>
        <v>650</v>
      </c>
      <c r="M6" s="45">
        <f t="shared" si="0"/>
        <v>200</v>
      </c>
      <c r="N6" s="45">
        <f t="shared" si="0"/>
        <v>200</v>
      </c>
      <c r="O6" s="286">
        <f>SUM(C6:N6)</f>
        <v>3150</v>
      </c>
      <c r="P6" s="72"/>
      <c r="Q6" s="23"/>
    </row>
    <row r="7" spans="1:17" x14ac:dyDescent="0.35">
      <c r="B7" s="216">
        <f>'1500'!$B$1</f>
        <v>1500</v>
      </c>
      <c r="C7" s="6">
        <f t="shared" ref="C7:N7" si="1">C36+C50</f>
        <v>0</v>
      </c>
      <c r="D7" s="6">
        <f t="shared" si="1"/>
        <v>0</v>
      </c>
      <c r="E7" s="6">
        <f t="shared" si="1"/>
        <v>0</v>
      </c>
      <c r="F7" s="6">
        <f t="shared" si="1"/>
        <v>0</v>
      </c>
      <c r="G7" s="6">
        <f t="shared" si="1"/>
        <v>0</v>
      </c>
      <c r="H7" s="6">
        <f t="shared" si="1"/>
        <v>0</v>
      </c>
      <c r="I7" s="6">
        <f t="shared" si="1"/>
        <v>0</v>
      </c>
      <c r="J7" s="6">
        <f t="shared" si="1"/>
        <v>0</v>
      </c>
      <c r="K7" s="6">
        <f t="shared" si="1"/>
        <v>0</v>
      </c>
      <c r="L7" s="6">
        <f t="shared" si="1"/>
        <v>0</v>
      </c>
      <c r="M7" s="6">
        <f t="shared" si="1"/>
        <v>0</v>
      </c>
      <c r="N7" s="6">
        <f t="shared" si="1"/>
        <v>0</v>
      </c>
      <c r="O7" s="286">
        <f t="shared" ref="O7:O15" si="2">SUM(C7:N7)</f>
        <v>0</v>
      </c>
      <c r="P7" s="72"/>
      <c r="Q7" s="23"/>
    </row>
    <row r="8" spans="1:17" x14ac:dyDescent="0.35">
      <c r="B8" s="216">
        <f>'2300'!$B$1</f>
        <v>2300</v>
      </c>
      <c r="C8" s="6">
        <f t="shared" ref="C8:N8" si="3">C37+C51</f>
        <v>200</v>
      </c>
      <c r="D8" s="6">
        <f t="shared" si="3"/>
        <v>200</v>
      </c>
      <c r="E8" s="6">
        <f t="shared" si="3"/>
        <v>200</v>
      </c>
      <c r="F8" s="6">
        <f t="shared" si="3"/>
        <v>200</v>
      </c>
      <c r="G8" s="6">
        <f t="shared" si="3"/>
        <v>200</v>
      </c>
      <c r="H8" s="6">
        <f t="shared" si="3"/>
        <v>200</v>
      </c>
      <c r="I8" s="6">
        <f t="shared" si="3"/>
        <v>200</v>
      </c>
      <c r="J8" s="6">
        <f t="shared" si="3"/>
        <v>200</v>
      </c>
      <c r="K8" s="6">
        <f t="shared" si="3"/>
        <v>600</v>
      </c>
      <c r="L8" s="6">
        <f t="shared" si="3"/>
        <v>200</v>
      </c>
      <c r="M8" s="6">
        <f t="shared" si="3"/>
        <v>200</v>
      </c>
      <c r="N8" s="6">
        <f t="shared" si="3"/>
        <v>200</v>
      </c>
      <c r="O8" s="286">
        <f t="shared" si="2"/>
        <v>2800</v>
      </c>
      <c r="P8" s="72"/>
      <c r="Q8" s="23"/>
    </row>
    <row r="9" spans="1:17" x14ac:dyDescent="0.35">
      <c r="B9" s="216">
        <f>'4500'!$B$1</f>
        <v>4500</v>
      </c>
      <c r="C9" s="6">
        <f>C38+C52</f>
        <v>900</v>
      </c>
      <c r="D9" s="6">
        <f t="shared" ref="D9:N9" si="4">D38+D52</f>
        <v>900</v>
      </c>
      <c r="E9" s="6">
        <f t="shared" si="4"/>
        <v>900</v>
      </c>
      <c r="F9" s="6">
        <f t="shared" si="4"/>
        <v>900</v>
      </c>
      <c r="G9" s="6">
        <f t="shared" si="4"/>
        <v>900</v>
      </c>
      <c r="H9" s="6">
        <f t="shared" si="4"/>
        <v>900</v>
      </c>
      <c r="I9" s="6">
        <f t="shared" si="4"/>
        <v>900</v>
      </c>
      <c r="J9" s="6">
        <f t="shared" si="4"/>
        <v>900</v>
      </c>
      <c r="K9" s="6">
        <f t="shared" si="4"/>
        <v>900</v>
      </c>
      <c r="L9" s="6">
        <f t="shared" si="4"/>
        <v>1250</v>
      </c>
      <c r="M9" s="6">
        <f t="shared" si="4"/>
        <v>900</v>
      </c>
      <c r="N9" s="6">
        <f t="shared" si="4"/>
        <v>900</v>
      </c>
      <c r="O9" s="286">
        <f t="shared" si="2"/>
        <v>11150</v>
      </c>
      <c r="P9" s="72"/>
      <c r="Q9" s="23"/>
    </row>
    <row r="10" spans="1:17" x14ac:dyDescent="0.35">
      <c r="B10" s="216">
        <f>'5600'!$B$1</f>
        <v>5600</v>
      </c>
      <c r="C10" s="6">
        <f>C39+C53</f>
        <v>0</v>
      </c>
      <c r="D10" s="6">
        <f t="shared" ref="D10:N10" si="5">D39+D53</f>
        <v>0</v>
      </c>
      <c r="E10" s="6">
        <f t="shared" si="5"/>
        <v>0</v>
      </c>
      <c r="F10" s="6">
        <f t="shared" si="5"/>
        <v>0</v>
      </c>
      <c r="G10" s="6">
        <f t="shared" si="5"/>
        <v>0</v>
      </c>
      <c r="H10" s="6">
        <f t="shared" si="5"/>
        <v>0</v>
      </c>
      <c r="I10" s="6">
        <f t="shared" si="5"/>
        <v>0</v>
      </c>
      <c r="J10" s="6">
        <f t="shared" si="5"/>
        <v>0</v>
      </c>
      <c r="K10" s="6">
        <f t="shared" si="5"/>
        <v>0</v>
      </c>
      <c r="L10" s="6">
        <f t="shared" si="5"/>
        <v>0</v>
      </c>
      <c r="M10" s="6">
        <f t="shared" si="5"/>
        <v>0</v>
      </c>
      <c r="N10" s="6">
        <f t="shared" si="5"/>
        <v>0</v>
      </c>
      <c r="O10" s="286">
        <f t="shared" si="2"/>
        <v>0</v>
      </c>
      <c r="P10" s="72"/>
      <c r="Q10" s="23"/>
    </row>
    <row r="11" spans="1:17" x14ac:dyDescent="0.35">
      <c r="B11" s="216">
        <f>'7010'!$B$1</f>
        <v>7010</v>
      </c>
      <c r="C11" s="6">
        <f t="shared" ref="C11:N11" si="6">C40+C54</f>
        <v>0</v>
      </c>
      <c r="D11" s="6">
        <f t="shared" si="6"/>
        <v>0</v>
      </c>
      <c r="E11" s="6">
        <f t="shared" si="6"/>
        <v>0</v>
      </c>
      <c r="F11" s="6">
        <f t="shared" si="6"/>
        <v>0</v>
      </c>
      <c r="G11" s="6">
        <f t="shared" si="6"/>
        <v>0</v>
      </c>
      <c r="H11" s="6">
        <f t="shared" si="6"/>
        <v>0</v>
      </c>
      <c r="I11" s="6">
        <f t="shared" si="6"/>
        <v>0</v>
      </c>
      <c r="J11" s="6">
        <f t="shared" si="6"/>
        <v>0</v>
      </c>
      <c r="K11" s="6">
        <f t="shared" si="6"/>
        <v>0</v>
      </c>
      <c r="L11" s="6">
        <f t="shared" si="6"/>
        <v>0</v>
      </c>
      <c r="M11" s="6">
        <f t="shared" si="6"/>
        <v>0</v>
      </c>
      <c r="N11" s="6">
        <f t="shared" si="6"/>
        <v>0</v>
      </c>
      <c r="O11" s="286">
        <f t="shared" si="2"/>
        <v>0</v>
      </c>
      <c r="P11" s="72"/>
      <c r="Q11" s="23"/>
    </row>
    <row r="12" spans="1:17" x14ac:dyDescent="0.35">
      <c r="B12" s="216">
        <f>'7200'!$B$1</f>
        <v>7200</v>
      </c>
      <c r="C12" s="6">
        <f t="shared" ref="C12:N12" si="7">C41+C55</f>
        <v>0</v>
      </c>
      <c r="D12" s="6">
        <f t="shared" si="7"/>
        <v>0</v>
      </c>
      <c r="E12" s="6">
        <f t="shared" si="7"/>
        <v>0</v>
      </c>
      <c r="F12" s="6">
        <f t="shared" si="7"/>
        <v>0</v>
      </c>
      <c r="G12" s="6">
        <f t="shared" si="7"/>
        <v>0</v>
      </c>
      <c r="H12" s="6">
        <f t="shared" si="7"/>
        <v>0</v>
      </c>
      <c r="I12" s="6">
        <f t="shared" si="7"/>
        <v>0</v>
      </c>
      <c r="J12" s="6">
        <f t="shared" si="7"/>
        <v>0</v>
      </c>
      <c r="K12" s="6">
        <f t="shared" si="7"/>
        <v>0</v>
      </c>
      <c r="L12" s="6">
        <f t="shared" si="7"/>
        <v>0</v>
      </c>
      <c r="M12" s="6">
        <f t="shared" si="7"/>
        <v>0</v>
      </c>
      <c r="N12" s="6">
        <f t="shared" si="7"/>
        <v>0</v>
      </c>
      <c r="O12" s="286">
        <f t="shared" si="2"/>
        <v>0</v>
      </c>
      <c r="P12" s="72"/>
      <c r="Q12" s="23"/>
    </row>
    <row r="13" spans="1:17" x14ac:dyDescent="0.35">
      <c r="B13" s="216">
        <f>'7300'!$B$1</f>
        <v>7300</v>
      </c>
      <c r="C13" s="6">
        <f t="shared" ref="C13:N13" si="8">C42+C56</f>
        <v>0</v>
      </c>
      <c r="D13" s="6">
        <f t="shared" si="8"/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K13" s="6">
        <f t="shared" si="8"/>
        <v>0</v>
      </c>
      <c r="L13" s="6">
        <f t="shared" si="8"/>
        <v>0</v>
      </c>
      <c r="M13" s="6">
        <f t="shared" si="8"/>
        <v>0</v>
      </c>
      <c r="N13" s="6">
        <f t="shared" si="8"/>
        <v>0</v>
      </c>
      <c r="O13" s="286">
        <f t="shared" si="2"/>
        <v>0</v>
      </c>
      <c r="P13" s="72"/>
      <c r="Q13" s="23"/>
    </row>
    <row r="14" spans="1:17" x14ac:dyDescent="0.35">
      <c r="B14" s="216">
        <f>'8200'!$B$1</f>
        <v>8200</v>
      </c>
      <c r="C14" s="6">
        <f>C43+C57</f>
        <v>0</v>
      </c>
      <c r="D14" s="6">
        <f t="shared" ref="D14:N14" si="9">D43+D57</f>
        <v>0</v>
      </c>
      <c r="E14" s="6">
        <f t="shared" si="9"/>
        <v>0</v>
      </c>
      <c r="F14" s="6">
        <f t="shared" si="9"/>
        <v>0</v>
      </c>
      <c r="G14" s="6">
        <f t="shared" si="9"/>
        <v>0</v>
      </c>
      <c r="H14" s="6">
        <f t="shared" si="9"/>
        <v>0</v>
      </c>
      <c r="I14" s="6">
        <f t="shared" si="9"/>
        <v>0</v>
      </c>
      <c r="J14" s="6">
        <f t="shared" si="9"/>
        <v>0</v>
      </c>
      <c r="K14" s="6">
        <f t="shared" si="9"/>
        <v>0</v>
      </c>
      <c r="L14" s="6">
        <f t="shared" si="9"/>
        <v>0</v>
      </c>
      <c r="M14" s="6">
        <f t="shared" si="9"/>
        <v>0</v>
      </c>
      <c r="N14" s="6">
        <f t="shared" si="9"/>
        <v>0</v>
      </c>
      <c r="O14" s="286">
        <f t="shared" si="2"/>
        <v>0</v>
      </c>
      <c r="P14" s="72"/>
      <c r="Q14" s="23"/>
    </row>
    <row r="15" spans="1:17" x14ac:dyDescent="0.35">
      <c r="B15" s="216">
        <f>'9510'!$B$1</f>
        <v>9510</v>
      </c>
      <c r="C15" s="15">
        <f>C44+C58</f>
        <v>500</v>
      </c>
      <c r="D15" s="15">
        <f t="shared" ref="D15:N15" si="10">D44+D58</f>
        <v>500</v>
      </c>
      <c r="E15" s="15">
        <f t="shared" si="10"/>
        <v>500</v>
      </c>
      <c r="F15" s="15">
        <f t="shared" si="10"/>
        <v>500</v>
      </c>
      <c r="G15" s="15">
        <f t="shared" si="10"/>
        <v>1125</v>
      </c>
      <c r="H15" s="15">
        <f t="shared" si="10"/>
        <v>500</v>
      </c>
      <c r="I15" s="15">
        <f t="shared" si="10"/>
        <v>500</v>
      </c>
      <c r="J15" s="15">
        <f t="shared" si="10"/>
        <v>500</v>
      </c>
      <c r="K15" s="15">
        <f t="shared" si="10"/>
        <v>800</v>
      </c>
      <c r="L15" s="15">
        <f t="shared" si="10"/>
        <v>500</v>
      </c>
      <c r="M15" s="15">
        <f t="shared" si="10"/>
        <v>1125</v>
      </c>
      <c r="N15" s="15">
        <f t="shared" si="10"/>
        <v>500</v>
      </c>
      <c r="O15" s="286">
        <f t="shared" si="2"/>
        <v>7550</v>
      </c>
      <c r="P15" s="76"/>
      <c r="Q15" s="23"/>
    </row>
    <row r="16" spans="1:17" x14ac:dyDescent="0.35">
      <c r="B16" s="85" t="s">
        <v>264</v>
      </c>
      <c r="C16" s="87">
        <f>SUM(C6:C15)</f>
        <v>1800</v>
      </c>
      <c r="D16" s="87">
        <f t="shared" ref="D16:O16" si="11">SUM(D6:D15)</f>
        <v>1800</v>
      </c>
      <c r="E16" s="87">
        <f t="shared" si="11"/>
        <v>1800</v>
      </c>
      <c r="F16" s="87">
        <f t="shared" si="11"/>
        <v>2100</v>
      </c>
      <c r="G16" s="87">
        <f t="shared" si="11"/>
        <v>2425</v>
      </c>
      <c r="H16" s="87">
        <f t="shared" si="11"/>
        <v>1800</v>
      </c>
      <c r="I16" s="87">
        <f t="shared" si="11"/>
        <v>1800</v>
      </c>
      <c r="J16" s="87">
        <f t="shared" si="11"/>
        <v>1800</v>
      </c>
      <c r="K16" s="87">
        <f t="shared" si="11"/>
        <v>2500</v>
      </c>
      <c r="L16" s="87">
        <f t="shared" si="11"/>
        <v>2600</v>
      </c>
      <c r="M16" s="87">
        <f t="shared" si="11"/>
        <v>2425</v>
      </c>
      <c r="N16" s="87">
        <f t="shared" si="11"/>
        <v>1800</v>
      </c>
      <c r="O16" s="87">
        <f t="shared" si="11"/>
        <v>24650</v>
      </c>
      <c r="P16" s="77"/>
      <c r="Q16" s="23"/>
    </row>
    <row r="18" spans="1:17" ht="17.5" x14ac:dyDescent="0.35">
      <c r="B18" s="9" t="s">
        <v>481</v>
      </c>
      <c r="M18" s="78"/>
      <c r="N18" s="78"/>
    </row>
    <row r="19" spans="1:17" x14ac:dyDescent="0.35">
      <c r="C19" s="75" t="s">
        <v>0</v>
      </c>
      <c r="D19" s="75" t="s">
        <v>1</v>
      </c>
      <c r="E19" s="75" t="s">
        <v>2</v>
      </c>
      <c r="F19" s="75" t="s">
        <v>3</v>
      </c>
      <c r="G19" s="75" t="s">
        <v>4</v>
      </c>
      <c r="H19" s="75" t="s">
        <v>5</v>
      </c>
      <c r="I19" s="75" t="s">
        <v>6</v>
      </c>
      <c r="J19" s="75" t="s">
        <v>7</v>
      </c>
      <c r="K19" s="75" t="s">
        <v>8</v>
      </c>
      <c r="L19" s="75" t="s">
        <v>9</v>
      </c>
      <c r="M19" s="75" t="s">
        <v>10</v>
      </c>
      <c r="N19" s="75" t="s">
        <v>11</v>
      </c>
      <c r="O19" s="285" t="s">
        <v>12</v>
      </c>
      <c r="P19" s="13"/>
      <c r="Q19" s="23"/>
    </row>
    <row r="20" spans="1:17" x14ac:dyDescent="0.35">
      <c r="B20" s="216">
        <f>'1100'!$B$1</f>
        <v>1100</v>
      </c>
      <c r="C20" s="45">
        <f>C63+C77+C91+C105+C119</f>
        <v>0</v>
      </c>
      <c r="D20" s="45">
        <f t="shared" ref="D20:N20" si="12">D63+D77+D91+D105+D119</f>
        <v>0</v>
      </c>
      <c r="E20" s="45">
        <f t="shared" si="12"/>
        <v>0</v>
      </c>
      <c r="F20" s="45">
        <f t="shared" si="12"/>
        <v>0</v>
      </c>
      <c r="G20" s="45">
        <f t="shared" si="12"/>
        <v>400</v>
      </c>
      <c r="H20" s="45">
        <f t="shared" si="12"/>
        <v>0</v>
      </c>
      <c r="I20" s="45">
        <f t="shared" si="12"/>
        <v>0</v>
      </c>
      <c r="J20" s="45">
        <f t="shared" si="12"/>
        <v>0</v>
      </c>
      <c r="K20" s="45">
        <f t="shared" si="12"/>
        <v>300</v>
      </c>
      <c r="L20" s="45">
        <f t="shared" si="12"/>
        <v>0</v>
      </c>
      <c r="M20" s="45">
        <f t="shared" si="12"/>
        <v>400</v>
      </c>
      <c r="N20" s="45">
        <f t="shared" si="12"/>
        <v>0</v>
      </c>
      <c r="O20" s="286">
        <f>SUM(C20:N20)</f>
        <v>1100</v>
      </c>
      <c r="P20" s="72"/>
      <c r="Q20" s="23"/>
    </row>
    <row r="21" spans="1:17" x14ac:dyDescent="0.35">
      <c r="B21" s="216">
        <f>'1500'!$B$1</f>
        <v>1500</v>
      </c>
      <c r="C21" s="6">
        <f t="shared" ref="C21:N21" si="13">C64+C78+C92+C106+C120</f>
        <v>0</v>
      </c>
      <c r="D21" s="6">
        <f t="shared" si="13"/>
        <v>0</v>
      </c>
      <c r="E21" s="6">
        <f t="shared" si="13"/>
        <v>0</v>
      </c>
      <c r="F21" s="6">
        <f t="shared" si="13"/>
        <v>0</v>
      </c>
      <c r="G21" s="6">
        <f t="shared" si="13"/>
        <v>0</v>
      </c>
      <c r="H21" s="6">
        <f t="shared" si="13"/>
        <v>0</v>
      </c>
      <c r="I21" s="6">
        <f t="shared" si="13"/>
        <v>0</v>
      </c>
      <c r="J21" s="6">
        <f t="shared" si="13"/>
        <v>0</v>
      </c>
      <c r="K21" s="6">
        <f t="shared" si="13"/>
        <v>0</v>
      </c>
      <c r="L21" s="6">
        <f t="shared" si="13"/>
        <v>0</v>
      </c>
      <c r="M21" s="6">
        <f t="shared" si="13"/>
        <v>0</v>
      </c>
      <c r="N21" s="6">
        <f t="shared" si="13"/>
        <v>0</v>
      </c>
      <c r="O21" s="286">
        <f t="shared" ref="O21:O29" si="14">SUM(C21:N21)</f>
        <v>0</v>
      </c>
      <c r="P21" s="72"/>
      <c r="Q21" s="23"/>
    </row>
    <row r="22" spans="1:17" x14ac:dyDescent="0.35">
      <c r="B22" s="216">
        <f>'2300'!$B$1</f>
        <v>2300</v>
      </c>
      <c r="C22" s="6">
        <f t="shared" ref="C22:N22" si="15">C65+C79+C93+C107+C121</f>
        <v>750</v>
      </c>
      <c r="D22" s="6">
        <f t="shared" si="15"/>
        <v>0</v>
      </c>
      <c r="E22" s="6">
        <f t="shared" si="15"/>
        <v>0</v>
      </c>
      <c r="F22" s="6">
        <f t="shared" si="15"/>
        <v>750</v>
      </c>
      <c r="G22" s="6">
        <f t="shared" si="15"/>
        <v>1275</v>
      </c>
      <c r="H22" s="6">
        <f t="shared" si="15"/>
        <v>0</v>
      </c>
      <c r="I22" s="6">
        <f t="shared" si="15"/>
        <v>750</v>
      </c>
      <c r="J22" s="6">
        <f t="shared" si="15"/>
        <v>0</v>
      </c>
      <c r="K22" s="6">
        <f t="shared" si="15"/>
        <v>2000</v>
      </c>
      <c r="L22" s="6">
        <f t="shared" si="15"/>
        <v>750</v>
      </c>
      <c r="M22" s="6">
        <f t="shared" si="15"/>
        <v>1275</v>
      </c>
      <c r="N22" s="6">
        <f t="shared" si="15"/>
        <v>0</v>
      </c>
      <c r="O22" s="286">
        <f t="shared" si="14"/>
        <v>7550</v>
      </c>
      <c r="P22" s="72"/>
      <c r="Q22" s="23"/>
    </row>
    <row r="23" spans="1:17" x14ac:dyDescent="0.35">
      <c r="B23" s="216">
        <f>'4500'!$B$1</f>
        <v>4500</v>
      </c>
      <c r="C23" s="6">
        <f t="shared" ref="C23:N23" si="16">C66+C80+C94+C108+C122</f>
        <v>900</v>
      </c>
      <c r="D23" s="6">
        <f t="shared" si="16"/>
        <v>850</v>
      </c>
      <c r="E23" s="6">
        <f t="shared" si="16"/>
        <v>0</v>
      </c>
      <c r="F23" s="6">
        <f t="shared" si="16"/>
        <v>1700</v>
      </c>
      <c r="G23" s="6">
        <f t="shared" si="16"/>
        <v>1050</v>
      </c>
      <c r="H23" s="6">
        <f t="shared" si="16"/>
        <v>0</v>
      </c>
      <c r="I23" s="6">
        <f t="shared" si="16"/>
        <v>900</v>
      </c>
      <c r="J23" s="6">
        <f t="shared" si="16"/>
        <v>400</v>
      </c>
      <c r="K23" s="6">
        <f t="shared" si="16"/>
        <v>0</v>
      </c>
      <c r="L23" s="6">
        <f t="shared" si="16"/>
        <v>900</v>
      </c>
      <c r="M23" s="6">
        <f t="shared" si="16"/>
        <v>1050</v>
      </c>
      <c r="N23" s="6">
        <f t="shared" si="16"/>
        <v>0</v>
      </c>
      <c r="O23" s="286">
        <f t="shared" si="14"/>
        <v>7750</v>
      </c>
      <c r="P23" s="72"/>
      <c r="Q23" s="23"/>
    </row>
    <row r="24" spans="1:17" x14ac:dyDescent="0.35">
      <c r="B24" s="216">
        <f>'5600'!$B$1</f>
        <v>5600</v>
      </c>
      <c r="C24" s="6">
        <f t="shared" ref="C24:N24" si="17">C67+C81+C95+C109+C123</f>
        <v>0</v>
      </c>
      <c r="D24" s="6">
        <f t="shared" si="17"/>
        <v>0</v>
      </c>
      <c r="E24" s="6">
        <f t="shared" si="17"/>
        <v>0</v>
      </c>
      <c r="F24" s="6">
        <f t="shared" si="17"/>
        <v>0</v>
      </c>
      <c r="G24" s="6">
        <f t="shared" si="17"/>
        <v>0</v>
      </c>
      <c r="H24" s="6">
        <f t="shared" si="17"/>
        <v>0</v>
      </c>
      <c r="I24" s="6">
        <f t="shared" si="17"/>
        <v>0</v>
      </c>
      <c r="J24" s="6">
        <f t="shared" si="17"/>
        <v>0</v>
      </c>
      <c r="K24" s="6">
        <f t="shared" si="17"/>
        <v>0</v>
      </c>
      <c r="L24" s="6">
        <f t="shared" si="17"/>
        <v>0</v>
      </c>
      <c r="M24" s="6">
        <f t="shared" si="17"/>
        <v>0</v>
      </c>
      <c r="N24" s="6">
        <f t="shared" si="17"/>
        <v>0</v>
      </c>
      <c r="O24" s="286">
        <f t="shared" si="14"/>
        <v>0</v>
      </c>
      <c r="P24" s="72"/>
      <c r="Q24" s="23"/>
    </row>
    <row r="25" spans="1:17" x14ac:dyDescent="0.35">
      <c r="B25" s="216">
        <f>'7010'!$B$1</f>
        <v>7010</v>
      </c>
      <c r="C25" s="6">
        <f t="shared" ref="C25:N25" si="18">C68+C82+C96+C110+C124</f>
        <v>0</v>
      </c>
      <c r="D25" s="6">
        <f t="shared" si="18"/>
        <v>0</v>
      </c>
      <c r="E25" s="6">
        <f t="shared" si="18"/>
        <v>0</v>
      </c>
      <c r="F25" s="6">
        <f t="shared" si="18"/>
        <v>0</v>
      </c>
      <c r="G25" s="6">
        <f t="shared" si="18"/>
        <v>0</v>
      </c>
      <c r="H25" s="6">
        <f t="shared" si="18"/>
        <v>0</v>
      </c>
      <c r="I25" s="6">
        <f t="shared" si="18"/>
        <v>0</v>
      </c>
      <c r="J25" s="6">
        <f t="shared" si="18"/>
        <v>0</v>
      </c>
      <c r="K25" s="6">
        <f t="shared" si="18"/>
        <v>0</v>
      </c>
      <c r="L25" s="6">
        <f t="shared" si="18"/>
        <v>0</v>
      </c>
      <c r="M25" s="6">
        <f t="shared" si="18"/>
        <v>0</v>
      </c>
      <c r="N25" s="6">
        <f t="shared" si="18"/>
        <v>0</v>
      </c>
      <c r="O25" s="286">
        <f t="shared" si="14"/>
        <v>0</v>
      </c>
      <c r="P25" s="72"/>
      <c r="Q25" s="23"/>
    </row>
    <row r="26" spans="1:17" x14ac:dyDescent="0.35">
      <c r="B26" s="216">
        <f>'7200'!$B$1</f>
        <v>7200</v>
      </c>
      <c r="C26" s="6">
        <f t="shared" ref="C26:N26" si="19">C69+C83+C97+C111+C125</f>
        <v>0</v>
      </c>
      <c r="D26" s="6">
        <f t="shared" si="19"/>
        <v>0</v>
      </c>
      <c r="E26" s="6">
        <f t="shared" si="19"/>
        <v>0</v>
      </c>
      <c r="F26" s="6">
        <f t="shared" si="19"/>
        <v>0</v>
      </c>
      <c r="G26" s="6">
        <f t="shared" si="19"/>
        <v>0</v>
      </c>
      <c r="H26" s="6">
        <f t="shared" si="19"/>
        <v>0</v>
      </c>
      <c r="I26" s="6">
        <f t="shared" si="19"/>
        <v>0</v>
      </c>
      <c r="J26" s="6">
        <f t="shared" si="19"/>
        <v>0</v>
      </c>
      <c r="K26" s="6">
        <f t="shared" si="19"/>
        <v>0</v>
      </c>
      <c r="L26" s="6">
        <f t="shared" si="19"/>
        <v>0</v>
      </c>
      <c r="M26" s="6">
        <f t="shared" si="19"/>
        <v>0</v>
      </c>
      <c r="N26" s="6">
        <f t="shared" si="19"/>
        <v>0</v>
      </c>
      <c r="O26" s="286">
        <f t="shared" si="14"/>
        <v>0</v>
      </c>
      <c r="P26" s="72"/>
      <c r="Q26" s="23"/>
    </row>
    <row r="27" spans="1:17" x14ac:dyDescent="0.35">
      <c r="B27" s="216">
        <f>'7300'!$B$1</f>
        <v>7300</v>
      </c>
      <c r="C27" s="6">
        <f t="shared" ref="C27:N27" si="20">C70+C84+C98+C112+C126</f>
        <v>0</v>
      </c>
      <c r="D27" s="6">
        <f t="shared" si="20"/>
        <v>0</v>
      </c>
      <c r="E27" s="6">
        <f t="shared" si="20"/>
        <v>0</v>
      </c>
      <c r="F27" s="6">
        <f t="shared" si="20"/>
        <v>0</v>
      </c>
      <c r="G27" s="6">
        <f t="shared" si="20"/>
        <v>0</v>
      </c>
      <c r="H27" s="6">
        <f t="shared" si="20"/>
        <v>0</v>
      </c>
      <c r="I27" s="6">
        <f t="shared" si="20"/>
        <v>0</v>
      </c>
      <c r="J27" s="6">
        <f t="shared" si="20"/>
        <v>0</v>
      </c>
      <c r="K27" s="6">
        <f t="shared" si="20"/>
        <v>0</v>
      </c>
      <c r="L27" s="6">
        <f t="shared" si="20"/>
        <v>0</v>
      </c>
      <c r="M27" s="6">
        <f t="shared" si="20"/>
        <v>0</v>
      </c>
      <c r="N27" s="6">
        <f t="shared" si="20"/>
        <v>0</v>
      </c>
      <c r="O27" s="286">
        <f t="shared" si="14"/>
        <v>0</v>
      </c>
      <c r="P27" s="72"/>
      <c r="Q27" s="23"/>
    </row>
    <row r="28" spans="1:17" x14ac:dyDescent="0.35">
      <c r="B28" s="216">
        <f>'8200'!$B$1</f>
        <v>8200</v>
      </c>
      <c r="C28" s="6">
        <f t="shared" ref="C28:N28" si="21">C71+C85+C99+C113+C127</f>
        <v>0</v>
      </c>
      <c r="D28" s="6">
        <f t="shared" si="21"/>
        <v>0</v>
      </c>
      <c r="E28" s="6">
        <f t="shared" si="21"/>
        <v>0</v>
      </c>
      <c r="F28" s="6">
        <f t="shared" si="21"/>
        <v>0</v>
      </c>
      <c r="G28" s="6">
        <f t="shared" si="21"/>
        <v>0</v>
      </c>
      <c r="H28" s="6">
        <f t="shared" si="21"/>
        <v>0</v>
      </c>
      <c r="I28" s="6">
        <f t="shared" si="21"/>
        <v>0</v>
      </c>
      <c r="J28" s="6">
        <f t="shared" si="21"/>
        <v>0</v>
      </c>
      <c r="K28" s="6">
        <f t="shared" si="21"/>
        <v>0</v>
      </c>
      <c r="L28" s="6">
        <f t="shared" si="21"/>
        <v>0</v>
      </c>
      <c r="M28" s="6">
        <f t="shared" si="21"/>
        <v>0</v>
      </c>
      <c r="N28" s="6">
        <f t="shared" si="21"/>
        <v>0</v>
      </c>
      <c r="O28" s="286">
        <f t="shared" si="14"/>
        <v>0</v>
      </c>
      <c r="P28" s="72"/>
      <c r="Q28" s="23"/>
    </row>
    <row r="29" spans="1:17" x14ac:dyDescent="0.35">
      <c r="B29" s="216">
        <f>'9510'!$B$1</f>
        <v>9510</v>
      </c>
      <c r="C29" s="15">
        <f t="shared" ref="C29:N29" si="22">C72+C86+C100+C114+C128</f>
        <v>0</v>
      </c>
      <c r="D29" s="15">
        <f t="shared" si="22"/>
        <v>0</v>
      </c>
      <c r="E29" s="15">
        <f t="shared" si="22"/>
        <v>0</v>
      </c>
      <c r="F29" s="15">
        <f t="shared" si="22"/>
        <v>0</v>
      </c>
      <c r="G29" s="15">
        <f t="shared" si="22"/>
        <v>650</v>
      </c>
      <c r="H29" s="15">
        <f t="shared" si="22"/>
        <v>0</v>
      </c>
      <c r="I29" s="15">
        <f t="shared" si="22"/>
        <v>0</v>
      </c>
      <c r="J29" s="15">
        <f t="shared" si="22"/>
        <v>0</v>
      </c>
      <c r="K29" s="15">
        <f t="shared" si="22"/>
        <v>2000</v>
      </c>
      <c r="L29" s="15">
        <f t="shared" si="22"/>
        <v>0</v>
      </c>
      <c r="M29" s="15">
        <f t="shared" si="22"/>
        <v>650</v>
      </c>
      <c r="N29" s="15">
        <f t="shared" si="22"/>
        <v>0</v>
      </c>
      <c r="O29" s="286">
        <f t="shared" si="14"/>
        <v>3300</v>
      </c>
      <c r="P29" s="76"/>
      <c r="Q29" s="23"/>
    </row>
    <row r="30" spans="1:17" x14ac:dyDescent="0.35">
      <c r="B30" s="85" t="s">
        <v>264</v>
      </c>
      <c r="C30" s="87">
        <f>SUM(C20:C29)</f>
        <v>1650</v>
      </c>
      <c r="D30" s="87">
        <f t="shared" ref="D30:O30" si="23">SUM(D20:D29)</f>
        <v>850</v>
      </c>
      <c r="E30" s="87">
        <f t="shared" si="23"/>
        <v>0</v>
      </c>
      <c r="F30" s="87">
        <f t="shared" si="23"/>
        <v>2450</v>
      </c>
      <c r="G30" s="87">
        <f t="shared" si="23"/>
        <v>3375</v>
      </c>
      <c r="H30" s="87">
        <f t="shared" si="23"/>
        <v>0</v>
      </c>
      <c r="I30" s="87">
        <f t="shared" si="23"/>
        <v>1650</v>
      </c>
      <c r="J30" s="87">
        <f t="shared" si="23"/>
        <v>400</v>
      </c>
      <c r="K30" s="87">
        <f t="shared" si="23"/>
        <v>4300</v>
      </c>
      <c r="L30" s="87">
        <f t="shared" si="23"/>
        <v>1650</v>
      </c>
      <c r="M30" s="87">
        <f t="shared" si="23"/>
        <v>3375</v>
      </c>
      <c r="N30" s="87">
        <f t="shared" si="23"/>
        <v>0</v>
      </c>
      <c r="O30" s="87">
        <f t="shared" si="23"/>
        <v>19700</v>
      </c>
      <c r="P30" s="77"/>
      <c r="Q30" s="23"/>
    </row>
    <row r="31" spans="1:17" ht="16.5" thickBot="1" x14ac:dyDescent="0.4">
      <c r="A31" s="288"/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</row>
    <row r="33" spans="1:17" ht="17.5" x14ac:dyDescent="0.35">
      <c r="A33" s="9" t="s">
        <v>482</v>
      </c>
      <c r="B33" s="9" t="s">
        <v>484</v>
      </c>
      <c r="M33" s="78"/>
      <c r="N33" s="78"/>
    </row>
    <row r="34" spans="1:17" x14ac:dyDescent="0.35">
      <c r="C34" s="75" t="s">
        <v>0</v>
      </c>
      <c r="D34" s="75" t="s">
        <v>1</v>
      </c>
      <c r="E34" s="75" t="s">
        <v>2</v>
      </c>
      <c r="F34" s="75" t="s">
        <v>3</v>
      </c>
      <c r="G34" s="75" t="s">
        <v>4</v>
      </c>
      <c r="H34" s="75" t="s">
        <v>5</v>
      </c>
      <c r="I34" s="75" t="s">
        <v>6</v>
      </c>
      <c r="J34" s="75" t="s">
        <v>7</v>
      </c>
      <c r="K34" s="75" t="s">
        <v>8</v>
      </c>
      <c r="L34" s="75" t="s">
        <v>9</v>
      </c>
      <c r="M34" s="75" t="s">
        <v>10</v>
      </c>
      <c r="N34" s="75" t="s">
        <v>11</v>
      </c>
      <c r="O34" s="285" t="s">
        <v>12</v>
      </c>
      <c r="P34" s="13"/>
      <c r="Q34" s="23"/>
    </row>
    <row r="35" spans="1:17" x14ac:dyDescent="0.35">
      <c r="B35" s="216">
        <f>'1100'!$B$1</f>
        <v>1100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150</v>
      </c>
      <c r="M35" s="12">
        <v>0</v>
      </c>
      <c r="N35" s="12">
        <v>0</v>
      </c>
      <c r="O35" s="286">
        <f>SUM(C35:N35)</f>
        <v>150</v>
      </c>
      <c r="P35" s="72"/>
      <c r="Q35" s="23"/>
    </row>
    <row r="36" spans="1:17" x14ac:dyDescent="0.35">
      <c r="B36" s="216">
        <f>'1500'!$B$1</f>
        <v>1500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286">
        <f t="shared" ref="O36:O43" si="24">SUM(C36:N36)</f>
        <v>0</v>
      </c>
      <c r="P36" s="72"/>
      <c r="Q36" s="23"/>
    </row>
    <row r="37" spans="1:17" x14ac:dyDescent="0.35">
      <c r="B37" s="216">
        <f>'2300'!$B$1</f>
        <v>2300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400</v>
      </c>
      <c r="L37" s="12">
        <v>0</v>
      </c>
      <c r="M37" s="12">
        <v>0</v>
      </c>
      <c r="N37" s="12">
        <v>0</v>
      </c>
      <c r="O37" s="286">
        <f t="shared" si="24"/>
        <v>400</v>
      </c>
      <c r="P37" s="72"/>
      <c r="Q37" s="23"/>
    </row>
    <row r="38" spans="1:17" x14ac:dyDescent="0.35">
      <c r="B38" s="216">
        <f>'4500'!$B$1</f>
        <v>4500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350</v>
      </c>
      <c r="M38" s="12">
        <v>0</v>
      </c>
      <c r="N38" s="12">
        <v>0</v>
      </c>
      <c r="O38" s="286">
        <f>SUM(C38:N38)</f>
        <v>350</v>
      </c>
      <c r="P38" s="72"/>
      <c r="Q38" s="23"/>
    </row>
    <row r="39" spans="1:17" x14ac:dyDescent="0.35">
      <c r="B39" s="216">
        <f>'5600'!$B$1</f>
        <v>5600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286">
        <f t="shared" si="24"/>
        <v>0</v>
      </c>
      <c r="P39" s="72"/>
      <c r="Q39" s="23"/>
    </row>
    <row r="40" spans="1:17" x14ac:dyDescent="0.35">
      <c r="B40" s="216">
        <f>'7010'!$B$1</f>
        <v>7010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286">
        <f t="shared" si="24"/>
        <v>0</v>
      </c>
      <c r="P40" s="72"/>
      <c r="Q40" s="23"/>
    </row>
    <row r="41" spans="1:17" x14ac:dyDescent="0.35">
      <c r="B41" s="216">
        <f>'7200'!$B$1</f>
        <v>7200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286">
        <f t="shared" si="24"/>
        <v>0</v>
      </c>
      <c r="P41" s="72"/>
      <c r="Q41" s="23"/>
    </row>
    <row r="42" spans="1:17" x14ac:dyDescent="0.35">
      <c r="B42" s="216">
        <f>'7300'!$B$1</f>
        <v>7300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286">
        <f t="shared" si="24"/>
        <v>0</v>
      </c>
      <c r="P42" s="72"/>
      <c r="Q42" s="23"/>
    </row>
    <row r="43" spans="1:17" x14ac:dyDescent="0.35">
      <c r="B43" s="216">
        <f>'8200'!$B$1</f>
        <v>8200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286">
        <f t="shared" si="24"/>
        <v>0</v>
      </c>
      <c r="P43" s="72"/>
      <c r="Q43" s="23"/>
    </row>
    <row r="44" spans="1:17" x14ac:dyDescent="0.35">
      <c r="B44" s="216">
        <f>'9510'!$B$1</f>
        <v>9510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300</v>
      </c>
      <c r="L44" s="12">
        <v>0</v>
      </c>
      <c r="M44" s="12">
        <v>0</v>
      </c>
      <c r="N44" s="12">
        <v>0</v>
      </c>
      <c r="O44" s="286">
        <f>SUM(C44:N44)</f>
        <v>300</v>
      </c>
      <c r="P44" s="76"/>
      <c r="Q44" s="23"/>
    </row>
    <row r="45" spans="1:17" x14ac:dyDescent="0.35">
      <c r="B45" s="85" t="s">
        <v>264</v>
      </c>
      <c r="C45" s="87">
        <f>SUM(C35:C44)</f>
        <v>0</v>
      </c>
      <c r="D45" s="87">
        <f t="shared" ref="D45:O45" si="25">SUM(D35:D44)</f>
        <v>0</v>
      </c>
      <c r="E45" s="87">
        <f t="shared" si="25"/>
        <v>0</v>
      </c>
      <c r="F45" s="87">
        <f t="shared" si="25"/>
        <v>0</v>
      </c>
      <c r="G45" s="87">
        <f t="shared" si="25"/>
        <v>0</v>
      </c>
      <c r="H45" s="87">
        <f t="shared" si="25"/>
        <v>0</v>
      </c>
      <c r="I45" s="87">
        <f t="shared" si="25"/>
        <v>0</v>
      </c>
      <c r="J45" s="87">
        <f t="shared" si="25"/>
        <v>0</v>
      </c>
      <c r="K45" s="87">
        <f t="shared" si="25"/>
        <v>700</v>
      </c>
      <c r="L45" s="87">
        <f t="shared" si="25"/>
        <v>500</v>
      </c>
      <c r="M45" s="87">
        <f t="shared" si="25"/>
        <v>0</v>
      </c>
      <c r="N45" s="87">
        <f t="shared" si="25"/>
        <v>0</v>
      </c>
      <c r="O45" s="87">
        <f t="shared" si="25"/>
        <v>1200</v>
      </c>
      <c r="P45" s="77"/>
      <c r="Q45" s="23"/>
    </row>
    <row r="47" spans="1:17" ht="17.5" x14ac:dyDescent="0.35">
      <c r="A47" s="9" t="s">
        <v>482</v>
      </c>
      <c r="B47" s="9" t="s">
        <v>485</v>
      </c>
      <c r="M47" s="78"/>
      <c r="N47" s="78"/>
    </row>
    <row r="48" spans="1:17" x14ac:dyDescent="0.35">
      <c r="C48" s="75" t="s">
        <v>0</v>
      </c>
      <c r="D48" s="75" t="s">
        <v>1</v>
      </c>
      <c r="E48" s="75" t="s">
        <v>2</v>
      </c>
      <c r="F48" s="75" t="s">
        <v>3</v>
      </c>
      <c r="G48" s="75" t="s">
        <v>4</v>
      </c>
      <c r="H48" s="75" t="s">
        <v>5</v>
      </c>
      <c r="I48" s="75" t="s">
        <v>6</v>
      </c>
      <c r="J48" s="75" t="s">
        <v>7</v>
      </c>
      <c r="K48" s="75" t="s">
        <v>8</v>
      </c>
      <c r="L48" s="75" t="s">
        <v>9</v>
      </c>
      <c r="M48" s="75" t="s">
        <v>10</v>
      </c>
      <c r="N48" s="75" t="s">
        <v>11</v>
      </c>
      <c r="O48" s="285" t="s">
        <v>12</v>
      </c>
      <c r="P48" s="13"/>
    </row>
    <row r="49" spans="1:17" x14ac:dyDescent="0.35">
      <c r="B49" s="216">
        <f>'1100'!$B$1</f>
        <v>1100</v>
      </c>
      <c r="C49" s="12">
        <v>200</v>
      </c>
      <c r="D49" s="12">
        <v>200</v>
      </c>
      <c r="E49" s="12">
        <v>200</v>
      </c>
      <c r="F49" s="12">
        <v>500</v>
      </c>
      <c r="G49" s="12">
        <v>200</v>
      </c>
      <c r="H49" s="12">
        <v>200</v>
      </c>
      <c r="I49" s="12">
        <v>200</v>
      </c>
      <c r="J49" s="12">
        <v>200</v>
      </c>
      <c r="K49" s="12">
        <v>200</v>
      </c>
      <c r="L49" s="12">
        <v>500</v>
      </c>
      <c r="M49" s="12">
        <v>200</v>
      </c>
      <c r="N49" s="12">
        <v>200</v>
      </c>
      <c r="O49" s="286">
        <f>SUM(C49:N49)</f>
        <v>3000</v>
      </c>
      <c r="P49" s="72"/>
      <c r="Q49" s="23"/>
    </row>
    <row r="50" spans="1:17" x14ac:dyDescent="0.35">
      <c r="B50" s="216">
        <f>'1500'!$B$1</f>
        <v>1500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286">
        <f t="shared" ref="O50:O58" si="26">SUM(C50:N50)</f>
        <v>0</v>
      </c>
      <c r="P50" s="72"/>
      <c r="Q50" s="23"/>
    </row>
    <row r="51" spans="1:17" x14ac:dyDescent="0.35">
      <c r="B51" s="216">
        <f>'2300'!$B$1</f>
        <v>2300</v>
      </c>
      <c r="C51" s="12">
        <v>200</v>
      </c>
      <c r="D51" s="12">
        <v>200</v>
      </c>
      <c r="E51" s="12">
        <v>200</v>
      </c>
      <c r="F51" s="12">
        <v>200</v>
      </c>
      <c r="G51" s="12">
        <v>200</v>
      </c>
      <c r="H51" s="12">
        <v>200</v>
      </c>
      <c r="I51" s="12">
        <v>200</v>
      </c>
      <c r="J51" s="12">
        <v>200</v>
      </c>
      <c r="K51" s="12">
        <v>200</v>
      </c>
      <c r="L51" s="12">
        <v>200</v>
      </c>
      <c r="M51" s="12">
        <v>200</v>
      </c>
      <c r="N51" s="12">
        <v>200</v>
      </c>
      <c r="O51" s="286">
        <f t="shared" si="26"/>
        <v>2400</v>
      </c>
      <c r="P51" s="72"/>
      <c r="Q51" s="23"/>
    </row>
    <row r="52" spans="1:17" x14ac:dyDescent="0.35">
      <c r="B52" s="216">
        <f>'4500'!$B$1</f>
        <v>4500</v>
      </c>
      <c r="C52" s="12">
        <v>900</v>
      </c>
      <c r="D52" s="12">
        <v>900</v>
      </c>
      <c r="E52" s="12">
        <v>900</v>
      </c>
      <c r="F52" s="12">
        <v>900</v>
      </c>
      <c r="G52" s="12">
        <v>900</v>
      </c>
      <c r="H52" s="12">
        <v>900</v>
      </c>
      <c r="I52" s="12">
        <v>900</v>
      </c>
      <c r="J52" s="12">
        <v>900</v>
      </c>
      <c r="K52" s="12">
        <v>900</v>
      </c>
      <c r="L52" s="12">
        <v>900</v>
      </c>
      <c r="M52" s="12">
        <v>900</v>
      </c>
      <c r="N52" s="12">
        <v>900</v>
      </c>
      <c r="O52" s="286">
        <f t="shared" si="26"/>
        <v>10800</v>
      </c>
      <c r="P52" s="72"/>
      <c r="Q52" s="79" t="s">
        <v>500</v>
      </c>
    </row>
    <row r="53" spans="1:17" x14ac:dyDescent="0.35">
      <c r="B53" s="216">
        <f>'5600'!$B$1</f>
        <v>5600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286">
        <f t="shared" si="26"/>
        <v>0</v>
      </c>
      <c r="P53" s="72"/>
      <c r="Q53" s="23"/>
    </row>
    <row r="54" spans="1:17" x14ac:dyDescent="0.35">
      <c r="B54" s="216">
        <f>'7010'!$B$1</f>
        <v>7010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286">
        <f t="shared" si="26"/>
        <v>0</v>
      </c>
      <c r="P54" s="72"/>
      <c r="Q54" s="23"/>
    </row>
    <row r="55" spans="1:17" x14ac:dyDescent="0.35">
      <c r="B55" s="216">
        <f>'7200'!$B$1</f>
        <v>7200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286">
        <f t="shared" si="26"/>
        <v>0</v>
      </c>
      <c r="P55" s="72"/>
      <c r="Q55" s="23"/>
    </row>
    <row r="56" spans="1:17" x14ac:dyDescent="0.35">
      <c r="B56" s="216">
        <f>'7300'!$B$1</f>
        <v>7300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286">
        <f t="shared" si="26"/>
        <v>0</v>
      </c>
      <c r="P56" s="72"/>
      <c r="Q56" s="23"/>
    </row>
    <row r="57" spans="1:17" x14ac:dyDescent="0.35">
      <c r="B57" s="216">
        <f>'8200'!$B$1</f>
        <v>8200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286">
        <f t="shared" si="26"/>
        <v>0</v>
      </c>
      <c r="P57" s="72"/>
      <c r="Q57" s="23"/>
    </row>
    <row r="58" spans="1:17" x14ac:dyDescent="0.35">
      <c r="B58" s="216">
        <f>'9510'!$B$1</f>
        <v>9510</v>
      </c>
      <c r="C58" s="12">
        <v>500</v>
      </c>
      <c r="D58" s="12">
        <v>500</v>
      </c>
      <c r="E58" s="12">
        <v>500</v>
      </c>
      <c r="F58" s="12">
        <v>500</v>
      </c>
      <c r="G58" s="12">
        <f>500+625</f>
        <v>1125</v>
      </c>
      <c r="H58" s="12">
        <v>500</v>
      </c>
      <c r="I58" s="12">
        <v>500</v>
      </c>
      <c r="J58" s="12">
        <v>500</v>
      </c>
      <c r="K58" s="12">
        <v>500</v>
      </c>
      <c r="L58" s="12">
        <v>500</v>
      </c>
      <c r="M58" s="12">
        <f>500+625</f>
        <v>1125</v>
      </c>
      <c r="N58" s="12">
        <v>500</v>
      </c>
      <c r="O58" s="286">
        <f t="shared" si="26"/>
        <v>7250</v>
      </c>
      <c r="P58" s="76"/>
      <c r="Q58" s="79" t="s">
        <v>493</v>
      </c>
    </row>
    <row r="59" spans="1:17" x14ac:dyDescent="0.35">
      <c r="B59" s="85" t="s">
        <v>264</v>
      </c>
      <c r="C59" s="87">
        <f>SUM(C49:C58)</f>
        <v>1800</v>
      </c>
      <c r="D59" s="87">
        <f t="shared" ref="D59:O59" si="27">SUM(D49:D58)</f>
        <v>1800</v>
      </c>
      <c r="E59" s="87">
        <f t="shared" si="27"/>
        <v>1800</v>
      </c>
      <c r="F59" s="87">
        <f t="shared" si="27"/>
        <v>2100</v>
      </c>
      <c r="G59" s="87">
        <f t="shared" si="27"/>
        <v>2425</v>
      </c>
      <c r="H59" s="87">
        <f t="shared" si="27"/>
        <v>1800</v>
      </c>
      <c r="I59" s="87">
        <f t="shared" si="27"/>
        <v>1800</v>
      </c>
      <c r="J59" s="87">
        <f t="shared" si="27"/>
        <v>1800</v>
      </c>
      <c r="K59" s="87">
        <f t="shared" si="27"/>
        <v>1800</v>
      </c>
      <c r="L59" s="87">
        <f t="shared" si="27"/>
        <v>2100</v>
      </c>
      <c r="M59" s="87">
        <f t="shared" si="27"/>
        <v>2425</v>
      </c>
      <c r="N59" s="87">
        <f t="shared" si="27"/>
        <v>1800</v>
      </c>
      <c r="O59" s="87">
        <f t="shared" si="27"/>
        <v>23450</v>
      </c>
      <c r="P59" s="77"/>
      <c r="Q59" s="23"/>
    </row>
    <row r="61" spans="1:17" ht="17.5" x14ac:dyDescent="0.35">
      <c r="A61" s="9" t="s">
        <v>486</v>
      </c>
      <c r="B61" s="9" t="s">
        <v>483</v>
      </c>
      <c r="M61" s="78"/>
      <c r="N61" s="78"/>
    </row>
    <row r="62" spans="1:17" x14ac:dyDescent="0.35">
      <c r="C62" s="75" t="s">
        <v>0</v>
      </c>
      <c r="D62" s="75" t="s">
        <v>1</v>
      </c>
      <c r="E62" s="75" t="s">
        <v>2</v>
      </c>
      <c r="F62" s="75" t="s">
        <v>3</v>
      </c>
      <c r="G62" s="75" t="s">
        <v>4</v>
      </c>
      <c r="H62" s="75" t="s">
        <v>5</v>
      </c>
      <c r="I62" s="75" t="s">
        <v>6</v>
      </c>
      <c r="J62" s="75" t="s">
        <v>7</v>
      </c>
      <c r="K62" s="75" t="s">
        <v>8</v>
      </c>
      <c r="L62" s="75" t="s">
        <v>9</v>
      </c>
      <c r="M62" s="75" t="s">
        <v>10</v>
      </c>
      <c r="N62" s="75" t="s">
        <v>11</v>
      </c>
      <c r="O62" s="285" t="s">
        <v>12</v>
      </c>
      <c r="P62" s="13"/>
      <c r="Q62" s="23"/>
    </row>
    <row r="63" spans="1:17" x14ac:dyDescent="0.35">
      <c r="B63" s="216">
        <f>'1100'!$B$1</f>
        <v>1100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286">
        <f>SUM(C63:N63)</f>
        <v>0</v>
      </c>
      <c r="P63" s="72"/>
      <c r="Q63" s="23"/>
    </row>
    <row r="64" spans="1:17" x14ac:dyDescent="0.35">
      <c r="B64" s="216">
        <f>'1500'!$B$1</f>
        <v>1500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286">
        <f t="shared" ref="O64:O72" si="28">SUM(C64:N64)</f>
        <v>0</v>
      </c>
      <c r="P64" s="72"/>
      <c r="Q64" s="23"/>
    </row>
    <row r="65" spans="1:17" x14ac:dyDescent="0.35">
      <c r="B65" s="216">
        <f>'2300'!$B$1</f>
        <v>2300</v>
      </c>
      <c r="C65" s="12">
        <v>750</v>
      </c>
      <c r="D65" s="12">
        <v>0</v>
      </c>
      <c r="E65" s="12">
        <v>0</v>
      </c>
      <c r="F65" s="12">
        <v>750</v>
      </c>
      <c r="G65" s="12">
        <v>0</v>
      </c>
      <c r="H65" s="12">
        <v>0</v>
      </c>
      <c r="I65" s="12">
        <v>750</v>
      </c>
      <c r="J65" s="12">
        <v>0</v>
      </c>
      <c r="K65" s="12">
        <v>0</v>
      </c>
      <c r="L65" s="12">
        <v>750</v>
      </c>
      <c r="M65" s="12">
        <v>0</v>
      </c>
      <c r="N65" s="12">
        <v>0</v>
      </c>
      <c r="O65" s="286">
        <f t="shared" si="28"/>
        <v>3000</v>
      </c>
      <c r="P65" s="72"/>
      <c r="Q65" s="23"/>
    </row>
    <row r="66" spans="1:17" x14ac:dyDescent="0.35">
      <c r="B66" s="216">
        <f>'4500'!$B$1</f>
        <v>4500</v>
      </c>
      <c r="C66" s="12">
        <v>900</v>
      </c>
      <c r="D66" s="12">
        <v>0</v>
      </c>
      <c r="E66" s="12">
        <v>0</v>
      </c>
      <c r="F66" s="12">
        <v>900</v>
      </c>
      <c r="G66" s="12">
        <v>0</v>
      </c>
      <c r="H66" s="12">
        <v>0</v>
      </c>
      <c r="I66" s="12">
        <v>900</v>
      </c>
      <c r="J66" s="12">
        <v>0</v>
      </c>
      <c r="K66" s="12">
        <v>0</v>
      </c>
      <c r="L66" s="12">
        <v>900</v>
      </c>
      <c r="M66" s="12">
        <v>0</v>
      </c>
      <c r="N66" s="12">
        <v>0</v>
      </c>
      <c r="O66" s="286">
        <f t="shared" si="28"/>
        <v>3600</v>
      </c>
      <c r="P66" s="72"/>
      <c r="Q66" s="23"/>
    </row>
    <row r="67" spans="1:17" x14ac:dyDescent="0.35">
      <c r="B67" s="216">
        <f>'5600'!$B$1</f>
        <v>5600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286">
        <f t="shared" si="28"/>
        <v>0</v>
      </c>
      <c r="P67" s="72"/>
      <c r="Q67" s="23"/>
    </row>
    <row r="68" spans="1:17" x14ac:dyDescent="0.35">
      <c r="B68" s="216">
        <f>'7010'!$B$1</f>
        <v>7010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286">
        <f t="shared" si="28"/>
        <v>0</v>
      </c>
      <c r="P68" s="72"/>
      <c r="Q68" s="23"/>
    </row>
    <row r="69" spans="1:17" x14ac:dyDescent="0.35">
      <c r="B69" s="216">
        <f>'7200'!$B$1</f>
        <v>7200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286">
        <f t="shared" si="28"/>
        <v>0</v>
      </c>
      <c r="P69" s="72"/>
      <c r="Q69" s="23"/>
    </row>
    <row r="70" spans="1:17" x14ac:dyDescent="0.35">
      <c r="B70" s="216">
        <f>'7300'!$B$1</f>
        <v>7300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286">
        <f t="shared" si="28"/>
        <v>0</v>
      </c>
      <c r="P70" s="72"/>
      <c r="Q70" s="23"/>
    </row>
    <row r="71" spans="1:17" x14ac:dyDescent="0.35">
      <c r="B71" s="216">
        <f>'8200'!$B$1</f>
        <v>8200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286">
        <f t="shared" si="28"/>
        <v>0</v>
      </c>
      <c r="P71" s="72"/>
      <c r="Q71" s="23"/>
    </row>
    <row r="72" spans="1:17" x14ac:dyDescent="0.35">
      <c r="B72" s="216">
        <f>'9510'!$B$1</f>
        <v>9510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286">
        <f t="shared" si="28"/>
        <v>0</v>
      </c>
      <c r="P72" s="76"/>
      <c r="Q72" s="23"/>
    </row>
    <row r="73" spans="1:17" x14ac:dyDescent="0.35">
      <c r="B73" s="85" t="s">
        <v>264</v>
      </c>
      <c r="C73" s="87">
        <f>SUM(C63:C72)</f>
        <v>1650</v>
      </c>
      <c r="D73" s="87">
        <f t="shared" ref="D73:O73" si="29">SUM(D63:D72)</f>
        <v>0</v>
      </c>
      <c r="E73" s="87">
        <f t="shared" si="29"/>
        <v>0</v>
      </c>
      <c r="F73" s="87">
        <f t="shared" si="29"/>
        <v>1650</v>
      </c>
      <c r="G73" s="87">
        <f t="shared" si="29"/>
        <v>0</v>
      </c>
      <c r="H73" s="87">
        <f t="shared" si="29"/>
        <v>0</v>
      </c>
      <c r="I73" s="87">
        <f t="shared" si="29"/>
        <v>1650</v>
      </c>
      <c r="J73" s="87">
        <f t="shared" si="29"/>
        <v>0</v>
      </c>
      <c r="K73" s="87">
        <f t="shared" si="29"/>
        <v>0</v>
      </c>
      <c r="L73" s="87">
        <f t="shared" si="29"/>
        <v>1650</v>
      </c>
      <c r="M73" s="87">
        <f t="shared" si="29"/>
        <v>0</v>
      </c>
      <c r="N73" s="87">
        <f t="shared" si="29"/>
        <v>0</v>
      </c>
      <c r="O73" s="87">
        <f t="shared" si="29"/>
        <v>6600</v>
      </c>
      <c r="P73" s="77"/>
      <c r="Q73" s="23"/>
    </row>
    <row r="75" spans="1:17" ht="17.5" x14ac:dyDescent="0.35">
      <c r="A75" s="9" t="s">
        <v>486</v>
      </c>
      <c r="B75" s="9" t="s">
        <v>487</v>
      </c>
      <c r="M75" s="78"/>
      <c r="N75" s="78"/>
    </row>
    <row r="76" spans="1:17" x14ac:dyDescent="0.35">
      <c r="C76" s="75" t="s">
        <v>0</v>
      </c>
      <c r="D76" s="75" t="s">
        <v>1</v>
      </c>
      <c r="E76" s="75" t="s">
        <v>2</v>
      </c>
      <c r="F76" s="75" t="s">
        <v>3</v>
      </c>
      <c r="G76" s="75" t="s">
        <v>4</v>
      </c>
      <c r="H76" s="75" t="s">
        <v>5</v>
      </c>
      <c r="I76" s="75" t="s">
        <v>6</v>
      </c>
      <c r="J76" s="75" t="s">
        <v>7</v>
      </c>
      <c r="K76" s="75" t="s">
        <v>8</v>
      </c>
      <c r="L76" s="75" t="s">
        <v>9</v>
      </c>
      <c r="M76" s="75" t="s">
        <v>10</v>
      </c>
      <c r="N76" s="75" t="s">
        <v>11</v>
      </c>
      <c r="O76" s="285" t="s">
        <v>12</v>
      </c>
      <c r="P76" s="13"/>
      <c r="Q76" s="23"/>
    </row>
    <row r="77" spans="1:17" x14ac:dyDescent="0.35">
      <c r="B77" s="216">
        <f>'1100'!$B$1</f>
        <v>1100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286">
        <f>SUM(C77:N77)</f>
        <v>0</v>
      </c>
      <c r="P77" s="72"/>
      <c r="Q77" s="23"/>
    </row>
    <row r="78" spans="1:17" x14ac:dyDescent="0.35">
      <c r="B78" s="216">
        <f>'1500'!$B$1</f>
        <v>1500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286">
        <f t="shared" ref="O78:O86" si="30">SUM(C78:N78)</f>
        <v>0</v>
      </c>
      <c r="P78" s="72"/>
      <c r="Q78" s="23"/>
    </row>
    <row r="79" spans="1:17" x14ac:dyDescent="0.35">
      <c r="B79" s="216">
        <f>'2300'!$B$1</f>
        <v>2300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286">
        <f t="shared" si="30"/>
        <v>0</v>
      </c>
      <c r="P79" s="72"/>
      <c r="Q79" s="23"/>
    </row>
    <row r="80" spans="1:17" x14ac:dyDescent="0.35">
      <c r="B80" s="216">
        <f>'4500'!$B$1</f>
        <v>4500</v>
      </c>
      <c r="C80" s="12">
        <v>0</v>
      </c>
      <c r="D80" s="12">
        <v>850</v>
      </c>
      <c r="E80" s="12">
        <v>0</v>
      </c>
      <c r="F80" s="12">
        <v>0</v>
      </c>
      <c r="G80" s="12">
        <v>400</v>
      </c>
      <c r="H80" s="12">
        <v>0</v>
      </c>
      <c r="I80" s="12">
        <v>0</v>
      </c>
      <c r="J80" s="12">
        <v>400</v>
      </c>
      <c r="K80" s="12">
        <v>0</v>
      </c>
      <c r="L80" s="12">
        <v>0</v>
      </c>
      <c r="M80" s="12">
        <v>400</v>
      </c>
      <c r="N80" s="12">
        <v>0</v>
      </c>
      <c r="O80" s="286">
        <f t="shared" si="30"/>
        <v>2050</v>
      </c>
      <c r="P80" s="72"/>
      <c r="Q80" s="23"/>
    </row>
    <row r="81" spans="1:17" x14ac:dyDescent="0.35">
      <c r="B81" s="216">
        <f>'5600'!$B$1</f>
        <v>5600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286">
        <f t="shared" si="30"/>
        <v>0</v>
      </c>
      <c r="P81" s="72"/>
      <c r="Q81" s="23"/>
    </row>
    <row r="82" spans="1:17" x14ac:dyDescent="0.35">
      <c r="B82" s="216">
        <f>'7010'!$B$1</f>
        <v>7010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286">
        <f t="shared" si="30"/>
        <v>0</v>
      </c>
      <c r="P82" s="72"/>
      <c r="Q82" s="23"/>
    </row>
    <row r="83" spans="1:17" x14ac:dyDescent="0.35">
      <c r="B83" s="216">
        <f>'7200'!$B$1</f>
        <v>7200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286">
        <f t="shared" si="30"/>
        <v>0</v>
      </c>
      <c r="P83" s="72"/>
      <c r="Q83" s="23"/>
    </row>
    <row r="84" spans="1:17" x14ac:dyDescent="0.35">
      <c r="B84" s="216">
        <f>'7300'!$B$1</f>
        <v>7300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286">
        <f t="shared" si="30"/>
        <v>0</v>
      </c>
      <c r="P84" s="72"/>
      <c r="Q84" s="23"/>
    </row>
    <row r="85" spans="1:17" x14ac:dyDescent="0.35">
      <c r="B85" s="216">
        <f>'8200'!$B$1</f>
        <v>8200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286">
        <f t="shared" si="30"/>
        <v>0</v>
      </c>
      <c r="P85" s="72"/>
      <c r="Q85" s="23"/>
    </row>
    <row r="86" spans="1:17" x14ac:dyDescent="0.35">
      <c r="B86" s="216">
        <f>'9510'!$B$1</f>
        <v>9510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286">
        <f t="shared" si="30"/>
        <v>0</v>
      </c>
      <c r="P86" s="76"/>
      <c r="Q86" s="23"/>
    </row>
    <row r="87" spans="1:17" x14ac:dyDescent="0.35">
      <c r="B87" s="85" t="s">
        <v>264</v>
      </c>
      <c r="C87" s="87">
        <f>SUM(C77:C86)</f>
        <v>0</v>
      </c>
      <c r="D87" s="87">
        <f t="shared" ref="D87:O87" si="31">SUM(D77:D86)</f>
        <v>850</v>
      </c>
      <c r="E87" s="87">
        <f t="shared" si="31"/>
        <v>0</v>
      </c>
      <c r="F87" s="87">
        <f t="shared" si="31"/>
        <v>0</v>
      </c>
      <c r="G87" s="87">
        <f t="shared" si="31"/>
        <v>400</v>
      </c>
      <c r="H87" s="87">
        <f t="shared" si="31"/>
        <v>0</v>
      </c>
      <c r="I87" s="87">
        <f t="shared" si="31"/>
        <v>0</v>
      </c>
      <c r="J87" s="87">
        <f t="shared" si="31"/>
        <v>400</v>
      </c>
      <c r="K87" s="87">
        <f t="shared" si="31"/>
        <v>0</v>
      </c>
      <c r="L87" s="87">
        <f t="shared" si="31"/>
        <v>0</v>
      </c>
      <c r="M87" s="87">
        <f t="shared" si="31"/>
        <v>400</v>
      </c>
      <c r="N87" s="87">
        <f t="shared" si="31"/>
        <v>0</v>
      </c>
      <c r="O87" s="87">
        <f t="shared" si="31"/>
        <v>2050</v>
      </c>
      <c r="P87" s="77"/>
      <c r="Q87" s="23"/>
    </row>
    <row r="89" spans="1:17" ht="17.5" x14ac:dyDescent="0.35">
      <c r="A89" s="9" t="s">
        <v>486</v>
      </c>
      <c r="B89" s="9" t="s">
        <v>488</v>
      </c>
      <c r="M89" s="78"/>
      <c r="N89" s="78"/>
    </row>
    <row r="90" spans="1:17" x14ac:dyDescent="0.35">
      <c r="C90" s="75" t="s">
        <v>0</v>
      </c>
      <c r="D90" s="75" t="s">
        <v>1</v>
      </c>
      <c r="E90" s="75" t="s">
        <v>2</v>
      </c>
      <c r="F90" s="75" t="s">
        <v>3</v>
      </c>
      <c r="G90" s="75" t="s">
        <v>4</v>
      </c>
      <c r="H90" s="75" t="s">
        <v>5</v>
      </c>
      <c r="I90" s="75" t="s">
        <v>6</v>
      </c>
      <c r="J90" s="75" t="s">
        <v>7</v>
      </c>
      <c r="K90" s="75" t="s">
        <v>8</v>
      </c>
      <c r="L90" s="75" t="s">
        <v>9</v>
      </c>
      <c r="M90" s="75" t="s">
        <v>10</v>
      </c>
      <c r="N90" s="75" t="s">
        <v>11</v>
      </c>
      <c r="O90" s="285" t="s">
        <v>12</v>
      </c>
      <c r="P90" s="13"/>
      <c r="Q90" s="23"/>
    </row>
    <row r="91" spans="1:17" x14ac:dyDescent="0.35">
      <c r="B91" s="216">
        <f>'1100'!$B$1</f>
        <v>1100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286">
        <f>SUM(C91:N91)</f>
        <v>0</v>
      </c>
      <c r="P91" s="72"/>
      <c r="Q91" s="23"/>
    </row>
    <row r="92" spans="1:17" x14ac:dyDescent="0.35">
      <c r="B92" s="216">
        <f>'1500'!$B$1</f>
        <v>1500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286">
        <f t="shared" ref="O92:O100" si="32">SUM(C92:N92)</f>
        <v>0</v>
      </c>
      <c r="P92" s="72"/>
      <c r="Q92" s="23"/>
    </row>
    <row r="93" spans="1:17" x14ac:dyDescent="0.35">
      <c r="B93" s="216">
        <f>'2300'!$B$1</f>
        <v>2300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286">
        <f t="shared" si="32"/>
        <v>0</v>
      </c>
      <c r="P93" s="72"/>
      <c r="Q93" s="23"/>
    </row>
    <row r="94" spans="1:17" x14ac:dyDescent="0.35">
      <c r="B94" s="216">
        <f>'4500'!$B$1</f>
        <v>4500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286">
        <f t="shared" si="32"/>
        <v>0</v>
      </c>
      <c r="P94" s="72"/>
      <c r="Q94" s="23"/>
    </row>
    <row r="95" spans="1:17" x14ac:dyDescent="0.35">
      <c r="B95" s="216">
        <f>'5600'!$B$1</f>
        <v>5600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286">
        <f t="shared" si="32"/>
        <v>0</v>
      </c>
      <c r="P95" s="72"/>
      <c r="Q95" s="23"/>
    </row>
    <row r="96" spans="1:17" x14ac:dyDescent="0.35">
      <c r="B96" s="216">
        <f>'7010'!$B$1</f>
        <v>7010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286">
        <f t="shared" si="32"/>
        <v>0</v>
      </c>
      <c r="P96" s="72"/>
      <c r="Q96" s="23"/>
    </row>
    <row r="97" spans="1:17" x14ac:dyDescent="0.35">
      <c r="B97" s="216">
        <f>'7200'!$B$1</f>
        <v>7200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286">
        <f t="shared" si="32"/>
        <v>0</v>
      </c>
      <c r="P97" s="72"/>
      <c r="Q97" s="23"/>
    </row>
    <row r="98" spans="1:17" x14ac:dyDescent="0.35">
      <c r="B98" s="216">
        <f>'7300'!$B$1</f>
        <v>7300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286">
        <f t="shared" si="32"/>
        <v>0</v>
      </c>
      <c r="P98" s="72"/>
      <c r="Q98" s="23"/>
    </row>
    <row r="99" spans="1:17" x14ac:dyDescent="0.35">
      <c r="B99" s="216">
        <f>'8200'!$B$1</f>
        <v>8200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286">
        <f t="shared" si="32"/>
        <v>0</v>
      </c>
      <c r="P99" s="72"/>
      <c r="Q99" s="23"/>
    </row>
    <row r="100" spans="1:17" x14ac:dyDescent="0.35">
      <c r="B100" s="216">
        <f>'9510'!$B$1</f>
        <v>9510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286">
        <f t="shared" si="32"/>
        <v>0</v>
      </c>
      <c r="P100" s="76"/>
      <c r="Q100" s="23"/>
    </row>
    <row r="101" spans="1:17" x14ac:dyDescent="0.35">
      <c r="B101" s="85" t="s">
        <v>264</v>
      </c>
      <c r="C101" s="87">
        <f>SUM(C91:C100)</f>
        <v>0</v>
      </c>
      <c r="D101" s="87">
        <f t="shared" ref="D101:O101" si="33">SUM(D91:D100)</f>
        <v>0</v>
      </c>
      <c r="E101" s="87">
        <f t="shared" si="33"/>
        <v>0</v>
      </c>
      <c r="F101" s="87">
        <f t="shared" si="33"/>
        <v>0</v>
      </c>
      <c r="G101" s="87">
        <f t="shared" si="33"/>
        <v>0</v>
      </c>
      <c r="H101" s="87">
        <f t="shared" si="33"/>
        <v>0</v>
      </c>
      <c r="I101" s="87">
        <f t="shared" si="33"/>
        <v>0</v>
      </c>
      <c r="J101" s="87">
        <f t="shared" si="33"/>
        <v>0</v>
      </c>
      <c r="K101" s="87">
        <f t="shared" si="33"/>
        <v>0</v>
      </c>
      <c r="L101" s="87">
        <f t="shared" si="33"/>
        <v>0</v>
      </c>
      <c r="M101" s="87">
        <f t="shared" si="33"/>
        <v>0</v>
      </c>
      <c r="N101" s="87">
        <f t="shared" si="33"/>
        <v>0</v>
      </c>
      <c r="O101" s="87">
        <f t="shared" si="33"/>
        <v>0</v>
      </c>
      <c r="P101" s="77"/>
      <c r="Q101" s="23"/>
    </row>
    <row r="103" spans="1:17" ht="17.5" x14ac:dyDescent="0.35">
      <c r="A103" s="9" t="s">
        <v>486</v>
      </c>
      <c r="B103" s="9" t="s">
        <v>489</v>
      </c>
      <c r="M103" s="78"/>
      <c r="N103" s="78"/>
    </row>
    <row r="104" spans="1:17" x14ac:dyDescent="0.35">
      <c r="C104" s="75" t="s">
        <v>0</v>
      </c>
      <c r="D104" s="75" t="s">
        <v>1</v>
      </c>
      <c r="E104" s="75" t="s">
        <v>2</v>
      </c>
      <c r="F104" s="75" t="s">
        <v>3</v>
      </c>
      <c r="G104" s="75" t="s">
        <v>4</v>
      </c>
      <c r="H104" s="75" t="s">
        <v>5</v>
      </c>
      <c r="I104" s="75" t="s">
        <v>6</v>
      </c>
      <c r="J104" s="75" t="s">
        <v>7</v>
      </c>
      <c r="K104" s="75" t="s">
        <v>8</v>
      </c>
      <c r="L104" s="75" t="s">
        <v>9</v>
      </c>
      <c r="M104" s="75" t="s">
        <v>10</v>
      </c>
      <c r="N104" s="75" t="s">
        <v>11</v>
      </c>
      <c r="O104" s="285" t="s">
        <v>12</v>
      </c>
      <c r="P104" s="13"/>
      <c r="Q104" s="23"/>
    </row>
    <row r="105" spans="1:17" x14ac:dyDescent="0.35">
      <c r="B105" s="216">
        <f>'1100'!$B$1</f>
        <v>1100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300</v>
      </c>
      <c r="L105" s="12">
        <v>0</v>
      </c>
      <c r="M105" s="12">
        <v>0</v>
      </c>
      <c r="N105" s="12">
        <v>0</v>
      </c>
      <c r="O105" s="286">
        <f>SUM(C105:N105)</f>
        <v>300</v>
      </c>
      <c r="P105" s="72"/>
      <c r="Q105" s="23"/>
    </row>
    <row r="106" spans="1:17" x14ac:dyDescent="0.35">
      <c r="B106" s="216">
        <f>'1500'!$B$1</f>
        <v>1500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286">
        <f t="shared" ref="O106:O114" si="34">SUM(C106:N106)</f>
        <v>0</v>
      </c>
      <c r="P106" s="72"/>
      <c r="Q106" s="23"/>
    </row>
    <row r="107" spans="1:17" x14ac:dyDescent="0.35">
      <c r="B107" s="216">
        <f>'2300'!$B$1</f>
        <v>2300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2000</v>
      </c>
      <c r="L107" s="12">
        <v>0</v>
      </c>
      <c r="M107" s="12">
        <v>0</v>
      </c>
      <c r="N107" s="12">
        <v>0</v>
      </c>
      <c r="O107" s="286">
        <f t="shared" si="34"/>
        <v>2000</v>
      </c>
      <c r="P107" s="72"/>
      <c r="Q107" s="23"/>
    </row>
    <row r="108" spans="1:17" x14ac:dyDescent="0.35">
      <c r="B108" s="216">
        <f>'4500'!$B$1</f>
        <v>4500</v>
      </c>
      <c r="C108" s="12">
        <v>0</v>
      </c>
      <c r="D108" s="12">
        <v>0</v>
      </c>
      <c r="E108" s="12">
        <v>0</v>
      </c>
      <c r="F108" s="12">
        <v>800</v>
      </c>
      <c r="G108" s="12"/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286">
        <f t="shared" si="34"/>
        <v>800</v>
      </c>
      <c r="P108" s="72"/>
      <c r="Q108" s="23"/>
    </row>
    <row r="109" spans="1:17" x14ac:dyDescent="0.35">
      <c r="B109" s="216">
        <f>'5600'!$B$1</f>
        <v>5600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286">
        <f t="shared" si="34"/>
        <v>0</v>
      </c>
      <c r="P109" s="72"/>
      <c r="Q109" s="23"/>
    </row>
    <row r="110" spans="1:17" x14ac:dyDescent="0.35">
      <c r="B110" s="216">
        <f>'7010'!$B$1</f>
        <v>7010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286">
        <f t="shared" si="34"/>
        <v>0</v>
      </c>
      <c r="P110" s="72"/>
      <c r="Q110" s="23"/>
    </row>
    <row r="111" spans="1:17" x14ac:dyDescent="0.35">
      <c r="B111" s="216">
        <f>'7200'!$B$1</f>
        <v>7200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286">
        <f t="shared" si="34"/>
        <v>0</v>
      </c>
      <c r="P111" s="72"/>
      <c r="Q111" s="23"/>
    </row>
    <row r="112" spans="1:17" x14ac:dyDescent="0.35">
      <c r="B112" s="216">
        <f>'7300'!$B$1</f>
        <v>7300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286">
        <f t="shared" si="34"/>
        <v>0</v>
      </c>
      <c r="P112" s="72"/>
      <c r="Q112" s="23"/>
    </row>
    <row r="113" spans="1:17" x14ac:dyDescent="0.35">
      <c r="B113" s="216">
        <f>'8200'!$B$1</f>
        <v>8200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286">
        <f t="shared" si="34"/>
        <v>0</v>
      </c>
      <c r="P113" s="72"/>
      <c r="Q113" s="23"/>
    </row>
    <row r="114" spans="1:17" x14ac:dyDescent="0.35">
      <c r="B114" s="216">
        <f>'9510'!$B$1</f>
        <v>9510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2000</v>
      </c>
      <c r="L114" s="12">
        <v>0</v>
      </c>
      <c r="M114" s="12">
        <v>0</v>
      </c>
      <c r="N114" s="12">
        <v>0</v>
      </c>
      <c r="O114" s="286">
        <f t="shared" si="34"/>
        <v>2000</v>
      </c>
      <c r="P114" s="76"/>
      <c r="Q114" s="23"/>
    </row>
    <row r="115" spans="1:17" x14ac:dyDescent="0.35">
      <c r="B115" s="85" t="s">
        <v>264</v>
      </c>
      <c r="C115" s="87">
        <f>SUM(C105:C114)</f>
        <v>0</v>
      </c>
      <c r="D115" s="87">
        <f t="shared" ref="D115:O115" si="35">SUM(D105:D114)</f>
        <v>0</v>
      </c>
      <c r="E115" s="87">
        <f t="shared" si="35"/>
        <v>0</v>
      </c>
      <c r="F115" s="87">
        <f t="shared" si="35"/>
        <v>800</v>
      </c>
      <c r="G115" s="87">
        <f t="shared" si="35"/>
        <v>0</v>
      </c>
      <c r="H115" s="87">
        <f t="shared" si="35"/>
        <v>0</v>
      </c>
      <c r="I115" s="87">
        <f t="shared" si="35"/>
        <v>0</v>
      </c>
      <c r="J115" s="87">
        <f t="shared" si="35"/>
        <v>0</v>
      </c>
      <c r="K115" s="87">
        <f t="shared" si="35"/>
        <v>4300</v>
      </c>
      <c r="L115" s="87">
        <f t="shared" si="35"/>
        <v>0</v>
      </c>
      <c r="M115" s="87">
        <f t="shared" si="35"/>
        <v>0</v>
      </c>
      <c r="N115" s="87">
        <f t="shared" si="35"/>
        <v>0</v>
      </c>
      <c r="O115" s="87">
        <f t="shared" si="35"/>
        <v>5100</v>
      </c>
      <c r="P115" s="77"/>
      <c r="Q115" s="23"/>
    </row>
    <row r="117" spans="1:17" ht="17.5" x14ac:dyDescent="0.35">
      <c r="A117" s="9" t="s">
        <v>486</v>
      </c>
      <c r="B117" s="9" t="s">
        <v>490</v>
      </c>
      <c r="M117" s="78"/>
      <c r="N117" s="78"/>
    </row>
    <row r="118" spans="1:17" x14ac:dyDescent="0.35">
      <c r="C118" s="75" t="s">
        <v>0</v>
      </c>
      <c r="D118" s="75" t="s">
        <v>1</v>
      </c>
      <c r="E118" s="75" t="s">
        <v>2</v>
      </c>
      <c r="F118" s="75" t="s">
        <v>3</v>
      </c>
      <c r="G118" s="75" t="s">
        <v>4</v>
      </c>
      <c r="H118" s="75" t="s">
        <v>5</v>
      </c>
      <c r="I118" s="75" t="s">
        <v>6</v>
      </c>
      <c r="J118" s="75" t="s">
        <v>7</v>
      </c>
      <c r="K118" s="75" t="s">
        <v>8</v>
      </c>
      <c r="L118" s="75" t="s">
        <v>9</v>
      </c>
      <c r="M118" s="75" t="s">
        <v>10</v>
      </c>
      <c r="N118" s="75" t="s">
        <v>11</v>
      </c>
      <c r="O118" s="285" t="s">
        <v>12</v>
      </c>
      <c r="P118" s="13"/>
      <c r="Q118" s="23"/>
    </row>
    <row r="119" spans="1:17" x14ac:dyDescent="0.35">
      <c r="B119" s="216">
        <f>'1100'!$B$1</f>
        <v>1100</v>
      </c>
      <c r="C119" s="12">
        <v>0</v>
      </c>
      <c r="D119" s="12">
        <v>0</v>
      </c>
      <c r="E119" s="12">
        <v>0</v>
      </c>
      <c r="F119" s="12">
        <v>0</v>
      </c>
      <c r="G119" s="12">
        <v>400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400</v>
      </c>
      <c r="N119" s="12">
        <v>0</v>
      </c>
      <c r="O119" s="286">
        <f>SUM(C119:N119)</f>
        <v>800</v>
      </c>
      <c r="P119" s="72"/>
      <c r="Q119" s="23"/>
    </row>
    <row r="120" spans="1:17" x14ac:dyDescent="0.35">
      <c r="B120" s="216">
        <f>'1500'!$B$1</f>
        <v>1500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286">
        <f t="shared" ref="O120:O128" si="36">SUM(C120:N120)</f>
        <v>0</v>
      </c>
      <c r="P120" s="72"/>
      <c r="Q120" s="23"/>
    </row>
    <row r="121" spans="1:17" x14ac:dyDescent="0.35">
      <c r="B121" s="216">
        <f>'2300'!$B$1</f>
        <v>2300</v>
      </c>
      <c r="C121" s="12">
        <v>0</v>
      </c>
      <c r="D121" s="12">
        <v>0</v>
      </c>
      <c r="E121" s="12">
        <v>0</v>
      </c>
      <c r="F121" s="12">
        <v>0</v>
      </c>
      <c r="G121" s="12">
        <v>1275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1275</v>
      </c>
      <c r="N121" s="12">
        <v>0</v>
      </c>
      <c r="O121" s="286">
        <f t="shared" si="36"/>
        <v>2550</v>
      </c>
      <c r="P121" s="72"/>
      <c r="Q121" s="23"/>
    </row>
    <row r="122" spans="1:17" x14ac:dyDescent="0.35">
      <c r="B122" s="216">
        <f>'4500'!$B$1</f>
        <v>4500</v>
      </c>
      <c r="C122" s="12">
        <v>0</v>
      </c>
      <c r="D122" s="12">
        <v>0</v>
      </c>
      <c r="E122" s="12">
        <v>0</v>
      </c>
      <c r="F122" s="12">
        <v>0</v>
      </c>
      <c r="G122" s="12">
        <v>650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650</v>
      </c>
      <c r="N122" s="12">
        <v>0</v>
      </c>
      <c r="O122" s="286">
        <f t="shared" si="36"/>
        <v>1300</v>
      </c>
      <c r="P122" s="72"/>
      <c r="Q122" s="23"/>
    </row>
    <row r="123" spans="1:17" x14ac:dyDescent="0.35">
      <c r="B123" s="216">
        <f>'5600'!$B$1</f>
        <v>5600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286">
        <f t="shared" si="36"/>
        <v>0</v>
      </c>
      <c r="P123" s="72"/>
      <c r="Q123" s="23"/>
    </row>
    <row r="124" spans="1:17" x14ac:dyDescent="0.35">
      <c r="B124" s="216">
        <f>'7010'!$B$1</f>
        <v>7010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286">
        <f t="shared" si="36"/>
        <v>0</v>
      </c>
      <c r="P124" s="72"/>
      <c r="Q124" s="23"/>
    </row>
    <row r="125" spans="1:17" x14ac:dyDescent="0.35">
      <c r="B125" s="216">
        <f>'7200'!$B$1</f>
        <v>7200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286">
        <f t="shared" si="36"/>
        <v>0</v>
      </c>
      <c r="P125" s="72"/>
      <c r="Q125" s="23"/>
    </row>
    <row r="126" spans="1:17" x14ac:dyDescent="0.35">
      <c r="B126" s="216">
        <f>'7300'!$B$1</f>
        <v>7300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286">
        <f t="shared" si="36"/>
        <v>0</v>
      </c>
      <c r="P126" s="72"/>
      <c r="Q126" s="23"/>
    </row>
    <row r="127" spans="1:17" x14ac:dyDescent="0.35">
      <c r="B127" s="216">
        <f>'8200'!$B$1</f>
        <v>8200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286">
        <f t="shared" si="36"/>
        <v>0</v>
      </c>
      <c r="P127" s="72"/>
      <c r="Q127" s="23"/>
    </row>
    <row r="128" spans="1:17" x14ac:dyDescent="0.35">
      <c r="B128" s="216">
        <f>'9510'!$B$1</f>
        <v>9510</v>
      </c>
      <c r="C128" s="12">
        <v>0</v>
      </c>
      <c r="D128" s="12">
        <v>0</v>
      </c>
      <c r="E128" s="12">
        <v>0</v>
      </c>
      <c r="F128" s="12">
        <v>0</v>
      </c>
      <c r="G128" s="12">
        <v>650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650</v>
      </c>
      <c r="N128" s="12">
        <v>0</v>
      </c>
      <c r="O128" s="286">
        <f t="shared" si="36"/>
        <v>1300</v>
      </c>
      <c r="P128" s="76"/>
      <c r="Q128" s="23"/>
    </row>
    <row r="129" spans="2:17" x14ac:dyDescent="0.35">
      <c r="B129" s="85" t="s">
        <v>264</v>
      </c>
      <c r="C129" s="87">
        <f>SUM(C119:C128)</f>
        <v>0</v>
      </c>
      <c r="D129" s="87">
        <f t="shared" ref="D129:O129" si="37">SUM(D119:D128)</f>
        <v>0</v>
      </c>
      <c r="E129" s="87">
        <f t="shared" si="37"/>
        <v>0</v>
      </c>
      <c r="F129" s="87">
        <f t="shared" si="37"/>
        <v>0</v>
      </c>
      <c r="G129" s="87">
        <f t="shared" si="37"/>
        <v>2975</v>
      </c>
      <c r="H129" s="87">
        <f t="shared" si="37"/>
        <v>0</v>
      </c>
      <c r="I129" s="87">
        <f t="shared" si="37"/>
        <v>0</v>
      </c>
      <c r="J129" s="87">
        <f t="shared" si="37"/>
        <v>0</v>
      </c>
      <c r="K129" s="87">
        <f t="shared" si="37"/>
        <v>0</v>
      </c>
      <c r="L129" s="87">
        <f t="shared" si="37"/>
        <v>0</v>
      </c>
      <c r="M129" s="87">
        <f t="shared" si="37"/>
        <v>2975</v>
      </c>
      <c r="N129" s="87">
        <f t="shared" si="37"/>
        <v>0</v>
      </c>
      <c r="O129" s="87">
        <f t="shared" si="37"/>
        <v>5950</v>
      </c>
      <c r="P129" s="77"/>
      <c r="Q129" s="23"/>
    </row>
  </sheetData>
  <sheetProtection sheet="1" selectLockedCells="1"/>
  <pageMargins left="0.7" right="0.7" top="0.75" bottom="0.75" header="0.3" footer="0.3"/>
  <pageSetup scale="42" fitToHeight="0" orientation="landscape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6">
    <tabColor rgb="FFFFC000"/>
    <pageSetUpPr fitToPage="1"/>
  </sheetPr>
  <dimension ref="A1:Y142"/>
  <sheetViews>
    <sheetView tabSelected="1" topLeftCell="A48" zoomScale="98" zoomScaleNormal="98" workbookViewId="0">
      <selection activeCell="D48" sqref="D48"/>
    </sheetView>
  </sheetViews>
  <sheetFormatPr defaultColWidth="8.81640625" defaultRowHeight="16" x14ac:dyDescent="0.35"/>
  <cols>
    <col min="1" max="1" width="13.453125" style="6" bestFit="1" customWidth="1"/>
    <col min="2" max="2" width="14.453125" style="6" customWidth="1"/>
    <col min="3" max="3" width="12.453125" style="6" customWidth="1"/>
    <col min="4" max="4" width="11.54296875" style="6" customWidth="1"/>
    <col min="5" max="16" width="9.54296875" style="6" bestFit="1" customWidth="1"/>
    <col min="17" max="17" width="10.81640625" style="6" bestFit="1" customWidth="1"/>
    <col min="18" max="18" width="8.81640625" style="6" bestFit="1" customWidth="1"/>
    <col min="19" max="19" width="12.54296875" style="6" customWidth="1"/>
    <col min="20" max="20" width="13.54296875" style="6" bestFit="1" customWidth="1"/>
    <col min="21" max="21" width="12.81640625" style="6" customWidth="1"/>
    <col min="22" max="22" width="9.54296875" style="6" bestFit="1" customWidth="1"/>
    <col min="23" max="16384" width="8.81640625" style="6"/>
  </cols>
  <sheetData>
    <row r="1" spans="1:19" ht="20.5" x14ac:dyDescent="0.35">
      <c r="G1" s="3"/>
      <c r="H1" s="3"/>
      <c r="I1" s="3"/>
      <c r="J1" s="3"/>
      <c r="K1" s="3"/>
      <c r="L1" s="3"/>
      <c r="M1" s="3"/>
      <c r="Q1" s="22">
        <f>'Cover Sheet'!$A$3</f>
        <v>46023</v>
      </c>
    </row>
    <row r="2" spans="1:19" x14ac:dyDescent="0.35">
      <c r="G2" s="3"/>
      <c r="H2" s="3"/>
      <c r="I2" s="3"/>
      <c r="J2" s="3"/>
      <c r="K2" s="3"/>
      <c r="L2" s="3"/>
      <c r="M2" s="3"/>
    </row>
    <row r="3" spans="1:19" ht="16.5" thickBot="1" x14ac:dyDescent="0.4">
      <c r="I3" s="56"/>
    </row>
    <row r="4" spans="1:19" ht="18" thickBot="1" x14ac:dyDescent="0.4">
      <c r="A4" s="6" t="s">
        <v>101</v>
      </c>
      <c r="B4" s="9" t="s">
        <v>272</v>
      </c>
      <c r="C4" s="79"/>
      <c r="O4" s="78"/>
      <c r="P4" s="78"/>
      <c r="Q4" s="203">
        <v>109668</v>
      </c>
      <c r="S4" s="6" t="s">
        <v>554</v>
      </c>
    </row>
    <row r="5" spans="1:19" x14ac:dyDescent="0.35">
      <c r="C5" s="75" t="s">
        <v>271</v>
      </c>
      <c r="D5" s="95" t="s">
        <v>261</v>
      </c>
      <c r="E5" s="75" t="s">
        <v>0</v>
      </c>
      <c r="F5" s="75" t="s">
        <v>1</v>
      </c>
      <c r="G5" s="75" t="s">
        <v>2</v>
      </c>
      <c r="H5" s="75" t="s">
        <v>3</v>
      </c>
      <c r="I5" s="75" t="s">
        <v>4</v>
      </c>
      <c r="J5" s="75" t="s">
        <v>5</v>
      </c>
      <c r="K5" s="75" t="s">
        <v>6</v>
      </c>
      <c r="L5" s="75" t="s">
        <v>7</v>
      </c>
      <c r="M5" s="75" t="s">
        <v>8</v>
      </c>
      <c r="N5" s="75" t="s">
        <v>9</v>
      </c>
      <c r="O5" s="75" t="s">
        <v>10</v>
      </c>
      <c r="P5" s="75" t="s">
        <v>11</v>
      </c>
      <c r="Q5" s="75" t="s">
        <v>12</v>
      </c>
      <c r="R5" s="13"/>
      <c r="S5" s="23"/>
    </row>
    <row r="6" spans="1:19" x14ac:dyDescent="0.35">
      <c r="B6" s="216">
        <f>'1100'!$B$1</f>
        <v>1100</v>
      </c>
      <c r="C6" s="6">
        <f>'1100'!$B$4</f>
        <v>8287</v>
      </c>
      <c r="D6" s="96">
        <f>C6/$C$16</f>
        <v>2.7922382045035665E-2</v>
      </c>
      <c r="E6" s="6">
        <f>$Q4*$D6/12</f>
        <v>255.18264950958095</v>
      </c>
      <c r="F6" s="6">
        <f t="shared" ref="F6:P6" si="0">$Q4*$D6/12</f>
        <v>255.18264950958095</v>
      </c>
      <c r="G6" s="6">
        <f t="shared" si="0"/>
        <v>255.18264950958095</v>
      </c>
      <c r="H6" s="6">
        <f t="shared" si="0"/>
        <v>255.18264950958095</v>
      </c>
      <c r="I6" s="6">
        <f t="shared" si="0"/>
        <v>255.18264950958095</v>
      </c>
      <c r="J6" s="6">
        <f t="shared" si="0"/>
        <v>255.18264950958095</v>
      </c>
      <c r="K6" s="6">
        <f t="shared" si="0"/>
        <v>255.18264950958095</v>
      </c>
      <c r="L6" s="6">
        <f t="shared" si="0"/>
        <v>255.18264950958095</v>
      </c>
      <c r="M6" s="6">
        <f t="shared" si="0"/>
        <v>255.18264950958095</v>
      </c>
      <c r="N6" s="6">
        <f t="shared" si="0"/>
        <v>255.18264950958095</v>
      </c>
      <c r="O6" s="6">
        <f t="shared" si="0"/>
        <v>255.18264950958095</v>
      </c>
      <c r="P6" s="6">
        <f t="shared" si="0"/>
        <v>255.18264950958095</v>
      </c>
      <c r="Q6" s="72">
        <f>SUM(E6:P6)</f>
        <v>3062.1917941149718</v>
      </c>
      <c r="R6" s="72"/>
      <c r="S6" s="23"/>
    </row>
    <row r="7" spans="1:19" x14ac:dyDescent="0.35">
      <c r="B7" s="216">
        <f>'1500'!$B$1</f>
        <v>1500</v>
      </c>
      <c r="C7" s="6">
        <f>'1500'!$B$4</f>
        <v>2280</v>
      </c>
      <c r="D7" s="96">
        <f t="shared" ref="D7:D15" si="1">C7/$C$16</f>
        <v>7.6822771886908793E-3</v>
      </c>
      <c r="E7" s="6">
        <f>$Q4*$D7/12</f>
        <v>70.208331227445953</v>
      </c>
      <c r="F7" s="6">
        <f t="shared" ref="F7:P7" si="2">$Q4*$D7/12</f>
        <v>70.208331227445953</v>
      </c>
      <c r="G7" s="6">
        <f t="shared" si="2"/>
        <v>70.208331227445953</v>
      </c>
      <c r="H7" s="6">
        <f t="shared" si="2"/>
        <v>70.208331227445953</v>
      </c>
      <c r="I7" s="6">
        <f t="shared" si="2"/>
        <v>70.208331227445953</v>
      </c>
      <c r="J7" s="6">
        <f t="shared" si="2"/>
        <v>70.208331227445953</v>
      </c>
      <c r="K7" s="6">
        <f t="shared" si="2"/>
        <v>70.208331227445953</v>
      </c>
      <c r="L7" s="6">
        <f t="shared" si="2"/>
        <v>70.208331227445953</v>
      </c>
      <c r="M7" s="6">
        <f t="shared" si="2"/>
        <v>70.208331227445953</v>
      </c>
      <c r="N7" s="6">
        <f t="shared" si="2"/>
        <v>70.208331227445953</v>
      </c>
      <c r="O7" s="6">
        <f t="shared" si="2"/>
        <v>70.208331227445953</v>
      </c>
      <c r="P7" s="6">
        <f t="shared" si="2"/>
        <v>70.208331227445953</v>
      </c>
      <c r="Q7" s="72">
        <f t="shared" ref="Q7:Q10" si="3">SUM(E7:P7)</f>
        <v>842.49997472935127</v>
      </c>
      <c r="R7" s="72"/>
      <c r="S7" s="23"/>
    </row>
    <row r="8" spans="1:19" x14ac:dyDescent="0.35">
      <c r="B8" s="216">
        <f>'2300'!$B$1</f>
        <v>2300</v>
      </c>
      <c r="C8" s="6">
        <f>'2300'!$B$4</f>
        <v>61572</v>
      </c>
      <c r="D8" s="96">
        <f t="shared" si="1"/>
        <v>0.20746191713248896</v>
      </c>
      <c r="E8" s="6">
        <f>$Q4*$D8/12</f>
        <v>1895.9944606738165</v>
      </c>
      <c r="F8" s="6">
        <f t="shared" ref="F8:P8" si="4">$Q4*$D8/12</f>
        <v>1895.9944606738165</v>
      </c>
      <c r="G8" s="6">
        <f t="shared" si="4"/>
        <v>1895.9944606738165</v>
      </c>
      <c r="H8" s="6">
        <f t="shared" si="4"/>
        <v>1895.9944606738165</v>
      </c>
      <c r="I8" s="6">
        <f t="shared" si="4"/>
        <v>1895.9944606738165</v>
      </c>
      <c r="J8" s="6">
        <f t="shared" si="4"/>
        <v>1895.9944606738165</v>
      </c>
      <c r="K8" s="6">
        <f t="shared" si="4"/>
        <v>1895.9944606738165</v>
      </c>
      <c r="L8" s="6">
        <f t="shared" si="4"/>
        <v>1895.9944606738165</v>
      </c>
      <c r="M8" s="6">
        <f t="shared" si="4"/>
        <v>1895.9944606738165</v>
      </c>
      <c r="N8" s="6">
        <f t="shared" si="4"/>
        <v>1895.9944606738165</v>
      </c>
      <c r="O8" s="6">
        <f t="shared" si="4"/>
        <v>1895.9944606738165</v>
      </c>
      <c r="P8" s="6">
        <f t="shared" si="4"/>
        <v>1895.9944606738165</v>
      </c>
      <c r="Q8" s="72">
        <f t="shared" si="3"/>
        <v>22751.933528085803</v>
      </c>
      <c r="R8" s="72"/>
      <c r="S8" s="23"/>
    </row>
    <row r="9" spans="1:19" x14ac:dyDescent="0.35">
      <c r="B9" s="216">
        <f>'4500'!$B$1</f>
        <v>4500</v>
      </c>
      <c r="C9" s="6">
        <f>'4500'!$B$4</f>
        <v>82809</v>
      </c>
      <c r="D9" s="96">
        <f t="shared" si="1"/>
        <v>0.27901828584136096</v>
      </c>
      <c r="E9" s="6">
        <f>$Q4*$D9/12</f>
        <v>2549.948114304198</v>
      </c>
      <c r="F9" s="6">
        <f t="shared" ref="F9:P9" si="5">$Q4*$D9/12</f>
        <v>2549.948114304198</v>
      </c>
      <c r="G9" s="6">
        <f t="shared" si="5"/>
        <v>2549.948114304198</v>
      </c>
      <c r="H9" s="6">
        <f t="shared" si="5"/>
        <v>2549.948114304198</v>
      </c>
      <c r="I9" s="6">
        <f t="shared" si="5"/>
        <v>2549.948114304198</v>
      </c>
      <c r="J9" s="6">
        <f t="shared" si="5"/>
        <v>2549.948114304198</v>
      </c>
      <c r="K9" s="6">
        <f t="shared" si="5"/>
        <v>2549.948114304198</v>
      </c>
      <c r="L9" s="6">
        <f t="shared" si="5"/>
        <v>2549.948114304198</v>
      </c>
      <c r="M9" s="6">
        <f t="shared" si="5"/>
        <v>2549.948114304198</v>
      </c>
      <c r="N9" s="6">
        <f t="shared" si="5"/>
        <v>2549.948114304198</v>
      </c>
      <c r="O9" s="6">
        <f t="shared" si="5"/>
        <v>2549.948114304198</v>
      </c>
      <c r="P9" s="6">
        <f t="shared" si="5"/>
        <v>2549.948114304198</v>
      </c>
      <c r="Q9" s="72">
        <f t="shared" si="3"/>
        <v>30599.377371650382</v>
      </c>
      <c r="R9" s="72"/>
      <c r="S9" s="23"/>
    </row>
    <row r="10" spans="1:19" x14ac:dyDescent="0.35">
      <c r="B10" s="216">
        <f>'5600'!$B$1</f>
        <v>5600</v>
      </c>
      <c r="C10" s="6">
        <f>'5600'!$B$4</f>
        <v>1326</v>
      </c>
      <c r="D10" s="96">
        <f t="shared" si="1"/>
        <v>4.4678506807912747E-3</v>
      </c>
      <c r="E10" s="6">
        <f>$Q4*$D10/12</f>
        <v>40.831687371751464</v>
      </c>
      <c r="F10" s="6">
        <f t="shared" ref="F10:P10" si="6">$Q4*$D10/12</f>
        <v>40.831687371751464</v>
      </c>
      <c r="G10" s="6">
        <f t="shared" si="6"/>
        <v>40.831687371751464</v>
      </c>
      <c r="H10" s="6">
        <f t="shared" si="6"/>
        <v>40.831687371751464</v>
      </c>
      <c r="I10" s="6">
        <f t="shared" si="6"/>
        <v>40.831687371751464</v>
      </c>
      <c r="J10" s="6">
        <f t="shared" si="6"/>
        <v>40.831687371751464</v>
      </c>
      <c r="K10" s="6">
        <f t="shared" si="6"/>
        <v>40.831687371751464</v>
      </c>
      <c r="L10" s="6">
        <f t="shared" si="6"/>
        <v>40.831687371751464</v>
      </c>
      <c r="M10" s="6">
        <f t="shared" si="6"/>
        <v>40.831687371751464</v>
      </c>
      <c r="N10" s="6">
        <f t="shared" si="6"/>
        <v>40.831687371751464</v>
      </c>
      <c r="O10" s="6">
        <f t="shared" si="6"/>
        <v>40.831687371751464</v>
      </c>
      <c r="P10" s="6">
        <f t="shared" si="6"/>
        <v>40.831687371751464</v>
      </c>
      <c r="Q10" s="72">
        <f t="shared" si="3"/>
        <v>489.98024846101754</v>
      </c>
      <c r="R10" s="72"/>
      <c r="S10" s="23"/>
    </row>
    <row r="11" spans="1:19" x14ac:dyDescent="0.35">
      <c r="B11" s="216">
        <f>'7010'!$B$1</f>
        <v>7010</v>
      </c>
      <c r="C11" s="6">
        <f>'7010'!$B$4</f>
        <v>73209</v>
      </c>
      <c r="D11" s="96">
        <f t="shared" si="1"/>
        <v>0.24667185557318885</v>
      </c>
      <c r="E11" s="6">
        <f>$Q4*$D11/12</f>
        <v>2254.334088083373</v>
      </c>
      <c r="F11" s="6">
        <f t="shared" ref="F11:P11" si="7">$Q4*$D11/12</f>
        <v>2254.334088083373</v>
      </c>
      <c r="G11" s="6">
        <f t="shared" si="7"/>
        <v>2254.334088083373</v>
      </c>
      <c r="H11" s="6">
        <f t="shared" si="7"/>
        <v>2254.334088083373</v>
      </c>
      <c r="I11" s="6">
        <f t="shared" si="7"/>
        <v>2254.334088083373</v>
      </c>
      <c r="J11" s="6">
        <f t="shared" si="7"/>
        <v>2254.334088083373</v>
      </c>
      <c r="K11" s="6">
        <f t="shared" si="7"/>
        <v>2254.334088083373</v>
      </c>
      <c r="L11" s="6">
        <f t="shared" si="7"/>
        <v>2254.334088083373</v>
      </c>
      <c r="M11" s="6">
        <f t="shared" si="7"/>
        <v>2254.334088083373</v>
      </c>
      <c r="N11" s="6">
        <f t="shared" si="7"/>
        <v>2254.334088083373</v>
      </c>
      <c r="O11" s="6">
        <f t="shared" si="7"/>
        <v>2254.334088083373</v>
      </c>
      <c r="P11" s="6">
        <f t="shared" si="7"/>
        <v>2254.334088083373</v>
      </c>
      <c r="Q11" s="229">
        <f>SUM(E11:P11)</f>
        <v>27052.009057000469</v>
      </c>
      <c r="R11" s="72"/>
      <c r="S11" s="23"/>
    </row>
    <row r="12" spans="1:19" x14ac:dyDescent="0.35">
      <c r="B12" s="216">
        <f>'7200'!$B$1</f>
        <v>7200</v>
      </c>
      <c r="C12" s="6">
        <f>'7200'!$B$4</f>
        <v>14821</v>
      </c>
      <c r="D12" s="96">
        <f t="shared" si="1"/>
        <v>4.9938171146310315E-2</v>
      </c>
      <c r="E12" s="6">
        <f>$Q4*$D12/12</f>
        <v>456.38494610612997</v>
      </c>
      <c r="F12" s="6">
        <f t="shared" ref="F12:P12" si="8">$Q4*$D12/12</f>
        <v>456.38494610612997</v>
      </c>
      <c r="G12" s="6">
        <f t="shared" si="8"/>
        <v>456.38494610612997</v>
      </c>
      <c r="H12" s="6">
        <f t="shared" si="8"/>
        <v>456.38494610612997</v>
      </c>
      <c r="I12" s="6">
        <f t="shared" si="8"/>
        <v>456.38494610612997</v>
      </c>
      <c r="J12" s="6">
        <f t="shared" si="8"/>
        <v>456.38494610612997</v>
      </c>
      <c r="K12" s="6">
        <f t="shared" si="8"/>
        <v>456.38494610612997</v>
      </c>
      <c r="L12" s="6">
        <f t="shared" si="8"/>
        <v>456.38494610612997</v>
      </c>
      <c r="M12" s="6">
        <f t="shared" si="8"/>
        <v>456.38494610612997</v>
      </c>
      <c r="N12" s="6">
        <f t="shared" si="8"/>
        <v>456.38494610612997</v>
      </c>
      <c r="O12" s="6">
        <f t="shared" si="8"/>
        <v>456.38494610612997</v>
      </c>
      <c r="P12" s="6">
        <f t="shared" si="8"/>
        <v>456.38494610612997</v>
      </c>
      <c r="Q12" s="229">
        <f t="shared" ref="Q12:Q15" si="9">SUM(E12:P12)</f>
        <v>5476.6193532735597</v>
      </c>
      <c r="R12" s="72"/>
      <c r="S12" s="23"/>
    </row>
    <row r="13" spans="1:19" x14ac:dyDescent="0.35">
      <c r="B13" s="216">
        <f>'7300'!$B$1</f>
        <v>7300</v>
      </c>
      <c r="C13" s="6">
        <f>'7300'!$B$4</f>
        <v>22500</v>
      </c>
      <c r="D13" s="96">
        <f t="shared" si="1"/>
        <v>7.5811945941028414E-2</v>
      </c>
      <c r="E13" s="6">
        <f t="shared" ref="E13:P13" si="10">$Q4*$D13/12</f>
        <v>692.84537395505868</v>
      </c>
      <c r="F13" s="6">
        <f t="shared" si="10"/>
        <v>692.84537395505868</v>
      </c>
      <c r="G13" s="6">
        <f t="shared" si="10"/>
        <v>692.84537395505868</v>
      </c>
      <c r="H13" s="6">
        <f t="shared" si="10"/>
        <v>692.84537395505868</v>
      </c>
      <c r="I13" s="6">
        <f t="shared" si="10"/>
        <v>692.84537395505868</v>
      </c>
      <c r="J13" s="6">
        <f t="shared" si="10"/>
        <v>692.84537395505868</v>
      </c>
      <c r="K13" s="6">
        <f t="shared" si="10"/>
        <v>692.84537395505868</v>
      </c>
      <c r="L13" s="6">
        <f t="shared" si="10"/>
        <v>692.84537395505868</v>
      </c>
      <c r="M13" s="6">
        <f t="shared" si="10"/>
        <v>692.84537395505868</v>
      </c>
      <c r="N13" s="6">
        <f t="shared" si="10"/>
        <v>692.84537395505868</v>
      </c>
      <c r="O13" s="6">
        <f t="shared" si="10"/>
        <v>692.84537395505868</v>
      </c>
      <c r="P13" s="6">
        <f t="shared" si="10"/>
        <v>692.84537395505868</v>
      </c>
      <c r="Q13" s="229">
        <f t="shared" si="9"/>
        <v>8314.1444874607041</v>
      </c>
      <c r="R13" s="72"/>
      <c r="S13" s="23"/>
    </row>
    <row r="14" spans="1:19" x14ac:dyDescent="0.35">
      <c r="B14" s="216">
        <f>'8200'!$B$1</f>
        <v>8200</v>
      </c>
      <c r="C14" s="6">
        <f>'8200'!$B$4</f>
        <v>10000</v>
      </c>
      <c r="D14" s="96">
        <f t="shared" si="1"/>
        <v>3.3694198196012631E-2</v>
      </c>
      <c r="E14" s="6">
        <f>$Q4*$D14/12</f>
        <v>307.93127731335943</v>
      </c>
      <c r="F14" s="6">
        <f t="shared" ref="F14:P14" si="11">$Q4*$D14/12</f>
        <v>307.93127731335943</v>
      </c>
      <c r="G14" s="6">
        <f t="shared" si="11"/>
        <v>307.93127731335943</v>
      </c>
      <c r="H14" s="6">
        <f t="shared" si="11"/>
        <v>307.93127731335943</v>
      </c>
      <c r="I14" s="6">
        <f t="shared" si="11"/>
        <v>307.93127731335943</v>
      </c>
      <c r="J14" s="6">
        <f t="shared" si="11"/>
        <v>307.93127731335943</v>
      </c>
      <c r="K14" s="6">
        <f t="shared" si="11"/>
        <v>307.93127731335943</v>
      </c>
      <c r="L14" s="6">
        <f t="shared" si="11"/>
        <v>307.93127731335943</v>
      </c>
      <c r="M14" s="6">
        <f t="shared" si="11"/>
        <v>307.93127731335943</v>
      </c>
      <c r="N14" s="6">
        <f t="shared" si="11"/>
        <v>307.93127731335943</v>
      </c>
      <c r="O14" s="6">
        <f t="shared" si="11"/>
        <v>307.93127731335943</v>
      </c>
      <c r="P14" s="6">
        <f t="shared" si="11"/>
        <v>307.93127731335943</v>
      </c>
      <c r="Q14" s="229">
        <f>SUM(E14:P14)</f>
        <v>3695.1753277603125</v>
      </c>
      <c r="R14" s="72"/>
      <c r="S14" s="23"/>
    </row>
    <row r="15" spans="1:19" x14ac:dyDescent="0.35">
      <c r="B15" s="216">
        <f>'9510'!$B$1</f>
        <v>9510</v>
      </c>
      <c r="C15" s="15">
        <f>'9510'!$B$4</f>
        <v>19983</v>
      </c>
      <c r="D15" s="97">
        <f t="shared" si="1"/>
        <v>6.7331116255092041E-2</v>
      </c>
      <c r="E15" s="6">
        <f>IFERROR($Q4*$D15/12,0)</f>
        <v>615.33907145528622</v>
      </c>
      <c r="F15" s="6">
        <f t="shared" ref="F15:P15" si="12">IFERROR($Q4*$D15/12,0)</f>
        <v>615.33907145528622</v>
      </c>
      <c r="G15" s="6">
        <f t="shared" si="12"/>
        <v>615.33907145528622</v>
      </c>
      <c r="H15" s="6">
        <f t="shared" si="12"/>
        <v>615.33907145528622</v>
      </c>
      <c r="I15" s="6">
        <f t="shared" si="12"/>
        <v>615.33907145528622</v>
      </c>
      <c r="J15" s="6">
        <f t="shared" si="12"/>
        <v>615.33907145528622</v>
      </c>
      <c r="K15" s="6">
        <f t="shared" si="12"/>
        <v>615.33907145528622</v>
      </c>
      <c r="L15" s="6">
        <f t="shared" si="12"/>
        <v>615.33907145528622</v>
      </c>
      <c r="M15" s="6">
        <f t="shared" si="12"/>
        <v>615.33907145528622</v>
      </c>
      <c r="N15" s="6">
        <f t="shared" si="12"/>
        <v>615.33907145528622</v>
      </c>
      <c r="O15" s="6">
        <f t="shared" si="12"/>
        <v>615.33907145528622</v>
      </c>
      <c r="P15" s="6">
        <f t="shared" si="12"/>
        <v>615.33907145528622</v>
      </c>
      <c r="Q15" s="76">
        <f t="shared" si="9"/>
        <v>7384.0688574634341</v>
      </c>
      <c r="R15" s="76"/>
      <c r="S15" s="23"/>
    </row>
    <row r="16" spans="1:19" x14ac:dyDescent="0.35">
      <c r="B16" s="85" t="s">
        <v>264</v>
      </c>
      <c r="C16" s="6">
        <f>SUM(C6:C15)</f>
        <v>296787</v>
      </c>
      <c r="D16" s="217">
        <f>SUM(D6:D15)</f>
        <v>0.99999999999999978</v>
      </c>
      <c r="E16" s="87">
        <f>SUM(E6:E15)</f>
        <v>9139</v>
      </c>
      <c r="F16" s="87">
        <f t="shared" ref="F16:Q16" si="13">SUM(F6:F15)</f>
        <v>9139</v>
      </c>
      <c r="G16" s="87">
        <f t="shared" si="13"/>
        <v>9139</v>
      </c>
      <c r="H16" s="87">
        <f t="shared" si="13"/>
        <v>9139</v>
      </c>
      <c r="I16" s="87">
        <f t="shared" si="13"/>
        <v>9139</v>
      </c>
      <c r="J16" s="87">
        <f t="shared" si="13"/>
        <v>9139</v>
      </c>
      <c r="K16" s="87">
        <f t="shared" si="13"/>
        <v>9139</v>
      </c>
      <c r="L16" s="87">
        <f t="shared" si="13"/>
        <v>9139</v>
      </c>
      <c r="M16" s="87">
        <f t="shared" si="13"/>
        <v>9139</v>
      </c>
      <c r="N16" s="87">
        <f t="shared" si="13"/>
        <v>9139</v>
      </c>
      <c r="O16" s="87">
        <f t="shared" si="13"/>
        <v>9139</v>
      </c>
      <c r="P16" s="87">
        <f>SUM(P6:P15)</f>
        <v>9139</v>
      </c>
      <c r="Q16" s="87">
        <f t="shared" si="13"/>
        <v>109668.00000000001</v>
      </c>
      <c r="R16" s="77"/>
      <c r="S16" s="23"/>
    </row>
    <row r="17" spans="1:19" ht="16.5" thickBot="1" x14ac:dyDescent="0.4">
      <c r="D17" s="13"/>
    </row>
    <row r="18" spans="1:19" ht="18" thickBot="1" x14ac:dyDescent="0.4">
      <c r="A18" s="55" t="s">
        <v>114</v>
      </c>
      <c r="B18" s="9" t="s">
        <v>274</v>
      </c>
      <c r="C18" s="79"/>
      <c r="D18" s="13"/>
      <c r="O18" s="78"/>
      <c r="P18" s="78"/>
      <c r="Q18" s="203">
        <v>247018</v>
      </c>
      <c r="S18" s="6" t="s">
        <v>554</v>
      </c>
    </row>
    <row r="19" spans="1:19" x14ac:dyDescent="0.35">
      <c r="C19" s="75" t="s">
        <v>271</v>
      </c>
      <c r="D19" s="95" t="s">
        <v>261</v>
      </c>
      <c r="E19" s="75" t="s">
        <v>0</v>
      </c>
      <c r="F19" s="75" t="s">
        <v>1</v>
      </c>
      <c r="G19" s="75" t="s">
        <v>2</v>
      </c>
      <c r="H19" s="75" t="s">
        <v>3</v>
      </c>
      <c r="I19" s="75" t="s">
        <v>4</v>
      </c>
      <c r="J19" s="75" t="s">
        <v>5</v>
      </c>
      <c r="K19" s="75" t="s">
        <v>6</v>
      </c>
      <c r="L19" s="75" t="s">
        <v>7</v>
      </c>
      <c r="M19" s="75" t="s">
        <v>8</v>
      </c>
      <c r="N19" s="75" t="s">
        <v>9</v>
      </c>
      <c r="O19" s="75" t="s">
        <v>10</v>
      </c>
      <c r="P19" s="75" t="s">
        <v>11</v>
      </c>
      <c r="Q19" s="75" t="s">
        <v>12</v>
      </c>
      <c r="R19" s="13"/>
    </row>
    <row r="20" spans="1:19" x14ac:dyDescent="0.35">
      <c r="B20" s="216">
        <f>'1100'!$B$1</f>
        <v>1100</v>
      </c>
      <c r="C20" s="6">
        <f>'1100'!$B$4</f>
        <v>8287</v>
      </c>
      <c r="D20" s="96">
        <f t="shared" ref="D20:D28" si="14">C20/($C$30-$C$29)</f>
        <v>2.9938151182786376E-2</v>
      </c>
      <c r="E20" s="6">
        <f>$Q18*$D20/12</f>
        <v>616.27185240579377</v>
      </c>
      <c r="F20" s="6">
        <f t="shared" ref="F20:P20" si="15">$Q18*$D20/12</f>
        <v>616.27185240579377</v>
      </c>
      <c r="G20" s="6">
        <f t="shared" si="15"/>
        <v>616.27185240579377</v>
      </c>
      <c r="H20" s="6">
        <f t="shared" si="15"/>
        <v>616.27185240579377</v>
      </c>
      <c r="I20" s="6">
        <f t="shared" si="15"/>
        <v>616.27185240579377</v>
      </c>
      <c r="J20" s="6">
        <f t="shared" si="15"/>
        <v>616.27185240579377</v>
      </c>
      <c r="K20" s="6">
        <f t="shared" si="15"/>
        <v>616.27185240579377</v>
      </c>
      <c r="L20" s="6">
        <f t="shared" si="15"/>
        <v>616.27185240579377</v>
      </c>
      <c r="M20" s="6">
        <f t="shared" si="15"/>
        <v>616.27185240579377</v>
      </c>
      <c r="N20" s="6">
        <f t="shared" si="15"/>
        <v>616.27185240579377</v>
      </c>
      <c r="O20" s="6">
        <f t="shared" si="15"/>
        <v>616.27185240579377</v>
      </c>
      <c r="P20" s="6">
        <f t="shared" si="15"/>
        <v>616.27185240579377</v>
      </c>
      <c r="Q20" s="72">
        <f>SUM(E20:P20)</f>
        <v>7395.2622288695247</v>
      </c>
      <c r="R20" s="72"/>
      <c r="S20" s="23"/>
    </row>
    <row r="21" spans="1:19" x14ac:dyDescent="0.35">
      <c r="B21" s="216">
        <f>'1500'!$B$1</f>
        <v>1500</v>
      </c>
      <c r="C21" s="6">
        <f>'1500'!$B$4</f>
        <v>2280</v>
      </c>
      <c r="D21" s="96">
        <f t="shared" si="14"/>
        <v>8.2368751896648891E-3</v>
      </c>
      <c r="E21" s="6">
        <f>$Q18*$D21/12</f>
        <v>169.55470296672013</v>
      </c>
      <c r="F21" s="6">
        <f t="shared" ref="F21:P21" si="16">$Q18*$D21/12</f>
        <v>169.55470296672013</v>
      </c>
      <c r="G21" s="6">
        <f t="shared" si="16"/>
        <v>169.55470296672013</v>
      </c>
      <c r="H21" s="6">
        <f t="shared" si="16"/>
        <v>169.55470296672013</v>
      </c>
      <c r="I21" s="6">
        <f t="shared" si="16"/>
        <v>169.55470296672013</v>
      </c>
      <c r="J21" s="6">
        <f t="shared" si="16"/>
        <v>169.55470296672013</v>
      </c>
      <c r="K21" s="6">
        <f t="shared" si="16"/>
        <v>169.55470296672013</v>
      </c>
      <c r="L21" s="6">
        <f t="shared" si="16"/>
        <v>169.55470296672013</v>
      </c>
      <c r="M21" s="6">
        <f t="shared" si="16"/>
        <v>169.55470296672013</v>
      </c>
      <c r="N21" s="6">
        <f t="shared" si="16"/>
        <v>169.55470296672013</v>
      </c>
      <c r="O21" s="6">
        <f t="shared" si="16"/>
        <v>169.55470296672013</v>
      </c>
      <c r="P21" s="6">
        <f t="shared" si="16"/>
        <v>169.55470296672013</v>
      </c>
      <c r="Q21" s="72">
        <f t="shared" ref="Q21:Q28" si="17">SUM(E21:P21)</f>
        <v>2034.6564356006411</v>
      </c>
      <c r="R21" s="72"/>
      <c r="S21" s="23"/>
    </row>
    <row r="22" spans="1:19" x14ac:dyDescent="0.35">
      <c r="B22" s="216">
        <f>'2300'!$B$1</f>
        <v>2300</v>
      </c>
      <c r="C22" s="6">
        <f>'2300'!$B$4</f>
        <v>61572</v>
      </c>
      <c r="D22" s="96">
        <f t="shared" si="14"/>
        <v>0.22243898209563445</v>
      </c>
      <c r="E22" s="6">
        <f>$Q18*$D22/12</f>
        <v>4578.8693732749525</v>
      </c>
      <c r="F22" s="6">
        <f t="shared" ref="F22:P22" si="18">$Q18*$D22/12</f>
        <v>4578.8693732749525</v>
      </c>
      <c r="G22" s="6">
        <f t="shared" si="18"/>
        <v>4578.8693732749525</v>
      </c>
      <c r="H22" s="6">
        <f t="shared" si="18"/>
        <v>4578.8693732749525</v>
      </c>
      <c r="I22" s="6">
        <f t="shared" si="18"/>
        <v>4578.8693732749525</v>
      </c>
      <c r="J22" s="6">
        <f t="shared" si="18"/>
        <v>4578.8693732749525</v>
      </c>
      <c r="K22" s="6">
        <f t="shared" si="18"/>
        <v>4578.8693732749525</v>
      </c>
      <c r="L22" s="6">
        <f t="shared" si="18"/>
        <v>4578.8693732749525</v>
      </c>
      <c r="M22" s="6">
        <f t="shared" si="18"/>
        <v>4578.8693732749525</v>
      </c>
      <c r="N22" s="6">
        <f t="shared" si="18"/>
        <v>4578.8693732749525</v>
      </c>
      <c r="O22" s="6">
        <f t="shared" si="18"/>
        <v>4578.8693732749525</v>
      </c>
      <c r="P22" s="6">
        <f t="shared" si="18"/>
        <v>4578.8693732749525</v>
      </c>
      <c r="Q22" s="72">
        <f t="shared" si="17"/>
        <v>54946.43247929943</v>
      </c>
      <c r="R22" s="72"/>
      <c r="S22" s="23"/>
    </row>
    <row r="23" spans="1:19" x14ac:dyDescent="0.35">
      <c r="B23" s="216">
        <f>'4500'!$B$1</f>
        <v>4500</v>
      </c>
      <c r="C23" s="6">
        <f>'4500'!$B$4</f>
        <v>82809</v>
      </c>
      <c r="D23" s="96">
        <f t="shared" si="14"/>
        <v>0.29916113928989463</v>
      </c>
      <c r="E23" s="6">
        <f>$Q18*$D23/12</f>
        <v>6158.1821920925986</v>
      </c>
      <c r="F23" s="6">
        <f t="shared" ref="F23:P23" si="19">$Q18*$D23/12</f>
        <v>6158.1821920925986</v>
      </c>
      <c r="G23" s="6">
        <f t="shared" si="19"/>
        <v>6158.1821920925986</v>
      </c>
      <c r="H23" s="6">
        <f t="shared" si="19"/>
        <v>6158.1821920925986</v>
      </c>
      <c r="I23" s="6">
        <f t="shared" si="19"/>
        <v>6158.1821920925986</v>
      </c>
      <c r="J23" s="6">
        <f t="shared" si="19"/>
        <v>6158.1821920925986</v>
      </c>
      <c r="K23" s="6">
        <f t="shared" si="19"/>
        <v>6158.1821920925986</v>
      </c>
      <c r="L23" s="6">
        <f t="shared" si="19"/>
        <v>6158.1821920925986</v>
      </c>
      <c r="M23" s="6">
        <f t="shared" si="19"/>
        <v>6158.1821920925986</v>
      </c>
      <c r="N23" s="6">
        <f t="shared" si="19"/>
        <v>6158.1821920925986</v>
      </c>
      <c r="O23" s="6">
        <f t="shared" si="19"/>
        <v>6158.1821920925986</v>
      </c>
      <c r="P23" s="6">
        <f t="shared" si="19"/>
        <v>6158.1821920925986</v>
      </c>
      <c r="Q23" s="72">
        <f t="shared" si="17"/>
        <v>73898.186305111201</v>
      </c>
      <c r="R23" s="72"/>
      <c r="S23" s="23"/>
    </row>
    <row r="24" spans="1:19" x14ac:dyDescent="0.35">
      <c r="B24" s="216">
        <f>'5600'!$B$1</f>
        <v>5600</v>
      </c>
      <c r="C24" s="6">
        <f>'5600'!$B$4</f>
        <v>1326</v>
      </c>
      <c r="D24" s="96">
        <f t="shared" si="14"/>
        <v>4.7903932024103701E-3</v>
      </c>
      <c r="E24" s="6">
        <f>$Q18*$D24/12</f>
        <v>98.609445672750397</v>
      </c>
      <c r="F24" s="6">
        <f t="shared" ref="F24:P24" si="20">$Q18*$D24/12</f>
        <v>98.609445672750397</v>
      </c>
      <c r="G24" s="6">
        <f t="shared" si="20"/>
        <v>98.609445672750397</v>
      </c>
      <c r="H24" s="6">
        <f t="shared" si="20"/>
        <v>98.609445672750397</v>
      </c>
      <c r="I24" s="6">
        <f t="shared" si="20"/>
        <v>98.609445672750397</v>
      </c>
      <c r="J24" s="6">
        <f t="shared" si="20"/>
        <v>98.609445672750397</v>
      </c>
      <c r="K24" s="6">
        <f t="shared" si="20"/>
        <v>98.609445672750397</v>
      </c>
      <c r="L24" s="6">
        <f t="shared" si="20"/>
        <v>98.609445672750397</v>
      </c>
      <c r="M24" s="6">
        <f t="shared" si="20"/>
        <v>98.609445672750397</v>
      </c>
      <c r="N24" s="6">
        <f t="shared" si="20"/>
        <v>98.609445672750397</v>
      </c>
      <c r="O24" s="6">
        <f t="shared" si="20"/>
        <v>98.609445672750397</v>
      </c>
      <c r="P24" s="6">
        <f t="shared" si="20"/>
        <v>98.609445672750397</v>
      </c>
      <c r="Q24" s="72">
        <f t="shared" si="17"/>
        <v>1183.3133480730048</v>
      </c>
      <c r="R24" s="72"/>
      <c r="S24" s="23"/>
    </row>
    <row r="25" spans="1:19" x14ac:dyDescent="0.35">
      <c r="B25" s="216">
        <f>'7010'!$B$1</f>
        <v>7010</v>
      </c>
      <c r="C25" s="6">
        <f>'7010'!$B$4</f>
        <v>73209</v>
      </c>
      <c r="D25" s="96">
        <f t="shared" si="14"/>
        <v>0.2644795595439372</v>
      </c>
      <c r="E25" s="6">
        <f>$Q18*$D25/12</f>
        <v>5444.2676532853566</v>
      </c>
      <c r="F25" s="6">
        <f t="shared" ref="F25:P25" si="21">$Q18*$D25/12</f>
        <v>5444.2676532853566</v>
      </c>
      <c r="G25" s="6">
        <f t="shared" si="21"/>
        <v>5444.2676532853566</v>
      </c>
      <c r="H25" s="6">
        <f t="shared" si="21"/>
        <v>5444.2676532853566</v>
      </c>
      <c r="I25" s="6">
        <f t="shared" si="21"/>
        <v>5444.2676532853566</v>
      </c>
      <c r="J25" s="6">
        <f t="shared" si="21"/>
        <v>5444.2676532853566</v>
      </c>
      <c r="K25" s="6">
        <f t="shared" si="21"/>
        <v>5444.2676532853566</v>
      </c>
      <c r="L25" s="6">
        <f t="shared" si="21"/>
        <v>5444.2676532853566</v>
      </c>
      <c r="M25" s="6">
        <f t="shared" si="21"/>
        <v>5444.2676532853566</v>
      </c>
      <c r="N25" s="6">
        <f t="shared" si="21"/>
        <v>5444.2676532853566</v>
      </c>
      <c r="O25" s="6">
        <f t="shared" si="21"/>
        <v>5444.2676532853566</v>
      </c>
      <c r="P25" s="6">
        <f t="shared" si="21"/>
        <v>5444.2676532853566</v>
      </c>
      <c r="Q25" s="72">
        <f t="shared" si="17"/>
        <v>65331.211839424293</v>
      </c>
      <c r="R25" s="72"/>
      <c r="S25" s="23"/>
    </row>
    <row r="26" spans="1:19" x14ac:dyDescent="0.35">
      <c r="B26" s="216">
        <f>'7200'!$B$1</f>
        <v>7200</v>
      </c>
      <c r="C26" s="6">
        <f>'7200'!$B$4</f>
        <v>14821</v>
      </c>
      <c r="D26" s="96">
        <f t="shared" si="14"/>
        <v>5.3543301397378652E-2</v>
      </c>
      <c r="E26" s="6">
        <f>$Q18*$D26/12</f>
        <v>1102.1799353814733</v>
      </c>
      <c r="F26" s="6">
        <f t="shared" ref="F26:P26" si="22">$Q18*$D26/12</f>
        <v>1102.1799353814733</v>
      </c>
      <c r="G26" s="6">
        <f t="shared" si="22"/>
        <v>1102.1799353814733</v>
      </c>
      <c r="H26" s="6">
        <f t="shared" si="22"/>
        <v>1102.1799353814733</v>
      </c>
      <c r="I26" s="6">
        <f t="shared" si="22"/>
        <v>1102.1799353814733</v>
      </c>
      <c r="J26" s="6">
        <f t="shared" si="22"/>
        <v>1102.1799353814733</v>
      </c>
      <c r="K26" s="6">
        <f t="shared" si="22"/>
        <v>1102.1799353814733</v>
      </c>
      <c r="L26" s="6">
        <f t="shared" si="22"/>
        <v>1102.1799353814733</v>
      </c>
      <c r="M26" s="6">
        <f t="shared" si="22"/>
        <v>1102.1799353814733</v>
      </c>
      <c r="N26" s="6">
        <f t="shared" si="22"/>
        <v>1102.1799353814733</v>
      </c>
      <c r="O26" s="6">
        <f t="shared" si="22"/>
        <v>1102.1799353814733</v>
      </c>
      <c r="P26" s="6">
        <f t="shared" si="22"/>
        <v>1102.1799353814733</v>
      </c>
      <c r="Q26" s="72">
        <f t="shared" si="17"/>
        <v>13226.159224577679</v>
      </c>
      <c r="R26" s="72"/>
      <c r="S26" s="23"/>
    </row>
    <row r="27" spans="1:19" x14ac:dyDescent="0.35">
      <c r="B27" s="216">
        <f>'7300'!$B$1</f>
        <v>7300</v>
      </c>
      <c r="C27" s="6">
        <f>'7300'!$B$4</f>
        <v>22500</v>
      </c>
      <c r="D27" s="96">
        <f t="shared" si="14"/>
        <v>8.1284952529587728E-2</v>
      </c>
      <c r="E27" s="6">
        <f>$Q18*$D27/12</f>
        <v>1673.2372003294752</v>
      </c>
      <c r="F27" s="6">
        <f t="shared" ref="F27" si="23">$Q18*$D27/12</f>
        <v>1673.2372003294752</v>
      </c>
      <c r="G27" s="6">
        <f>$Q18*$D27/12</f>
        <v>1673.2372003294752</v>
      </c>
      <c r="H27" s="6">
        <f t="shared" ref="H27:P27" si="24">$Q18*$D27/12</f>
        <v>1673.2372003294752</v>
      </c>
      <c r="I27" s="6">
        <f t="shared" si="24"/>
        <v>1673.2372003294752</v>
      </c>
      <c r="J27" s="6">
        <f t="shared" si="24"/>
        <v>1673.2372003294752</v>
      </c>
      <c r="K27" s="6">
        <f t="shared" si="24"/>
        <v>1673.2372003294752</v>
      </c>
      <c r="L27" s="6">
        <f t="shared" si="24"/>
        <v>1673.2372003294752</v>
      </c>
      <c r="M27" s="6">
        <f t="shared" si="24"/>
        <v>1673.2372003294752</v>
      </c>
      <c r="N27" s="6">
        <f t="shared" si="24"/>
        <v>1673.2372003294752</v>
      </c>
      <c r="O27" s="6">
        <f t="shared" si="24"/>
        <v>1673.2372003294752</v>
      </c>
      <c r="P27" s="6">
        <f t="shared" si="24"/>
        <v>1673.2372003294752</v>
      </c>
      <c r="Q27" s="72">
        <f t="shared" si="17"/>
        <v>20078.846403953707</v>
      </c>
      <c r="R27" s="72"/>
      <c r="S27" s="23"/>
    </row>
    <row r="28" spans="1:19" x14ac:dyDescent="0.35">
      <c r="B28" s="216">
        <f>'8200'!$B$1</f>
        <v>8200</v>
      </c>
      <c r="C28" s="6">
        <f>'8200'!$B$4</f>
        <v>10000</v>
      </c>
      <c r="D28" s="96">
        <f t="shared" si="14"/>
        <v>3.6126645568705658E-2</v>
      </c>
      <c r="E28" s="6">
        <f>$Q18*$D28/12</f>
        <v>743.66097792421124</v>
      </c>
      <c r="F28" s="6">
        <f t="shared" ref="F28:P28" si="25">$Q18*$D28/12</f>
        <v>743.66097792421124</v>
      </c>
      <c r="G28" s="6">
        <f t="shared" si="25"/>
        <v>743.66097792421124</v>
      </c>
      <c r="H28" s="6">
        <f t="shared" si="25"/>
        <v>743.66097792421124</v>
      </c>
      <c r="I28" s="6">
        <f t="shared" si="25"/>
        <v>743.66097792421124</v>
      </c>
      <c r="J28" s="6">
        <f t="shared" si="25"/>
        <v>743.66097792421124</v>
      </c>
      <c r="K28" s="6">
        <f t="shared" si="25"/>
        <v>743.66097792421124</v>
      </c>
      <c r="L28" s="6">
        <f t="shared" si="25"/>
        <v>743.66097792421124</v>
      </c>
      <c r="M28" s="6">
        <f t="shared" si="25"/>
        <v>743.66097792421124</v>
      </c>
      <c r="N28" s="6">
        <f t="shared" si="25"/>
        <v>743.66097792421124</v>
      </c>
      <c r="O28" s="6">
        <f t="shared" si="25"/>
        <v>743.66097792421124</v>
      </c>
      <c r="P28" s="6">
        <f t="shared" si="25"/>
        <v>743.66097792421124</v>
      </c>
      <c r="Q28" s="72">
        <f t="shared" si="17"/>
        <v>8923.9317350905367</v>
      </c>
      <c r="R28" s="72"/>
      <c r="S28" s="23"/>
    </row>
    <row r="29" spans="1:19" x14ac:dyDescent="0.35">
      <c r="B29" s="216">
        <f>'9510'!$B$1</f>
        <v>9510</v>
      </c>
      <c r="C29" s="15">
        <f>'9510'!$B$4</f>
        <v>19983</v>
      </c>
      <c r="D29" s="376">
        <v>0</v>
      </c>
      <c r="E29" s="377">
        <f>IFERROR($Q18*$D29/12,0)</f>
        <v>0</v>
      </c>
      <c r="F29" s="378">
        <f t="shared" ref="F29:P29" si="26">IFERROR($Q18*$D29/12,0)</f>
        <v>0</v>
      </c>
      <c r="G29" s="378">
        <f t="shared" si="26"/>
        <v>0</v>
      </c>
      <c r="H29" s="378">
        <f t="shared" si="26"/>
        <v>0</v>
      </c>
      <c r="I29" s="378">
        <f t="shared" si="26"/>
        <v>0</v>
      </c>
      <c r="J29" s="378">
        <f t="shared" si="26"/>
        <v>0</v>
      </c>
      <c r="K29" s="378">
        <f t="shared" si="26"/>
        <v>0</v>
      </c>
      <c r="L29" s="378">
        <f t="shared" si="26"/>
        <v>0</v>
      </c>
      <c r="M29" s="378">
        <f t="shared" si="26"/>
        <v>0</v>
      </c>
      <c r="N29" s="378">
        <f t="shared" si="26"/>
        <v>0</v>
      </c>
      <c r="O29" s="378">
        <f t="shared" si="26"/>
        <v>0</v>
      </c>
      <c r="P29" s="378">
        <f t="shared" si="26"/>
        <v>0</v>
      </c>
      <c r="Q29" s="379">
        <f t="shared" ref="Q29" si="27">SUM(E29:P29)</f>
        <v>0</v>
      </c>
      <c r="R29" s="76"/>
      <c r="S29" s="23"/>
    </row>
    <row r="30" spans="1:19" x14ac:dyDescent="0.35">
      <c r="B30" s="85" t="s">
        <v>264</v>
      </c>
      <c r="C30" s="6">
        <f>SUM(C20:C29)</f>
        <v>296787</v>
      </c>
      <c r="D30" s="217">
        <f>SUM(D20:D29)</f>
        <v>1</v>
      </c>
      <c r="E30" s="8">
        <f>SUM(E20:E29)</f>
        <v>20584.833333333332</v>
      </c>
      <c r="F30" s="87">
        <f t="shared" ref="F30" si="28">SUM(F20:F29)</f>
        <v>20584.833333333332</v>
      </c>
      <c r="G30" s="87">
        <f t="shared" ref="G30" si="29">SUM(G20:G29)</f>
        <v>20584.833333333332</v>
      </c>
      <c r="H30" s="87">
        <f t="shared" ref="H30" si="30">SUM(H20:H29)</f>
        <v>20584.833333333332</v>
      </c>
      <c r="I30" s="87">
        <f t="shared" ref="I30" si="31">SUM(I20:I29)</f>
        <v>20584.833333333332</v>
      </c>
      <c r="J30" s="87">
        <f t="shared" ref="J30" si="32">SUM(J20:J29)</f>
        <v>20584.833333333332</v>
      </c>
      <c r="K30" s="87">
        <f t="shared" ref="K30" si="33">SUM(K20:K29)</f>
        <v>20584.833333333332</v>
      </c>
      <c r="L30" s="87">
        <f t="shared" ref="L30" si="34">SUM(L20:L29)</f>
        <v>20584.833333333332</v>
      </c>
      <c r="M30" s="87">
        <f t="shared" ref="M30" si="35">SUM(M20:M29)</f>
        <v>20584.833333333332</v>
      </c>
      <c r="N30" s="87">
        <f t="shared" ref="N30" si="36">SUM(N20:N29)</f>
        <v>20584.833333333332</v>
      </c>
      <c r="O30" s="87">
        <f t="shared" ref="O30" si="37">SUM(O20:O29)</f>
        <v>20584.833333333332</v>
      </c>
      <c r="P30" s="87">
        <f t="shared" ref="P30" si="38">SUM(P20:P29)</f>
        <v>20584.833333333332</v>
      </c>
      <c r="Q30" s="87">
        <f t="shared" ref="Q30" si="39">SUM(Q20:Q29)</f>
        <v>247018.00000000003</v>
      </c>
      <c r="R30" s="77"/>
      <c r="S30" s="23"/>
    </row>
    <row r="31" spans="1:19" ht="16.5" thickBot="1" x14ac:dyDescent="0.4">
      <c r="D31" s="13"/>
    </row>
    <row r="32" spans="1:19" ht="18" thickBot="1" x14ac:dyDescent="0.4">
      <c r="A32" s="55" t="s">
        <v>114</v>
      </c>
      <c r="B32" s="9" t="s">
        <v>463</v>
      </c>
      <c r="C32" s="79"/>
      <c r="D32" s="13"/>
      <c r="O32" s="78"/>
      <c r="P32" s="78"/>
      <c r="Q32" s="203">
        <v>34725</v>
      </c>
      <c r="S32" s="6" t="s">
        <v>554</v>
      </c>
    </row>
    <row r="33" spans="1:19" x14ac:dyDescent="0.35">
      <c r="C33" s="75"/>
      <c r="D33" s="95" t="s">
        <v>261</v>
      </c>
      <c r="E33" s="75" t="s">
        <v>0</v>
      </c>
      <c r="F33" s="75" t="s">
        <v>1</v>
      </c>
      <c r="G33" s="75" t="s">
        <v>2</v>
      </c>
      <c r="H33" s="75" t="s">
        <v>3</v>
      </c>
      <c r="I33" s="75" t="s">
        <v>4</v>
      </c>
      <c r="J33" s="75" t="s">
        <v>5</v>
      </c>
      <c r="K33" s="75" t="s">
        <v>6</v>
      </c>
      <c r="L33" s="75" t="s">
        <v>7</v>
      </c>
      <c r="M33" s="75" t="s">
        <v>8</v>
      </c>
      <c r="N33" s="75" t="s">
        <v>9</v>
      </c>
      <c r="O33" s="75" t="s">
        <v>10</v>
      </c>
      <c r="P33" s="75" t="s">
        <v>11</v>
      </c>
      <c r="Q33" s="75" t="s">
        <v>12</v>
      </c>
      <c r="R33" s="13"/>
      <c r="S33" s="6" t="s">
        <v>555</v>
      </c>
    </row>
    <row r="34" spans="1:19" x14ac:dyDescent="0.35">
      <c r="B34" s="216">
        <f>'1100'!$B$1</f>
        <v>1100</v>
      </c>
      <c r="C34" s="6">
        <f>'1100'!$B$4</f>
        <v>8287</v>
      </c>
      <c r="D34" s="96">
        <f>C34/($C$44-$C$43)</f>
        <v>2.9938151182786376E-2</v>
      </c>
      <c r="E34" s="6">
        <f t="shared" ref="E34:P34" si="40">$Q32*$D34/12</f>
        <v>86.633524985188089</v>
      </c>
      <c r="F34" s="6">
        <f t="shared" si="40"/>
        <v>86.633524985188089</v>
      </c>
      <c r="G34" s="6">
        <f t="shared" si="40"/>
        <v>86.633524985188089</v>
      </c>
      <c r="H34" s="6">
        <f t="shared" si="40"/>
        <v>86.633524985188089</v>
      </c>
      <c r="I34" s="6">
        <f t="shared" si="40"/>
        <v>86.633524985188089</v>
      </c>
      <c r="J34" s="6">
        <f t="shared" si="40"/>
        <v>86.633524985188089</v>
      </c>
      <c r="K34" s="6">
        <f t="shared" si="40"/>
        <v>86.633524985188089</v>
      </c>
      <c r="L34" s="6">
        <f t="shared" si="40"/>
        <v>86.633524985188089</v>
      </c>
      <c r="M34" s="6">
        <f t="shared" si="40"/>
        <v>86.633524985188089</v>
      </c>
      <c r="N34" s="6">
        <f t="shared" si="40"/>
        <v>86.633524985188089</v>
      </c>
      <c r="O34" s="6">
        <f t="shared" si="40"/>
        <v>86.633524985188089</v>
      </c>
      <c r="P34" s="6">
        <f t="shared" si="40"/>
        <v>86.633524985188089</v>
      </c>
      <c r="Q34" s="72">
        <f>SUM(E34:P34)</f>
        <v>1039.6022998222568</v>
      </c>
      <c r="R34" s="72"/>
      <c r="S34" s="23"/>
    </row>
    <row r="35" spans="1:19" x14ac:dyDescent="0.35">
      <c r="B35" s="216">
        <f>'1500'!$B$1</f>
        <v>1500</v>
      </c>
      <c r="C35" s="6">
        <f>'1500'!$B$4</f>
        <v>2280</v>
      </c>
      <c r="D35" s="96">
        <f t="shared" ref="D35:D42" si="41">C35/($C$44-$C$43)</f>
        <v>8.2368751896648891E-3</v>
      </c>
      <c r="E35" s="6">
        <f t="shared" ref="E35:P35" si="42">$Q32*$D35/12</f>
        <v>23.835457580092775</v>
      </c>
      <c r="F35" s="6">
        <f t="shared" si="42"/>
        <v>23.835457580092775</v>
      </c>
      <c r="G35" s="6">
        <f t="shared" si="42"/>
        <v>23.835457580092775</v>
      </c>
      <c r="H35" s="6">
        <f t="shared" si="42"/>
        <v>23.835457580092775</v>
      </c>
      <c r="I35" s="6">
        <f t="shared" si="42"/>
        <v>23.835457580092775</v>
      </c>
      <c r="J35" s="6">
        <f t="shared" si="42"/>
        <v>23.835457580092775</v>
      </c>
      <c r="K35" s="6">
        <f t="shared" si="42"/>
        <v>23.835457580092775</v>
      </c>
      <c r="L35" s="6">
        <f t="shared" si="42"/>
        <v>23.835457580092775</v>
      </c>
      <c r="M35" s="6">
        <f t="shared" si="42"/>
        <v>23.835457580092775</v>
      </c>
      <c r="N35" s="6">
        <f t="shared" si="42"/>
        <v>23.835457580092775</v>
      </c>
      <c r="O35" s="6">
        <f t="shared" si="42"/>
        <v>23.835457580092775</v>
      </c>
      <c r="P35" s="6">
        <f t="shared" si="42"/>
        <v>23.835457580092775</v>
      </c>
      <c r="Q35" s="72">
        <f t="shared" ref="Q35:Q39" si="43">SUM(E35:P35)</f>
        <v>286.02549096111329</v>
      </c>
      <c r="R35" s="72"/>
    </row>
    <row r="36" spans="1:19" x14ac:dyDescent="0.35">
      <c r="B36" s="216">
        <f>'2300'!$B$1</f>
        <v>2300</v>
      </c>
      <c r="C36" s="6">
        <f>'2300'!$B$4</f>
        <v>61572</v>
      </c>
      <c r="D36" s="96">
        <f t="shared" si="41"/>
        <v>0.22243898209563445</v>
      </c>
      <c r="E36" s="6">
        <f t="shared" ref="E36:P36" si="44">$Q32*$D36/12</f>
        <v>643.6828044392422</v>
      </c>
      <c r="F36" s="6">
        <f t="shared" si="44"/>
        <v>643.6828044392422</v>
      </c>
      <c r="G36" s="6">
        <f t="shared" si="44"/>
        <v>643.6828044392422</v>
      </c>
      <c r="H36" s="6">
        <f t="shared" si="44"/>
        <v>643.6828044392422</v>
      </c>
      <c r="I36" s="6">
        <f t="shared" si="44"/>
        <v>643.6828044392422</v>
      </c>
      <c r="J36" s="6">
        <f t="shared" si="44"/>
        <v>643.6828044392422</v>
      </c>
      <c r="K36" s="6">
        <f t="shared" si="44"/>
        <v>643.6828044392422</v>
      </c>
      <c r="L36" s="6">
        <f t="shared" si="44"/>
        <v>643.6828044392422</v>
      </c>
      <c r="M36" s="6">
        <f t="shared" si="44"/>
        <v>643.6828044392422</v>
      </c>
      <c r="N36" s="6">
        <f t="shared" si="44"/>
        <v>643.6828044392422</v>
      </c>
      <c r="O36" s="6">
        <f t="shared" si="44"/>
        <v>643.6828044392422</v>
      </c>
      <c r="P36" s="6">
        <f t="shared" si="44"/>
        <v>643.6828044392422</v>
      </c>
      <c r="Q36" s="72">
        <f t="shared" si="43"/>
        <v>7724.1936532709069</v>
      </c>
      <c r="R36" s="72"/>
    </row>
    <row r="37" spans="1:19" x14ac:dyDescent="0.35">
      <c r="B37" s="216">
        <f>'4500'!$B$1</f>
        <v>4500</v>
      </c>
      <c r="C37" s="6">
        <f>'4500'!$B$4</f>
        <v>82809</v>
      </c>
      <c r="D37" s="96">
        <f t="shared" si="41"/>
        <v>0.29916113928989463</v>
      </c>
      <c r="E37" s="6">
        <f t="shared" ref="E37:P37" si="45">$Q32*$D37/12</f>
        <v>865.69754682013263</v>
      </c>
      <c r="F37" s="6">
        <f t="shared" si="45"/>
        <v>865.69754682013263</v>
      </c>
      <c r="G37" s="6">
        <f t="shared" si="45"/>
        <v>865.69754682013263</v>
      </c>
      <c r="H37" s="6">
        <f t="shared" si="45"/>
        <v>865.69754682013263</v>
      </c>
      <c r="I37" s="6">
        <f t="shared" si="45"/>
        <v>865.69754682013263</v>
      </c>
      <c r="J37" s="6">
        <f t="shared" si="45"/>
        <v>865.69754682013263</v>
      </c>
      <c r="K37" s="6">
        <f t="shared" si="45"/>
        <v>865.69754682013263</v>
      </c>
      <c r="L37" s="6">
        <f t="shared" si="45"/>
        <v>865.69754682013263</v>
      </c>
      <c r="M37" s="6">
        <f t="shared" si="45"/>
        <v>865.69754682013263</v>
      </c>
      <c r="N37" s="6">
        <f t="shared" si="45"/>
        <v>865.69754682013263</v>
      </c>
      <c r="O37" s="6">
        <f t="shared" si="45"/>
        <v>865.69754682013263</v>
      </c>
      <c r="P37" s="6">
        <f t="shared" si="45"/>
        <v>865.69754682013263</v>
      </c>
      <c r="Q37" s="72">
        <f t="shared" si="43"/>
        <v>10388.370561841592</v>
      </c>
      <c r="R37" s="72"/>
    </row>
    <row r="38" spans="1:19" x14ac:dyDescent="0.35">
      <c r="B38" s="216">
        <f>'5600'!$B$1</f>
        <v>5600</v>
      </c>
      <c r="C38" s="6">
        <f>'5600'!$B$4</f>
        <v>1326</v>
      </c>
      <c r="D38" s="96">
        <f t="shared" si="41"/>
        <v>4.7903932024103701E-3</v>
      </c>
      <c r="E38" s="6">
        <f t="shared" ref="E38:P38" si="46">$Q32*$D38/12</f>
        <v>13.862200329475009</v>
      </c>
      <c r="F38" s="6">
        <f t="shared" si="46"/>
        <v>13.862200329475009</v>
      </c>
      <c r="G38" s="6">
        <f t="shared" si="46"/>
        <v>13.862200329475009</v>
      </c>
      <c r="H38" s="6">
        <f t="shared" si="46"/>
        <v>13.862200329475009</v>
      </c>
      <c r="I38" s="6">
        <f t="shared" si="46"/>
        <v>13.862200329475009</v>
      </c>
      <c r="J38" s="6">
        <f t="shared" si="46"/>
        <v>13.862200329475009</v>
      </c>
      <c r="K38" s="6">
        <f t="shared" si="46"/>
        <v>13.862200329475009</v>
      </c>
      <c r="L38" s="6">
        <f t="shared" si="46"/>
        <v>13.862200329475009</v>
      </c>
      <c r="M38" s="6">
        <f t="shared" si="46"/>
        <v>13.862200329475009</v>
      </c>
      <c r="N38" s="6">
        <f t="shared" si="46"/>
        <v>13.862200329475009</v>
      </c>
      <c r="O38" s="6">
        <f t="shared" si="46"/>
        <v>13.862200329475009</v>
      </c>
      <c r="P38" s="6">
        <f t="shared" si="46"/>
        <v>13.862200329475009</v>
      </c>
      <c r="Q38" s="72">
        <f t="shared" si="43"/>
        <v>166.34640395370005</v>
      </c>
      <c r="R38" s="72"/>
    </row>
    <row r="39" spans="1:19" x14ac:dyDescent="0.35">
      <c r="B39" s="216">
        <f>'7010'!$B$1</f>
        <v>7010</v>
      </c>
      <c r="C39" s="6">
        <f>'7010'!$B$4</f>
        <v>73209</v>
      </c>
      <c r="D39" s="96">
        <f t="shared" si="41"/>
        <v>0.2644795595439372</v>
      </c>
      <c r="E39" s="6">
        <f t="shared" ref="E39:P39" si="47">$Q32*$D39/12</f>
        <v>765.33772543026828</v>
      </c>
      <c r="F39" s="6">
        <f t="shared" si="47"/>
        <v>765.33772543026828</v>
      </c>
      <c r="G39" s="6">
        <f t="shared" si="47"/>
        <v>765.33772543026828</v>
      </c>
      <c r="H39" s="6">
        <f t="shared" si="47"/>
        <v>765.33772543026828</v>
      </c>
      <c r="I39" s="6">
        <f t="shared" si="47"/>
        <v>765.33772543026828</v>
      </c>
      <c r="J39" s="6">
        <f t="shared" si="47"/>
        <v>765.33772543026828</v>
      </c>
      <c r="K39" s="6">
        <f t="shared" si="47"/>
        <v>765.33772543026828</v>
      </c>
      <c r="L39" s="6">
        <f t="shared" si="47"/>
        <v>765.33772543026828</v>
      </c>
      <c r="M39" s="6">
        <f t="shared" si="47"/>
        <v>765.33772543026828</v>
      </c>
      <c r="N39" s="6">
        <f t="shared" si="47"/>
        <v>765.33772543026828</v>
      </c>
      <c r="O39" s="6">
        <f t="shared" si="47"/>
        <v>765.33772543026828</v>
      </c>
      <c r="P39" s="6">
        <f t="shared" si="47"/>
        <v>765.33772543026828</v>
      </c>
      <c r="Q39" s="72">
        <f t="shared" si="43"/>
        <v>9184.0527051632216</v>
      </c>
      <c r="R39" s="72"/>
    </row>
    <row r="40" spans="1:19" x14ac:dyDescent="0.35">
      <c r="B40" s="216">
        <f>'7200'!$B$1</f>
        <v>7200</v>
      </c>
      <c r="C40" s="6">
        <f>'7200'!$B$4</f>
        <v>14821</v>
      </c>
      <c r="D40" s="96">
        <f t="shared" si="41"/>
        <v>5.3543301397378652E-2</v>
      </c>
      <c r="E40" s="6">
        <f t="shared" ref="E40:Q40" si="48">$Q32*$D40/12</f>
        <v>154.94092841866447</v>
      </c>
      <c r="F40" s="6">
        <f t="shared" si="48"/>
        <v>154.94092841866447</v>
      </c>
      <c r="G40" s="6">
        <f t="shared" si="48"/>
        <v>154.94092841866447</v>
      </c>
      <c r="H40" s="6">
        <f t="shared" si="48"/>
        <v>154.94092841866447</v>
      </c>
      <c r="I40" s="6">
        <f t="shared" si="48"/>
        <v>154.94092841866447</v>
      </c>
      <c r="J40" s="6">
        <f t="shared" si="48"/>
        <v>154.94092841866447</v>
      </c>
      <c r="K40" s="6">
        <f t="shared" si="48"/>
        <v>154.94092841866447</v>
      </c>
      <c r="L40" s="6">
        <f t="shared" si="48"/>
        <v>154.94092841866447</v>
      </c>
      <c r="M40" s="6">
        <f t="shared" si="48"/>
        <v>154.94092841866447</v>
      </c>
      <c r="N40" s="6">
        <f t="shared" si="48"/>
        <v>154.94092841866447</v>
      </c>
      <c r="O40" s="6">
        <f t="shared" si="48"/>
        <v>154.94092841866447</v>
      </c>
      <c r="P40" s="6">
        <f t="shared" si="48"/>
        <v>154.94092841866447</v>
      </c>
      <c r="Q40" s="72">
        <f t="shared" si="48"/>
        <v>154.94092841866447</v>
      </c>
      <c r="R40" s="72"/>
      <c r="S40" s="23"/>
    </row>
    <row r="41" spans="1:19" x14ac:dyDescent="0.35">
      <c r="B41" s="216">
        <f>'7300'!$B$1</f>
        <v>7300</v>
      </c>
      <c r="C41" s="6">
        <f>'7300'!$B$4</f>
        <v>22500</v>
      </c>
      <c r="D41" s="96">
        <f t="shared" si="41"/>
        <v>8.1284952529587728E-2</v>
      </c>
      <c r="E41" s="6">
        <f t="shared" ref="E41:Q41" si="49">$Q32*$D41/12</f>
        <v>235.21833138249448</v>
      </c>
      <c r="F41" s="6">
        <f t="shared" si="49"/>
        <v>235.21833138249448</v>
      </c>
      <c r="G41" s="6">
        <f t="shared" si="49"/>
        <v>235.21833138249448</v>
      </c>
      <c r="H41" s="6">
        <f t="shared" si="49"/>
        <v>235.21833138249448</v>
      </c>
      <c r="I41" s="6">
        <f t="shared" si="49"/>
        <v>235.21833138249448</v>
      </c>
      <c r="J41" s="6">
        <f t="shared" si="49"/>
        <v>235.21833138249448</v>
      </c>
      <c r="K41" s="6">
        <f t="shared" si="49"/>
        <v>235.21833138249448</v>
      </c>
      <c r="L41" s="6">
        <f t="shared" si="49"/>
        <v>235.21833138249448</v>
      </c>
      <c r="M41" s="6">
        <f t="shared" si="49"/>
        <v>235.21833138249448</v>
      </c>
      <c r="N41" s="6">
        <f t="shared" si="49"/>
        <v>235.21833138249448</v>
      </c>
      <c r="O41" s="6">
        <f t="shared" si="49"/>
        <v>235.21833138249448</v>
      </c>
      <c r="P41" s="6">
        <f t="shared" si="49"/>
        <v>235.21833138249448</v>
      </c>
      <c r="Q41" s="72">
        <f t="shared" si="49"/>
        <v>235.21833138249448</v>
      </c>
      <c r="R41" s="72"/>
      <c r="S41" s="23"/>
    </row>
    <row r="42" spans="1:19" x14ac:dyDescent="0.35">
      <c r="B42" s="216">
        <f>'8200'!$B$1</f>
        <v>8200</v>
      </c>
      <c r="C42" s="6">
        <f>'8200'!$B$4</f>
        <v>10000</v>
      </c>
      <c r="D42" s="96">
        <f t="shared" si="41"/>
        <v>3.6126645568705658E-2</v>
      </c>
      <c r="E42" s="6">
        <f t="shared" ref="E42:Q42" si="50">$Q32*$D42/12</f>
        <v>104.54148061444199</v>
      </c>
      <c r="F42" s="6">
        <f t="shared" si="50"/>
        <v>104.54148061444199</v>
      </c>
      <c r="G42" s="6">
        <f t="shared" si="50"/>
        <v>104.54148061444199</v>
      </c>
      <c r="H42" s="6">
        <f t="shared" si="50"/>
        <v>104.54148061444199</v>
      </c>
      <c r="I42" s="6">
        <f t="shared" si="50"/>
        <v>104.54148061444199</v>
      </c>
      <c r="J42" s="6">
        <f t="shared" si="50"/>
        <v>104.54148061444199</v>
      </c>
      <c r="K42" s="6">
        <f t="shared" si="50"/>
        <v>104.54148061444199</v>
      </c>
      <c r="L42" s="6">
        <f t="shared" si="50"/>
        <v>104.54148061444199</v>
      </c>
      <c r="M42" s="6">
        <f t="shared" si="50"/>
        <v>104.54148061444199</v>
      </c>
      <c r="N42" s="6">
        <f t="shared" si="50"/>
        <v>104.54148061444199</v>
      </c>
      <c r="O42" s="6">
        <f t="shared" si="50"/>
        <v>104.54148061444199</v>
      </c>
      <c r="P42" s="6">
        <f t="shared" si="50"/>
        <v>104.54148061444199</v>
      </c>
      <c r="Q42" s="72">
        <f t="shared" si="50"/>
        <v>104.54148061444199</v>
      </c>
      <c r="R42" s="72"/>
      <c r="S42" s="23"/>
    </row>
    <row r="43" spans="1:19" x14ac:dyDescent="0.35">
      <c r="B43" s="216">
        <f>'9510'!$B$1</f>
        <v>9510</v>
      </c>
      <c r="C43" s="15">
        <f>'9510'!$B$4</f>
        <v>19983</v>
      </c>
      <c r="D43" s="376">
        <v>0</v>
      </c>
      <c r="E43" s="377">
        <f t="shared" ref="E43:P43" si="51">IFERROR($Q32*$D43/12,0)</f>
        <v>0</v>
      </c>
      <c r="F43" s="378">
        <f t="shared" si="51"/>
        <v>0</v>
      </c>
      <c r="G43" s="378">
        <f t="shared" si="51"/>
        <v>0</v>
      </c>
      <c r="H43" s="378">
        <f t="shared" si="51"/>
        <v>0</v>
      </c>
      <c r="I43" s="378">
        <f t="shared" si="51"/>
        <v>0</v>
      </c>
      <c r="J43" s="378">
        <f t="shared" si="51"/>
        <v>0</v>
      </c>
      <c r="K43" s="378">
        <f t="shared" si="51"/>
        <v>0</v>
      </c>
      <c r="L43" s="378">
        <f t="shared" si="51"/>
        <v>0</v>
      </c>
      <c r="M43" s="378">
        <f t="shared" si="51"/>
        <v>0</v>
      </c>
      <c r="N43" s="378">
        <f t="shared" si="51"/>
        <v>0</v>
      </c>
      <c r="O43" s="378">
        <f t="shared" si="51"/>
        <v>0</v>
      </c>
      <c r="P43" s="378">
        <f t="shared" si="51"/>
        <v>0</v>
      </c>
      <c r="Q43" s="379">
        <f t="shared" ref="Q43" si="52">SUM(E43:P43)</f>
        <v>0</v>
      </c>
      <c r="R43" s="76"/>
      <c r="S43" s="23"/>
    </row>
    <row r="44" spans="1:19" x14ac:dyDescent="0.35">
      <c r="B44" s="85" t="s">
        <v>264</v>
      </c>
      <c r="C44" s="6">
        <f>SUM(C34:C43)</f>
        <v>296787</v>
      </c>
      <c r="D44" s="217">
        <f>SUM(D34:D43)</f>
        <v>1</v>
      </c>
      <c r="E44" s="8">
        <f>SUM(E34:E43)</f>
        <v>2893.75</v>
      </c>
      <c r="F44" s="87">
        <f t="shared" ref="F44" si="53">SUM(F34:F43)</f>
        <v>2893.75</v>
      </c>
      <c r="G44" s="87">
        <f t="shared" ref="G44" si="54">SUM(G34:G43)</f>
        <v>2893.75</v>
      </c>
      <c r="H44" s="87">
        <f t="shared" ref="H44" si="55">SUM(H34:H43)</f>
        <v>2893.75</v>
      </c>
      <c r="I44" s="87">
        <f t="shared" ref="I44" si="56">SUM(I34:I43)</f>
        <v>2893.75</v>
      </c>
      <c r="J44" s="87">
        <f t="shared" ref="J44" si="57">SUM(J34:J43)</f>
        <v>2893.75</v>
      </c>
      <c r="K44" s="87">
        <f t="shared" ref="K44" si="58">SUM(K34:K43)</f>
        <v>2893.75</v>
      </c>
      <c r="L44" s="87">
        <f t="shared" ref="L44" si="59">SUM(L34:L43)</f>
        <v>2893.75</v>
      </c>
      <c r="M44" s="87">
        <f t="shared" ref="M44" si="60">SUM(M34:M43)</f>
        <v>2893.75</v>
      </c>
      <c r="N44" s="87">
        <f t="shared" ref="N44" si="61">SUM(N34:N43)</f>
        <v>2893.75</v>
      </c>
      <c r="O44" s="87">
        <f t="shared" ref="O44" si="62">SUM(O34:O43)</f>
        <v>2893.75</v>
      </c>
      <c r="P44" s="87">
        <f t="shared" ref="P44" si="63">SUM(P34:P43)</f>
        <v>2893.75</v>
      </c>
      <c r="Q44" s="87">
        <f t="shared" ref="Q44" si="64">SUM(Q34:Q43)</f>
        <v>29283.29185542839</v>
      </c>
      <c r="R44" s="77"/>
      <c r="S44" s="23"/>
    </row>
    <row r="46" spans="1:19" ht="17.5" x14ac:dyDescent="0.35">
      <c r="A46" s="55" t="s">
        <v>117</v>
      </c>
      <c r="B46" s="202" t="s">
        <v>275</v>
      </c>
      <c r="C46" s="373"/>
      <c r="D46" s="374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375"/>
      <c r="P46" s="375"/>
      <c r="Q46" s="380"/>
      <c r="R46" s="55"/>
      <c r="S46" s="3"/>
    </row>
    <row r="47" spans="1:19" x14ac:dyDescent="0.35">
      <c r="C47" s="75" t="s">
        <v>271</v>
      </c>
      <c r="D47" s="95" t="s">
        <v>464</v>
      </c>
      <c r="E47" s="75" t="s">
        <v>0</v>
      </c>
      <c r="F47" s="75" t="s">
        <v>1</v>
      </c>
      <c r="G47" s="75" t="s">
        <v>2</v>
      </c>
      <c r="H47" s="75" t="s">
        <v>3</v>
      </c>
      <c r="I47" s="75" t="s">
        <v>4</v>
      </c>
      <c r="J47" s="75" t="s">
        <v>5</v>
      </c>
      <c r="K47" s="75" t="s">
        <v>6</v>
      </c>
      <c r="L47" s="75" t="s">
        <v>7</v>
      </c>
      <c r="M47" s="75" t="s">
        <v>8</v>
      </c>
      <c r="N47" s="75" t="s">
        <v>9</v>
      </c>
      <c r="O47" s="75" t="s">
        <v>10</v>
      </c>
      <c r="P47" s="75" t="s">
        <v>11</v>
      </c>
      <c r="Q47" s="75" t="s">
        <v>12</v>
      </c>
      <c r="R47" s="13"/>
      <c r="S47" s="6" t="s">
        <v>281</v>
      </c>
    </row>
    <row r="48" spans="1:19" x14ac:dyDescent="0.35">
      <c r="B48" s="216">
        <f>'1100'!$B$1</f>
        <v>1100</v>
      </c>
      <c r="C48" s="6">
        <f>'1100'!$B$4</f>
        <v>8287</v>
      </c>
      <c r="D48" s="381">
        <f>1.03*1800</f>
        <v>1854</v>
      </c>
      <c r="E48" s="6">
        <f>$D48/12</f>
        <v>154.5</v>
      </c>
      <c r="F48" s="6">
        <f t="shared" ref="F48:P48" si="65">$D48/12</f>
        <v>154.5</v>
      </c>
      <c r="G48" s="6">
        <f t="shared" si="65"/>
        <v>154.5</v>
      </c>
      <c r="H48" s="6">
        <f t="shared" si="65"/>
        <v>154.5</v>
      </c>
      <c r="I48" s="6">
        <f t="shared" si="65"/>
        <v>154.5</v>
      </c>
      <c r="J48" s="6">
        <f t="shared" si="65"/>
        <v>154.5</v>
      </c>
      <c r="K48" s="6">
        <f t="shared" si="65"/>
        <v>154.5</v>
      </c>
      <c r="L48" s="6">
        <f t="shared" si="65"/>
        <v>154.5</v>
      </c>
      <c r="M48" s="6">
        <f t="shared" si="65"/>
        <v>154.5</v>
      </c>
      <c r="N48" s="6">
        <f t="shared" si="65"/>
        <v>154.5</v>
      </c>
      <c r="O48" s="6">
        <f t="shared" si="65"/>
        <v>154.5</v>
      </c>
      <c r="P48" s="6">
        <f t="shared" si="65"/>
        <v>154.5</v>
      </c>
      <c r="Q48" s="259">
        <f>SUM(E48:P48)</f>
        <v>1854</v>
      </c>
      <c r="R48" s="72"/>
      <c r="S48" s="23"/>
    </row>
    <row r="49" spans="1:19" x14ac:dyDescent="0.35">
      <c r="B49" s="216">
        <f>'1500'!$B$1</f>
        <v>1500</v>
      </c>
      <c r="C49" s="6">
        <f>'1500'!$B$4</f>
        <v>2280</v>
      </c>
      <c r="D49" s="382">
        <f>1.03*360</f>
        <v>370.8</v>
      </c>
      <c r="E49" s="6">
        <f t="shared" ref="E49:P57" si="66">$D49/12</f>
        <v>30.900000000000002</v>
      </c>
      <c r="F49" s="6">
        <f t="shared" si="66"/>
        <v>30.900000000000002</v>
      </c>
      <c r="G49" s="6">
        <f t="shared" si="66"/>
        <v>30.900000000000002</v>
      </c>
      <c r="H49" s="6">
        <f t="shared" si="66"/>
        <v>30.900000000000002</v>
      </c>
      <c r="I49" s="6">
        <f t="shared" si="66"/>
        <v>30.900000000000002</v>
      </c>
      <c r="J49" s="6">
        <f t="shared" si="66"/>
        <v>30.900000000000002</v>
      </c>
      <c r="K49" s="6">
        <f t="shared" si="66"/>
        <v>30.900000000000002</v>
      </c>
      <c r="L49" s="6">
        <f t="shared" si="66"/>
        <v>30.900000000000002</v>
      </c>
      <c r="M49" s="6">
        <f t="shared" si="66"/>
        <v>30.900000000000002</v>
      </c>
      <c r="N49" s="6">
        <f t="shared" si="66"/>
        <v>30.900000000000002</v>
      </c>
      <c r="O49" s="6">
        <f t="shared" si="66"/>
        <v>30.900000000000002</v>
      </c>
      <c r="P49" s="6">
        <f t="shared" si="66"/>
        <v>30.900000000000002</v>
      </c>
      <c r="Q49" s="229">
        <f t="shared" ref="Q49:Q57" si="67">SUM(E49:P49)</f>
        <v>370.79999999999995</v>
      </c>
      <c r="R49" s="72"/>
      <c r="S49" s="23"/>
    </row>
    <row r="50" spans="1:19" x14ac:dyDescent="0.35">
      <c r="B50" s="216">
        <f>'2300'!$B$1</f>
        <v>2300</v>
      </c>
      <c r="C50" s="6">
        <f>'2300'!$B$4</f>
        <v>61572</v>
      </c>
      <c r="D50" s="382">
        <f>1.03*8400</f>
        <v>8652</v>
      </c>
      <c r="E50" s="6">
        <f t="shared" si="66"/>
        <v>721</v>
      </c>
      <c r="F50" s="6">
        <f t="shared" si="66"/>
        <v>721</v>
      </c>
      <c r="G50" s="6">
        <f t="shared" si="66"/>
        <v>721</v>
      </c>
      <c r="H50" s="6">
        <f t="shared" si="66"/>
        <v>721</v>
      </c>
      <c r="I50" s="6">
        <f t="shared" si="66"/>
        <v>721</v>
      </c>
      <c r="J50" s="6">
        <f t="shared" si="66"/>
        <v>721</v>
      </c>
      <c r="K50" s="6">
        <f t="shared" si="66"/>
        <v>721</v>
      </c>
      <c r="L50" s="6">
        <f t="shared" si="66"/>
        <v>721</v>
      </c>
      <c r="M50" s="6">
        <f t="shared" si="66"/>
        <v>721</v>
      </c>
      <c r="N50" s="6">
        <f t="shared" si="66"/>
        <v>721</v>
      </c>
      <c r="O50" s="6">
        <f t="shared" si="66"/>
        <v>721</v>
      </c>
      <c r="P50" s="6">
        <f t="shared" si="66"/>
        <v>721</v>
      </c>
      <c r="Q50" s="229">
        <f t="shared" si="67"/>
        <v>8652</v>
      </c>
      <c r="R50" s="72"/>
      <c r="S50" s="23"/>
    </row>
    <row r="51" spans="1:19" x14ac:dyDescent="0.35">
      <c r="B51" s="216">
        <f>'4500'!$B$1</f>
        <v>4500</v>
      </c>
      <c r="C51" s="6">
        <f>'4500'!$B$4</f>
        <v>82809</v>
      </c>
      <c r="D51" s="382">
        <f>1.03*15000</f>
        <v>15450</v>
      </c>
      <c r="E51" s="6">
        <f t="shared" si="66"/>
        <v>1287.5</v>
      </c>
      <c r="F51" s="6">
        <f t="shared" si="66"/>
        <v>1287.5</v>
      </c>
      <c r="G51" s="6">
        <f t="shared" si="66"/>
        <v>1287.5</v>
      </c>
      <c r="H51" s="6">
        <f t="shared" si="66"/>
        <v>1287.5</v>
      </c>
      <c r="I51" s="6">
        <f t="shared" si="66"/>
        <v>1287.5</v>
      </c>
      <c r="J51" s="6">
        <f t="shared" si="66"/>
        <v>1287.5</v>
      </c>
      <c r="K51" s="6">
        <f t="shared" si="66"/>
        <v>1287.5</v>
      </c>
      <c r="L51" s="6">
        <f t="shared" si="66"/>
        <v>1287.5</v>
      </c>
      <c r="M51" s="6">
        <f t="shared" si="66"/>
        <v>1287.5</v>
      </c>
      <c r="N51" s="6">
        <f t="shared" si="66"/>
        <v>1287.5</v>
      </c>
      <c r="O51" s="6">
        <f t="shared" si="66"/>
        <v>1287.5</v>
      </c>
      <c r="P51" s="6">
        <f t="shared" si="66"/>
        <v>1287.5</v>
      </c>
      <c r="Q51" s="229">
        <f t="shared" si="67"/>
        <v>15450</v>
      </c>
      <c r="R51" s="72"/>
      <c r="S51" s="23"/>
    </row>
    <row r="52" spans="1:19" x14ac:dyDescent="0.35">
      <c r="B52" s="216">
        <f>'5600'!$B$1</f>
        <v>5600</v>
      </c>
      <c r="C52" s="6">
        <f>'5600'!$B$4</f>
        <v>1326</v>
      </c>
      <c r="D52" s="382">
        <f>1.03*250</f>
        <v>257.5</v>
      </c>
      <c r="E52" s="6">
        <f t="shared" si="66"/>
        <v>21.458333333333332</v>
      </c>
      <c r="F52" s="6">
        <f t="shared" si="66"/>
        <v>21.458333333333332</v>
      </c>
      <c r="G52" s="6">
        <f t="shared" si="66"/>
        <v>21.458333333333332</v>
      </c>
      <c r="H52" s="6">
        <f t="shared" si="66"/>
        <v>21.458333333333332</v>
      </c>
      <c r="I52" s="6">
        <f t="shared" si="66"/>
        <v>21.458333333333332</v>
      </c>
      <c r="J52" s="6">
        <f t="shared" si="66"/>
        <v>21.458333333333332</v>
      </c>
      <c r="K52" s="6">
        <f t="shared" si="66"/>
        <v>21.458333333333332</v>
      </c>
      <c r="L52" s="6">
        <f t="shared" si="66"/>
        <v>21.458333333333332</v>
      </c>
      <c r="M52" s="6">
        <f t="shared" si="66"/>
        <v>21.458333333333332</v>
      </c>
      <c r="N52" s="6">
        <f t="shared" si="66"/>
        <v>21.458333333333332</v>
      </c>
      <c r="O52" s="6">
        <f t="shared" si="66"/>
        <v>21.458333333333332</v>
      </c>
      <c r="P52" s="6">
        <f t="shared" si="66"/>
        <v>21.458333333333332</v>
      </c>
      <c r="Q52" s="229">
        <f t="shared" si="67"/>
        <v>257.50000000000006</v>
      </c>
      <c r="R52" s="72"/>
      <c r="S52" s="23"/>
    </row>
    <row r="53" spans="1:19" x14ac:dyDescent="0.35">
      <c r="B53" s="216">
        <f>'7010'!$B$1</f>
        <v>7010</v>
      </c>
      <c r="C53" s="6">
        <f>'7010'!$B$4</f>
        <v>73209</v>
      </c>
      <c r="D53" s="382">
        <f>1.03*11000</f>
        <v>11330</v>
      </c>
      <c r="E53" s="6">
        <f t="shared" si="66"/>
        <v>944.16666666666663</v>
      </c>
      <c r="F53" s="6">
        <f t="shared" si="66"/>
        <v>944.16666666666663</v>
      </c>
      <c r="G53" s="6">
        <f t="shared" si="66"/>
        <v>944.16666666666663</v>
      </c>
      <c r="H53" s="6">
        <f t="shared" si="66"/>
        <v>944.16666666666663</v>
      </c>
      <c r="I53" s="6">
        <f t="shared" si="66"/>
        <v>944.16666666666663</v>
      </c>
      <c r="J53" s="6">
        <f t="shared" si="66"/>
        <v>944.16666666666663</v>
      </c>
      <c r="K53" s="6">
        <f t="shared" si="66"/>
        <v>944.16666666666663</v>
      </c>
      <c r="L53" s="6">
        <f t="shared" si="66"/>
        <v>944.16666666666663</v>
      </c>
      <c r="M53" s="6">
        <f t="shared" si="66"/>
        <v>944.16666666666663</v>
      </c>
      <c r="N53" s="6">
        <f t="shared" si="66"/>
        <v>944.16666666666663</v>
      </c>
      <c r="O53" s="6">
        <f t="shared" si="66"/>
        <v>944.16666666666663</v>
      </c>
      <c r="P53" s="6">
        <f t="shared" si="66"/>
        <v>944.16666666666663</v>
      </c>
      <c r="Q53" s="229">
        <f t="shared" si="67"/>
        <v>11329.999999999998</v>
      </c>
      <c r="R53" s="72"/>
      <c r="S53" s="23"/>
    </row>
    <row r="54" spans="1:19" x14ac:dyDescent="0.35">
      <c r="B54" s="216">
        <f>'7200'!$B$1</f>
        <v>7200</v>
      </c>
      <c r="C54" s="6">
        <f>'7200'!$B$4</f>
        <v>14821</v>
      </c>
      <c r="D54" s="382">
        <f>1.03*2400</f>
        <v>2472</v>
      </c>
      <c r="E54" s="6">
        <f t="shared" si="66"/>
        <v>206</v>
      </c>
      <c r="F54" s="6">
        <f t="shared" si="66"/>
        <v>206</v>
      </c>
      <c r="G54" s="6">
        <f t="shared" si="66"/>
        <v>206</v>
      </c>
      <c r="H54" s="6">
        <f t="shared" si="66"/>
        <v>206</v>
      </c>
      <c r="I54" s="6">
        <f t="shared" si="66"/>
        <v>206</v>
      </c>
      <c r="J54" s="6">
        <f t="shared" si="66"/>
        <v>206</v>
      </c>
      <c r="K54" s="6">
        <f t="shared" si="66"/>
        <v>206</v>
      </c>
      <c r="L54" s="6">
        <f t="shared" si="66"/>
        <v>206</v>
      </c>
      <c r="M54" s="6">
        <f t="shared" si="66"/>
        <v>206</v>
      </c>
      <c r="N54" s="6">
        <f t="shared" si="66"/>
        <v>206</v>
      </c>
      <c r="O54" s="6">
        <f t="shared" si="66"/>
        <v>206</v>
      </c>
      <c r="P54" s="6">
        <f t="shared" si="66"/>
        <v>206</v>
      </c>
      <c r="Q54" s="229">
        <f t="shared" si="67"/>
        <v>2472</v>
      </c>
      <c r="R54" s="72"/>
      <c r="S54" s="23"/>
    </row>
    <row r="55" spans="1:19" x14ac:dyDescent="0.35">
      <c r="B55" s="216">
        <f>'7300'!$B$1</f>
        <v>7300</v>
      </c>
      <c r="C55" s="6">
        <f>'7300'!$B$4</f>
        <v>22500</v>
      </c>
      <c r="D55" s="382">
        <f>1.03*3600</f>
        <v>3708</v>
      </c>
      <c r="E55" s="6">
        <f t="shared" si="66"/>
        <v>309</v>
      </c>
      <c r="F55" s="6">
        <f t="shared" si="66"/>
        <v>309</v>
      </c>
      <c r="G55" s="6">
        <f t="shared" si="66"/>
        <v>309</v>
      </c>
      <c r="H55" s="6">
        <f t="shared" si="66"/>
        <v>309</v>
      </c>
      <c r="I55" s="6">
        <f t="shared" si="66"/>
        <v>309</v>
      </c>
      <c r="J55" s="6">
        <f t="shared" si="66"/>
        <v>309</v>
      </c>
      <c r="K55" s="6">
        <f t="shared" si="66"/>
        <v>309</v>
      </c>
      <c r="L55" s="6">
        <f t="shared" si="66"/>
        <v>309</v>
      </c>
      <c r="M55" s="6">
        <f t="shared" si="66"/>
        <v>309</v>
      </c>
      <c r="N55" s="6">
        <f t="shared" si="66"/>
        <v>309</v>
      </c>
      <c r="O55" s="6">
        <f t="shared" si="66"/>
        <v>309</v>
      </c>
      <c r="P55" s="6">
        <f t="shared" si="66"/>
        <v>309</v>
      </c>
      <c r="Q55" s="229">
        <f t="shared" si="67"/>
        <v>3708</v>
      </c>
      <c r="R55" s="72"/>
      <c r="S55" s="23"/>
    </row>
    <row r="56" spans="1:19" x14ac:dyDescent="0.35">
      <c r="B56" s="216">
        <f>'8200'!$B$1</f>
        <v>8200</v>
      </c>
      <c r="C56" s="6">
        <f>'8200'!$B$4</f>
        <v>10000</v>
      </c>
      <c r="D56" s="382">
        <f>1.03*1500</f>
        <v>1545</v>
      </c>
      <c r="E56" s="6">
        <f t="shared" si="66"/>
        <v>128.75</v>
      </c>
      <c r="F56" s="6">
        <f t="shared" si="66"/>
        <v>128.75</v>
      </c>
      <c r="G56" s="6">
        <f t="shared" si="66"/>
        <v>128.75</v>
      </c>
      <c r="H56" s="6">
        <f t="shared" si="66"/>
        <v>128.75</v>
      </c>
      <c r="I56" s="6">
        <f t="shared" si="66"/>
        <v>128.75</v>
      </c>
      <c r="J56" s="6">
        <f t="shared" si="66"/>
        <v>128.75</v>
      </c>
      <c r="K56" s="6">
        <f t="shared" si="66"/>
        <v>128.75</v>
      </c>
      <c r="L56" s="6">
        <f t="shared" si="66"/>
        <v>128.75</v>
      </c>
      <c r="M56" s="6">
        <f t="shared" si="66"/>
        <v>128.75</v>
      </c>
      <c r="N56" s="6">
        <f t="shared" si="66"/>
        <v>128.75</v>
      </c>
      <c r="O56" s="6">
        <f t="shared" si="66"/>
        <v>128.75</v>
      </c>
      <c r="P56" s="6">
        <f t="shared" si="66"/>
        <v>128.75</v>
      </c>
      <c r="Q56" s="229">
        <f t="shared" si="67"/>
        <v>1545</v>
      </c>
      <c r="R56" s="72"/>
      <c r="S56" s="23"/>
    </row>
    <row r="57" spans="1:19" x14ac:dyDescent="0.35">
      <c r="B57" s="216">
        <f>'9510'!$B$1</f>
        <v>9510</v>
      </c>
      <c r="C57" s="15">
        <f>'9510'!$B$4</f>
        <v>19983</v>
      </c>
      <c r="D57" s="383">
        <v>0</v>
      </c>
      <c r="E57" s="15">
        <f t="shared" si="66"/>
        <v>0</v>
      </c>
      <c r="F57" s="6">
        <f t="shared" si="66"/>
        <v>0</v>
      </c>
      <c r="G57" s="6">
        <f t="shared" si="66"/>
        <v>0</v>
      </c>
      <c r="H57" s="6">
        <f t="shared" si="66"/>
        <v>0</v>
      </c>
      <c r="I57" s="6">
        <f t="shared" si="66"/>
        <v>0</v>
      </c>
      <c r="J57" s="6">
        <f t="shared" si="66"/>
        <v>0</v>
      </c>
      <c r="K57" s="6">
        <f t="shared" si="66"/>
        <v>0</v>
      </c>
      <c r="L57" s="6">
        <f t="shared" si="66"/>
        <v>0</v>
      </c>
      <c r="M57" s="6">
        <f t="shared" si="66"/>
        <v>0</v>
      </c>
      <c r="N57" s="6">
        <f t="shared" si="66"/>
        <v>0</v>
      </c>
      <c r="O57" s="6">
        <f t="shared" si="66"/>
        <v>0</v>
      </c>
      <c r="P57" s="6">
        <f t="shared" si="66"/>
        <v>0</v>
      </c>
      <c r="Q57" s="76">
        <f t="shared" si="67"/>
        <v>0</v>
      </c>
      <c r="R57" s="76"/>
      <c r="S57" s="23"/>
    </row>
    <row r="58" spans="1:19" x14ac:dyDescent="0.35">
      <c r="B58" s="85" t="s">
        <v>264</v>
      </c>
      <c r="C58" s="6">
        <f>SUM(C48:C57)</f>
        <v>296787</v>
      </c>
      <c r="D58" s="258">
        <f>SUM(D48:D57)</f>
        <v>45639.3</v>
      </c>
      <c r="E58" s="8">
        <f>SUM(E48:E57)</f>
        <v>3803.2750000000001</v>
      </c>
      <c r="F58" s="87">
        <f t="shared" ref="F58" si="68">SUM(F48:F57)</f>
        <v>3803.2750000000001</v>
      </c>
      <c r="G58" s="87">
        <f t="shared" ref="G58" si="69">SUM(G48:G57)</f>
        <v>3803.2750000000001</v>
      </c>
      <c r="H58" s="87">
        <f t="shared" ref="H58" si="70">SUM(H48:H57)</f>
        <v>3803.2750000000001</v>
      </c>
      <c r="I58" s="87">
        <f t="shared" ref="I58" si="71">SUM(I48:I57)</f>
        <v>3803.2750000000001</v>
      </c>
      <c r="J58" s="87">
        <f t="shared" ref="J58" si="72">SUM(J48:J57)</f>
        <v>3803.2750000000001</v>
      </c>
      <c r="K58" s="87">
        <f t="shared" ref="K58" si="73">SUM(K48:K57)</f>
        <v>3803.2750000000001</v>
      </c>
      <c r="L58" s="87">
        <f t="shared" ref="L58" si="74">SUM(L48:L57)</f>
        <v>3803.2750000000001</v>
      </c>
      <c r="M58" s="87">
        <f t="shared" ref="M58" si="75">SUM(M48:M57)</f>
        <v>3803.2750000000001</v>
      </c>
      <c r="N58" s="87">
        <f t="shared" ref="N58" si="76">SUM(N48:N57)</f>
        <v>3803.2750000000001</v>
      </c>
      <c r="O58" s="87">
        <f t="shared" ref="O58" si="77">SUM(O48:O57)</f>
        <v>3803.2750000000001</v>
      </c>
      <c r="P58" s="87">
        <f t="shared" ref="P58:Q58" si="78">SUM(P48:P57)</f>
        <v>3803.2750000000001</v>
      </c>
      <c r="Q58" s="87">
        <f t="shared" si="78"/>
        <v>45639.299999999996</v>
      </c>
      <c r="R58" s="77"/>
      <c r="S58" s="23"/>
    </row>
    <row r="60" spans="1:19" ht="17.5" x14ac:dyDescent="0.35">
      <c r="A60" s="6" t="s">
        <v>119</v>
      </c>
      <c r="B60" s="9" t="s">
        <v>276</v>
      </c>
      <c r="C60" s="79"/>
      <c r="E60" s="13"/>
      <c r="O60" s="78"/>
      <c r="P60" s="78"/>
      <c r="S60" s="3"/>
    </row>
    <row r="61" spans="1:19" x14ac:dyDescent="0.35">
      <c r="C61" s="75" t="s">
        <v>271</v>
      </c>
      <c r="D61" s="95" t="s">
        <v>464</v>
      </c>
      <c r="E61" s="75" t="s">
        <v>0</v>
      </c>
      <c r="F61" s="75" t="s">
        <v>1</v>
      </c>
      <c r="G61" s="75" t="s">
        <v>2</v>
      </c>
      <c r="H61" s="75" t="s">
        <v>3</v>
      </c>
      <c r="I61" s="75" t="s">
        <v>4</v>
      </c>
      <c r="J61" s="75" t="s">
        <v>5</v>
      </c>
      <c r="K61" s="75" t="s">
        <v>6</v>
      </c>
      <c r="L61" s="75" t="s">
        <v>7</v>
      </c>
      <c r="M61" s="75" t="s">
        <v>8</v>
      </c>
      <c r="N61" s="75" t="s">
        <v>9</v>
      </c>
      <c r="O61" s="75" t="s">
        <v>10</v>
      </c>
      <c r="P61" s="75" t="s">
        <v>11</v>
      </c>
      <c r="Q61" s="75" t="s">
        <v>12</v>
      </c>
      <c r="R61" s="13"/>
      <c r="S61" s="6" t="s">
        <v>281</v>
      </c>
    </row>
    <row r="62" spans="1:19" x14ac:dyDescent="0.35">
      <c r="B62" s="216">
        <f>'1100'!$B$1</f>
        <v>1100</v>
      </c>
      <c r="C62" s="6">
        <f>'1100'!$B$4</f>
        <v>8287</v>
      </c>
      <c r="D62" s="381">
        <f>1.03*6737</f>
        <v>6939.1100000000006</v>
      </c>
      <c r="E62" s="6">
        <f>$D62/12</f>
        <v>578.25916666666672</v>
      </c>
      <c r="F62" s="6">
        <f t="shared" ref="F62:P62" si="79">$D62/12</f>
        <v>578.25916666666672</v>
      </c>
      <c r="G62" s="6">
        <f t="shared" si="79"/>
        <v>578.25916666666672</v>
      </c>
      <c r="H62" s="6">
        <f t="shared" si="79"/>
        <v>578.25916666666672</v>
      </c>
      <c r="I62" s="6">
        <f t="shared" si="79"/>
        <v>578.25916666666672</v>
      </c>
      <c r="J62" s="6">
        <f t="shared" si="79"/>
        <v>578.25916666666672</v>
      </c>
      <c r="K62" s="6">
        <f t="shared" si="79"/>
        <v>578.25916666666672</v>
      </c>
      <c r="L62" s="6">
        <f t="shared" si="79"/>
        <v>578.25916666666672</v>
      </c>
      <c r="M62" s="6">
        <f t="shared" si="79"/>
        <v>578.25916666666672</v>
      </c>
      <c r="N62" s="6">
        <f t="shared" si="79"/>
        <v>578.25916666666672</v>
      </c>
      <c r="O62" s="6">
        <f t="shared" si="79"/>
        <v>578.25916666666672</v>
      </c>
      <c r="P62" s="6">
        <f t="shared" si="79"/>
        <v>578.25916666666672</v>
      </c>
      <c r="Q62" s="259">
        <f>SUM(E62:P62)</f>
        <v>6939.1100000000006</v>
      </c>
      <c r="R62" s="72"/>
      <c r="S62" s="23"/>
    </row>
    <row r="63" spans="1:19" x14ac:dyDescent="0.35">
      <c r="B63" s="216">
        <f>'1500'!$B$1</f>
        <v>1500</v>
      </c>
      <c r="C63" s="6">
        <f>'1500'!$B$4</f>
        <v>2280</v>
      </c>
      <c r="D63" s="382">
        <f>1.03*2670</f>
        <v>2750.1</v>
      </c>
      <c r="E63" s="6">
        <f t="shared" ref="E63:P71" si="80">$D63/12</f>
        <v>229.17499999999998</v>
      </c>
      <c r="F63" s="6">
        <f t="shared" si="80"/>
        <v>229.17499999999998</v>
      </c>
      <c r="G63" s="6">
        <f t="shared" si="80"/>
        <v>229.17499999999998</v>
      </c>
      <c r="H63" s="6">
        <f t="shared" si="80"/>
        <v>229.17499999999998</v>
      </c>
      <c r="I63" s="6">
        <f t="shared" si="80"/>
        <v>229.17499999999998</v>
      </c>
      <c r="J63" s="6">
        <f t="shared" si="80"/>
        <v>229.17499999999998</v>
      </c>
      <c r="K63" s="6">
        <f t="shared" si="80"/>
        <v>229.17499999999998</v>
      </c>
      <c r="L63" s="6">
        <f t="shared" si="80"/>
        <v>229.17499999999998</v>
      </c>
      <c r="M63" s="6">
        <f t="shared" si="80"/>
        <v>229.17499999999998</v>
      </c>
      <c r="N63" s="6">
        <f t="shared" si="80"/>
        <v>229.17499999999998</v>
      </c>
      <c r="O63" s="6">
        <f t="shared" si="80"/>
        <v>229.17499999999998</v>
      </c>
      <c r="P63" s="6">
        <f t="shared" si="80"/>
        <v>229.17499999999998</v>
      </c>
      <c r="Q63" s="229">
        <f t="shared" ref="Q63:Q71" si="81">SUM(E63:P63)</f>
        <v>2750.1000000000004</v>
      </c>
      <c r="R63" s="72"/>
      <c r="S63" s="23"/>
    </row>
    <row r="64" spans="1:19" x14ac:dyDescent="0.35">
      <c r="B64" s="216">
        <f>'2300'!$B$1</f>
        <v>2300</v>
      </c>
      <c r="C64" s="6">
        <f>'2300'!$B$4</f>
        <v>61572</v>
      </c>
      <c r="D64" s="382">
        <f>1.03*4500</f>
        <v>4635</v>
      </c>
      <c r="E64" s="6">
        <f t="shared" si="80"/>
        <v>386.25</v>
      </c>
      <c r="F64" s="6">
        <f t="shared" si="80"/>
        <v>386.25</v>
      </c>
      <c r="G64" s="6">
        <f t="shared" si="80"/>
        <v>386.25</v>
      </c>
      <c r="H64" s="6">
        <f t="shared" si="80"/>
        <v>386.25</v>
      </c>
      <c r="I64" s="6">
        <f t="shared" si="80"/>
        <v>386.25</v>
      </c>
      <c r="J64" s="6">
        <f t="shared" si="80"/>
        <v>386.25</v>
      </c>
      <c r="K64" s="6">
        <f t="shared" si="80"/>
        <v>386.25</v>
      </c>
      <c r="L64" s="6">
        <f t="shared" si="80"/>
        <v>386.25</v>
      </c>
      <c r="M64" s="6">
        <f t="shared" si="80"/>
        <v>386.25</v>
      </c>
      <c r="N64" s="6">
        <f t="shared" si="80"/>
        <v>386.25</v>
      </c>
      <c r="O64" s="6">
        <f t="shared" si="80"/>
        <v>386.25</v>
      </c>
      <c r="P64" s="6">
        <f t="shared" si="80"/>
        <v>386.25</v>
      </c>
      <c r="Q64" s="229">
        <f t="shared" si="81"/>
        <v>4635</v>
      </c>
      <c r="R64" s="72"/>
      <c r="S64" s="23"/>
    </row>
    <row r="65" spans="1:19" x14ac:dyDescent="0.35">
      <c r="B65" s="216">
        <f>'4500'!$B$1</f>
        <v>4500</v>
      </c>
      <c r="C65" s="6">
        <f>'4500'!$B$4</f>
        <v>82809</v>
      </c>
      <c r="D65" s="382">
        <f>1.03*6700</f>
        <v>6901</v>
      </c>
      <c r="E65" s="6">
        <f t="shared" si="80"/>
        <v>575.08333333333337</v>
      </c>
      <c r="F65" s="6">
        <f t="shared" si="80"/>
        <v>575.08333333333337</v>
      </c>
      <c r="G65" s="6">
        <f t="shared" si="80"/>
        <v>575.08333333333337</v>
      </c>
      <c r="H65" s="6">
        <f t="shared" si="80"/>
        <v>575.08333333333337</v>
      </c>
      <c r="I65" s="6">
        <f t="shared" si="80"/>
        <v>575.08333333333337</v>
      </c>
      <c r="J65" s="6">
        <f t="shared" si="80"/>
        <v>575.08333333333337</v>
      </c>
      <c r="K65" s="6">
        <f t="shared" si="80"/>
        <v>575.08333333333337</v>
      </c>
      <c r="L65" s="6">
        <f t="shared" si="80"/>
        <v>575.08333333333337</v>
      </c>
      <c r="M65" s="6">
        <f t="shared" si="80"/>
        <v>575.08333333333337</v>
      </c>
      <c r="N65" s="6">
        <f t="shared" si="80"/>
        <v>575.08333333333337</v>
      </c>
      <c r="O65" s="6">
        <f t="shared" si="80"/>
        <v>575.08333333333337</v>
      </c>
      <c r="P65" s="6">
        <f t="shared" si="80"/>
        <v>575.08333333333337</v>
      </c>
      <c r="Q65" s="229">
        <f t="shared" si="81"/>
        <v>6900.9999999999991</v>
      </c>
      <c r="R65" s="72"/>
      <c r="S65" s="23"/>
    </row>
    <row r="66" spans="1:19" x14ac:dyDescent="0.35">
      <c r="B66" s="216">
        <f>'5600'!$B$1</f>
        <v>5600</v>
      </c>
      <c r="C66" s="6">
        <f>'5600'!$B$4</f>
        <v>1326</v>
      </c>
      <c r="D66" s="382">
        <f>1.03*1000</f>
        <v>1030</v>
      </c>
      <c r="E66" s="6">
        <f t="shared" si="80"/>
        <v>85.833333333333329</v>
      </c>
      <c r="F66" s="6">
        <f t="shared" si="80"/>
        <v>85.833333333333329</v>
      </c>
      <c r="G66" s="6">
        <f t="shared" si="80"/>
        <v>85.833333333333329</v>
      </c>
      <c r="H66" s="6">
        <f t="shared" si="80"/>
        <v>85.833333333333329</v>
      </c>
      <c r="I66" s="6">
        <f t="shared" si="80"/>
        <v>85.833333333333329</v>
      </c>
      <c r="J66" s="6">
        <f t="shared" si="80"/>
        <v>85.833333333333329</v>
      </c>
      <c r="K66" s="6">
        <f t="shared" si="80"/>
        <v>85.833333333333329</v>
      </c>
      <c r="L66" s="6">
        <f t="shared" si="80"/>
        <v>85.833333333333329</v>
      </c>
      <c r="M66" s="6">
        <f t="shared" si="80"/>
        <v>85.833333333333329</v>
      </c>
      <c r="N66" s="6">
        <f t="shared" si="80"/>
        <v>85.833333333333329</v>
      </c>
      <c r="O66" s="6">
        <f t="shared" si="80"/>
        <v>85.833333333333329</v>
      </c>
      <c r="P66" s="6">
        <f t="shared" si="80"/>
        <v>85.833333333333329</v>
      </c>
      <c r="Q66" s="229">
        <f t="shared" si="81"/>
        <v>1030.0000000000002</v>
      </c>
      <c r="R66" s="72"/>
      <c r="S66" s="23"/>
    </row>
    <row r="67" spans="1:19" x14ac:dyDescent="0.35">
      <c r="B67" s="216">
        <f>'7010'!$B$1</f>
        <v>7010</v>
      </c>
      <c r="C67" s="6">
        <f>'7010'!$B$4</f>
        <v>73209</v>
      </c>
      <c r="D67" s="382">
        <f>1.03*13500</f>
        <v>13905</v>
      </c>
      <c r="E67" s="6">
        <f t="shared" si="80"/>
        <v>1158.75</v>
      </c>
      <c r="F67" s="6">
        <f t="shared" si="80"/>
        <v>1158.75</v>
      </c>
      <c r="G67" s="6">
        <f t="shared" si="80"/>
        <v>1158.75</v>
      </c>
      <c r="H67" s="6">
        <f t="shared" si="80"/>
        <v>1158.75</v>
      </c>
      <c r="I67" s="6">
        <f t="shared" si="80"/>
        <v>1158.75</v>
      </c>
      <c r="J67" s="6">
        <f t="shared" si="80"/>
        <v>1158.75</v>
      </c>
      <c r="K67" s="6">
        <f t="shared" si="80"/>
        <v>1158.75</v>
      </c>
      <c r="L67" s="6">
        <f t="shared" si="80"/>
        <v>1158.75</v>
      </c>
      <c r="M67" s="6">
        <f t="shared" si="80"/>
        <v>1158.75</v>
      </c>
      <c r="N67" s="6">
        <f t="shared" si="80"/>
        <v>1158.75</v>
      </c>
      <c r="O67" s="6">
        <f t="shared" si="80"/>
        <v>1158.75</v>
      </c>
      <c r="P67" s="6">
        <f t="shared" si="80"/>
        <v>1158.75</v>
      </c>
      <c r="Q67" s="229">
        <f t="shared" si="81"/>
        <v>13905</v>
      </c>
      <c r="R67" s="72"/>
      <c r="S67" s="23"/>
    </row>
    <row r="68" spans="1:19" x14ac:dyDescent="0.35">
      <c r="B68" s="216">
        <f>'7200'!$B$1</f>
        <v>7200</v>
      </c>
      <c r="C68" s="6">
        <f>'7200'!$B$4</f>
        <v>14821</v>
      </c>
      <c r="D68" s="382">
        <f>1.03*3600</f>
        <v>3708</v>
      </c>
      <c r="E68" s="6">
        <f t="shared" si="80"/>
        <v>309</v>
      </c>
      <c r="F68" s="6">
        <f t="shared" si="80"/>
        <v>309</v>
      </c>
      <c r="G68" s="6">
        <f t="shared" si="80"/>
        <v>309</v>
      </c>
      <c r="H68" s="6">
        <f t="shared" si="80"/>
        <v>309</v>
      </c>
      <c r="I68" s="6">
        <f t="shared" si="80"/>
        <v>309</v>
      </c>
      <c r="J68" s="6">
        <f t="shared" si="80"/>
        <v>309</v>
      </c>
      <c r="K68" s="6">
        <f t="shared" si="80"/>
        <v>309</v>
      </c>
      <c r="L68" s="6">
        <f t="shared" si="80"/>
        <v>309</v>
      </c>
      <c r="M68" s="6">
        <f t="shared" si="80"/>
        <v>309</v>
      </c>
      <c r="N68" s="6">
        <f t="shared" si="80"/>
        <v>309</v>
      </c>
      <c r="O68" s="6">
        <f t="shared" si="80"/>
        <v>309</v>
      </c>
      <c r="P68" s="6">
        <f t="shared" si="80"/>
        <v>309</v>
      </c>
      <c r="Q68" s="229">
        <f t="shared" si="81"/>
        <v>3708</v>
      </c>
      <c r="R68" s="72"/>
      <c r="S68" s="23"/>
    </row>
    <row r="69" spans="1:19" x14ac:dyDescent="0.35">
      <c r="B69" s="216">
        <f>'7300'!$B$1</f>
        <v>7300</v>
      </c>
      <c r="C69" s="6">
        <f>'7300'!$B$4</f>
        <v>22500</v>
      </c>
      <c r="D69" s="382">
        <f>1.03*8300</f>
        <v>8549</v>
      </c>
      <c r="E69" s="6">
        <f t="shared" si="80"/>
        <v>712.41666666666663</v>
      </c>
      <c r="F69" s="6">
        <f t="shared" si="80"/>
        <v>712.41666666666663</v>
      </c>
      <c r="G69" s="6">
        <f t="shared" si="80"/>
        <v>712.41666666666663</v>
      </c>
      <c r="H69" s="6">
        <f t="shared" si="80"/>
        <v>712.41666666666663</v>
      </c>
      <c r="I69" s="6">
        <f t="shared" si="80"/>
        <v>712.41666666666663</v>
      </c>
      <c r="J69" s="6">
        <f t="shared" si="80"/>
        <v>712.41666666666663</v>
      </c>
      <c r="K69" s="6">
        <f t="shared" si="80"/>
        <v>712.41666666666663</v>
      </c>
      <c r="L69" s="6">
        <f t="shared" si="80"/>
        <v>712.41666666666663</v>
      </c>
      <c r="M69" s="6">
        <f t="shared" si="80"/>
        <v>712.41666666666663</v>
      </c>
      <c r="N69" s="6">
        <f t="shared" si="80"/>
        <v>712.41666666666663</v>
      </c>
      <c r="O69" s="6">
        <f t="shared" si="80"/>
        <v>712.41666666666663</v>
      </c>
      <c r="P69" s="6">
        <f t="shared" si="80"/>
        <v>712.41666666666663</v>
      </c>
      <c r="Q69" s="229">
        <f t="shared" si="81"/>
        <v>8549.0000000000018</v>
      </c>
      <c r="R69" s="72"/>
      <c r="S69" s="23"/>
    </row>
    <row r="70" spans="1:19" x14ac:dyDescent="0.35">
      <c r="B70" s="216">
        <f>'8200'!$B$1</f>
        <v>8200</v>
      </c>
      <c r="C70" s="6">
        <f>'8200'!$B$4</f>
        <v>10000</v>
      </c>
      <c r="D70" s="382">
        <f>1.03*1200</f>
        <v>1236</v>
      </c>
      <c r="E70" s="6">
        <f t="shared" si="80"/>
        <v>103</v>
      </c>
      <c r="F70" s="6">
        <f t="shared" si="80"/>
        <v>103</v>
      </c>
      <c r="G70" s="6">
        <f t="shared" si="80"/>
        <v>103</v>
      </c>
      <c r="H70" s="6">
        <f t="shared" si="80"/>
        <v>103</v>
      </c>
      <c r="I70" s="6">
        <f t="shared" si="80"/>
        <v>103</v>
      </c>
      <c r="J70" s="6">
        <f t="shared" si="80"/>
        <v>103</v>
      </c>
      <c r="K70" s="6">
        <f t="shared" si="80"/>
        <v>103</v>
      </c>
      <c r="L70" s="6">
        <f t="shared" si="80"/>
        <v>103</v>
      </c>
      <c r="M70" s="6">
        <f t="shared" si="80"/>
        <v>103</v>
      </c>
      <c r="N70" s="6">
        <f t="shared" si="80"/>
        <v>103</v>
      </c>
      <c r="O70" s="6">
        <f t="shared" si="80"/>
        <v>103</v>
      </c>
      <c r="P70" s="6">
        <f t="shared" si="80"/>
        <v>103</v>
      </c>
      <c r="Q70" s="229">
        <f t="shared" si="81"/>
        <v>1236</v>
      </c>
      <c r="R70" s="72"/>
      <c r="S70" s="23"/>
    </row>
    <row r="71" spans="1:19" x14ac:dyDescent="0.35">
      <c r="B71" s="254">
        <f>'9510'!$B$1</f>
        <v>9510</v>
      </c>
      <c r="C71" s="15">
        <f>'9510'!$B$4</f>
        <v>19983</v>
      </c>
      <c r="D71" s="383">
        <f>1.03*1200</f>
        <v>1236</v>
      </c>
      <c r="E71" s="15">
        <f t="shared" si="80"/>
        <v>103</v>
      </c>
      <c r="F71" s="6">
        <f t="shared" si="80"/>
        <v>103</v>
      </c>
      <c r="G71" s="6">
        <f t="shared" si="80"/>
        <v>103</v>
      </c>
      <c r="H71" s="6">
        <f t="shared" si="80"/>
        <v>103</v>
      </c>
      <c r="I71" s="6">
        <f t="shared" si="80"/>
        <v>103</v>
      </c>
      <c r="J71" s="6">
        <f t="shared" si="80"/>
        <v>103</v>
      </c>
      <c r="K71" s="6">
        <f t="shared" si="80"/>
        <v>103</v>
      </c>
      <c r="L71" s="6">
        <f t="shared" si="80"/>
        <v>103</v>
      </c>
      <c r="M71" s="6">
        <f t="shared" si="80"/>
        <v>103</v>
      </c>
      <c r="N71" s="6">
        <f t="shared" si="80"/>
        <v>103</v>
      </c>
      <c r="O71" s="6">
        <f t="shared" si="80"/>
        <v>103</v>
      </c>
      <c r="P71" s="6">
        <f t="shared" si="80"/>
        <v>103</v>
      </c>
      <c r="Q71" s="76">
        <f t="shared" si="81"/>
        <v>1236</v>
      </c>
      <c r="R71" s="76"/>
      <c r="S71" s="23"/>
    </row>
    <row r="72" spans="1:19" x14ac:dyDescent="0.35">
      <c r="B72" s="85" t="s">
        <v>264</v>
      </c>
      <c r="C72" s="6">
        <f>SUM(C62:C71)</f>
        <v>296787</v>
      </c>
      <c r="D72" s="258">
        <f>SUM(D62:D71)</f>
        <v>50889.21</v>
      </c>
      <c r="E72" s="8">
        <f>SUM(E62:E71)</f>
        <v>4240.7674999999999</v>
      </c>
      <c r="F72" s="87">
        <f t="shared" ref="F72:Q72" si="82">SUM(F62:F71)</f>
        <v>4240.7674999999999</v>
      </c>
      <c r="G72" s="87">
        <f t="shared" si="82"/>
        <v>4240.7674999999999</v>
      </c>
      <c r="H72" s="87">
        <f t="shared" si="82"/>
        <v>4240.7674999999999</v>
      </c>
      <c r="I72" s="87">
        <f t="shared" si="82"/>
        <v>4240.7674999999999</v>
      </c>
      <c r="J72" s="87">
        <f t="shared" si="82"/>
        <v>4240.7674999999999</v>
      </c>
      <c r="K72" s="87">
        <f t="shared" si="82"/>
        <v>4240.7674999999999</v>
      </c>
      <c r="L72" s="87">
        <f t="shared" si="82"/>
        <v>4240.7674999999999</v>
      </c>
      <c r="M72" s="87">
        <f t="shared" si="82"/>
        <v>4240.7674999999999</v>
      </c>
      <c r="N72" s="87">
        <f t="shared" si="82"/>
        <v>4240.7674999999999</v>
      </c>
      <c r="O72" s="87">
        <f t="shared" si="82"/>
        <v>4240.7674999999999</v>
      </c>
      <c r="P72" s="87">
        <f t="shared" si="82"/>
        <v>4240.7674999999999</v>
      </c>
      <c r="Q72" s="87">
        <f t="shared" si="82"/>
        <v>50889.21</v>
      </c>
      <c r="R72" s="77"/>
      <c r="S72" s="23"/>
    </row>
    <row r="74" spans="1:19" ht="17.5" x14ac:dyDescent="0.35">
      <c r="A74" s="6" t="s">
        <v>126</v>
      </c>
      <c r="B74" s="9" t="s">
        <v>277</v>
      </c>
      <c r="C74" s="79"/>
      <c r="D74" s="13"/>
      <c r="O74" s="78"/>
      <c r="P74" s="78"/>
    </row>
    <row r="75" spans="1:19" x14ac:dyDescent="0.35">
      <c r="C75" s="75" t="s">
        <v>271</v>
      </c>
      <c r="D75" s="95" t="s">
        <v>464</v>
      </c>
      <c r="E75" s="75" t="s">
        <v>0</v>
      </c>
      <c r="F75" s="75" t="s">
        <v>1</v>
      </c>
      <c r="G75" s="75" t="s">
        <v>2</v>
      </c>
      <c r="H75" s="75" t="s">
        <v>3</v>
      </c>
      <c r="I75" s="75" t="s">
        <v>4</v>
      </c>
      <c r="J75" s="75" t="s">
        <v>5</v>
      </c>
      <c r="K75" s="75" t="s">
        <v>6</v>
      </c>
      <c r="L75" s="75" t="s">
        <v>7</v>
      </c>
      <c r="M75" s="75" t="s">
        <v>8</v>
      </c>
      <c r="N75" s="75" t="s">
        <v>9</v>
      </c>
      <c r="O75" s="75" t="s">
        <v>10</v>
      </c>
      <c r="P75" s="75" t="s">
        <v>11</v>
      </c>
      <c r="Q75" s="75" t="s">
        <v>12</v>
      </c>
      <c r="R75" s="13"/>
      <c r="S75" s="23"/>
    </row>
    <row r="76" spans="1:19" x14ac:dyDescent="0.35">
      <c r="B76" s="216">
        <f>'1100'!$B$1</f>
        <v>1100</v>
      </c>
      <c r="C76" s="6">
        <f>'1100'!$B$4</f>
        <v>8287</v>
      </c>
      <c r="D76" s="381">
        <v>0</v>
      </c>
      <c r="E76" s="6">
        <f>$D76/12</f>
        <v>0</v>
      </c>
      <c r="F76" s="6">
        <f t="shared" ref="F76:P76" si="83">$D76/12</f>
        <v>0</v>
      </c>
      <c r="G76" s="6">
        <f t="shared" si="83"/>
        <v>0</v>
      </c>
      <c r="H76" s="6">
        <f t="shared" si="83"/>
        <v>0</v>
      </c>
      <c r="I76" s="6">
        <f t="shared" si="83"/>
        <v>0</v>
      </c>
      <c r="J76" s="6">
        <f t="shared" si="83"/>
        <v>0</v>
      </c>
      <c r="K76" s="6">
        <f t="shared" si="83"/>
        <v>0</v>
      </c>
      <c r="L76" s="6">
        <f t="shared" si="83"/>
        <v>0</v>
      </c>
      <c r="M76" s="6">
        <f t="shared" si="83"/>
        <v>0</v>
      </c>
      <c r="N76" s="6">
        <f t="shared" si="83"/>
        <v>0</v>
      </c>
      <c r="O76" s="6">
        <f t="shared" si="83"/>
        <v>0</v>
      </c>
      <c r="P76" s="6">
        <f t="shared" si="83"/>
        <v>0</v>
      </c>
      <c r="Q76" s="259">
        <f>SUM(E76:P76)</f>
        <v>0</v>
      </c>
      <c r="R76" s="72"/>
      <c r="S76" s="23"/>
    </row>
    <row r="77" spans="1:19" x14ac:dyDescent="0.35">
      <c r="B77" s="216">
        <f>'1500'!$B$1</f>
        <v>1500</v>
      </c>
      <c r="C77" s="6">
        <f>'1500'!$B$4</f>
        <v>2280</v>
      </c>
      <c r="D77" s="382">
        <v>0</v>
      </c>
      <c r="E77" s="6">
        <f t="shared" ref="E77:P85" si="84">$D77/12</f>
        <v>0</v>
      </c>
      <c r="F77" s="6">
        <f t="shared" si="84"/>
        <v>0</v>
      </c>
      <c r="G77" s="6">
        <f t="shared" si="84"/>
        <v>0</v>
      </c>
      <c r="H77" s="6">
        <f t="shared" si="84"/>
        <v>0</v>
      </c>
      <c r="I77" s="6">
        <f t="shared" si="84"/>
        <v>0</v>
      </c>
      <c r="J77" s="6">
        <f t="shared" si="84"/>
        <v>0</v>
      </c>
      <c r="K77" s="6">
        <f t="shared" si="84"/>
        <v>0</v>
      </c>
      <c r="L77" s="6">
        <f t="shared" si="84"/>
        <v>0</v>
      </c>
      <c r="M77" s="6">
        <f t="shared" si="84"/>
        <v>0</v>
      </c>
      <c r="N77" s="6">
        <f t="shared" si="84"/>
        <v>0</v>
      </c>
      <c r="O77" s="6">
        <f t="shared" si="84"/>
        <v>0</v>
      </c>
      <c r="P77" s="6">
        <f t="shared" si="84"/>
        <v>0</v>
      </c>
      <c r="Q77" s="229">
        <f t="shared" ref="Q77:Q85" si="85">SUM(E77:P77)</f>
        <v>0</v>
      </c>
      <c r="R77" s="72"/>
      <c r="S77" s="6" t="s">
        <v>281</v>
      </c>
    </row>
    <row r="78" spans="1:19" x14ac:dyDescent="0.35">
      <c r="B78" s="216">
        <f>'2300'!$B$1</f>
        <v>2300</v>
      </c>
      <c r="C78" s="6">
        <f>'2300'!$B$4</f>
        <v>61572</v>
      </c>
      <c r="D78" s="382">
        <f>1.03*1860</f>
        <v>1915.8</v>
      </c>
      <c r="E78" s="6">
        <f t="shared" si="84"/>
        <v>159.65</v>
      </c>
      <c r="F78" s="6">
        <f t="shared" si="84"/>
        <v>159.65</v>
      </c>
      <c r="G78" s="6">
        <f t="shared" si="84"/>
        <v>159.65</v>
      </c>
      <c r="H78" s="6">
        <f t="shared" si="84"/>
        <v>159.65</v>
      </c>
      <c r="I78" s="6">
        <f t="shared" si="84"/>
        <v>159.65</v>
      </c>
      <c r="J78" s="6">
        <f t="shared" si="84"/>
        <v>159.65</v>
      </c>
      <c r="K78" s="6">
        <f t="shared" si="84"/>
        <v>159.65</v>
      </c>
      <c r="L78" s="6">
        <f t="shared" si="84"/>
        <v>159.65</v>
      </c>
      <c r="M78" s="6">
        <f t="shared" si="84"/>
        <v>159.65</v>
      </c>
      <c r="N78" s="6">
        <f t="shared" si="84"/>
        <v>159.65</v>
      </c>
      <c r="O78" s="6">
        <f t="shared" si="84"/>
        <v>159.65</v>
      </c>
      <c r="P78" s="6">
        <f t="shared" si="84"/>
        <v>159.65</v>
      </c>
      <c r="Q78" s="229">
        <f t="shared" si="85"/>
        <v>1915.8000000000004</v>
      </c>
      <c r="R78" s="72"/>
      <c r="S78" s="23"/>
    </row>
    <row r="79" spans="1:19" x14ac:dyDescent="0.35">
      <c r="B79" s="216">
        <f>'4500'!$B$1</f>
        <v>4500</v>
      </c>
      <c r="C79" s="6">
        <f>'4500'!$B$4</f>
        <v>82809</v>
      </c>
      <c r="D79" s="382">
        <v>0</v>
      </c>
      <c r="E79" s="6">
        <f t="shared" si="84"/>
        <v>0</v>
      </c>
      <c r="F79" s="6">
        <f t="shared" si="84"/>
        <v>0</v>
      </c>
      <c r="G79" s="6">
        <f t="shared" si="84"/>
        <v>0</v>
      </c>
      <c r="H79" s="6">
        <f t="shared" si="84"/>
        <v>0</v>
      </c>
      <c r="I79" s="6">
        <f t="shared" si="84"/>
        <v>0</v>
      </c>
      <c r="J79" s="6">
        <f t="shared" si="84"/>
        <v>0</v>
      </c>
      <c r="K79" s="6">
        <f t="shared" si="84"/>
        <v>0</v>
      </c>
      <c r="L79" s="6">
        <f t="shared" si="84"/>
        <v>0</v>
      </c>
      <c r="M79" s="6">
        <f t="shared" si="84"/>
        <v>0</v>
      </c>
      <c r="N79" s="6">
        <f t="shared" si="84"/>
        <v>0</v>
      </c>
      <c r="O79" s="6">
        <f t="shared" si="84"/>
        <v>0</v>
      </c>
      <c r="P79" s="6">
        <f t="shared" si="84"/>
        <v>0</v>
      </c>
      <c r="Q79" s="229">
        <f t="shared" si="85"/>
        <v>0</v>
      </c>
      <c r="R79" s="72"/>
      <c r="S79" s="23"/>
    </row>
    <row r="80" spans="1:19" x14ac:dyDescent="0.35">
      <c r="B80" s="216">
        <f>'5600'!$B$1</f>
        <v>5600</v>
      </c>
      <c r="C80" s="6">
        <f>'5600'!$B$4</f>
        <v>1326</v>
      </c>
      <c r="D80" s="382">
        <v>0</v>
      </c>
      <c r="E80" s="6">
        <f t="shared" si="84"/>
        <v>0</v>
      </c>
      <c r="F80" s="6">
        <f t="shared" si="84"/>
        <v>0</v>
      </c>
      <c r="G80" s="6">
        <f t="shared" si="84"/>
        <v>0</v>
      </c>
      <c r="H80" s="6">
        <f t="shared" si="84"/>
        <v>0</v>
      </c>
      <c r="I80" s="6">
        <f t="shared" si="84"/>
        <v>0</v>
      </c>
      <c r="J80" s="6">
        <f t="shared" si="84"/>
        <v>0</v>
      </c>
      <c r="K80" s="6">
        <f t="shared" si="84"/>
        <v>0</v>
      </c>
      <c r="L80" s="6">
        <f t="shared" si="84"/>
        <v>0</v>
      </c>
      <c r="M80" s="6">
        <f t="shared" si="84"/>
        <v>0</v>
      </c>
      <c r="N80" s="6">
        <f t="shared" si="84"/>
        <v>0</v>
      </c>
      <c r="O80" s="6">
        <f t="shared" si="84"/>
        <v>0</v>
      </c>
      <c r="P80" s="6">
        <f t="shared" si="84"/>
        <v>0</v>
      </c>
      <c r="Q80" s="229">
        <f t="shared" si="85"/>
        <v>0</v>
      </c>
      <c r="R80" s="72"/>
      <c r="S80" s="23"/>
    </row>
    <row r="81" spans="1:19" x14ac:dyDescent="0.35">
      <c r="B81" s="216">
        <f>'7010'!$B$1</f>
        <v>7010</v>
      </c>
      <c r="C81" s="6">
        <f>'7010'!$B$4</f>
        <v>73209</v>
      </c>
      <c r="D81" s="382">
        <f>1.03*1860</f>
        <v>1915.8</v>
      </c>
      <c r="E81" s="6">
        <f t="shared" si="84"/>
        <v>159.65</v>
      </c>
      <c r="F81" s="6">
        <f t="shared" si="84"/>
        <v>159.65</v>
      </c>
      <c r="G81" s="6">
        <f t="shared" si="84"/>
        <v>159.65</v>
      </c>
      <c r="H81" s="6">
        <f t="shared" si="84"/>
        <v>159.65</v>
      </c>
      <c r="I81" s="6">
        <f t="shared" si="84"/>
        <v>159.65</v>
      </c>
      <c r="J81" s="6">
        <f t="shared" si="84"/>
        <v>159.65</v>
      </c>
      <c r="K81" s="6">
        <f t="shared" si="84"/>
        <v>159.65</v>
      </c>
      <c r="L81" s="6">
        <f t="shared" si="84"/>
        <v>159.65</v>
      </c>
      <c r="M81" s="6">
        <f t="shared" si="84"/>
        <v>159.65</v>
      </c>
      <c r="N81" s="6">
        <f t="shared" si="84"/>
        <v>159.65</v>
      </c>
      <c r="O81" s="6">
        <f t="shared" si="84"/>
        <v>159.65</v>
      </c>
      <c r="P81" s="6">
        <f t="shared" si="84"/>
        <v>159.65</v>
      </c>
      <c r="Q81" s="229">
        <f t="shared" si="85"/>
        <v>1915.8000000000004</v>
      </c>
      <c r="R81" s="72"/>
      <c r="S81" s="23"/>
    </row>
    <row r="82" spans="1:19" x14ac:dyDescent="0.35">
      <c r="B82" s="216">
        <f>'7200'!$B$1</f>
        <v>7200</v>
      </c>
      <c r="C82" s="6">
        <f>'7200'!$B$4</f>
        <v>14821</v>
      </c>
      <c r="D82" s="382">
        <v>0</v>
      </c>
      <c r="E82" s="6">
        <f t="shared" si="84"/>
        <v>0</v>
      </c>
      <c r="F82" s="6">
        <f t="shared" si="84"/>
        <v>0</v>
      </c>
      <c r="G82" s="6">
        <f t="shared" si="84"/>
        <v>0</v>
      </c>
      <c r="H82" s="6">
        <f t="shared" si="84"/>
        <v>0</v>
      </c>
      <c r="I82" s="6">
        <f t="shared" si="84"/>
        <v>0</v>
      </c>
      <c r="J82" s="6">
        <f t="shared" si="84"/>
        <v>0</v>
      </c>
      <c r="K82" s="6">
        <f t="shared" si="84"/>
        <v>0</v>
      </c>
      <c r="L82" s="6">
        <f t="shared" si="84"/>
        <v>0</v>
      </c>
      <c r="M82" s="6">
        <f t="shared" si="84"/>
        <v>0</v>
      </c>
      <c r="N82" s="6">
        <f t="shared" si="84"/>
        <v>0</v>
      </c>
      <c r="O82" s="6">
        <f t="shared" si="84"/>
        <v>0</v>
      </c>
      <c r="P82" s="6">
        <f t="shared" si="84"/>
        <v>0</v>
      </c>
      <c r="Q82" s="229">
        <f t="shared" si="85"/>
        <v>0</v>
      </c>
      <c r="R82" s="72"/>
      <c r="S82" s="23"/>
    </row>
    <row r="83" spans="1:19" x14ac:dyDescent="0.35">
      <c r="B83" s="216">
        <f>'7300'!$B$1</f>
        <v>7300</v>
      </c>
      <c r="C83" s="6">
        <f>'7300'!$B$4</f>
        <v>22500</v>
      </c>
      <c r="D83" s="382">
        <f>1.03*600</f>
        <v>618</v>
      </c>
      <c r="E83" s="6">
        <f t="shared" si="84"/>
        <v>51.5</v>
      </c>
      <c r="F83" s="6">
        <f t="shared" si="84"/>
        <v>51.5</v>
      </c>
      <c r="G83" s="6">
        <f t="shared" si="84"/>
        <v>51.5</v>
      </c>
      <c r="H83" s="6">
        <f t="shared" si="84"/>
        <v>51.5</v>
      </c>
      <c r="I83" s="6">
        <f t="shared" si="84"/>
        <v>51.5</v>
      </c>
      <c r="J83" s="6">
        <f t="shared" si="84"/>
        <v>51.5</v>
      </c>
      <c r="K83" s="6">
        <f t="shared" si="84"/>
        <v>51.5</v>
      </c>
      <c r="L83" s="6">
        <f t="shared" si="84"/>
        <v>51.5</v>
      </c>
      <c r="M83" s="6">
        <f t="shared" si="84"/>
        <v>51.5</v>
      </c>
      <c r="N83" s="6">
        <f t="shared" si="84"/>
        <v>51.5</v>
      </c>
      <c r="O83" s="6">
        <f t="shared" si="84"/>
        <v>51.5</v>
      </c>
      <c r="P83" s="6">
        <f t="shared" si="84"/>
        <v>51.5</v>
      </c>
      <c r="Q83" s="229">
        <f t="shared" si="85"/>
        <v>618</v>
      </c>
      <c r="R83" s="72"/>
      <c r="S83" s="23"/>
    </row>
    <row r="84" spans="1:19" x14ac:dyDescent="0.35">
      <c r="B84" s="216">
        <f>'8200'!$B$1</f>
        <v>8200</v>
      </c>
      <c r="C84" s="6">
        <f>'8200'!$B$4</f>
        <v>10000</v>
      </c>
      <c r="D84" s="382">
        <v>0</v>
      </c>
      <c r="E84" s="6">
        <f t="shared" si="84"/>
        <v>0</v>
      </c>
      <c r="F84" s="6">
        <f t="shared" si="84"/>
        <v>0</v>
      </c>
      <c r="G84" s="6">
        <f t="shared" si="84"/>
        <v>0</v>
      </c>
      <c r="H84" s="6">
        <f t="shared" si="84"/>
        <v>0</v>
      </c>
      <c r="I84" s="6">
        <f t="shared" si="84"/>
        <v>0</v>
      </c>
      <c r="J84" s="6">
        <f t="shared" si="84"/>
        <v>0</v>
      </c>
      <c r="K84" s="6">
        <f t="shared" si="84"/>
        <v>0</v>
      </c>
      <c r="L84" s="6">
        <f t="shared" si="84"/>
        <v>0</v>
      </c>
      <c r="M84" s="6">
        <f t="shared" si="84"/>
        <v>0</v>
      </c>
      <c r="N84" s="6">
        <f t="shared" si="84"/>
        <v>0</v>
      </c>
      <c r="O84" s="6">
        <f t="shared" si="84"/>
        <v>0</v>
      </c>
      <c r="P84" s="6">
        <f t="shared" si="84"/>
        <v>0</v>
      </c>
      <c r="Q84" s="229">
        <f t="shared" si="85"/>
        <v>0</v>
      </c>
      <c r="R84" s="72"/>
      <c r="S84" s="23"/>
    </row>
    <row r="85" spans="1:19" x14ac:dyDescent="0.35">
      <c r="B85" s="254">
        <f>'9510'!$B$1</f>
        <v>9510</v>
      </c>
      <c r="C85" s="15">
        <f>'9510'!$B$4</f>
        <v>19983</v>
      </c>
      <c r="D85" s="383">
        <v>0</v>
      </c>
      <c r="E85" s="15">
        <f t="shared" si="84"/>
        <v>0</v>
      </c>
      <c r="F85" s="6">
        <f t="shared" si="84"/>
        <v>0</v>
      </c>
      <c r="G85" s="6">
        <f t="shared" si="84"/>
        <v>0</v>
      </c>
      <c r="H85" s="6">
        <f t="shared" si="84"/>
        <v>0</v>
      </c>
      <c r="I85" s="6">
        <f t="shared" si="84"/>
        <v>0</v>
      </c>
      <c r="J85" s="6">
        <f t="shared" si="84"/>
        <v>0</v>
      </c>
      <c r="K85" s="6">
        <f t="shared" si="84"/>
        <v>0</v>
      </c>
      <c r="L85" s="6">
        <f t="shared" si="84"/>
        <v>0</v>
      </c>
      <c r="M85" s="6">
        <f t="shared" si="84"/>
        <v>0</v>
      </c>
      <c r="N85" s="6">
        <f t="shared" si="84"/>
        <v>0</v>
      </c>
      <c r="O85" s="6">
        <f t="shared" si="84"/>
        <v>0</v>
      </c>
      <c r="P85" s="6">
        <f t="shared" si="84"/>
        <v>0</v>
      </c>
      <c r="Q85" s="76">
        <f t="shared" si="85"/>
        <v>0</v>
      </c>
      <c r="R85" s="76"/>
      <c r="S85" s="23"/>
    </row>
    <row r="86" spans="1:19" x14ac:dyDescent="0.35">
      <c r="B86" s="85" t="s">
        <v>264</v>
      </c>
      <c r="C86" s="6">
        <f>SUM(C76:C85)</f>
        <v>296787</v>
      </c>
      <c r="D86" s="258">
        <f>SUM(D76:D85)</f>
        <v>4449.6000000000004</v>
      </c>
      <c r="E86" s="8">
        <f>SUM(E76:E85)</f>
        <v>370.8</v>
      </c>
      <c r="F86" s="87">
        <f t="shared" ref="F86:Q86" si="86">SUM(F76:F85)</f>
        <v>370.8</v>
      </c>
      <c r="G86" s="87">
        <f t="shared" si="86"/>
        <v>370.8</v>
      </c>
      <c r="H86" s="87">
        <f t="shared" si="86"/>
        <v>370.8</v>
      </c>
      <c r="I86" s="87">
        <f t="shared" si="86"/>
        <v>370.8</v>
      </c>
      <c r="J86" s="87">
        <f t="shared" si="86"/>
        <v>370.8</v>
      </c>
      <c r="K86" s="87">
        <f t="shared" si="86"/>
        <v>370.8</v>
      </c>
      <c r="L86" s="87">
        <f t="shared" si="86"/>
        <v>370.8</v>
      </c>
      <c r="M86" s="87">
        <f t="shared" si="86"/>
        <v>370.8</v>
      </c>
      <c r="N86" s="87">
        <f t="shared" si="86"/>
        <v>370.8</v>
      </c>
      <c r="O86" s="87">
        <f t="shared" si="86"/>
        <v>370.8</v>
      </c>
      <c r="P86" s="87">
        <f t="shared" si="86"/>
        <v>370.8</v>
      </c>
      <c r="Q86" s="87">
        <f t="shared" si="86"/>
        <v>4449.6000000000004</v>
      </c>
      <c r="R86" s="77"/>
      <c r="S86" s="23"/>
    </row>
    <row r="87" spans="1:19" ht="16.5" thickBot="1" x14ac:dyDescent="0.4"/>
    <row r="88" spans="1:19" ht="18" thickBot="1" x14ac:dyDescent="0.4">
      <c r="A88" s="6" t="s">
        <v>143</v>
      </c>
      <c r="B88" s="9" t="s">
        <v>279</v>
      </c>
      <c r="C88" s="79"/>
      <c r="D88" s="13"/>
      <c r="O88" s="78"/>
      <c r="P88" s="78"/>
      <c r="Q88" s="203"/>
      <c r="S88" s="6" t="s">
        <v>258</v>
      </c>
    </row>
    <row r="89" spans="1:19" x14ac:dyDescent="0.35">
      <c r="C89" s="75" t="s">
        <v>271</v>
      </c>
      <c r="D89" s="95" t="s">
        <v>261</v>
      </c>
      <c r="E89" s="75" t="s">
        <v>0</v>
      </c>
      <c r="F89" s="75" t="s">
        <v>1</v>
      </c>
      <c r="G89" s="75" t="s">
        <v>2</v>
      </c>
      <c r="H89" s="75" t="s">
        <v>3</v>
      </c>
      <c r="I89" s="75" t="s">
        <v>4</v>
      </c>
      <c r="J89" s="75" t="s">
        <v>5</v>
      </c>
      <c r="K89" s="75" t="s">
        <v>6</v>
      </c>
      <c r="L89" s="75" t="s">
        <v>7</v>
      </c>
      <c r="M89" s="75" t="s">
        <v>8</v>
      </c>
      <c r="N89" s="75" t="s">
        <v>9</v>
      </c>
      <c r="O89" s="75" t="s">
        <v>10</v>
      </c>
      <c r="P89" s="75" t="s">
        <v>11</v>
      </c>
      <c r="Q89" s="75" t="s">
        <v>12</v>
      </c>
      <c r="R89" s="13"/>
      <c r="S89" s="23"/>
    </row>
    <row r="90" spans="1:19" x14ac:dyDescent="0.35">
      <c r="B90" s="216">
        <f>'1100'!$B$1</f>
        <v>1100</v>
      </c>
      <c r="C90" s="6">
        <f>'1100'!$B$4</f>
        <v>8287</v>
      </c>
      <c r="D90" s="96">
        <f>C90/($C$100-$C$99)</f>
        <v>2.9938151182786376E-2</v>
      </c>
      <c r="E90" s="6">
        <f>$Q88*$D90/12</f>
        <v>0</v>
      </c>
      <c r="F90" s="6">
        <f t="shared" ref="F90:P90" si="87">$Q88*$D90/12</f>
        <v>0</v>
      </c>
      <c r="G90" s="6">
        <f t="shared" si="87"/>
        <v>0</v>
      </c>
      <c r="H90" s="6">
        <f t="shared" si="87"/>
        <v>0</v>
      </c>
      <c r="I90" s="6">
        <f t="shared" si="87"/>
        <v>0</v>
      </c>
      <c r="J90" s="6">
        <f t="shared" si="87"/>
        <v>0</v>
      </c>
      <c r="K90" s="6">
        <f t="shared" si="87"/>
        <v>0</v>
      </c>
      <c r="L90" s="6">
        <f t="shared" si="87"/>
        <v>0</v>
      </c>
      <c r="M90" s="6">
        <f t="shared" si="87"/>
        <v>0</v>
      </c>
      <c r="N90" s="6">
        <f t="shared" si="87"/>
        <v>0</v>
      </c>
      <c r="O90" s="6">
        <f t="shared" si="87"/>
        <v>0</v>
      </c>
      <c r="P90" s="6">
        <f t="shared" si="87"/>
        <v>0</v>
      </c>
      <c r="Q90" s="72">
        <f>SUM(E90:P90)</f>
        <v>0</v>
      </c>
      <c r="R90" s="72"/>
      <c r="S90" s="23"/>
    </row>
    <row r="91" spans="1:19" x14ac:dyDescent="0.35">
      <c r="B91" s="216">
        <f>'1500'!$B$1</f>
        <v>1500</v>
      </c>
      <c r="C91" s="6">
        <f>'1500'!$B$4</f>
        <v>2280</v>
      </c>
      <c r="D91" s="96">
        <f t="shared" ref="D91:D98" si="88">C91/($C$100-$C$99)</f>
        <v>8.2368751896648891E-3</v>
      </c>
      <c r="E91" s="6">
        <f>$Q88*$D91/12</f>
        <v>0</v>
      </c>
      <c r="F91" s="6">
        <f t="shared" ref="F91:P91" si="89">$Q88*$D91/12</f>
        <v>0</v>
      </c>
      <c r="G91" s="6">
        <f t="shared" si="89"/>
        <v>0</v>
      </c>
      <c r="H91" s="6">
        <f t="shared" si="89"/>
        <v>0</v>
      </c>
      <c r="I91" s="6">
        <f t="shared" si="89"/>
        <v>0</v>
      </c>
      <c r="J91" s="6">
        <f t="shared" si="89"/>
        <v>0</v>
      </c>
      <c r="K91" s="6">
        <f t="shared" si="89"/>
        <v>0</v>
      </c>
      <c r="L91" s="6">
        <f t="shared" si="89"/>
        <v>0</v>
      </c>
      <c r="M91" s="6">
        <f t="shared" si="89"/>
        <v>0</v>
      </c>
      <c r="N91" s="6">
        <f t="shared" si="89"/>
        <v>0</v>
      </c>
      <c r="O91" s="6">
        <f t="shared" si="89"/>
        <v>0</v>
      </c>
      <c r="P91" s="6">
        <f t="shared" si="89"/>
        <v>0</v>
      </c>
      <c r="Q91" s="72">
        <f t="shared" ref="Q91:Q95" si="90">SUM(E91:P91)</f>
        <v>0</v>
      </c>
      <c r="R91" s="72"/>
      <c r="S91" s="23"/>
    </row>
    <row r="92" spans="1:19" x14ac:dyDescent="0.35">
      <c r="B92" s="216">
        <f>'2300'!$B$1</f>
        <v>2300</v>
      </c>
      <c r="C92" s="6">
        <f>'2300'!$B$4</f>
        <v>61572</v>
      </c>
      <c r="D92" s="96">
        <f t="shared" si="88"/>
        <v>0.22243898209563445</v>
      </c>
      <c r="E92" s="6">
        <f>$Q88*$D92/12</f>
        <v>0</v>
      </c>
      <c r="F92" s="6">
        <f t="shared" ref="F92:P92" si="91">$Q88*$D92/12</f>
        <v>0</v>
      </c>
      <c r="G92" s="6">
        <f t="shared" si="91"/>
        <v>0</v>
      </c>
      <c r="H92" s="6">
        <f t="shared" si="91"/>
        <v>0</v>
      </c>
      <c r="I92" s="6">
        <f t="shared" si="91"/>
        <v>0</v>
      </c>
      <c r="J92" s="6">
        <f t="shared" si="91"/>
        <v>0</v>
      </c>
      <c r="K92" s="6">
        <f t="shared" si="91"/>
        <v>0</v>
      </c>
      <c r="L92" s="6">
        <f t="shared" si="91"/>
        <v>0</v>
      </c>
      <c r="M92" s="6">
        <f t="shared" si="91"/>
        <v>0</v>
      </c>
      <c r="N92" s="6">
        <f t="shared" si="91"/>
        <v>0</v>
      </c>
      <c r="O92" s="6">
        <f t="shared" si="91"/>
        <v>0</v>
      </c>
      <c r="P92" s="6">
        <f t="shared" si="91"/>
        <v>0</v>
      </c>
      <c r="Q92" s="72">
        <f t="shared" si="90"/>
        <v>0</v>
      </c>
      <c r="R92" s="72"/>
      <c r="S92" s="23"/>
    </row>
    <row r="93" spans="1:19" x14ac:dyDescent="0.35">
      <c r="B93" s="216">
        <f>'4500'!$B$1</f>
        <v>4500</v>
      </c>
      <c r="C93" s="6">
        <f>'4500'!$B$4</f>
        <v>82809</v>
      </c>
      <c r="D93" s="96">
        <f t="shared" si="88"/>
        <v>0.29916113928989463</v>
      </c>
      <c r="E93" s="6">
        <f>$Q88*$D93/12</f>
        <v>0</v>
      </c>
      <c r="F93" s="6">
        <f t="shared" ref="F93:P93" si="92">$Q88*$D93/12</f>
        <v>0</v>
      </c>
      <c r="G93" s="6">
        <f t="shared" si="92"/>
        <v>0</v>
      </c>
      <c r="H93" s="6">
        <f t="shared" si="92"/>
        <v>0</v>
      </c>
      <c r="I93" s="6">
        <f t="shared" si="92"/>
        <v>0</v>
      </c>
      <c r="J93" s="6">
        <f t="shared" si="92"/>
        <v>0</v>
      </c>
      <c r="K93" s="6">
        <f t="shared" si="92"/>
        <v>0</v>
      </c>
      <c r="L93" s="6">
        <f t="shared" si="92"/>
        <v>0</v>
      </c>
      <c r="M93" s="6">
        <f t="shared" si="92"/>
        <v>0</v>
      </c>
      <c r="N93" s="6">
        <f t="shared" si="92"/>
        <v>0</v>
      </c>
      <c r="O93" s="6">
        <f t="shared" si="92"/>
        <v>0</v>
      </c>
      <c r="P93" s="6">
        <f t="shared" si="92"/>
        <v>0</v>
      </c>
      <c r="Q93" s="72">
        <f t="shared" si="90"/>
        <v>0</v>
      </c>
      <c r="R93" s="72"/>
      <c r="S93" s="23"/>
    </row>
    <row r="94" spans="1:19" x14ac:dyDescent="0.35">
      <c r="B94" s="216">
        <f>'5600'!$B$1</f>
        <v>5600</v>
      </c>
      <c r="C94" s="6">
        <f>'5600'!$B$4</f>
        <v>1326</v>
      </c>
      <c r="D94" s="96">
        <f t="shared" si="88"/>
        <v>4.7903932024103701E-3</v>
      </c>
      <c r="E94" s="6">
        <f>$Q88*$D94/12</f>
        <v>0</v>
      </c>
      <c r="F94" s="6">
        <f t="shared" ref="F94:P94" si="93">$Q88*$D94/12</f>
        <v>0</v>
      </c>
      <c r="G94" s="6">
        <f t="shared" si="93"/>
        <v>0</v>
      </c>
      <c r="H94" s="6">
        <f t="shared" si="93"/>
        <v>0</v>
      </c>
      <c r="I94" s="6">
        <f t="shared" si="93"/>
        <v>0</v>
      </c>
      <c r="J94" s="6">
        <f t="shared" si="93"/>
        <v>0</v>
      </c>
      <c r="K94" s="6">
        <f t="shared" si="93"/>
        <v>0</v>
      </c>
      <c r="L94" s="6">
        <f t="shared" si="93"/>
        <v>0</v>
      </c>
      <c r="M94" s="6">
        <f t="shared" si="93"/>
        <v>0</v>
      </c>
      <c r="N94" s="6">
        <f t="shared" si="93"/>
        <v>0</v>
      </c>
      <c r="O94" s="6">
        <f t="shared" si="93"/>
        <v>0</v>
      </c>
      <c r="P94" s="6">
        <f t="shared" si="93"/>
        <v>0</v>
      </c>
      <c r="Q94" s="72">
        <f t="shared" si="90"/>
        <v>0</v>
      </c>
      <c r="R94" s="72"/>
      <c r="S94" s="23"/>
    </row>
    <row r="95" spans="1:19" x14ac:dyDescent="0.35">
      <c r="B95" s="216">
        <f>'7010'!$B$1</f>
        <v>7010</v>
      </c>
      <c r="C95" s="6">
        <f>'7010'!$B$4</f>
        <v>73209</v>
      </c>
      <c r="D95" s="96">
        <f t="shared" si="88"/>
        <v>0.2644795595439372</v>
      </c>
      <c r="E95" s="6">
        <f>$Q88*$D95/12</f>
        <v>0</v>
      </c>
      <c r="F95" s="6">
        <f t="shared" ref="F95:P95" si="94">$Q88*$D95/12</f>
        <v>0</v>
      </c>
      <c r="G95" s="6">
        <f t="shared" si="94"/>
        <v>0</v>
      </c>
      <c r="H95" s="6">
        <f t="shared" si="94"/>
        <v>0</v>
      </c>
      <c r="I95" s="6">
        <f t="shared" si="94"/>
        <v>0</v>
      </c>
      <c r="J95" s="6">
        <f t="shared" si="94"/>
        <v>0</v>
      </c>
      <c r="K95" s="6">
        <f t="shared" si="94"/>
        <v>0</v>
      </c>
      <c r="L95" s="6">
        <f t="shared" si="94"/>
        <v>0</v>
      </c>
      <c r="M95" s="6">
        <f t="shared" si="94"/>
        <v>0</v>
      </c>
      <c r="N95" s="6">
        <f t="shared" si="94"/>
        <v>0</v>
      </c>
      <c r="O95" s="6">
        <f t="shared" si="94"/>
        <v>0</v>
      </c>
      <c r="P95" s="6">
        <f t="shared" si="94"/>
        <v>0</v>
      </c>
      <c r="Q95" s="72">
        <f t="shared" si="90"/>
        <v>0</v>
      </c>
      <c r="R95" s="72"/>
      <c r="S95" s="23"/>
    </row>
    <row r="96" spans="1:19" x14ac:dyDescent="0.35">
      <c r="B96" s="216">
        <f>'7200'!$B$1</f>
        <v>7200</v>
      </c>
      <c r="C96" s="6">
        <f>'7200'!$B$4</f>
        <v>14821</v>
      </c>
      <c r="D96" s="96">
        <f t="shared" si="88"/>
        <v>5.3543301397378652E-2</v>
      </c>
      <c r="E96" s="6">
        <f>$Q88*$D96/12</f>
        <v>0</v>
      </c>
      <c r="F96" s="6">
        <f t="shared" ref="F96:Q96" si="95">$Q88*$D96/12</f>
        <v>0</v>
      </c>
      <c r="G96" s="6">
        <f t="shared" si="95"/>
        <v>0</v>
      </c>
      <c r="H96" s="6">
        <f t="shared" si="95"/>
        <v>0</v>
      </c>
      <c r="I96" s="6">
        <f t="shared" si="95"/>
        <v>0</v>
      </c>
      <c r="J96" s="6">
        <f t="shared" si="95"/>
        <v>0</v>
      </c>
      <c r="K96" s="6">
        <f t="shared" si="95"/>
        <v>0</v>
      </c>
      <c r="L96" s="6">
        <f t="shared" si="95"/>
        <v>0</v>
      </c>
      <c r="M96" s="6">
        <f t="shared" si="95"/>
        <v>0</v>
      </c>
      <c r="N96" s="6">
        <f t="shared" si="95"/>
        <v>0</v>
      </c>
      <c r="O96" s="6">
        <f t="shared" si="95"/>
        <v>0</v>
      </c>
      <c r="P96" s="6">
        <f t="shared" si="95"/>
        <v>0</v>
      </c>
      <c r="Q96" s="72">
        <f t="shared" si="95"/>
        <v>0</v>
      </c>
      <c r="R96" s="72"/>
      <c r="S96" s="23"/>
    </row>
    <row r="97" spans="1:19" x14ac:dyDescent="0.35">
      <c r="B97" s="216">
        <f>'7300'!$B$1</f>
        <v>7300</v>
      </c>
      <c r="C97" s="6">
        <f>'7300'!$B$4</f>
        <v>22500</v>
      </c>
      <c r="D97" s="96">
        <f t="shared" si="88"/>
        <v>8.1284952529587728E-2</v>
      </c>
      <c r="E97" s="6">
        <f>$Q88*$D97/12</f>
        <v>0</v>
      </c>
      <c r="F97" s="6">
        <f t="shared" ref="F97" si="96">$Q88*$D97/12</f>
        <v>0</v>
      </c>
      <c r="G97" s="6">
        <f>$Q88*$D97/12</f>
        <v>0</v>
      </c>
      <c r="H97" s="6">
        <f t="shared" ref="H97:Q97" si="97">$Q88*$D97/12</f>
        <v>0</v>
      </c>
      <c r="I97" s="6">
        <f t="shared" si="97"/>
        <v>0</v>
      </c>
      <c r="J97" s="6">
        <f t="shared" si="97"/>
        <v>0</v>
      </c>
      <c r="K97" s="6">
        <f t="shared" si="97"/>
        <v>0</v>
      </c>
      <c r="L97" s="6">
        <f t="shared" si="97"/>
        <v>0</v>
      </c>
      <c r="M97" s="6">
        <f t="shared" si="97"/>
        <v>0</v>
      </c>
      <c r="N97" s="6">
        <f t="shared" si="97"/>
        <v>0</v>
      </c>
      <c r="O97" s="6">
        <f t="shared" si="97"/>
        <v>0</v>
      </c>
      <c r="P97" s="6">
        <f t="shared" si="97"/>
        <v>0</v>
      </c>
      <c r="Q97" s="72">
        <f t="shared" si="97"/>
        <v>0</v>
      </c>
      <c r="R97" s="72"/>
      <c r="S97" s="23"/>
    </row>
    <row r="98" spans="1:19" x14ac:dyDescent="0.35">
      <c r="B98" s="216">
        <f>'8200'!$B$1</f>
        <v>8200</v>
      </c>
      <c r="C98" s="6">
        <f>'8200'!$B$4</f>
        <v>10000</v>
      </c>
      <c r="D98" s="96">
        <f t="shared" si="88"/>
        <v>3.6126645568705658E-2</v>
      </c>
      <c r="E98" s="6">
        <f>$Q88*$D98/12</f>
        <v>0</v>
      </c>
      <c r="F98" s="6">
        <f t="shared" ref="F98:Q98" si="98">$Q88*$D98/12</f>
        <v>0</v>
      </c>
      <c r="G98" s="6">
        <f t="shared" si="98"/>
        <v>0</v>
      </c>
      <c r="H98" s="6">
        <f t="shared" si="98"/>
        <v>0</v>
      </c>
      <c r="I98" s="6">
        <f t="shared" si="98"/>
        <v>0</v>
      </c>
      <c r="J98" s="6">
        <f t="shared" si="98"/>
        <v>0</v>
      </c>
      <c r="K98" s="6">
        <f t="shared" si="98"/>
        <v>0</v>
      </c>
      <c r="L98" s="6">
        <f t="shared" si="98"/>
        <v>0</v>
      </c>
      <c r="M98" s="6">
        <f t="shared" si="98"/>
        <v>0</v>
      </c>
      <c r="N98" s="6">
        <f t="shared" si="98"/>
        <v>0</v>
      </c>
      <c r="O98" s="6">
        <f t="shared" si="98"/>
        <v>0</v>
      </c>
      <c r="P98" s="6">
        <f t="shared" si="98"/>
        <v>0</v>
      </c>
      <c r="Q98" s="72">
        <f t="shared" si="98"/>
        <v>0</v>
      </c>
      <c r="R98" s="72"/>
      <c r="S98" s="23"/>
    </row>
    <row r="99" spans="1:19" x14ac:dyDescent="0.35">
      <c r="B99" s="254">
        <f>'9510'!$B$1</f>
        <v>9510</v>
      </c>
      <c r="C99" s="15">
        <f>'9510'!$B$4</f>
        <v>19983</v>
      </c>
      <c r="D99" s="376">
        <v>0</v>
      </c>
      <c r="E99" s="377">
        <f>IFERROR($Q88*$D99/12,0)</f>
        <v>0</v>
      </c>
      <c r="F99" s="378">
        <f t="shared" ref="F99:P99" si="99">IFERROR($Q88*$D99/12,0)</f>
        <v>0</v>
      </c>
      <c r="G99" s="378">
        <f t="shared" si="99"/>
        <v>0</v>
      </c>
      <c r="H99" s="378">
        <f t="shared" si="99"/>
        <v>0</v>
      </c>
      <c r="I99" s="378">
        <f t="shared" si="99"/>
        <v>0</v>
      </c>
      <c r="J99" s="378">
        <f t="shared" si="99"/>
        <v>0</v>
      </c>
      <c r="K99" s="378">
        <f t="shared" si="99"/>
        <v>0</v>
      </c>
      <c r="L99" s="378">
        <f t="shared" si="99"/>
        <v>0</v>
      </c>
      <c r="M99" s="378">
        <f t="shared" si="99"/>
        <v>0</v>
      </c>
      <c r="N99" s="378">
        <f t="shared" si="99"/>
        <v>0</v>
      </c>
      <c r="O99" s="378">
        <f t="shared" si="99"/>
        <v>0</v>
      </c>
      <c r="P99" s="378">
        <f t="shared" si="99"/>
        <v>0</v>
      </c>
      <c r="Q99" s="379">
        <f t="shared" ref="Q99" si="100">SUM(E99:P99)</f>
        <v>0</v>
      </c>
      <c r="R99" s="76"/>
      <c r="S99" s="23"/>
    </row>
    <row r="100" spans="1:19" x14ac:dyDescent="0.35">
      <c r="B100" s="85" t="s">
        <v>264</v>
      </c>
      <c r="C100" s="6">
        <f>SUM(C90:C99)</f>
        <v>296787</v>
      </c>
      <c r="D100" s="217">
        <f>SUM(D90:D99)</f>
        <v>1</v>
      </c>
      <c r="E100" s="8">
        <f>SUM(E90:E99)</f>
        <v>0</v>
      </c>
      <c r="F100" s="87">
        <f t="shared" ref="F100" si="101">SUM(F90:F99)</f>
        <v>0</v>
      </c>
      <c r="G100" s="87">
        <f t="shared" ref="G100" si="102">SUM(G90:G99)</f>
        <v>0</v>
      </c>
      <c r="H100" s="87">
        <f t="shared" ref="H100" si="103">SUM(H90:H99)</f>
        <v>0</v>
      </c>
      <c r="I100" s="87">
        <f t="shared" ref="I100" si="104">SUM(I90:I99)</f>
        <v>0</v>
      </c>
      <c r="J100" s="87">
        <f t="shared" ref="J100" si="105">SUM(J90:J99)</f>
        <v>0</v>
      </c>
      <c r="K100" s="87">
        <f t="shared" ref="K100" si="106">SUM(K90:K99)</f>
        <v>0</v>
      </c>
      <c r="L100" s="87">
        <f t="shared" ref="L100" si="107">SUM(L90:L99)</f>
        <v>0</v>
      </c>
      <c r="M100" s="87">
        <f t="shared" ref="M100" si="108">SUM(M90:M99)</f>
        <v>0</v>
      </c>
      <c r="N100" s="87">
        <f t="shared" ref="N100" si="109">SUM(N90:N99)</f>
        <v>0</v>
      </c>
      <c r="O100" s="87">
        <f t="shared" ref="O100" si="110">SUM(O90:O99)</f>
        <v>0</v>
      </c>
      <c r="P100" s="87">
        <f t="shared" ref="P100" si="111">SUM(P90:P99)</f>
        <v>0</v>
      </c>
      <c r="Q100" s="87">
        <f t="shared" ref="Q100" si="112">SUM(Q90:Q99)</f>
        <v>0</v>
      </c>
      <c r="R100" s="77"/>
      <c r="S100" s="23"/>
    </row>
    <row r="101" spans="1:19" ht="16.5" thickBot="1" x14ac:dyDescent="0.4"/>
    <row r="102" spans="1:19" ht="18" thickBot="1" x14ac:dyDescent="0.4">
      <c r="A102" s="6" t="s">
        <v>142</v>
      </c>
      <c r="B102" s="9" t="s">
        <v>280</v>
      </c>
      <c r="C102" s="79"/>
      <c r="D102" s="13"/>
      <c r="O102" s="78"/>
      <c r="P102" s="78"/>
      <c r="Q102" s="203"/>
      <c r="S102" s="6" t="s">
        <v>258</v>
      </c>
    </row>
    <row r="103" spans="1:19" x14ac:dyDescent="0.35">
      <c r="C103" s="75" t="s">
        <v>271</v>
      </c>
      <c r="D103" s="95" t="s">
        <v>261</v>
      </c>
      <c r="E103" s="75" t="s">
        <v>0</v>
      </c>
      <c r="F103" s="75" t="s">
        <v>1</v>
      </c>
      <c r="G103" s="75" t="s">
        <v>2</v>
      </c>
      <c r="H103" s="75" t="s">
        <v>3</v>
      </c>
      <c r="I103" s="75" t="s">
        <v>4</v>
      </c>
      <c r="J103" s="75" t="s">
        <v>5</v>
      </c>
      <c r="K103" s="75" t="s">
        <v>6</v>
      </c>
      <c r="L103" s="75" t="s">
        <v>7</v>
      </c>
      <c r="M103" s="75" t="s">
        <v>8</v>
      </c>
      <c r="N103" s="75" t="s">
        <v>9</v>
      </c>
      <c r="O103" s="75" t="s">
        <v>10</v>
      </c>
      <c r="P103" s="75" t="s">
        <v>11</v>
      </c>
      <c r="Q103" s="75" t="s">
        <v>12</v>
      </c>
      <c r="R103" s="13"/>
      <c r="S103" s="23"/>
    </row>
    <row r="104" spans="1:19" x14ac:dyDescent="0.35">
      <c r="B104" s="216">
        <f>'1100'!$B$1</f>
        <v>1100</v>
      </c>
      <c r="C104" s="6">
        <f>'1100'!$B$4</f>
        <v>8287</v>
      </c>
      <c r="D104" s="96">
        <f>C104/($C$114-$C$113)</f>
        <v>2.9938151182786376E-2</v>
      </c>
      <c r="E104" s="6">
        <f>$Q102*$D104/12</f>
        <v>0</v>
      </c>
      <c r="F104" s="6">
        <f t="shared" ref="F104:P104" si="113">$Q102*$D104/12</f>
        <v>0</v>
      </c>
      <c r="G104" s="6">
        <f t="shared" si="113"/>
        <v>0</v>
      </c>
      <c r="H104" s="6">
        <f t="shared" si="113"/>
        <v>0</v>
      </c>
      <c r="I104" s="6">
        <f t="shared" si="113"/>
        <v>0</v>
      </c>
      <c r="J104" s="6">
        <f t="shared" si="113"/>
        <v>0</v>
      </c>
      <c r="K104" s="6">
        <f t="shared" si="113"/>
        <v>0</v>
      </c>
      <c r="L104" s="6">
        <f t="shared" si="113"/>
        <v>0</v>
      </c>
      <c r="M104" s="6">
        <f t="shared" si="113"/>
        <v>0</v>
      </c>
      <c r="N104" s="6">
        <f t="shared" si="113"/>
        <v>0</v>
      </c>
      <c r="O104" s="6">
        <f t="shared" si="113"/>
        <v>0</v>
      </c>
      <c r="P104" s="6">
        <f t="shared" si="113"/>
        <v>0</v>
      </c>
      <c r="Q104" s="72">
        <f>SUM(E104:P104)</f>
        <v>0</v>
      </c>
      <c r="R104" s="72"/>
      <c r="S104" s="23"/>
    </row>
    <row r="105" spans="1:19" x14ac:dyDescent="0.35">
      <c r="B105" s="216">
        <f>'1500'!$B$1</f>
        <v>1500</v>
      </c>
      <c r="C105" s="6">
        <f>'1500'!$B$4</f>
        <v>2280</v>
      </c>
      <c r="D105" s="96">
        <f t="shared" ref="D105:D112" si="114">C105/($C$114-$C$113)</f>
        <v>8.2368751896648891E-3</v>
      </c>
      <c r="E105" s="6">
        <f>$Q102*$D105/12</f>
        <v>0</v>
      </c>
      <c r="F105" s="6">
        <f t="shared" ref="F105:P105" si="115">$Q102*$D105/12</f>
        <v>0</v>
      </c>
      <c r="G105" s="6">
        <f t="shared" si="115"/>
        <v>0</v>
      </c>
      <c r="H105" s="6">
        <f t="shared" si="115"/>
        <v>0</v>
      </c>
      <c r="I105" s="6">
        <f t="shared" si="115"/>
        <v>0</v>
      </c>
      <c r="J105" s="6">
        <f t="shared" si="115"/>
        <v>0</v>
      </c>
      <c r="K105" s="6">
        <f t="shared" si="115"/>
        <v>0</v>
      </c>
      <c r="L105" s="6">
        <f t="shared" si="115"/>
        <v>0</v>
      </c>
      <c r="M105" s="6">
        <f t="shared" si="115"/>
        <v>0</v>
      </c>
      <c r="N105" s="6">
        <f t="shared" si="115"/>
        <v>0</v>
      </c>
      <c r="O105" s="6">
        <f t="shared" si="115"/>
        <v>0</v>
      </c>
      <c r="P105" s="6">
        <f t="shared" si="115"/>
        <v>0</v>
      </c>
      <c r="Q105" s="72">
        <f t="shared" ref="Q105:Q109" si="116">SUM(E105:P105)</f>
        <v>0</v>
      </c>
      <c r="R105" s="72"/>
      <c r="S105" s="23"/>
    </row>
    <row r="106" spans="1:19" x14ac:dyDescent="0.35">
      <c r="B106" s="216">
        <f>'2300'!$B$1</f>
        <v>2300</v>
      </c>
      <c r="C106" s="6">
        <f>'2300'!$B$4</f>
        <v>61572</v>
      </c>
      <c r="D106" s="96">
        <f t="shared" si="114"/>
        <v>0.22243898209563445</v>
      </c>
      <c r="E106" s="6">
        <f>$Q102*$D106/12</f>
        <v>0</v>
      </c>
      <c r="F106" s="6">
        <f t="shared" ref="F106:P106" si="117">$Q102*$D106/12</f>
        <v>0</v>
      </c>
      <c r="G106" s="6">
        <f t="shared" si="117"/>
        <v>0</v>
      </c>
      <c r="H106" s="6">
        <f t="shared" si="117"/>
        <v>0</v>
      </c>
      <c r="I106" s="6">
        <f t="shared" si="117"/>
        <v>0</v>
      </c>
      <c r="J106" s="6">
        <f t="shared" si="117"/>
        <v>0</v>
      </c>
      <c r="K106" s="6">
        <f t="shared" si="117"/>
        <v>0</v>
      </c>
      <c r="L106" s="6">
        <f t="shared" si="117"/>
        <v>0</v>
      </c>
      <c r="M106" s="6">
        <f t="shared" si="117"/>
        <v>0</v>
      </c>
      <c r="N106" s="6">
        <f t="shared" si="117"/>
        <v>0</v>
      </c>
      <c r="O106" s="6">
        <f t="shared" si="117"/>
        <v>0</v>
      </c>
      <c r="P106" s="6">
        <f t="shared" si="117"/>
        <v>0</v>
      </c>
      <c r="Q106" s="72">
        <f t="shared" si="116"/>
        <v>0</v>
      </c>
      <c r="R106" s="72"/>
      <c r="S106" s="23"/>
    </row>
    <row r="107" spans="1:19" x14ac:dyDescent="0.35">
      <c r="B107" s="216">
        <f>'4500'!$B$1</f>
        <v>4500</v>
      </c>
      <c r="C107" s="6">
        <f>'4500'!$B$4</f>
        <v>82809</v>
      </c>
      <c r="D107" s="96">
        <f t="shared" si="114"/>
        <v>0.29916113928989463</v>
      </c>
      <c r="E107" s="6">
        <f>$Q102*$D107/12</f>
        <v>0</v>
      </c>
      <c r="F107" s="6">
        <f t="shared" ref="F107:P107" si="118">$Q102*$D107/12</f>
        <v>0</v>
      </c>
      <c r="G107" s="6">
        <f t="shared" si="118"/>
        <v>0</v>
      </c>
      <c r="H107" s="6">
        <f t="shared" si="118"/>
        <v>0</v>
      </c>
      <c r="I107" s="6">
        <f t="shared" si="118"/>
        <v>0</v>
      </c>
      <c r="J107" s="6">
        <f t="shared" si="118"/>
        <v>0</v>
      </c>
      <c r="K107" s="6">
        <f t="shared" si="118"/>
        <v>0</v>
      </c>
      <c r="L107" s="6">
        <f t="shared" si="118"/>
        <v>0</v>
      </c>
      <c r="M107" s="6">
        <f t="shared" si="118"/>
        <v>0</v>
      </c>
      <c r="N107" s="6">
        <f t="shared" si="118"/>
        <v>0</v>
      </c>
      <c r="O107" s="6">
        <f t="shared" si="118"/>
        <v>0</v>
      </c>
      <c r="P107" s="6">
        <f t="shared" si="118"/>
        <v>0</v>
      </c>
      <c r="Q107" s="72">
        <f t="shared" si="116"/>
        <v>0</v>
      </c>
      <c r="R107" s="72"/>
      <c r="S107" s="23"/>
    </row>
    <row r="108" spans="1:19" x14ac:dyDescent="0.35">
      <c r="B108" s="216">
        <f>'5600'!$B$1</f>
        <v>5600</v>
      </c>
      <c r="C108" s="6">
        <f>'5600'!$B$4</f>
        <v>1326</v>
      </c>
      <c r="D108" s="96">
        <f t="shared" si="114"/>
        <v>4.7903932024103701E-3</v>
      </c>
      <c r="E108" s="6">
        <f>$Q102*$D108/12</f>
        <v>0</v>
      </c>
      <c r="F108" s="6">
        <f t="shared" ref="F108:P108" si="119">$Q102*$D108/12</f>
        <v>0</v>
      </c>
      <c r="G108" s="6">
        <f t="shared" si="119"/>
        <v>0</v>
      </c>
      <c r="H108" s="6">
        <f t="shared" si="119"/>
        <v>0</v>
      </c>
      <c r="I108" s="6">
        <f t="shared" si="119"/>
        <v>0</v>
      </c>
      <c r="J108" s="6">
        <f t="shared" si="119"/>
        <v>0</v>
      </c>
      <c r="K108" s="6">
        <f t="shared" si="119"/>
        <v>0</v>
      </c>
      <c r="L108" s="6">
        <f t="shared" si="119"/>
        <v>0</v>
      </c>
      <c r="M108" s="6">
        <f t="shared" si="119"/>
        <v>0</v>
      </c>
      <c r="N108" s="6">
        <f t="shared" si="119"/>
        <v>0</v>
      </c>
      <c r="O108" s="6">
        <f t="shared" si="119"/>
        <v>0</v>
      </c>
      <c r="P108" s="6">
        <f t="shared" si="119"/>
        <v>0</v>
      </c>
      <c r="Q108" s="72">
        <f t="shared" si="116"/>
        <v>0</v>
      </c>
      <c r="R108" s="72"/>
      <c r="S108" s="23"/>
    </row>
    <row r="109" spans="1:19" x14ac:dyDescent="0.35">
      <c r="B109" s="216">
        <f>'7010'!$B$1</f>
        <v>7010</v>
      </c>
      <c r="C109" s="6">
        <f>'7010'!$B$4</f>
        <v>73209</v>
      </c>
      <c r="D109" s="96">
        <f t="shared" si="114"/>
        <v>0.2644795595439372</v>
      </c>
      <c r="E109" s="6">
        <f>$Q102*$D109/12</f>
        <v>0</v>
      </c>
      <c r="F109" s="6">
        <f t="shared" ref="F109:P109" si="120">$Q102*$D109/12</f>
        <v>0</v>
      </c>
      <c r="G109" s="6">
        <f t="shared" si="120"/>
        <v>0</v>
      </c>
      <c r="H109" s="6">
        <f t="shared" si="120"/>
        <v>0</v>
      </c>
      <c r="I109" s="6">
        <f t="shared" si="120"/>
        <v>0</v>
      </c>
      <c r="J109" s="6">
        <f t="shared" si="120"/>
        <v>0</v>
      </c>
      <c r="K109" s="6">
        <f t="shared" si="120"/>
        <v>0</v>
      </c>
      <c r="L109" s="6">
        <f t="shared" si="120"/>
        <v>0</v>
      </c>
      <c r="M109" s="6">
        <f t="shared" si="120"/>
        <v>0</v>
      </c>
      <c r="N109" s="6">
        <f t="shared" si="120"/>
        <v>0</v>
      </c>
      <c r="O109" s="6">
        <f t="shared" si="120"/>
        <v>0</v>
      </c>
      <c r="P109" s="6">
        <f t="shared" si="120"/>
        <v>0</v>
      </c>
      <c r="Q109" s="72">
        <f t="shared" si="116"/>
        <v>0</v>
      </c>
      <c r="R109" s="72"/>
      <c r="S109" s="23"/>
    </row>
    <row r="110" spans="1:19" x14ac:dyDescent="0.35">
      <c r="B110" s="216">
        <f>'7200'!$B$1</f>
        <v>7200</v>
      </c>
      <c r="C110" s="6">
        <f>'7200'!$B$4</f>
        <v>14821</v>
      </c>
      <c r="D110" s="96">
        <f t="shared" si="114"/>
        <v>5.3543301397378652E-2</v>
      </c>
      <c r="E110" s="6">
        <f>$Q102*$D110/12</f>
        <v>0</v>
      </c>
      <c r="F110" s="6">
        <f t="shared" ref="F110:Q110" si="121">$Q102*$D110/12</f>
        <v>0</v>
      </c>
      <c r="G110" s="6">
        <f t="shared" si="121"/>
        <v>0</v>
      </c>
      <c r="H110" s="6">
        <f t="shared" si="121"/>
        <v>0</v>
      </c>
      <c r="I110" s="6">
        <f t="shared" si="121"/>
        <v>0</v>
      </c>
      <c r="J110" s="6">
        <f t="shared" si="121"/>
        <v>0</v>
      </c>
      <c r="K110" s="6">
        <f t="shared" si="121"/>
        <v>0</v>
      </c>
      <c r="L110" s="6">
        <f t="shared" si="121"/>
        <v>0</v>
      </c>
      <c r="M110" s="6">
        <f t="shared" si="121"/>
        <v>0</v>
      </c>
      <c r="N110" s="6">
        <f t="shared" si="121"/>
        <v>0</v>
      </c>
      <c r="O110" s="6">
        <f t="shared" si="121"/>
        <v>0</v>
      </c>
      <c r="P110" s="6">
        <f t="shared" si="121"/>
        <v>0</v>
      </c>
      <c r="Q110" s="72">
        <f t="shared" si="121"/>
        <v>0</v>
      </c>
      <c r="R110" s="72"/>
      <c r="S110" s="23"/>
    </row>
    <row r="111" spans="1:19" x14ac:dyDescent="0.35">
      <c r="B111" s="216">
        <f>'7300'!$B$1</f>
        <v>7300</v>
      </c>
      <c r="C111" s="6">
        <f>'7300'!$B$4</f>
        <v>22500</v>
      </c>
      <c r="D111" s="96">
        <f t="shared" si="114"/>
        <v>8.1284952529587728E-2</v>
      </c>
      <c r="E111" s="6">
        <f>$Q102*$D111/12</f>
        <v>0</v>
      </c>
      <c r="F111" s="6">
        <f t="shared" ref="F111" si="122">$Q102*$D111/12</f>
        <v>0</v>
      </c>
      <c r="G111" s="6">
        <f>$Q102*$D111/12</f>
        <v>0</v>
      </c>
      <c r="H111" s="6">
        <f t="shared" ref="H111:Q111" si="123">$Q102*$D111/12</f>
        <v>0</v>
      </c>
      <c r="I111" s="6">
        <f t="shared" si="123"/>
        <v>0</v>
      </c>
      <c r="J111" s="6">
        <f t="shared" si="123"/>
        <v>0</v>
      </c>
      <c r="K111" s="6">
        <f t="shared" si="123"/>
        <v>0</v>
      </c>
      <c r="L111" s="6">
        <f t="shared" si="123"/>
        <v>0</v>
      </c>
      <c r="M111" s="6">
        <f t="shared" si="123"/>
        <v>0</v>
      </c>
      <c r="N111" s="6">
        <f t="shared" si="123"/>
        <v>0</v>
      </c>
      <c r="O111" s="6">
        <f t="shared" si="123"/>
        <v>0</v>
      </c>
      <c r="P111" s="6">
        <f t="shared" si="123"/>
        <v>0</v>
      </c>
      <c r="Q111" s="72">
        <f t="shared" si="123"/>
        <v>0</v>
      </c>
      <c r="R111" s="72"/>
      <c r="S111" s="23"/>
    </row>
    <row r="112" spans="1:19" x14ac:dyDescent="0.35">
      <c r="B112" s="216">
        <f>'8200'!$B$1</f>
        <v>8200</v>
      </c>
      <c r="C112" s="6">
        <f>'8200'!$B$4</f>
        <v>10000</v>
      </c>
      <c r="D112" s="96">
        <f t="shared" si="114"/>
        <v>3.6126645568705658E-2</v>
      </c>
      <c r="E112" s="6">
        <f>$Q102*$D112/12</f>
        <v>0</v>
      </c>
      <c r="F112" s="6">
        <f t="shared" ref="F112:Q112" si="124">$Q102*$D112/12</f>
        <v>0</v>
      </c>
      <c r="G112" s="6">
        <f t="shared" si="124"/>
        <v>0</v>
      </c>
      <c r="H112" s="6">
        <f t="shared" si="124"/>
        <v>0</v>
      </c>
      <c r="I112" s="6">
        <f t="shared" si="124"/>
        <v>0</v>
      </c>
      <c r="J112" s="6">
        <f t="shared" si="124"/>
        <v>0</v>
      </c>
      <c r="K112" s="6">
        <f t="shared" si="124"/>
        <v>0</v>
      </c>
      <c r="L112" s="6">
        <f t="shared" si="124"/>
        <v>0</v>
      </c>
      <c r="M112" s="6">
        <f t="shared" si="124"/>
        <v>0</v>
      </c>
      <c r="N112" s="6">
        <f t="shared" si="124"/>
        <v>0</v>
      </c>
      <c r="O112" s="6">
        <f t="shared" si="124"/>
        <v>0</v>
      </c>
      <c r="P112" s="6">
        <f t="shared" si="124"/>
        <v>0</v>
      </c>
      <c r="Q112" s="72">
        <f t="shared" si="124"/>
        <v>0</v>
      </c>
      <c r="R112" s="72"/>
      <c r="S112" s="23"/>
    </row>
    <row r="113" spans="1:25" x14ac:dyDescent="0.35">
      <c r="B113" s="254">
        <f>'9510'!$B$1</f>
        <v>9510</v>
      </c>
      <c r="C113" s="15">
        <f>'9510'!$B$4</f>
        <v>19983</v>
      </c>
      <c r="D113" s="376">
        <v>0</v>
      </c>
      <c r="E113" s="377">
        <f>IFERROR($Q102*$D113/12,0)</f>
        <v>0</v>
      </c>
      <c r="F113" s="378">
        <f t="shared" ref="F113:P113" si="125">IFERROR($Q102*$D113/12,0)</f>
        <v>0</v>
      </c>
      <c r="G113" s="378">
        <f t="shared" si="125"/>
        <v>0</v>
      </c>
      <c r="H113" s="378">
        <f t="shared" si="125"/>
        <v>0</v>
      </c>
      <c r="I113" s="378">
        <f t="shared" si="125"/>
        <v>0</v>
      </c>
      <c r="J113" s="378">
        <f t="shared" si="125"/>
        <v>0</v>
      </c>
      <c r="K113" s="378">
        <f t="shared" si="125"/>
        <v>0</v>
      </c>
      <c r="L113" s="378">
        <f t="shared" si="125"/>
        <v>0</v>
      </c>
      <c r="M113" s="378">
        <f t="shared" si="125"/>
        <v>0</v>
      </c>
      <c r="N113" s="378">
        <f t="shared" si="125"/>
        <v>0</v>
      </c>
      <c r="O113" s="378">
        <f t="shared" si="125"/>
        <v>0</v>
      </c>
      <c r="P113" s="378">
        <f t="shared" si="125"/>
        <v>0</v>
      </c>
      <c r="Q113" s="379">
        <f t="shared" ref="Q113" si="126">SUM(E113:P113)</f>
        <v>0</v>
      </c>
      <c r="R113" s="76"/>
      <c r="S113" s="23"/>
    </row>
    <row r="114" spans="1:25" x14ac:dyDescent="0.35">
      <c r="B114" s="85" t="s">
        <v>264</v>
      </c>
      <c r="C114" s="6">
        <f>SUM(C104:C113)</f>
        <v>296787</v>
      </c>
      <c r="D114" s="217">
        <f>SUM(D104:D113)</f>
        <v>1</v>
      </c>
      <c r="E114" s="8">
        <f>SUM(E104:E113)</f>
        <v>0</v>
      </c>
      <c r="F114" s="87">
        <f t="shared" ref="F114" si="127">SUM(F104:F113)</f>
        <v>0</v>
      </c>
      <c r="G114" s="87">
        <f t="shared" ref="G114" si="128">SUM(G104:G113)</f>
        <v>0</v>
      </c>
      <c r="H114" s="87">
        <f t="shared" ref="H114" si="129">SUM(H104:H113)</f>
        <v>0</v>
      </c>
      <c r="I114" s="87">
        <f t="shared" ref="I114" si="130">SUM(I104:I113)</f>
        <v>0</v>
      </c>
      <c r="J114" s="87">
        <f t="shared" ref="J114" si="131">SUM(J104:J113)</f>
        <v>0</v>
      </c>
      <c r="K114" s="87">
        <f t="shared" ref="K114" si="132">SUM(K104:K113)</f>
        <v>0</v>
      </c>
      <c r="L114" s="87">
        <f t="shared" ref="L114" si="133">SUM(L104:L113)</f>
        <v>0</v>
      </c>
      <c r="M114" s="87">
        <f t="shared" ref="M114" si="134">SUM(M104:M113)</f>
        <v>0</v>
      </c>
      <c r="N114" s="87">
        <f t="shared" ref="N114" si="135">SUM(N104:N113)</f>
        <v>0</v>
      </c>
      <c r="O114" s="87">
        <f t="shared" ref="O114" si="136">SUM(O104:O113)</f>
        <v>0</v>
      </c>
      <c r="P114" s="87">
        <f t="shared" ref="P114" si="137">SUM(P104:P113)</f>
        <v>0</v>
      </c>
      <c r="Q114" s="87">
        <f t="shared" ref="Q114" si="138">SUM(Q104:Q113)</f>
        <v>0</v>
      </c>
      <c r="R114" s="77"/>
      <c r="S114" s="23"/>
    </row>
    <row r="116" spans="1:25" ht="17.5" x14ac:dyDescent="0.35">
      <c r="A116" s="6" t="s">
        <v>120</v>
      </c>
      <c r="B116" s="9" t="s">
        <v>278</v>
      </c>
      <c r="C116" s="79"/>
      <c r="D116" s="13"/>
      <c r="O116" s="78"/>
      <c r="P116" s="78"/>
      <c r="Q116" s="23"/>
    </row>
    <row r="117" spans="1:25" x14ac:dyDescent="0.35">
      <c r="C117" s="75"/>
      <c r="D117" s="95" t="s">
        <v>464</v>
      </c>
      <c r="E117" s="75" t="s">
        <v>0</v>
      </c>
      <c r="F117" s="75" t="s">
        <v>1</v>
      </c>
      <c r="G117" s="75" t="s">
        <v>2</v>
      </c>
      <c r="H117" s="75" t="s">
        <v>3</v>
      </c>
      <c r="I117" s="75" t="s">
        <v>4</v>
      </c>
      <c r="J117" s="75" t="s">
        <v>5</v>
      </c>
      <c r="K117" s="75" t="s">
        <v>6</v>
      </c>
      <c r="L117" s="75" t="s">
        <v>7</v>
      </c>
      <c r="M117" s="75" t="s">
        <v>8</v>
      </c>
      <c r="N117" s="75" t="s">
        <v>9</v>
      </c>
      <c r="O117" s="75" t="s">
        <v>10</v>
      </c>
      <c r="P117" s="75" t="s">
        <v>11</v>
      </c>
      <c r="Q117" s="75" t="s">
        <v>12</v>
      </c>
      <c r="R117" s="13"/>
      <c r="S117" s="23"/>
    </row>
    <row r="118" spans="1:25" x14ac:dyDescent="0.35">
      <c r="B118" s="216">
        <f>'1100'!$B$1</f>
        <v>1100</v>
      </c>
      <c r="C118" s="6">
        <f>'1100'!$B$4</f>
        <v>8287</v>
      </c>
      <c r="D118" s="381">
        <f>1.03*280</f>
        <v>288.40000000000003</v>
      </c>
      <c r="E118" s="6">
        <f>$D118/12</f>
        <v>24.033333333333335</v>
      </c>
      <c r="F118" s="6">
        <f t="shared" ref="F118:P118" si="139">$D118/12</f>
        <v>24.033333333333335</v>
      </c>
      <c r="G118" s="6">
        <f t="shared" si="139"/>
        <v>24.033333333333335</v>
      </c>
      <c r="H118" s="6">
        <f t="shared" si="139"/>
        <v>24.033333333333335</v>
      </c>
      <c r="I118" s="6">
        <f t="shared" si="139"/>
        <v>24.033333333333335</v>
      </c>
      <c r="J118" s="6">
        <f t="shared" si="139"/>
        <v>24.033333333333335</v>
      </c>
      <c r="K118" s="6">
        <f t="shared" si="139"/>
        <v>24.033333333333335</v>
      </c>
      <c r="L118" s="6">
        <f t="shared" si="139"/>
        <v>24.033333333333335</v>
      </c>
      <c r="M118" s="6">
        <f t="shared" si="139"/>
        <v>24.033333333333335</v>
      </c>
      <c r="N118" s="6">
        <f t="shared" si="139"/>
        <v>24.033333333333335</v>
      </c>
      <c r="O118" s="6">
        <f t="shared" si="139"/>
        <v>24.033333333333335</v>
      </c>
      <c r="P118" s="6">
        <f t="shared" si="139"/>
        <v>24.033333333333335</v>
      </c>
      <c r="Q118" s="259">
        <f>SUM(E118:P118)</f>
        <v>288.40000000000003</v>
      </c>
      <c r="R118" s="72"/>
      <c r="S118" s="255"/>
      <c r="T118" s="3"/>
      <c r="U118" s="256"/>
      <c r="V118" s="257"/>
      <c r="W118" s="3"/>
      <c r="X118" s="3"/>
      <c r="Y118" s="3"/>
    </row>
    <row r="119" spans="1:25" x14ac:dyDescent="0.35">
      <c r="B119" s="216">
        <f>'1500'!$B$1</f>
        <v>1500</v>
      </c>
      <c r="C119" s="6">
        <f>'1500'!$B$4</f>
        <v>2280</v>
      </c>
      <c r="D119" s="382">
        <f>1.03*80</f>
        <v>82.4</v>
      </c>
      <c r="E119" s="6">
        <f t="shared" ref="E119:P127" si="140">$D119/12</f>
        <v>6.8666666666666671</v>
      </c>
      <c r="F119" s="6">
        <f t="shared" si="140"/>
        <v>6.8666666666666671</v>
      </c>
      <c r="G119" s="6">
        <f t="shared" si="140"/>
        <v>6.8666666666666671</v>
      </c>
      <c r="H119" s="6">
        <f t="shared" si="140"/>
        <v>6.8666666666666671</v>
      </c>
      <c r="I119" s="6">
        <f t="shared" si="140"/>
        <v>6.8666666666666671</v>
      </c>
      <c r="J119" s="6">
        <f t="shared" si="140"/>
        <v>6.8666666666666671</v>
      </c>
      <c r="K119" s="6">
        <f t="shared" si="140"/>
        <v>6.8666666666666671</v>
      </c>
      <c r="L119" s="6">
        <f t="shared" si="140"/>
        <v>6.8666666666666671</v>
      </c>
      <c r="M119" s="6">
        <f t="shared" si="140"/>
        <v>6.8666666666666671</v>
      </c>
      <c r="N119" s="6">
        <f t="shared" si="140"/>
        <v>6.8666666666666671</v>
      </c>
      <c r="O119" s="6">
        <f t="shared" si="140"/>
        <v>6.8666666666666671</v>
      </c>
      <c r="P119" s="6">
        <f t="shared" si="140"/>
        <v>6.8666666666666671</v>
      </c>
      <c r="Q119" s="229">
        <f t="shared" ref="Q119:Q127" si="141">SUM(E119:P119)</f>
        <v>82.4</v>
      </c>
      <c r="R119" s="72"/>
      <c r="S119" s="23"/>
    </row>
    <row r="120" spans="1:25" x14ac:dyDescent="0.35">
      <c r="B120" s="216">
        <f>'2300'!$B$1</f>
        <v>2300</v>
      </c>
      <c r="C120" s="6">
        <f>'2300'!$B$4</f>
        <v>61572</v>
      </c>
      <c r="D120" s="382">
        <f>1.03*2050</f>
        <v>2111.5</v>
      </c>
      <c r="E120" s="6">
        <f t="shared" si="140"/>
        <v>175.95833333333334</v>
      </c>
      <c r="F120" s="6">
        <f t="shared" si="140"/>
        <v>175.95833333333334</v>
      </c>
      <c r="G120" s="6">
        <f t="shared" si="140"/>
        <v>175.95833333333334</v>
      </c>
      <c r="H120" s="6">
        <f t="shared" si="140"/>
        <v>175.95833333333334</v>
      </c>
      <c r="I120" s="6">
        <f t="shared" si="140"/>
        <v>175.95833333333334</v>
      </c>
      <c r="J120" s="6">
        <f t="shared" si="140"/>
        <v>175.95833333333334</v>
      </c>
      <c r="K120" s="6">
        <f t="shared" si="140"/>
        <v>175.95833333333334</v>
      </c>
      <c r="L120" s="6">
        <f t="shared" si="140"/>
        <v>175.95833333333334</v>
      </c>
      <c r="M120" s="6">
        <f t="shared" si="140"/>
        <v>175.95833333333334</v>
      </c>
      <c r="N120" s="6">
        <f t="shared" si="140"/>
        <v>175.95833333333334</v>
      </c>
      <c r="O120" s="6">
        <f t="shared" si="140"/>
        <v>175.95833333333334</v>
      </c>
      <c r="P120" s="6">
        <f t="shared" si="140"/>
        <v>175.95833333333334</v>
      </c>
      <c r="Q120" s="229">
        <f t="shared" si="141"/>
        <v>2111.4999999999995</v>
      </c>
      <c r="R120" s="72"/>
      <c r="S120" s="23"/>
    </row>
    <row r="121" spans="1:25" x14ac:dyDescent="0.35">
      <c r="B121" s="216">
        <f>'4500'!$B$1</f>
        <v>4500</v>
      </c>
      <c r="C121" s="6">
        <f>'4500'!$B$4</f>
        <v>82809</v>
      </c>
      <c r="D121" s="382">
        <f>1.03*2740</f>
        <v>2822.2000000000003</v>
      </c>
      <c r="E121" s="6">
        <f t="shared" si="140"/>
        <v>235.18333333333337</v>
      </c>
      <c r="F121" s="6">
        <f t="shared" si="140"/>
        <v>235.18333333333337</v>
      </c>
      <c r="G121" s="6">
        <f t="shared" si="140"/>
        <v>235.18333333333337</v>
      </c>
      <c r="H121" s="6">
        <f t="shared" si="140"/>
        <v>235.18333333333337</v>
      </c>
      <c r="I121" s="6">
        <f t="shared" si="140"/>
        <v>235.18333333333337</v>
      </c>
      <c r="J121" s="6">
        <f t="shared" si="140"/>
        <v>235.18333333333337</v>
      </c>
      <c r="K121" s="6">
        <f t="shared" si="140"/>
        <v>235.18333333333337</v>
      </c>
      <c r="L121" s="6">
        <f t="shared" si="140"/>
        <v>235.18333333333337</v>
      </c>
      <c r="M121" s="6">
        <f t="shared" si="140"/>
        <v>235.18333333333337</v>
      </c>
      <c r="N121" s="6">
        <f t="shared" si="140"/>
        <v>235.18333333333337</v>
      </c>
      <c r="O121" s="6">
        <f t="shared" si="140"/>
        <v>235.18333333333337</v>
      </c>
      <c r="P121" s="6">
        <f t="shared" si="140"/>
        <v>235.18333333333337</v>
      </c>
      <c r="Q121" s="229">
        <f t="shared" si="141"/>
        <v>2822.2000000000003</v>
      </c>
      <c r="R121" s="72"/>
      <c r="S121" s="23"/>
    </row>
    <row r="122" spans="1:25" x14ac:dyDescent="0.35">
      <c r="B122" s="216">
        <f>'5600'!$B$1</f>
        <v>5600</v>
      </c>
      <c r="C122" s="6">
        <f>'5600'!$B$4</f>
        <v>1326</v>
      </c>
      <c r="D122" s="382">
        <f>1.03*40</f>
        <v>41.2</v>
      </c>
      <c r="E122" s="6">
        <f t="shared" si="140"/>
        <v>3.4333333333333336</v>
      </c>
      <c r="F122" s="6">
        <f t="shared" si="140"/>
        <v>3.4333333333333336</v>
      </c>
      <c r="G122" s="6">
        <f t="shared" si="140"/>
        <v>3.4333333333333336</v>
      </c>
      <c r="H122" s="6">
        <f t="shared" si="140"/>
        <v>3.4333333333333336</v>
      </c>
      <c r="I122" s="6">
        <f t="shared" si="140"/>
        <v>3.4333333333333336</v>
      </c>
      <c r="J122" s="6">
        <f t="shared" si="140"/>
        <v>3.4333333333333336</v>
      </c>
      <c r="K122" s="6">
        <f t="shared" si="140"/>
        <v>3.4333333333333336</v>
      </c>
      <c r="L122" s="6">
        <f t="shared" si="140"/>
        <v>3.4333333333333336</v>
      </c>
      <c r="M122" s="6">
        <f t="shared" si="140"/>
        <v>3.4333333333333336</v>
      </c>
      <c r="N122" s="6">
        <f t="shared" si="140"/>
        <v>3.4333333333333336</v>
      </c>
      <c r="O122" s="6">
        <f t="shared" si="140"/>
        <v>3.4333333333333336</v>
      </c>
      <c r="P122" s="6">
        <f t="shared" si="140"/>
        <v>3.4333333333333336</v>
      </c>
      <c r="Q122" s="229">
        <f t="shared" si="141"/>
        <v>41.2</v>
      </c>
      <c r="R122" s="72"/>
      <c r="S122" s="23"/>
    </row>
    <row r="123" spans="1:25" x14ac:dyDescent="0.35">
      <c r="B123" s="216">
        <f>'7010'!$B$1</f>
        <v>7010</v>
      </c>
      <c r="C123" s="6">
        <f>'7010'!$B$4</f>
        <v>73209</v>
      </c>
      <c r="D123" s="382">
        <f>1.03*2440</f>
        <v>2513.2000000000003</v>
      </c>
      <c r="E123" s="6">
        <f t="shared" si="140"/>
        <v>209.43333333333337</v>
      </c>
      <c r="F123" s="6">
        <f t="shared" si="140"/>
        <v>209.43333333333337</v>
      </c>
      <c r="G123" s="6">
        <f t="shared" si="140"/>
        <v>209.43333333333337</v>
      </c>
      <c r="H123" s="6">
        <f t="shared" si="140"/>
        <v>209.43333333333337</v>
      </c>
      <c r="I123" s="6">
        <f t="shared" si="140"/>
        <v>209.43333333333337</v>
      </c>
      <c r="J123" s="6">
        <f t="shared" si="140"/>
        <v>209.43333333333337</v>
      </c>
      <c r="K123" s="6">
        <f t="shared" si="140"/>
        <v>209.43333333333337</v>
      </c>
      <c r="L123" s="6">
        <f t="shared" si="140"/>
        <v>209.43333333333337</v>
      </c>
      <c r="M123" s="6">
        <f t="shared" si="140"/>
        <v>209.43333333333337</v>
      </c>
      <c r="N123" s="6">
        <f t="shared" si="140"/>
        <v>209.43333333333337</v>
      </c>
      <c r="O123" s="6">
        <f t="shared" si="140"/>
        <v>209.43333333333337</v>
      </c>
      <c r="P123" s="6">
        <f t="shared" si="140"/>
        <v>209.43333333333337</v>
      </c>
      <c r="Q123" s="229">
        <f t="shared" si="141"/>
        <v>2513.2000000000003</v>
      </c>
      <c r="R123" s="72"/>
      <c r="S123" s="23"/>
    </row>
    <row r="124" spans="1:25" x14ac:dyDescent="0.35">
      <c r="B124" s="216">
        <f>'7200'!$B$1</f>
        <v>7200</v>
      </c>
      <c r="C124" s="6">
        <f>'7200'!$B$4</f>
        <v>14821</v>
      </c>
      <c r="D124" s="382">
        <f>1.03*500</f>
        <v>515</v>
      </c>
      <c r="E124" s="6">
        <f t="shared" si="140"/>
        <v>42.916666666666664</v>
      </c>
      <c r="F124" s="6">
        <f t="shared" si="140"/>
        <v>42.916666666666664</v>
      </c>
      <c r="G124" s="6">
        <f t="shared" si="140"/>
        <v>42.916666666666664</v>
      </c>
      <c r="H124" s="6">
        <f t="shared" si="140"/>
        <v>42.916666666666664</v>
      </c>
      <c r="I124" s="6">
        <f t="shared" si="140"/>
        <v>42.916666666666664</v>
      </c>
      <c r="J124" s="6">
        <f t="shared" si="140"/>
        <v>42.916666666666664</v>
      </c>
      <c r="K124" s="6">
        <f t="shared" si="140"/>
        <v>42.916666666666664</v>
      </c>
      <c r="L124" s="6">
        <f t="shared" si="140"/>
        <v>42.916666666666664</v>
      </c>
      <c r="M124" s="6">
        <f t="shared" si="140"/>
        <v>42.916666666666664</v>
      </c>
      <c r="N124" s="6">
        <f t="shared" si="140"/>
        <v>42.916666666666664</v>
      </c>
      <c r="O124" s="6">
        <f t="shared" si="140"/>
        <v>42.916666666666664</v>
      </c>
      <c r="P124" s="6">
        <f t="shared" si="140"/>
        <v>42.916666666666664</v>
      </c>
      <c r="Q124" s="229">
        <f t="shared" si="141"/>
        <v>515.00000000000011</v>
      </c>
      <c r="R124" s="72"/>
      <c r="S124" s="23"/>
    </row>
    <row r="125" spans="1:25" x14ac:dyDescent="0.35">
      <c r="B125" s="216">
        <f>'7300'!$B$1</f>
        <v>7300</v>
      </c>
      <c r="C125" s="6">
        <f>'7300'!$B$4</f>
        <v>22500</v>
      </c>
      <c r="D125" s="382">
        <f>1.03*750</f>
        <v>772.5</v>
      </c>
      <c r="E125" s="6">
        <f t="shared" si="140"/>
        <v>64.375</v>
      </c>
      <c r="F125" s="6">
        <f t="shared" si="140"/>
        <v>64.375</v>
      </c>
      <c r="G125" s="6">
        <f t="shared" si="140"/>
        <v>64.375</v>
      </c>
      <c r="H125" s="6">
        <f t="shared" si="140"/>
        <v>64.375</v>
      </c>
      <c r="I125" s="6">
        <f t="shared" si="140"/>
        <v>64.375</v>
      </c>
      <c r="J125" s="6">
        <f t="shared" si="140"/>
        <v>64.375</v>
      </c>
      <c r="K125" s="6">
        <f t="shared" si="140"/>
        <v>64.375</v>
      </c>
      <c r="L125" s="6">
        <f t="shared" si="140"/>
        <v>64.375</v>
      </c>
      <c r="M125" s="6">
        <f t="shared" si="140"/>
        <v>64.375</v>
      </c>
      <c r="N125" s="6">
        <f t="shared" si="140"/>
        <v>64.375</v>
      </c>
      <c r="O125" s="6">
        <f t="shared" si="140"/>
        <v>64.375</v>
      </c>
      <c r="P125" s="6">
        <f t="shared" si="140"/>
        <v>64.375</v>
      </c>
      <c r="Q125" s="229">
        <f t="shared" si="141"/>
        <v>772.5</v>
      </c>
      <c r="R125" s="72"/>
      <c r="S125" s="23"/>
    </row>
    <row r="126" spans="1:25" x14ac:dyDescent="0.35">
      <c r="B126" s="216">
        <f>'8200'!$B$1</f>
        <v>8200</v>
      </c>
      <c r="C126" s="6">
        <f>'8200'!$B$4</f>
        <v>10000</v>
      </c>
      <c r="D126" s="382">
        <f>1.03*330</f>
        <v>339.90000000000003</v>
      </c>
      <c r="E126" s="6">
        <f t="shared" si="140"/>
        <v>28.325000000000003</v>
      </c>
      <c r="F126" s="6">
        <f t="shared" si="140"/>
        <v>28.325000000000003</v>
      </c>
      <c r="G126" s="6">
        <f t="shared" si="140"/>
        <v>28.325000000000003</v>
      </c>
      <c r="H126" s="6">
        <f t="shared" si="140"/>
        <v>28.325000000000003</v>
      </c>
      <c r="I126" s="6">
        <f t="shared" si="140"/>
        <v>28.325000000000003</v>
      </c>
      <c r="J126" s="6">
        <f t="shared" si="140"/>
        <v>28.325000000000003</v>
      </c>
      <c r="K126" s="6">
        <f t="shared" si="140"/>
        <v>28.325000000000003</v>
      </c>
      <c r="L126" s="6">
        <f t="shared" si="140"/>
        <v>28.325000000000003</v>
      </c>
      <c r="M126" s="6">
        <f t="shared" si="140"/>
        <v>28.325000000000003</v>
      </c>
      <c r="N126" s="6">
        <f t="shared" si="140"/>
        <v>28.325000000000003</v>
      </c>
      <c r="O126" s="6">
        <f t="shared" si="140"/>
        <v>28.325000000000003</v>
      </c>
      <c r="P126" s="6">
        <f t="shared" si="140"/>
        <v>28.325000000000003</v>
      </c>
      <c r="Q126" s="229">
        <f t="shared" si="141"/>
        <v>339.89999999999992</v>
      </c>
      <c r="R126" s="72"/>
      <c r="S126" s="23"/>
    </row>
    <row r="127" spans="1:25" x14ac:dyDescent="0.35">
      <c r="B127" s="254">
        <f>'9510'!$B$1</f>
        <v>9510</v>
      </c>
      <c r="C127" s="15">
        <f>'9510'!$B$4</f>
        <v>19983</v>
      </c>
      <c r="D127" s="383">
        <v>0</v>
      </c>
      <c r="E127" s="15">
        <f t="shared" si="140"/>
        <v>0</v>
      </c>
      <c r="F127" s="6">
        <f t="shared" si="140"/>
        <v>0</v>
      </c>
      <c r="G127" s="6">
        <f t="shared" si="140"/>
        <v>0</v>
      </c>
      <c r="H127" s="6">
        <f t="shared" si="140"/>
        <v>0</v>
      </c>
      <c r="I127" s="6">
        <f t="shared" si="140"/>
        <v>0</v>
      </c>
      <c r="J127" s="6">
        <f t="shared" si="140"/>
        <v>0</v>
      </c>
      <c r="K127" s="6">
        <f t="shared" si="140"/>
        <v>0</v>
      </c>
      <c r="L127" s="6">
        <f t="shared" si="140"/>
        <v>0</v>
      </c>
      <c r="M127" s="6">
        <f t="shared" si="140"/>
        <v>0</v>
      </c>
      <c r="N127" s="6">
        <f t="shared" si="140"/>
        <v>0</v>
      </c>
      <c r="O127" s="6">
        <f t="shared" si="140"/>
        <v>0</v>
      </c>
      <c r="P127" s="6">
        <f t="shared" si="140"/>
        <v>0</v>
      </c>
      <c r="Q127" s="76">
        <f t="shared" si="141"/>
        <v>0</v>
      </c>
      <c r="R127" s="76"/>
      <c r="S127" s="23"/>
    </row>
    <row r="128" spans="1:25" x14ac:dyDescent="0.35">
      <c r="B128" s="85" t="s">
        <v>264</v>
      </c>
      <c r="C128" s="6">
        <f>SUM(C118:C127)</f>
        <v>296787</v>
      </c>
      <c r="D128" s="258">
        <f>SUM(D118:D127)</f>
        <v>9486.2999999999993</v>
      </c>
      <c r="E128" s="8">
        <f>SUM(E118:E127)</f>
        <v>790.52500000000009</v>
      </c>
      <c r="F128" s="87">
        <f t="shared" ref="F128:Q128" si="142">SUM(F118:F127)</f>
        <v>790.52500000000009</v>
      </c>
      <c r="G128" s="87">
        <f t="shared" si="142"/>
        <v>790.52500000000009</v>
      </c>
      <c r="H128" s="87">
        <f t="shared" si="142"/>
        <v>790.52500000000009</v>
      </c>
      <c r="I128" s="87">
        <f t="shared" si="142"/>
        <v>790.52500000000009</v>
      </c>
      <c r="J128" s="87">
        <f t="shared" si="142"/>
        <v>790.52500000000009</v>
      </c>
      <c r="K128" s="87">
        <f t="shared" si="142"/>
        <v>790.52500000000009</v>
      </c>
      <c r="L128" s="87">
        <f t="shared" si="142"/>
        <v>790.52500000000009</v>
      </c>
      <c r="M128" s="87">
        <f t="shared" si="142"/>
        <v>790.52500000000009</v>
      </c>
      <c r="N128" s="87">
        <f t="shared" si="142"/>
        <v>790.52500000000009</v>
      </c>
      <c r="O128" s="87">
        <f t="shared" si="142"/>
        <v>790.52500000000009</v>
      </c>
      <c r="P128" s="87">
        <f t="shared" si="142"/>
        <v>790.52500000000009</v>
      </c>
      <c r="Q128" s="87">
        <f t="shared" si="142"/>
        <v>9486.2999999999993</v>
      </c>
      <c r="R128" s="77"/>
      <c r="S128" s="23"/>
    </row>
    <row r="129" spans="1:19" ht="16.5" thickBot="1" x14ac:dyDescent="0.4"/>
    <row r="130" spans="1:19" ht="18" thickBot="1" x14ac:dyDescent="0.4">
      <c r="A130" s="6" t="s">
        <v>115</v>
      </c>
      <c r="B130" s="9" t="s">
        <v>324</v>
      </c>
      <c r="C130" s="79"/>
      <c r="D130" s="13"/>
      <c r="O130" s="78"/>
      <c r="P130" s="78"/>
      <c r="Q130" s="203"/>
      <c r="S130" s="6" t="s">
        <v>281</v>
      </c>
    </row>
    <row r="131" spans="1:19" x14ac:dyDescent="0.35">
      <c r="C131" s="75" t="s">
        <v>271</v>
      </c>
      <c r="D131" s="95" t="s">
        <v>261</v>
      </c>
      <c r="E131" s="75" t="s">
        <v>0</v>
      </c>
      <c r="F131" s="75" t="s">
        <v>1</v>
      </c>
      <c r="G131" s="75" t="s">
        <v>2</v>
      </c>
      <c r="H131" s="75" t="s">
        <v>3</v>
      </c>
      <c r="I131" s="75" t="s">
        <v>4</v>
      </c>
      <c r="J131" s="75" t="s">
        <v>5</v>
      </c>
      <c r="K131" s="75" t="s">
        <v>6</v>
      </c>
      <c r="L131" s="75" t="s">
        <v>7</v>
      </c>
      <c r="M131" s="75" t="s">
        <v>8</v>
      </c>
      <c r="N131" s="75" t="s">
        <v>9</v>
      </c>
      <c r="O131" s="75" t="s">
        <v>10</v>
      </c>
      <c r="P131" s="75" t="s">
        <v>11</v>
      </c>
      <c r="Q131" s="75" t="s">
        <v>12</v>
      </c>
      <c r="R131" s="13"/>
      <c r="S131" s="23"/>
    </row>
    <row r="132" spans="1:19" x14ac:dyDescent="0.35">
      <c r="B132" s="216">
        <f>'1100'!$B$1</f>
        <v>1100</v>
      </c>
      <c r="C132" s="6">
        <f>'1100'!$B$4</f>
        <v>8287</v>
      </c>
      <c r="D132" s="96">
        <f>C132/($C$142-$C$141)</f>
        <v>2.9938151182786376E-2</v>
      </c>
      <c r="E132" s="6">
        <f>$Q130*$D132/12</f>
        <v>0</v>
      </c>
      <c r="F132" s="6">
        <f t="shared" ref="F132:P132" si="143">$Q130*$D132/12</f>
        <v>0</v>
      </c>
      <c r="G132" s="6">
        <f t="shared" si="143"/>
        <v>0</v>
      </c>
      <c r="H132" s="6">
        <f t="shared" si="143"/>
        <v>0</v>
      </c>
      <c r="I132" s="6">
        <f t="shared" si="143"/>
        <v>0</v>
      </c>
      <c r="J132" s="6">
        <f t="shared" si="143"/>
        <v>0</v>
      </c>
      <c r="K132" s="6">
        <f t="shared" si="143"/>
        <v>0</v>
      </c>
      <c r="L132" s="6">
        <f t="shared" si="143"/>
        <v>0</v>
      </c>
      <c r="M132" s="6">
        <f t="shared" si="143"/>
        <v>0</v>
      </c>
      <c r="N132" s="6">
        <f t="shared" si="143"/>
        <v>0</v>
      </c>
      <c r="O132" s="6">
        <f t="shared" si="143"/>
        <v>0</v>
      </c>
      <c r="P132" s="6">
        <f t="shared" si="143"/>
        <v>0</v>
      </c>
      <c r="Q132" s="72">
        <f>SUM(E132:P132)</f>
        <v>0</v>
      </c>
      <c r="R132" s="72"/>
      <c r="S132" s="23"/>
    </row>
    <row r="133" spans="1:19" x14ac:dyDescent="0.35">
      <c r="B133" s="216">
        <f>'1500'!$B$1</f>
        <v>1500</v>
      </c>
      <c r="C133" s="6">
        <f>'1500'!$B$4</f>
        <v>2280</v>
      </c>
      <c r="D133" s="96">
        <f t="shared" ref="D133:D139" si="144">C133/($C$142-$C$141)</f>
        <v>8.2368751896648891E-3</v>
      </c>
      <c r="E133" s="6">
        <f>$Q130*$D133/12</f>
        <v>0</v>
      </c>
      <c r="F133" s="6">
        <f t="shared" ref="F133:P133" si="145">$Q130*$D133/12</f>
        <v>0</v>
      </c>
      <c r="G133" s="6">
        <f t="shared" si="145"/>
        <v>0</v>
      </c>
      <c r="H133" s="6">
        <f t="shared" si="145"/>
        <v>0</v>
      </c>
      <c r="I133" s="6">
        <f t="shared" si="145"/>
        <v>0</v>
      </c>
      <c r="J133" s="6">
        <f t="shared" si="145"/>
        <v>0</v>
      </c>
      <c r="K133" s="6">
        <f t="shared" si="145"/>
        <v>0</v>
      </c>
      <c r="L133" s="6">
        <f t="shared" si="145"/>
        <v>0</v>
      </c>
      <c r="M133" s="6">
        <f t="shared" si="145"/>
        <v>0</v>
      </c>
      <c r="N133" s="6">
        <f t="shared" si="145"/>
        <v>0</v>
      </c>
      <c r="O133" s="6">
        <f t="shared" si="145"/>
        <v>0</v>
      </c>
      <c r="P133" s="6">
        <f t="shared" si="145"/>
        <v>0</v>
      </c>
      <c r="Q133" s="72">
        <f t="shared" ref="Q133:Q137" si="146">SUM(E133:P133)</f>
        <v>0</v>
      </c>
      <c r="R133" s="72"/>
      <c r="S133" s="23"/>
    </row>
    <row r="134" spans="1:19" x14ac:dyDescent="0.35">
      <c r="B134" s="216">
        <f>'2300'!$B$1</f>
        <v>2300</v>
      </c>
      <c r="C134" s="6">
        <f>'2300'!$B$4</f>
        <v>61572</v>
      </c>
      <c r="D134" s="96">
        <f t="shared" si="144"/>
        <v>0.22243898209563445</v>
      </c>
      <c r="E134" s="6">
        <f>$Q130*$D134/12</f>
        <v>0</v>
      </c>
      <c r="F134" s="6">
        <f t="shared" ref="F134:P134" si="147">$Q130*$D134/12</f>
        <v>0</v>
      </c>
      <c r="G134" s="6">
        <f t="shared" si="147"/>
        <v>0</v>
      </c>
      <c r="H134" s="6">
        <f t="shared" si="147"/>
        <v>0</v>
      </c>
      <c r="I134" s="6">
        <f t="shared" si="147"/>
        <v>0</v>
      </c>
      <c r="J134" s="6">
        <f t="shared" si="147"/>
        <v>0</v>
      </c>
      <c r="K134" s="6">
        <f t="shared" si="147"/>
        <v>0</v>
      </c>
      <c r="L134" s="6">
        <f t="shared" si="147"/>
        <v>0</v>
      </c>
      <c r="M134" s="6">
        <f t="shared" si="147"/>
        <v>0</v>
      </c>
      <c r="N134" s="6">
        <f t="shared" si="147"/>
        <v>0</v>
      </c>
      <c r="O134" s="6">
        <f t="shared" si="147"/>
        <v>0</v>
      </c>
      <c r="P134" s="6">
        <f t="shared" si="147"/>
        <v>0</v>
      </c>
      <c r="Q134" s="72">
        <f t="shared" si="146"/>
        <v>0</v>
      </c>
      <c r="R134" s="72"/>
      <c r="S134" s="23"/>
    </row>
    <row r="135" spans="1:19" x14ac:dyDescent="0.35">
      <c r="B135" s="216">
        <f>'4500'!$B$1</f>
        <v>4500</v>
      </c>
      <c r="C135" s="6">
        <f>'4500'!$B$4</f>
        <v>82809</v>
      </c>
      <c r="D135" s="96">
        <f t="shared" si="144"/>
        <v>0.29916113928989463</v>
      </c>
      <c r="E135" s="6">
        <f>$Q130*$D135/12</f>
        <v>0</v>
      </c>
      <c r="F135" s="6">
        <f t="shared" ref="F135:P135" si="148">$Q130*$D135/12</f>
        <v>0</v>
      </c>
      <c r="G135" s="6">
        <f t="shared" si="148"/>
        <v>0</v>
      </c>
      <c r="H135" s="6">
        <f t="shared" si="148"/>
        <v>0</v>
      </c>
      <c r="I135" s="6">
        <f t="shared" si="148"/>
        <v>0</v>
      </c>
      <c r="J135" s="6">
        <f t="shared" si="148"/>
        <v>0</v>
      </c>
      <c r="K135" s="6">
        <f t="shared" si="148"/>
        <v>0</v>
      </c>
      <c r="L135" s="6">
        <f t="shared" si="148"/>
        <v>0</v>
      </c>
      <c r="M135" s="6">
        <f t="shared" si="148"/>
        <v>0</v>
      </c>
      <c r="N135" s="6">
        <f t="shared" si="148"/>
        <v>0</v>
      </c>
      <c r="O135" s="6">
        <f t="shared" si="148"/>
        <v>0</v>
      </c>
      <c r="P135" s="6">
        <f t="shared" si="148"/>
        <v>0</v>
      </c>
      <c r="Q135" s="72">
        <f t="shared" si="146"/>
        <v>0</v>
      </c>
      <c r="R135" s="72"/>
      <c r="S135" s="23"/>
    </row>
    <row r="136" spans="1:19" x14ac:dyDescent="0.35">
      <c r="B136" s="216">
        <f>'5600'!$B$1</f>
        <v>5600</v>
      </c>
      <c r="C136" s="6">
        <f>'5600'!$B$4</f>
        <v>1326</v>
      </c>
      <c r="D136" s="96">
        <f t="shared" si="144"/>
        <v>4.7903932024103701E-3</v>
      </c>
      <c r="E136" s="6">
        <f>$Q130*$D136/12</f>
        <v>0</v>
      </c>
      <c r="F136" s="6">
        <f t="shared" ref="F136:P136" si="149">$Q130*$D136/12</f>
        <v>0</v>
      </c>
      <c r="G136" s="6">
        <f t="shared" si="149"/>
        <v>0</v>
      </c>
      <c r="H136" s="6">
        <f t="shared" si="149"/>
        <v>0</v>
      </c>
      <c r="I136" s="6">
        <f t="shared" si="149"/>
        <v>0</v>
      </c>
      <c r="J136" s="6">
        <f t="shared" si="149"/>
        <v>0</v>
      </c>
      <c r="K136" s="6">
        <f t="shared" si="149"/>
        <v>0</v>
      </c>
      <c r="L136" s="6">
        <f t="shared" si="149"/>
        <v>0</v>
      </c>
      <c r="M136" s="6">
        <f t="shared" si="149"/>
        <v>0</v>
      </c>
      <c r="N136" s="6">
        <f t="shared" si="149"/>
        <v>0</v>
      </c>
      <c r="O136" s="6">
        <f t="shared" si="149"/>
        <v>0</v>
      </c>
      <c r="P136" s="6">
        <f t="shared" si="149"/>
        <v>0</v>
      </c>
      <c r="Q136" s="72">
        <f t="shared" si="146"/>
        <v>0</v>
      </c>
      <c r="R136" s="72"/>
      <c r="S136" s="23"/>
    </row>
    <row r="137" spans="1:19" x14ac:dyDescent="0.35">
      <c r="B137" s="216">
        <f>'7010'!$B$1</f>
        <v>7010</v>
      </c>
      <c r="C137" s="6">
        <f>'7010'!$B$4</f>
        <v>73209</v>
      </c>
      <c r="D137" s="96">
        <f t="shared" si="144"/>
        <v>0.2644795595439372</v>
      </c>
      <c r="E137" s="6">
        <f>$Q130*$D137/12</f>
        <v>0</v>
      </c>
      <c r="F137" s="6">
        <f t="shared" ref="F137:P137" si="150">$Q130*$D137/12</f>
        <v>0</v>
      </c>
      <c r="G137" s="6">
        <f t="shared" si="150"/>
        <v>0</v>
      </c>
      <c r="H137" s="6">
        <f t="shared" si="150"/>
        <v>0</v>
      </c>
      <c r="I137" s="6">
        <f t="shared" si="150"/>
        <v>0</v>
      </c>
      <c r="J137" s="6">
        <f t="shared" si="150"/>
        <v>0</v>
      </c>
      <c r="K137" s="6">
        <f t="shared" si="150"/>
        <v>0</v>
      </c>
      <c r="L137" s="6">
        <f t="shared" si="150"/>
        <v>0</v>
      </c>
      <c r="M137" s="6">
        <f t="shared" si="150"/>
        <v>0</v>
      </c>
      <c r="N137" s="6">
        <f t="shared" si="150"/>
        <v>0</v>
      </c>
      <c r="O137" s="6">
        <f t="shared" si="150"/>
        <v>0</v>
      </c>
      <c r="P137" s="6">
        <f t="shared" si="150"/>
        <v>0</v>
      </c>
      <c r="Q137" s="72">
        <f t="shared" si="146"/>
        <v>0</v>
      </c>
      <c r="R137" s="72"/>
      <c r="S137" s="23"/>
    </row>
    <row r="138" spans="1:19" x14ac:dyDescent="0.35">
      <c r="B138" s="216">
        <f>'7200'!$B$1</f>
        <v>7200</v>
      </c>
      <c r="C138" s="6">
        <f>'7200'!$B$4</f>
        <v>14821</v>
      </c>
      <c r="D138" s="96">
        <f t="shared" si="144"/>
        <v>5.3543301397378652E-2</v>
      </c>
      <c r="E138" s="6">
        <f>$Q130*$D138/12</f>
        <v>0</v>
      </c>
      <c r="F138" s="6">
        <f t="shared" ref="F138:Q138" si="151">$Q130*$D138/12</f>
        <v>0</v>
      </c>
      <c r="G138" s="6">
        <f t="shared" si="151"/>
        <v>0</v>
      </c>
      <c r="H138" s="6">
        <f t="shared" si="151"/>
        <v>0</v>
      </c>
      <c r="I138" s="6">
        <f t="shared" si="151"/>
        <v>0</v>
      </c>
      <c r="J138" s="6">
        <f t="shared" si="151"/>
        <v>0</v>
      </c>
      <c r="K138" s="6">
        <f t="shared" si="151"/>
        <v>0</v>
      </c>
      <c r="L138" s="6">
        <f t="shared" si="151"/>
        <v>0</v>
      </c>
      <c r="M138" s="6">
        <f t="shared" si="151"/>
        <v>0</v>
      </c>
      <c r="N138" s="6">
        <f t="shared" si="151"/>
        <v>0</v>
      </c>
      <c r="O138" s="6">
        <f t="shared" si="151"/>
        <v>0</v>
      </c>
      <c r="P138" s="6">
        <f t="shared" si="151"/>
        <v>0</v>
      </c>
      <c r="Q138" s="72">
        <f t="shared" si="151"/>
        <v>0</v>
      </c>
      <c r="R138" s="72"/>
      <c r="S138" s="23"/>
    </row>
    <row r="139" spans="1:19" x14ac:dyDescent="0.35">
      <c r="B139" s="216">
        <f>'7300'!$B$1</f>
        <v>7300</v>
      </c>
      <c r="C139" s="6">
        <f>'7300'!$B$4</f>
        <v>22500</v>
      </c>
      <c r="D139" s="96">
        <f t="shared" si="144"/>
        <v>8.1284952529587728E-2</v>
      </c>
      <c r="E139" s="6">
        <f>$Q130*$D139/12</f>
        <v>0</v>
      </c>
      <c r="F139" s="6">
        <f t="shared" ref="F139" si="152">$Q130*$D139/12</f>
        <v>0</v>
      </c>
      <c r="G139" s="6">
        <f>$Q130*$D139/12</f>
        <v>0</v>
      </c>
      <c r="H139" s="6">
        <f t="shared" ref="H139:Q139" si="153">$Q130*$D139/12</f>
        <v>0</v>
      </c>
      <c r="I139" s="6">
        <f t="shared" si="153"/>
        <v>0</v>
      </c>
      <c r="J139" s="6">
        <f t="shared" si="153"/>
        <v>0</v>
      </c>
      <c r="K139" s="6">
        <f t="shared" si="153"/>
        <v>0</v>
      </c>
      <c r="L139" s="6">
        <f t="shared" si="153"/>
        <v>0</v>
      </c>
      <c r="M139" s="6">
        <f t="shared" si="153"/>
        <v>0</v>
      </c>
      <c r="N139" s="6">
        <f t="shared" si="153"/>
        <v>0</v>
      </c>
      <c r="O139" s="6">
        <f t="shared" si="153"/>
        <v>0</v>
      </c>
      <c r="P139" s="6">
        <f t="shared" si="153"/>
        <v>0</v>
      </c>
      <c r="Q139" s="72">
        <f t="shared" si="153"/>
        <v>0</v>
      </c>
      <c r="R139" s="72"/>
      <c r="S139" s="23"/>
    </row>
    <row r="140" spans="1:19" x14ac:dyDescent="0.35">
      <c r="B140" s="216">
        <f>'8200'!$B$1</f>
        <v>8200</v>
      </c>
      <c r="C140" s="6">
        <f>'8200'!$B$4</f>
        <v>10000</v>
      </c>
      <c r="D140" s="96">
        <f>C140/($C$142-$C$141)</f>
        <v>3.6126645568705658E-2</v>
      </c>
      <c r="E140" s="6">
        <f>$Q130*$D140/12</f>
        <v>0</v>
      </c>
      <c r="F140" s="6">
        <f t="shared" ref="F140:Q140" si="154">$Q130*$D140/12</f>
        <v>0</v>
      </c>
      <c r="G140" s="6">
        <f t="shared" si="154"/>
        <v>0</v>
      </c>
      <c r="H140" s="6">
        <f t="shared" si="154"/>
        <v>0</v>
      </c>
      <c r="I140" s="6">
        <f t="shared" si="154"/>
        <v>0</v>
      </c>
      <c r="J140" s="6">
        <f t="shared" si="154"/>
        <v>0</v>
      </c>
      <c r="K140" s="6">
        <f t="shared" si="154"/>
        <v>0</v>
      </c>
      <c r="L140" s="6">
        <f t="shared" si="154"/>
        <v>0</v>
      </c>
      <c r="M140" s="6">
        <f t="shared" si="154"/>
        <v>0</v>
      </c>
      <c r="N140" s="6">
        <f t="shared" si="154"/>
        <v>0</v>
      </c>
      <c r="O140" s="6">
        <f t="shared" si="154"/>
        <v>0</v>
      </c>
      <c r="P140" s="6">
        <f t="shared" si="154"/>
        <v>0</v>
      </c>
      <c r="Q140" s="72">
        <f t="shared" si="154"/>
        <v>0</v>
      </c>
      <c r="R140" s="72"/>
      <c r="S140" s="23"/>
    </row>
    <row r="141" spans="1:19" x14ac:dyDescent="0.35">
      <c r="B141" s="254">
        <f>'9510'!$B$1</f>
        <v>9510</v>
      </c>
      <c r="C141" s="15">
        <f>'9510'!$B$4</f>
        <v>19983</v>
      </c>
      <c r="D141" s="376">
        <v>0</v>
      </c>
      <c r="E141" s="377">
        <f>IFERROR($Q130*$D141/12,0)</f>
        <v>0</v>
      </c>
      <c r="F141" s="378">
        <f t="shared" ref="F141:P141" si="155">IFERROR($Q130*$D141/12,0)</f>
        <v>0</v>
      </c>
      <c r="G141" s="378">
        <f t="shared" si="155"/>
        <v>0</v>
      </c>
      <c r="H141" s="378">
        <f t="shared" si="155"/>
        <v>0</v>
      </c>
      <c r="I141" s="378">
        <f t="shared" si="155"/>
        <v>0</v>
      </c>
      <c r="J141" s="378">
        <f t="shared" si="155"/>
        <v>0</v>
      </c>
      <c r="K141" s="378">
        <f t="shared" si="155"/>
        <v>0</v>
      </c>
      <c r="L141" s="378">
        <f t="shared" si="155"/>
        <v>0</v>
      </c>
      <c r="M141" s="378">
        <f t="shared" si="155"/>
        <v>0</v>
      </c>
      <c r="N141" s="378">
        <f t="shared" si="155"/>
        <v>0</v>
      </c>
      <c r="O141" s="378">
        <f t="shared" si="155"/>
        <v>0</v>
      </c>
      <c r="P141" s="378">
        <f t="shared" si="155"/>
        <v>0</v>
      </c>
      <c r="Q141" s="379">
        <f t="shared" ref="Q141" si="156">SUM(E141:P141)</f>
        <v>0</v>
      </c>
      <c r="R141" s="76"/>
      <c r="S141" s="23"/>
    </row>
    <row r="142" spans="1:19" x14ac:dyDescent="0.35">
      <c r="B142" s="85" t="s">
        <v>264</v>
      </c>
      <c r="C142" s="6">
        <f>SUM(C132:C141)</f>
        <v>296787</v>
      </c>
      <c r="D142" s="217">
        <f>SUM(D132:D141)</f>
        <v>1</v>
      </c>
      <c r="E142" s="8">
        <f>SUM(E132:E141)</f>
        <v>0</v>
      </c>
      <c r="F142" s="87">
        <f t="shared" ref="F142:Q142" si="157">SUM(F132:F141)</f>
        <v>0</v>
      </c>
      <c r="G142" s="87">
        <f t="shared" si="157"/>
        <v>0</v>
      </c>
      <c r="H142" s="87">
        <f t="shared" si="157"/>
        <v>0</v>
      </c>
      <c r="I142" s="87">
        <f t="shared" si="157"/>
        <v>0</v>
      </c>
      <c r="J142" s="87">
        <f t="shared" si="157"/>
        <v>0</v>
      </c>
      <c r="K142" s="87">
        <f t="shared" si="157"/>
        <v>0</v>
      </c>
      <c r="L142" s="87">
        <f t="shared" si="157"/>
        <v>0</v>
      </c>
      <c r="M142" s="87">
        <f t="shared" si="157"/>
        <v>0</v>
      </c>
      <c r="N142" s="87">
        <f t="shared" si="157"/>
        <v>0</v>
      </c>
      <c r="O142" s="87">
        <f t="shared" si="157"/>
        <v>0</v>
      </c>
      <c r="P142" s="87">
        <f t="shared" si="157"/>
        <v>0</v>
      </c>
      <c r="Q142" s="87">
        <f t="shared" si="157"/>
        <v>0</v>
      </c>
      <c r="R142" s="77"/>
      <c r="S142" s="23"/>
    </row>
  </sheetData>
  <sheetProtection sheet="1" selectLockedCells="1"/>
  <phoneticPr fontId="4" type="noConversion"/>
  <pageMargins left="0.7" right="0.7" top="0.75" bottom="0.75" header="0.3" footer="0.3"/>
  <pageSetup scale="43" fitToHeight="0" orientation="landscape" verticalDpi="300" r:id="rId1"/>
  <rowBreaks count="1" manualBreakCount="1">
    <brk id="73" max="27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0.79998168889431442"/>
    <pageSetUpPr fitToPage="1"/>
  </sheetPr>
  <dimension ref="A1:Q16"/>
  <sheetViews>
    <sheetView workbookViewId="0">
      <selection activeCell="H21" sqref="H21"/>
    </sheetView>
  </sheetViews>
  <sheetFormatPr defaultColWidth="8.81640625" defaultRowHeight="16" x14ac:dyDescent="0.35"/>
  <cols>
    <col min="1" max="1" width="17" style="6" bestFit="1" customWidth="1"/>
    <col min="2" max="2" width="14.453125" style="6" customWidth="1"/>
    <col min="3" max="3" width="10.81640625" style="6" bestFit="1" customWidth="1"/>
    <col min="4" max="14" width="9.54296875" style="6" bestFit="1" customWidth="1"/>
    <col min="15" max="15" width="10.81640625" style="6" bestFit="1" customWidth="1"/>
    <col min="16" max="16" width="8.81640625" style="6" bestFit="1" customWidth="1"/>
    <col min="17" max="17" width="12.54296875" style="6" customWidth="1"/>
    <col min="18" max="16384" width="8.81640625" style="6"/>
  </cols>
  <sheetData>
    <row r="1" spans="1:17" ht="29" x14ac:dyDescent="0.5">
      <c r="A1" s="6" t="s">
        <v>109</v>
      </c>
      <c r="C1" s="17" t="s">
        <v>494</v>
      </c>
      <c r="D1" s="18"/>
      <c r="E1" s="287"/>
      <c r="F1" s="287"/>
      <c r="G1" s="287"/>
      <c r="H1" s="287"/>
      <c r="I1" s="287"/>
      <c r="J1" s="287"/>
      <c r="K1" s="287"/>
      <c r="L1" s="18"/>
      <c r="M1" s="18"/>
      <c r="N1" s="18"/>
      <c r="O1" s="18"/>
    </row>
    <row r="2" spans="1:17" x14ac:dyDescent="0.35">
      <c r="C2" s="18" t="str">
        <f>'All Shopping Centers'!J2</f>
        <v>Shopping Centers</v>
      </c>
      <c r="D2" s="18"/>
      <c r="E2" s="287"/>
      <c r="F2" s="287"/>
      <c r="G2" s="287"/>
      <c r="H2" s="287"/>
      <c r="I2" s="287"/>
      <c r="J2" s="287"/>
      <c r="K2" s="287"/>
      <c r="L2" s="18"/>
      <c r="M2" s="18"/>
      <c r="N2" s="18"/>
      <c r="O2" s="18"/>
    </row>
    <row r="3" spans="1:17" x14ac:dyDescent="0.35">
      <c r="G3" s="56"/>
    </row>
    <row r="4" spans="1:17" ht="17.5" x14ac:dyDescent="0.35">
      <c r="B4" s="9"/>
      <c r="M4" s="78"/>
      <c r="N4" s="78"/>
    </row>
    <row r="5" spans="1:17" x14ac:dyDescent="0.35">
      <c r="C5" s="75" t="s">
        <v>0</v>
      </c>
      <c r="D5" s="75" t="s">
        <v>1</v>
      </c>
      <c r="E5" s="75" t="s">
        <v>2</v>
      </c>
      <c r="F5" s="75" t="s">
        <v>3</v>
      </c>
      <c r="G5" s="75" t="s">
        <v>4</v>
      </c>
      <c r="H5" s="75" t="s">
        <v>5</v>
      </c>
      <c r="I5" s="75" t="s">
        <v>6</v>
      </c>
      <c r="J5" s="75" t="s">
        <v>7</v>
      </c>
      <c r="K5" s="75" t="s">
        <v>8</v>
      </c>
      <c r="L5" s="75" t="s">
        <v>9</v>
      </c>
      <c r="M5" s="75" t="s">
        <v>10</v>
      </c>
      <c r="N5" s="75" t="s">
        <v>11</v>
      </c>
      <c r="O5" s="285" t="s">
        <v>12</v>
      </c>
      <c r="P5" s="13"/>
      <c r="Q5" s="23"/>
    </row>
    <row r="6" spans="1:17" x14ac:dyDescent="0.35">
      <c r="B6" s="216">
        <f>'1100'!$B$1</f>
        <v>1100</v>
      </c>
      <c r="C6" s="45">
        <f>'1100'!E90</f>
        <v>376</v>
      </c>
      <c r="D6" s="45">
        <f>'1100'!F90</f>
        <v>376</v>
      </c>
      <c r="E6" s="45">
        <f>'1100'!G90</f>
        <v>376</v>
      </c>
      <c r="F6" s="45">
        <f>'1100'!H90</f>
        <v>376</v>
      </c>
      <c r="G6" s="45">
        <f>'1100'!I90</f>
        <v>376</v>
      </c>
      <c r="H6" s="45">
        <f>'1100'!J90</f>
        <v>451</v>
      </c>
      <c r="I6" s="45">
        <f>'1100'!K90</f>
        <v>451</v>
      </c>
      <c r="J6" s="45">
        <f>'1100'!L90</f>
        <v>451</v>
      </c>
      <c r="K6" s="45">
        <f>'1100'!M90</f>
        <v>451</v>
      </c>
      <c r="L6" s="45">
        <f>'1100'!N90</f>
        <v>451</v>
      </c>
      <c r="M6" s="45">
        <f>'1100'!O90</f>
        <v>451</v>
      </c>
      <c r="N6" s="45">
        <f>'1100'!P90</f>
        <v>451</v>
      </c>
      <c r="O6" s="286">
        <f>SUM(C6:N6)</f>
        <v>5037</v>
      </c>
      <c r="P6" s="72"/>
      <c r="Q6" s="23"/>
    </row>
    <row r="7" spans="1:17" x14ac:dyDescent="0.35">
      <c r="B7" s="216">
        <f>'1500'!$B$1</f>
        <v>1500</v>
      </c>
      <c r="C7" s="6">
        <f>'1500'!E90</f>
        <v>0</v>
      </c>
      <c r="D7" s="6">
        <f>'1500'!F90</f>
        <v>0</v>
      </c>
      <c r="E7" s="6">
        <f>'1500'!G90</f>
        <v>0</v>
      </c>
      <c r="F7" s="6">
        <f>'1500'!H90</f>
        <v>0</v>
      </c>
      <c r="G7" s="6">
        <f>'1500'!I90</f>
        <v>0</v>
      </c>
      <c r="H7" s="6">
        <f>'1500'!J90</f>
        <v>0</v>
      </c>
      <c r="I7" s="6">
        <f>'1500'!K90</f>
        <v>0</v>
      </c>
      <c r="J7" s="6">
        <f>'1500'!L90</f>
        <v>0</v>
      </c>
      <c r="K7" s="6">
        <f>'1500'!M90</f>
        <v>0</v>
      </c>
      <c r="L7" s="6">
        <f>'1500'!N90</f>
        <v>0</v>
      </c>
      <c r="M7" s="6">
        <f>'1500'!O90</f>
        <v>0</v>
      </c>
      <c r="N7" s="6">
        <f>'1500'!P90</f>
        <v>0</v>
      </c>
      <c r="O7" s="286">
        <f t="shared" ref="O7:O15" si="0">SUM(C7:N7)</f>
        <v>0</v>
      </c>
      <c r="P7" s="72"/>
      <c r="Q7" s="23"/>
    </row>
    <row r="8" spans="1:17" x14ac:dyDescent="0.35">
      <c r="B8" s="216">
        <f>'2300'!$B$1</f>
        <v>2300</v>
      </c>
      <c r="C8" s="6">
        <f>'2300'!E90</f>
        <v>7752</v>
      </c>
      <c r="D8" s="6">
        <f>'2300'!F90</f>
        <v>7752</v>
      </c>
      <c r="E8" s="6">
        <f>'2300'!G90</f>
        <v>7779</v>
      </c>
      <c r="F8" s="6">
        <f>'2300'!H90</f>
        <v>7779</v>
      </c>
      <c r="G8" s="6">
        <f>'2300'!I90</f>
        <v>7779</v>
      </c>
      <c r="H8" s="6">
        <f>'2300'!J90</f>
        <v>7787</v>
      </c>
      <c r="I8" s="6">
        <f>'2300'!K90</f>
        <v>7793</v>
      </c>
      <c r="J8" s="6">
        <f>'2300'!L90</f>
        <v>7793</v>
      </c>
      <c r="K8" s="6">
        <f>'2300'!M90</f>
        <v>7793</v>
      </c>
      <c r="L8" s="6">
        <f>'2300'!N90</f>
        <v>7793</v>
      </c>
      <c r="M8" s="6">
        <f>'2300'!O90</f>
        <v>7793</v>
      </c>
      <c r="N8" s="6">
        <f>'2300'!P90</f>
        <v>7793</v>
      </c>
      <c r="O8" s="286">
        <f t="shared" si="0"/>
        <v>93386</v>
      </c>
      <c r="P8" s="72"/>
      <c r="Q8" s="23"/>
    </row>
    <row r="9" spans="1:17" x14ac:dyDescent="0.35">
      <c r="B9" s="216">
        <f>'4500'!$B$1</f>
        <v>4500</v>
      </c>
      <c r="C9" s="6">
        <f>'4500'!E90</f>
        <v>11411</v>
      </c>
      <c r="D9" s="6">
        <f>'4500'!F90</f>
        <v>10789</v>
      </c>
      <c r="E9" s="6">
        <f>'4500'!G90</f>
        <v>10789</v>
      </c>
      <c r="F9" s="6">
        <f>'4500'!H90</f>
        <v>10789</v>
      </c>
      <c r="G9" s="6">
        <f>'4500'!I90</f>
        <v>11101</v>
      </c>
      <c r="H9" s="6">
        <f>'4500'!J90</f>
        <v>11101</v>
      </c>
      <c r="I9" s="6">
        <f>'4500'!K90</f>
        <v>11101</v>
      </c>
      <c r="J9" s="6">
        <f>'4500'!L90</f>
        <v>11101</v>
      </c>
      <c r="K9" s="6">
        <f>'4500'!M90</f>
        <v>11101</v>
      </c>
      <c r="L9" s="6">
        <f>'4500'!N90</f>
        <v>11101</v>
      </c>
      <c r="M9" s="6">
        <f>'4500'!O90</f>
        <v>11683</v>
      </c>
      <c r="N9" s="6">
        <f>'4500'!P90</f>
        <v>11683</v>
      </c>
      <c r="O9" s="286">
        <f t="shared" si="0"/>
        <v>133750</v>
      </c>
      <c r="P9" s="72"/>
      <c r="Q9" s="23"/>
    </row>
    <row r="10" spans="1:17" x14ac:dyDescent="0.35">
      <c r="B10" s="216">
        <f>'5600'!$B$1</f>
        <v>5600</v>
      </c>
      <c r="C10" s="6">
        <f>'5600'!E90</f>
        <v>125</v>
      </c>
      <c r="D10" s="6">
        <f>'5600'!F90</f>
        <v>125</v>
      </c>
      <c r="E10" s="6">
        <f>'5600'!G90</f>
        <v>125</v>
      </c>
      <c r="F10" s="6">
        <f>'5600'!H90</f>
        <v>125</v>
      </c>
      <c r="G10" s="6">
        <f>'5600'!I90</f>
        <v>125</v>
      </c>
      <c r="H10" s="6">
        <f>'5600'!J90</f>
        <v>125</v>
      </c>
      <c r="I10" s="6">
        <f>'5600'!K90</f>
        <v>125</v>
      </c>
      <c r="J10" s="6">
        <f>'5600'!L90</f>
        <v>125</v>
      </c>
      <c r="K10" s="6">
        <f>'5600'!M90</f>
        <v>125</v>
      </c>
      <c r="L10" s="6">
        <f>'5600'!N90</f>
        <v>125</v>
      </c>
      <c r="M10" s="6">
        <f>'5600'!O90</f>
        <v>125</v>
      </c>
      <c r="N10" s="6">
        <f>'5600'!P90</f>
        <v>125</v>
      </c>
      <c r="O10" s="286">
        <f t="shared" si="0"/>
        <v>1500</v>
      </c>
      <c r="P10" s="72"/>
      <c r="Q10" s="23"/>
    </row>
    <row r="11" spans="1:17" x14ac:dyDescent="0.35">
      <c r="B11" s="216">
        <f>'7010'!$B$1</f>
        <v>7010</v>
      </c>
      <c r="C11" s="6">
        <f>'7010'!E93</f>
        <v>7923</v>
      </c>
      <c r="D11" s="6">
        <f>'7010'!F93</f>
        <v>7914</v>
      </c>
      <c r="E11" s="6">
        <f>'7010'!G93</f>
        <v>7905</v>
      </c>
      <c r="F11" s="6">
        <f>'7010'!H93</f>
        <v>7865</v>
      </c>
      <c r="G11" s="6">
        <f>'7010'!I93</f>
        <v>7865</v>
      </c>
      <c r="H11" s="6">
        <f>'7010'!J93</f>
        <v>7866</v>
      </c>
      <c r="I11" s="6">
        <f>'7010'!K93</f>
        <v>7956</v>
      </c>
      <c r="J11" s="6">
        <f>'7010'!L93</f>
        <v>7981</v>
      </c>
      <c r="K11" s="6">
        <f>'7010'!M93</f>
        <v>8032</v>
      </c>
      <c r="L11" s="6">
        <f>'7010'!N93</f>
        <v>8012</v>
      </c>
      <c r="M11" s="6">
        <f>'7010'!O93</f>
        <v>8020</v>
      </c>
      <c r="N11" s="6">
        <f>'7010'!P93</f>
        <v>8031</v>
      </c>
      <c r="O11" s="286">
        <f t="shared" si="0"/>
        <v>95370</v>
      </c>
      <c r="P11" s="72"/>
      <c r="Q11" s="23"/>
    </row>
    <row r="12" spans="1:17" x14ac:dyDescent="0.35">
      <c r="B12" s="216">
        <f>'7200'!$B$1</f>
        <v>7200</v>
      </c>
      <c r="C12" s="6">
        <f>'7200'!E90</f>
        <v>1080</v>
      </c>
      <c r="D12" s="6">
        <f>'7200'!F90</f>
        <v>1080</v>
      </c>
      <c r="E12" s="6">
        <f>'7200'!G90</f>
        <v>1080</v>
      </c>
      <c r="F12" s="6">
        <f>'7200'!H90</f>
        <v>1080</v>
      </c>
      <c r="G12" s="6">
        <f>'7200'!I90</f>
        <v>1080</v>
      </c>
      <c r="H12" s="6">
        <f>'7200'!J90</f>
        <v>1080</v>
      </c>
      <c r="I12" s="6">
        <f>'7200'!K90</f>
        <v>1080</v>
      </c>
      <c r="J12" s="6">
        <f>'7200'!L90</f>
        <v>1080</v>
      </c>
      <c r="K12" s="6">
        <f>'7200'!M90</f>
        <v>1080</v>
      </c>
      <c r="L12" s="6">
        <f>'7200'!N90</f>
        <v>1080</v>
      </c>
      <c r="M12" s="6">
        <f>'7200'!O90</f>
        <v>1080</v>
      </c>
      <c r="N12" s="6">
        <f>'7200'!P90</f>
        <v>1080</v>
      </c>
      <c r="O12" s="286">
        <f t="shared" si="0"/>
        <v>12960</v>
      </c>
      <c r="P12" s="72"/>
      <c r="Q12" s="23"/>
    </row>
    <row r="13" spans="1:17" x14ac:dyDescent="0.35">
      <c r="B13" s="216">
        <f>'7300'!$B$1</f>
        <v>7300</v>
      </c>
      <c r="C13" s="6">
        <f>'7300'!E90</f>
        <v>2083</v>
      </c>
      <c r="D13" s="6">
        <f>'7300'!F90</f>
        <v>2083</v>
      </c>
      <c r="E13" s="6">
        <f>'7300'!G90</f>
        <v>2083</v>
      </c>
      <c r="F13" s="6">
        <f>'7300'!H90</f>
        <v>2083</v>
      </c>
      <c r="G13" s="6">
        <f>'7300'!I90</f>
        <v>2083</v>
      </c>
      <c r="H13" s="6">
        <f>'7300'!J90</f>
        <v>2083</v>
      </c>
      <c r="I13" s="6">
        <f>'7300'!K90</f>
        <v>2083</v>
      </c>
      <c r="J13" s="6">
        <f>'7300'!L90</f>
        <v>2083</v>
      </c>
      <c r="K13" s="6">
        <f>'7300'!M90</f>
        <v>2083</v>
      </c>
      <c r="L13" s="6">
        <f>'7300'!N90</f>
        <v>2083</v>
      </c>
      <c r="M13" s="6">
        <f>'7300'!O90</f>
        <v>2083</v>
      </c>
      <c r="N13" s="6">
        <f>'7300'!P90</f>
        <v>2083</v>
      </c>
      <c r="O13" s="286">
        <f t="shared" si="0"/>
        <v>24996</v>
      </c>
      <c r="P13" s="72"/>
      <c r="Q13" s="23"/>
    </row>
    <row r="14" spans="1:17" x14ac:dyDescent="0.35">
      <c r="B14" s="216">
        <f>'8200'!$B$1</f>
        <v>8200</v>
      </c>
      <c r="C14" s="6">
        <f>'8200'!E90</f>
        <v>2206</v>
      </c>
      <c r="D14" s="6">
        <f>'8200'!F90</f>
        <v>2206</v>
      </c>
      <c r="E14" s="6">
        <f>'8200'!G90</f>
        <v>2206</v>
      </c>
      <c r="F14" s="6">
        <f>'8200'!H90</f>
        <v>2206</v>
      </c>
      <c r="G14" s="6">
        <f>'8200'!I90</f>
        <v>2206</v>
      </c>
      <c r="H14" s="6">
        <f>'8200'!J90</f>
        <v>2206</v>
      </c>
      <c r="I14" s="6">
        <f>'8200'!K90</f>
        <v>2206</v>
      </c>
      <c r="J14" s="6">
        <f>'8200'!L90</f>
        <v>2206</v>
      </c>
      <c r="K14" s="6">
        <f>'8200'!M90</f>
        <v>2206</v>
      </c>
      <c r="L14" s="6">
        <f>'8200'!N90</f>
        <v>2206</v>
      </c>
      <c r="M14" s="6">
        <f>'8200'!O90</f>
        <v>2206</v>
      </c>
      <c r="N14" s="6">
        <f>'8200'!P90</f>
        <v>2206</v>
      </c>
      <c r="O14" s="286">
        <f t="shared" si="0"/>
        <v>26472</v>
      </c>
      <c r="P14" s="72"/>
      <c r="Q14" s="23"/>
    </row>
    <row r="15" spans="1:17" x14ac:dyDescent="0.35">
      <c r="B15" s="216">
        <f>'9510'!$B$1</f>
        <v>9510</v>
      </c>
      <c r="C15" s="15">
        <f>'9510'!E90</f>
        <v>2143</v>
      </c>
      <c r="D15" s="15">
        <f>'9510'!F90</f>
        <v>2143</v>
      </c>
      <c r="E15" s="15">
        <f>'9510'!G90</f>
        <v>1954</v>
      </c>
      <c r="F15" s="15">
        <f>'9510'!H90</f>
        <v>2387</v>
      </c>
      <c r="G15" s="15">
        <f>'9510'!I90</f>
        <v>2153</v>
      </c>
      <c r="H15" s="15">
        <f>'9510'!J90</f>
        <v>2264</v>
      </c>
      <c r="I15" s="15">
        <f>'9510'!K90</f>
        <v>2697</v>
      </c>
      <c r="J15" s="15">
        <f>'9510'!L90</f>
        <v>2489</v>
      </c>
      <c r="K15" s="15">
        <f>'9510'!M90</f>
        <v>2494</v>
      </c>
      <c r="L15" s="15">
        <f>'9510'!N90</f>
        <v>2930</v>
      </c>
      <c r="M15" s="15">
        <f>'9510'!O90</f>
        <v>2497</v>
      </c>
      <c r="N15" s="15">
        <f>'9510'!P90</f>
        <v>4967</v>
      </c>
      <c r="O15" s="286">
        <f t="shared" si="0"/>
        <v>31118</v>
      </c>
      <c r="P15" s="76"/>
      <c r="Q15" s="23"/>
    </row>
    <row r="16" spans="1:17" x14ac:dyDescent="0.35">
      <c r="B16" s="85" t="s">
        <v>264</v>
      </c>
      <c r="C16" s="87">
        <f>SUM(C6:C15)</f>
        <v>35099</v>
      </c>
      <c r="D16" s="87">
        <f t="shared" ref="D16:O16" si="1">SUM(D6:D15)</f>
        <v>34468</v>
      </c>
      <c r="E16" s="87">
        <f t="shared" si="1"/>
        <v>34297</v>
      </c>
      <c r="F16" s="87">
        <f t="shared" si="1"/>
        <v>34690</v>
      </c>
      <c r="G16" s="87">
        <f t="shared" si="1"/>
        <v>34768</v>
      </c>
      <c r="H16" s="87">
        <f t="shared" si="1"/>
        <v>34963</v>
      </c>
      <c r="I16" s="87">
        <f t="shared" si="1"/>
        <v>35492</v>
      </c>
      <c r="J16" s="87">
        <f t="shared" si="1"/>
        <v>35309</v>
      </c>
      <c r="K16" s="87">
        <f t="shared" si="1"/>
        <v>35365</v>
      </c>
      <c r="L16" s="87">
        <f t="shared" si="1"/>
        <v>35781</v>
      </c>
      <c r="M16" s="87">
        <f t="shared" si="1"/>
        <v>35938</v>
      </c>
      <c r="N16" s="87">
        <f t="shared" si="1"/>
        <v>38419</v>
      </c>
      <c r="O16" s="87">
        <f t="shared" si="1"/>
        <v>424589</v>
      </c>
      <c r="P16" s="77"/>
      <c r="Q16" s="23"/>
    </row>
  </sheetData>
  <sheetProtection sheet="1" selectLockedCells="1"/>
  <pageMargins left="0.7" right="0.7" top="0.75" bottom="0.75" header="0.3" footer="0.3"/>
  <pageSetup scale="58" fitToHeight="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bb4864-1f15-4dbc-8993-a0057cbdf711">
      <Terms xmlns="http://schemas.microsoft.com/office/infopath/2007/PartnerControls"/>
    </lcf76f155ced4ddcb4097134ff3c332f>
    <TaxCatchAll xmlns="af706855-280e-40fa-beb9-81c9773b0c79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79ED3C01625249A0FD35688815D133" ma:contentTypeVersion="15" ma:contentTypeDescription="Create a new document." ma:contentTypeScope="" ma:versionID="a51aef5a9874e8330807ea08ce1bcdcd">
  <xsd:schema xmlns:xsd="http://www.w3.org/2001/XMLSchema" xmlns:xs="http://www.w3.org/2001/XMLSchema" xmlns:p="http://schemas.microsoft.com/office/2006/metadata/properties" xmlns:ns2="d8bb4864-1f15-4dbc-8993-a0057cbdf711" xmlns:ns3="af706855-280e-40fa-beb9-81c9773b0c79" targetNamespace="http://schemas.microsoft.com/office/2006/metadata/properties" ma:root="true" ma:fieldsID="a66b4b197bc76c681623a7287e85f302" ns2:_="" ns3:_="">
    <xsd:import namespace="d8bb4864-1f15-4dbc-8993-a0057cbdf711"/>
    <xsd:import namespace="af706855-280e-40fa-beb9-81c9773b0c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b4864-1f15-4dbc-8993-a0057cbdf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350d72-ffa9-4828-a2b2-a4e9b8ba5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06855-280e-40fa-beb9-81c9773b0c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6b772e-d289-4ed7-8a08-1f1a9938d79c}" ma:internalName="TaxCatchAll" ma:showField="CatchAllData" ma:web="af706855-280e-40fa-beb9-81c9773b0c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3974F6FB-5584-472D-8EAB-049B463C7AF1}">
  <ds:schemaRefs/>
</ds:datastoreItem>
</file>

<file path=customXml/itemProps2.xml><?xml version="1.0" encoding="utf-8"?>
<ds:datastoreItem xmlns:ds="http://schemas.openxmlformats.org/officeDocument/2006/customXml" ds:itemID="{C0A198D5-8928-4FDE-B515-9D2D122C16BF}">
  <ds:schemaRefs/>
</ds:datastoreItem>
</file>

<file path=customXml/itemProps3.xml><?xml version="1.0" encoding="utf-8"?>
<ds:datastoreItem xmlns:ds="http://schemas.openxmlformats.org/officeDocument/2006/customXml" ds:itemID="{3D5B940E-E673-46ED-950D-46394E0246A7}">
  <ds:schemaRefs/>
</ds:datastoreItem>
</file>

<file path=customXml/itemProps4.xml><?xml version="1.0" encoding="utf-8"?>
<ds:datastoreItem xmlns:ds="http://schemas.openxmlformats.org/officeDocument/2006/customXml" ds:itemID="{5F027A5D-9E1B-4567-8B2E-C5680422133D}">
  <ds:schemaRefs/>
</ds:datastoreItem>
</file>

<file path=customXml/itemProps5.xml><?xml version="1.0" encoding="utf-8"?>
<ds:datastoreItem xmlns:ds="http://schemas.openxmlformats.org/officeDocument/2006/customXml" ds:itemID="{834F3B88-290E-4E63-BAB6-CCFA4078AC71}">
  <ds:schemaRefs/>
</ds:datastoreItem>
</file>

<file path=customXml/itemProps6.xml><?xml version="1.0" encoding="utf-8"?>
<ds:datastoreItem xmlns:ds="http://schemas.openxmlformats.org/officeDocument/2006/customXml" ds:itemID="{1C935BF0-6F5A-4F8C-9EF3-E69E2BE82762}">
  <ds:schemaRefs/>
</ds:datastoreItem>
</file>

<file path=customXml/itemProps7.xml><?xml version="1.0" encoding="utf-8"?>
<ds:datastoreItem xmlns:ds="http://schemas.openxmlformats.org/officeDocument/2006/customXml" ds:itemID="{85404416-C5AA-4D3C-B295-8A8D5F6F9BEF}">
  <ds:schemaRefs/>
</ds:datastoreItem>
</file>

<file path=customXml/itemProps8.xml><?xml version="1.0" encoding="utf-8"?>
<ds:datastoreItem xmlns:ds="http://schemas.openxmlformats.org/officeDocument/2006/customXml" ds:itemID="{03F9506E-8183-413F-BFAA-2153A7441EC0}">
  <ds:schemaRefs>
    <ds:schemaRef ds:uri="http://schemas.microsoft.com/sharepoint/v3/contenttype/forms"/>
  </ds:schemaRefs>
</ds:datastoreItem>
</file>

<file path=customXml/itemProps9.xml><?xml version="1.0" encoding="utf-8"?>
<ds:datastoreItem xmlns:ds="http://schemas.openxmlformats.org/officeDocument/2006/customXml" ds:itemID="{AED19FAA-6816-40F8-991B-334B1847ABE8}">
  <ds:schemaRefs/>
</ds:datastoreItem>
</file>

<file path=customXml/itemProps10.xml><?xml version="1.0" encoding="utf-8"?>
<ds:datastoreItem xmlns:ds="http://schemas.openxmlformats.org/officeDocument/2006/customXml" ds:itemID="{566D6D27-9AEE-4958-914D-804B7BE691D2}">
  <ds:schemaRefs>
    <ds:schemaRef ds:uri="http://purl.org/dc/elements/1.1/"/>
    <ds:schemaRef ds:uri="http://schemas.microsoft.com/office/2006/metadata/properties"/>
    <ds:schemaRef ds:uri="d8bb4864-1f15-4dbc-8993-a0057cbdf71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f706855-280e-40fa-beb9-81c9773b0c79"/>
    <ds:schemaRef ds:uri="http://www.w3.org/XML/1998/namespace"/>
    <ds:schemaRef ds:uri="http://purl.org/dc/dcmitype/"/>
  </ds:schemaRefs>
</ds:datastoreItem>
</file>

<file path=customXml/itemProps11.xml><?xml version="1.0" encoding="utf-8"?>
<ds:datastoreItem xmlns:ds="http://schemas.openxmlformats.org/officeDocument/2006/customXml" ds:itemID="{D8D2C632-26FE-4380-B089-4AC80C9931A6}">
  <ds:schemaRefs/>
</ds:datastoreItem>
</file>

<file path=customXml/itemProps12.xml><?xml version="1.0" encoding="utf-8"?>
<ds:datastoreItem xmlns:ds="http://schemas.openxmlformats.org/officeDocument/2006/customXml" ds:itemID="{BC4E4729-4ACD-49E6-B1EE-B0B413E7A400}">
  <ds:schemaRefs/>
</ds:datastoreItem>
</file>

<file path=customXml/itemProps13.xml><?xml version="1.0" encoding="utf-8"?>
<ds:datastoreItem xmlns:ds="http://schemas.openxmlformats.org/officeDocument/2006/customXml" ds:itemID="{B8B286FA-01F8-4420-8767-7E6450234879}">
  <ds:schemaRefs/>
</ds:datastoreItem>
</file>

<file path=customXml/itemProps14.xml><?xml version="1.0" encoding="utf-8"?>
<ds:datastoreItem xmlns:ds="http://schemas.openxmlformats.org/officeDocument/2006/customXml" ds:itemID="{17DFE264-E997-4DBF-B8D5-D3C503149DB8}">
  <ds:schemaRefs/>
</ds:datastoreItem>
</file>

<file path=customXml/itemProps15.xml><?xml version="1.0" encoding="utf-8"?>
<ds:datastoreItem xmlns:ds="http://schemas.openxmlformats.org/officeDocument/2006/customXml" ds:itemID="{26C2C256-B1AC-4608-A616-53A3A13F71CD}">
  <ds:schemaRefs/>
</ds:datastoreItem>
</file>

<file path=customXml/itemProps16.xml><?xml version="1.0" encoding="utf-8"?>
<ds:datastoreItem xmlns:ds="http://schemas.openxmlformats.org/officeDocument/2006/customXml" ds:itemID="{832D9CE2-63FA-41E3-94F0-32402A1F42B9}">
  <ds:schemaRefs/>
</ds:datastoreItem>
</file>

<file path=customXml/itemProps17.xml><?xml version="1.0" encoding="utf-8"?>
<ds:datastoreItem xmlns:ds="http://schemas.openxmlformats.org/officeDocument/2006/customXml" ds:itemID="{8CE69F99-07F9-4F48-B1C1-1DAEE86C17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bb4864-1f15-4dbc-8993-a0057cbdf711"/>
    <ds:schemaRef ds:uri="af706855-280e-40fa-beb9-81c9773b0c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8.xml><?xml version="1.0" encoding="utf-8"?>
<ds:datastoreItem xmlns:ds="http://schemas.openxmlformats.org/officeDocument/2006/customXml" ds:itemID="{D8EAA061-C13E-4D7E-8275-D16533BFFBB6}">
  <ds:schemaRefs/>
</ds:datastoreItem>
</file>

<file path=customXml/itemProps19.xml><?xml version="1.0" encoding="utf-8"?>
<ds:datastoreItem xmlns:ds="http://schemas.openxmlformats.org/officeDocument/2006/customXml" ds:itemID="{96A10728-5972-4223-AD46-33C0C04C061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32</vt:i4>
      </vt:variant>
    </vt:vector>
  </HeadingPairs>
  <TitlesOfParts>
    <vt:vector size="52" baseType="lpstr">
      <vt:lpstr>Cover Sheet</vt:lpstr>
      <vt:lpstr>All Shopping Centers</vt:lpstr>
      <vt:lpstr>1100</vt:lpstr>
      <vt:lpstr>1500</vt:lpstr>
      <vt:lpstr>2300</vt:lpstr>
      <vt:lpstr>4500</vt:lpstr>
      <vt:lpstr>5600</vt:lpstr>
      <vt:lpstr>7010</vt:lpstr>
      <vt:lpstr>7200</vt:lpstr>
      <vt:lpstr>Sheet2</vt:lpstr>
      <vt:lpstr>7300</vt:lpstr>
      <vt:lpstr>8200</vt:lpstr>
      <vt:lpstr>9510</vt:lpstr>
      <vt:lpstr>In Place Revenue</vt:lpstr>
      <vt:lpstr>Renew &amp; Vac </vt:lpstr>
      <vt:lpstr>Tenant Recoveries</vt:lpstr>
      <vt:lpstr>INS RET DEBT</vt:lpstr>
      <vt:lpstr>Building Maint</vt:lpstr>
      <vt:lpstr>Allocated Expenses</vt:lpstr>
      <vt:lpstr>LIK Mgmt Fee</vt:lpstr>
      <vt:lpstr>PaiementsParAn</vt:lpstr>
      <vt:lpstr>'INS RET DEBT'!pmtType</vt:lpstr>
      <vt:lpstr>'1100'!Print_Area</vt:lpstr>
      <vt:lpstr>'1500'!Print_Area</vt:lpstr>
      <vt:lpstr>'2300'!Print_Area</vt:lpstr>
      <vt:lpstr>'4500'!Print_Area</vt:lpstr>
      <vt:lpstr>'5600'!Print_Area</vt:lpstr>
      <vt:lpstr>'7010'!Print_Area</vt:lpstr>
      <vt:lpstr>'7200'!Print_Area</vt:lpstr>
      <vt:lpstr>'7300'!Print_Area</vt:lpstr>
      <vt:lpstr>'8200'!Print_Area</vt:lpstr>
      <vt:lpstr>'9510'!Print_Area</vt:lpstr>
      <vt:lpstr>'All Shopping Centers'!Print_Area</vt:lpstr>
      <vt:lpstr>'Allocated Expenses'!Print_Area</vt:lpstr>
      <vt:lpstr>'Building Maint'!Print_Area</vt:lpstr>
      <vt:lpstr>'Cover Sheet'!Print_Area</vt:lpstr>
      <vt:lpstr>'INS RET DEBT'!Print_Area</vt:lpstr>
      <vt:lpstr>'Renew &amp; Vac '!Print_Area</vt:lpstr>
      <vt:lpstr>'1100'!Print_Titles</vt:lpstr>
      <vt:lpstr>'1500'!Print_Titles</vt:lpstr>
      <vt:lpstr>'2300'!Print_Titles</vt:lpstr>
      <vt:lpstr>'4500'!Print_Titles</vt:lpstr>
      <vt:lpstr>'5600'!Print_Titles</vt:lpstr>
      <vt:lpstr>'7010'!Print_Titles</vt:lpstr>
      <vt:lpstr>'7200'!Print_Titles</vt:lpstr>
      <vt:lpstr>'7300'!Print_Titles</vt:lpstr>
      <vt:lpstr>'8200'!Print_Titles</vt:lpstr>
      <vt:lpstr>'9510'!Print_Titles</vt:lpstr>
      <vt:lpstr>'All Shopping Centers'!Print_Titles</vt:lpstr>
      <vt:lpstr>'INS RET DEBT'!rate</vt:lpstr>
      <vt:lpstr>'INS RET DEBT'!roundOpt</vt:lpstr>
      <vt:lpstr>TauxIntérêt</vt:lpstr>
    </vt:vector>
  </TitlesOfParts>
  <Company>Korman Commercial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Tottchen</dc:creator>
  <cp:lastModifiedBy>Drew Winig</cp:lastModifiedBy>
  <cp:lastPrinted>2025-11-04T16:58:05Z</cp:lastPrinted>
  <dcterms:created xsi:type="dcterms:W3CDTF">2006-10-09T15:50:51Z</dcterms:created>
  <dcterms:modified xsi:type="dcterms:W3CDTF">2026-05-21T15:32:52Z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0x010100C879ED3C01625249A0FD35688815D133</vt:lpwstr>
  </property>
  <property fmtid="{D5CDD505-2E9C-101B-9397-08002B2CF9AE}" pid="3" name="MediaServiceImageTags">
    <vt:lpwstr/>
  </property>
</Properties>
</file>