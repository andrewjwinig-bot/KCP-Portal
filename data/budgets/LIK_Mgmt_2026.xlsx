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LIK Management/Budget Info/2026/"/>
    </mc:Choice>
  </mc:AlternateContent>
  <xr:revisionPtr revIDLastSave="357" documentId="8_{E4CBCC09-5BDD-42EC-BCCF-53020085E11C}" xr6:coauthVersionLast="47" xr6:coauthVersionMax="47" xr10:uidLastSave="{E2761F5A-D1D8-4B79-AFCA-072E231DFF44}"/>
  <bookViews>
    <workbookView xWindow="-11910" yWindow="-21600" windowWidth="26010" windowHeight="20985" activeTab="1" xr2:uid="{F4418DB9-0750-441C-B778-FF0D5E408891}"/>
  </bookViews>
  <sheets>
    <sheet name="Cover Sheet" sheetId="9" r:id="rId1"/>
    <sheet name="LIK Budget 2026" sheetId="8" r:id="rId2"/>
    <sheet name="Notes to Projections" sheetId="5" r:id="rId3"/>
    <sheet name="10 Year Projection" sheetId="6" r:id="rId4"/>
  </sheets>
  <definedNames>
    <definedName name="_Order1" hidden="1">255</definedName>
    <definedName name="_Order2" hidden="1">255</definedName>
    <definedName name="_xlnm.Print_Area" localSheetId="3">'10 Year Projection'!$A$1:$M$41</definedName>
    <definedName name="_xlnm.Print_Area" localSheetId="0">'Cover Sheet'!$A$1:$A$3</definedName>
    <definedName name="_xlnm.Print_Area" localSheetId="1">'LIK Budget 2026'!$A$1:$Q$54</definedName>
    <definedName name="_xlnm.Print_Area" localSheetId="2">'Notes to Projections'!$A$1:$H$41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9" l="1"/>
  <c r="C54" i="8"/>
  <c r="O69" i="9"/>
  <c r="O75" i="9" s="1"/>
  <c r="A2" i="9"/>
  <c r="A1" i="9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50" i="8" l="1"/>
  <c r="O46" i="8"/>
  <c r="C23" i="8"/>
  <c r="C10" i="8"/>
  <c r="C16" i="8" s="1"/>
  <c r="D40" i="8"/>
  <c r="E40" i="8"/>
  <c r="F40" i="8"/>
  <c r="G40" i="8"/>
  <c r="H40" i="8"/>
  <c r="I40" i="8"/>
  <c r="J40" i="8"/>
  <c r="K40" i="8"/>
  <c r="L40" i="8"/>
  <c r="M40" i="8"/>
  <c r="N40" i="8"/>
  <c r="C40" i="8"/>
  <c r="D31" i="8"/>
  <c r="E31" i="8"/>
  <c r="F31" i="8"/>
  <c r="G31" i="8"/>
  <c r="H31" i="8"/>
  <c r="I31" i="8"/>
  <c r="J31" i="8"/>
  <c r="K31" i="8"/>
  <c r="L31" i="8"/>
  <c r="M31" i="8"/>
  <c r="N31" i="8"/>
  <c r="C31" i="8"/>
  <c r="B59" i="8"/>
  <c r="O1" i="8"/>
  <c r="A3" i="9" s="1"/>
  <c r="C52" i="8" l="1"/>
  <c r="N70" i="8"/>
  <c r="M70" i="8"/>
  <c r="L70" i="8"/>
  <c r="K70" i="8"/>
  <c r="J70" i="8"/>
  <c r="I70" i="8"/>
  <c r="H70" i="8"/>
  <c r="G70" i="8"/>
  <c r="F70" i="8"/>
  <c r="E70" i="8"/>
  <c r="D70" i="8"/>
  <c r="N68" i="8"/>
  <c r="M68" i="8"/>
  <c r="L68" i="8"/>
  <c r="K68" i="8"/>
  <c r="J68" i="8"/>
  <c r="I68" i="8"/>
  <c r="H68" i="8"/>
  <c r="G68" i="8"/>
  <c r="F68" i="8"/>
  <c r="E68" i="8"/>
  <c r="D68" i="8"/>
  <c r="N63" i="8"/>
  <c r="M63" i="8"/>
  <c r="L63" i="8"/>
  <c r="K63" i="8"/>
  <c r="J63" i="8"/>
  <c r="I63" i="8"/>
  <c r="H63" i="8"/>
  <c r="G63" i="8"/>
  <c r="F63" i="8"/>
  <c r="E63" i="8"/>
  <c r="D63" i="8"/>
  <c r="N62" i="8"/>
  <c r="M62" i="8"/>
  <c r="L62" i="8"/>
  <c r="K62" i="8"/>
  <c r="J62" i="8"/>
  <c r="I62" i="8"/>
  <c r="H62" i="8"/>
  <c r="G62" i="8"/>
  <c r="F62" i="8"/>
  <c r="E62" i="8"/>
  <c r="D62" i="8"/>
  <c r="C71" i="8"/>
  <c r="C72" i="8"/>
  <c r="C70" i="8"/>
  <c r="C68" i="8"/>
  <c r="C63" i="8"/>
  <c r="C62" i="8"/>
  <c r="O62" i="8" l="1"/>
  <c r="O63" i="8"/>
  <c r="O68" i="8"/>
  <c r="O70" i="8"/>
  <c r="N10" i="8"/>
  <c r="N61" i="8" s="1"/>
  <c r="M10" i="8"/>
  <c r="M61" i="8" s="1"/>
  <c r="L10" i="8"/>
  <c r="L61" i="8" s="1"/>
  <c r="K10" i="8"/>
  <c r="K61" i="8" s="1"/>
  <c r="J10" i="8"/>
  <c r="J61" i="8" s="1"/>
  <c r="I10" i="8"/>
  <c r="I61" i="8" s="1"/>
  <c r="H10" i="8"/>
  <c r="H61" i="8" s="1"/>
  <c r="G10" i="8"/>
  <c r="G61" i="8" s="1"/>
  <c r="F10" i="8"/>
  <c r="F61" i="8" s="1"/>
  <c r="E10" i="8"/>
  <c r="E61" i="8" s="1"/>
  <c r="D10" i="8"/>
  <c r="D61" i="8" l="1"/>
  <c r="D16" i="8"/>
  <c r="M16" i="8"/>
  <c r="G16" i="8"/>
  <c r="K16" i="8"/>
  <c r="F16" i="8"/>
  <c r="L16" i="8"/>
  <c r="J16" i="8"/>
  <c r="H16" i="8"/>
  <c r="N16" i="8"/>
  <c r="C61" i="8"/>
  <c r="I16" i="8"/>
  <c r="E16" i="8"/>
  <c r="O61" i="8" l="1"/>
  <c r="C66" i="8"/>
  <c r="C69" i="8"/>
  <c r="C64" i="8"/>
  <c r="C65" i="8" l="1"/>
  <c r="F64" i="8"/>
  <c r="D44" i="8" l="1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9" i="8"/>
  <c r="O8" i="8"/>
  <c r="N73" i="8" l="1"/>
  <c r="M73" i="8"/>
  <c r="L73" i="8"/>
  <c r="K73" i="8"/>
  <c r="J73" i="8"/>
  <c r="I73" i="8"/>
  <c r="H73" i="8"/>
  <c r="G73" i="8"/>
  <c r="F73" i="8"/>
  <c r="E73" i="8"/>
  <c r="D73" i="8"/>
  <c r="C73" i="8"/>
  <c r="O73" i="8" l="1"/>
  <c r="D48" i="8"/>
  <c r="O44" i="8"/>
  <c r="D42" i="8"/>
  <c r="D71" i="8" s="1"/>
  <c r="O39" i="8"/>
  <c r="O38" i="8"/>
  <c r="O37" i="8"/>
  <c r="O35" i="8"/>
  <c r="O33" i="8"/>
  <c r="O30" i="8"/>
  <c r="O29" i="8"/>
  <c r="O28" i="8"/>
  <c r="O27" i="8"/>
  <c r="N67" i="8"/>
  <c r="M67" i="8"/>
  <c r="L67" i="8"/>
  <c r="K67" i="8"/>
  <c r="J67" i="8"/>
  <c r="I67" i="8"/>
  <c r="H67" i="8"/>
  <c r="G67" i="8"/>
  <c r="F67" i="8"/>
  <c r="E67" i="8"/>
  <c r="D67" i="8"/>
  <c r="D25" i="8"/>
  <c r="D66" i="8" s="1"/>
  <c r="D22" i="8"/>
  <c r="L21" i="8"/>
  <c r="D21" i="8"/>
  <c r="D64" i="8"/>
  <c r="O14" i="8"/>
  <c r="O12" i="8"/>
  <c r="O7" i="8"/>
  <c r="O6" i="8"/>
  <c r="D19" i="6"/>
  <c r="C19" i="6"/>
  <c r="B19" i="6"/>
  <c r="B39" i="6"/>
  <c r="E29" i="6"/>
  <c r="F29" i="6" s="1"/>
  <c r="G29" i="6" s="1"/>
  <c r="H29" i="6" s="1"/>
  <c r="I29" i="6" s="1"/>
  <c r="J29" i="6" s="1"/>
  <c r="K29" i="6" s="1"/>
  <c r="O9" i="6"/>
  <c r="N9" i="6"/>
  <c r="C38" i="6"/>
  <c r="D38" i="6" s="1"/>
  <c r="L9" i="6"/>
  <c r="L8" i="6"/>
  <c r="C12" i="6"/>
  <c r="L12" i="6" s="1"/>
  <c r="C11" i="6"/>
  <c r="L11" i="6" s="1"/>
  <c r="D23" i="8" l="1"/>
  <c r="D65" i="8" s="1"/>
  <c r="O40" i="8"/>
  <c r="O31" i="8"/>
  <c r="M21" i="8"/>
  <c r="N21" i="8" s="1"/>
  <c r="D72" i="8"/>
  <c r="D69" i="8"/>
  <c r="C67" i="8"/>
  <c r="O67" i="8" s="1"/>
  <c r="O10" i="8"/>
  <c r="O16" i="8" s="1"/>
  <c r="E48" i="8"/>
  <c r="E72" i="8" s="1"/>
  <c r="E42" i="8"/>
  <c r="E71" i="8" s="1"/>
  <c r="E64" i="8"/>
  <c r="E22" i="8"/>
  <c r="F22" i="8" s="1"/>
  <c r="G22" i="8" s="1"/>
  <c r="H22" i="8" s="1"/>
  <c r="I22" i="8" s="1"/>
  <c r="J22" i="8" s="1"/>
  <c r="K22" i="8" s="1"/>
  <c r="K23" i="8" s="1"/>
  <c r="E25" i="8"/>
  <c r="E66" i="8" s="1"/>
  <c r="E21" i="8"/>
  <c r="P9" i="6"/>
  <c r="Q9" i="6" s="1"/>
  <c r="C37" i="6"/>
  <c r="D37" i="6" s="1"/>
  <c r="E37" i="6" s="1"/>
  <c r="F37" i="6" s="1"/>
  <c r="G37" i="6" s="1"/>
  <c r="H37" i="6" s="1"/>
  <c r="I37" i="6" s="1"/>
  <c r="J37" i="6" s="1"/>
  <c r="K37" i="6" s="1"/>
  <c r="C34" i="6"/>
  <c r="D34" i="6" s="1"/>
  <c r="E34" i="6" s="1"/>
  <c r="C29" i="6"/>
  <c r="C28" i="6"/>
  <c r="C27" i="6"/>
  <c r="D27" i="6" s="1"/>
  <c r="E27" i="6" s="1"/>
  <c r="F27" i="6" s="1"/>
  <c r="G27" i="6" s="1"/>
  <c r="H27" i="6" s="1"/>
  <c r="I27" i="6" s="1"/>
  <c r="J27" i="6" s="1"/>
  <c r="K27" i="6" s="1"/>
  <c r="C22" i="6"/>
  <c r="D22" i="6"/>
  <c r="E22" i="6"/>
  <c r="F22" i="6"/>
  <c r="G22" i="6"/>
  <c r="H22" i="6"/>
  <c r="I22" i="6"/>
  <c r="J22" i="6"/>
  <c r="K22" i="6"/>
  <c r="Q21" i="5"/>
  <c r="P20" i="5"/>
  <c r="J21" i="5"/>
  <c r="M21" i="5" s="1"/>
  <c r="J20" i="5"/>
  <c r="M20" i="5" s="1"/>
  <c r="L35" i="6"/>
  <c r="L33" i="6"/>
  <c r="L32" i="6"/>
  <c r="L31" i="6"/>
  <c r="L30" i="6"/>
  <c r="L26" i="6"/>
  <c r="L25" i="6"/>
  <c r="L24" i="6"/>
  <c r="L23" i="6"/>
  <c r="C21" i="6"/>
  <c r="C20" i="6"/>
  <c r="B14" i="6"/>
  <c r="B41" i="6" s="1"/>
  <c r="L7" i="6"/>
  <c r="D52" i="8" l="1"/>
  <c r="D54" i="8" s="1"/>
  <c r="E23" i="8"/>
  <c r="E52" i="8" s="1"/>
  <c r="D75" i="8"/>
  <c r="E69" i="8"/>
  <c r="C75" i="8"/>
  <c r="C77" i="8" s="1"/>
  <c r="F42" i="8"/>
  <c r="F71" i="8" s="1"/>
  <c r="F48" i="8"/>
  <c r="F72" i="8" s="1"/>
  <c r="G64" i="8"/>
  <c r="L20" i="5"/>
  <c r="F21" i="8"/>
  <c r="F23" i="8" s="1"/>
  <c r="F25" i="8"/>
  <c r="F66" i="8" s="1"/>
  <c r="K65" i="8"/>
  <c r="L22" i="8"/>
  <c r="L23" i="8" s="1"/>
  <c r="E38" i="6"/>
  <c r="L28" i="6"/>
  <c r="L27" i="6"/>
  <c r="C18" i="6"/>
  <c r="D20" i="6"/>
  <c r="L22" i="6"/>
  <c r="D21" i="6"/>
  <c r="E65" i="8" l="1"/>
  <c r="E75" i="8" s="1"/>
  <c r="F52" i="8"/>
  <c r="D77" i="8"/>
  <c r="F69" i="8"/>
  <c r="G48" i="8"/>
  <c r="G72" i="8" s="1"/>
  <c r="G42" i="8"/>
  <c r="G71" i="8" s="1"/>
  <c r="E54" i="8"/>
  <c r="H64" i="8"/>
  <c r="G25" i="8"/>
  <c r="G66" i="8" s="1"/>
  <c r="H21" i="8"/>
  <c r="H23" i="8" s="1"/>
  <c r="G21" i="8"/>
  <c r="G23" i="8" s="1"/>
  <c r="F65" i="8"/>
  <c r="M22" i="8"/>
  <c r="M23" i="8" s="1"/>
  <c r="L65" i="8"/>
  <c r="F38" i="6"/>
  <c r="G20" i="6"/>
  <c r="H20" i="6" s="1"/>
  <c r="I20" i="6" s="1"/>
  <c r="J20" i="6" s="1"/>
  <c r="K20" i="6" s="1"/>
  <c r="D18" i="6"/>
  <c r="E21" i="6"/>
  <c r="C14" i="6"/>
  <c r="L37" i="6"/>
  <c r="L34" i="6"/>
  <c r="H69" i="8" l="1"/>
  <c r="G69" i="8"/>
  <c r="G52" i="8"/>
  <c r="F75" i="8"/>
  <c r="E77" i="8"/>
  <c r="H42" i="8"/>
  <c r="H71" i="8" s="1"/>
  <c r="H48" i="8"/>
  <c r="H72" i="8" s="1"/>
  <c r="F54" i="8"/>
  <c r="I64" i="8"/>
  <c r="N22" i="8"/>
  <c r="M65" i="8"/>
  <c r="G65" i="8"/>
  <c r="H25" i="8"/>
  <c r="H66" i="8" s="1"/>
  <c r="I21" i="8"/>
  <c r="I23" i="8" s="1"/>
  <c r="H65" i="8"/>
  <c r="G38" i="6"/>
  <c r="L29" i="6"/>
  <c r="F18" i="6"/>
  <c r="E18" i="6"/>
  <c r="F21" i="6"/>
  <c r="G75" i="8" l="1"/>
  <c r="N23" i="8"/>
  <c r="N65" i="8" s="1"/>
  <c r="H52" i="8"/>
  <c r="H75" i="8"/>
  <c r="F77" i="8"/>
  <c r="I69" i="8"/>
  <c r="I48" i="8"/>
  <c r="I72" i="8" s="1"/>
  <c r="I42" i="8"/>
  <c r="I71" i="8" s="1"/>
  <c r="G54" i="8"/>
  <c r="O22" i="8"/>
  <c r="J64" i="8"/>
  <c r="J21" i="8"/>
  <c r="I65" i="8"/>
  <c r="I25" i="8"/>
  <c r="I66" i="8" s="1"/>
  <c r="H38" i="6"/>
  <c r="G21" i="6"/>
  <c r="G18" i="6"/>
  <c r="L20" i="6"/>
  <c r="E14" i="6"/>
  <c r="G77" i="8" l="1"/>
  <c r="I52" i="8"/>
  <c r="J23" i="8"/>
  <c r="J65" i="8" s="1"/>
  <c r="O65" i="8" s="1"/>
  <c r="J69" i="8"/>
  <c r="I75" i="8"/>
  <c r="J42" i="8"/>
  <c r="J71" i="8" s="1"/>
  <c r="J48" i="8"/>
  <c r="J72" i="8" s="1"/>
  <c r="K64" i="8"/>
  <c r="J25" i="8"/>
  <c r="J66" i="8" s="1"/>
  <c r="H54" i="8"/>
  <c r="O21" i="8"/>
  <c r="O23" i="8" s="1"/>
  <c r="I38" i="6"/>
  <c r="F14" i="6"/>
  <c r="I19" i="6"/>
  <c r="H18" i="6"/>
  <c r="H21" i="6"/>
  <c r="J52" i="8" l="1"/>
  <c r="K69" i="8"/>
  <c r="J75" i="8"/>
  <c r="H77" i="8"/>
  <c r="K42" i="8"/>
  <c r="K71" i="8" s="1"/>
  <c r="K48" i="8"/>
  <c r="K72" i="8" s="1"/>
  <c r="L64" i="8"/>
  <c r="I54" i="8"/>
  <c r="K25" i="8"/>
  <c r="K66" i="8" s="1"/>
  <c r="I18" i="6"/>
  <c r="J38" i="6"/>
  <c r="I21" i="6"/>
  <c r="G14" i="6"/>
  <c r="K75" i="8" l="1"/>
  <c r="K52" i="8"/>
  <c r="L69" i="8"/>
  <c r="I77" i="8"/>
  <c r="L48" i="8"/>
  <c r="L72" i="8" s="1"/>
  <c r="L42" i="8"/>
  <c r="L71" i="8" s="1"/>
  <c r="M64" i="8"/>
  <c r="L25" i="8"/>
  <c r="L66" i="8" s="1"/>
  <c r="J54" i="8"/>
  <c r="K18" i="6"/>
  <c r="J18" i="6"/>
  <c r="L19" i="6"/>
  <c r="K38" i="6"/>
  <c r="L38" i="6" s="1"/>
  <c r="H14" i="6"/>
  <c r="J21" i="6"/>
  <c r="L18" i="6" l="1"/>
  <c r="L52" i="8"/>
  <c r="M69" i="8"/>
  <c r="L75" i="8"/>
  <c r="J77" i="8"/>
  <c r="M42" i="8"/>
  <c r="M71" i="8" s="1"/>
  <c r="M48" i="8"/>
  <c r="M72" i="8" s="1"/>
  <c r="K54" i="8"/>
  <c r="K77" i="8" s="1"/>
  <c r="M25" i="8"/>
  <c r="M66" i="8" s="1"/>
  <c r="K21" i="6"/>
  <c r="I14" i="6"/>
  <c r="M75" i="8" l="1"/>
  <c r="M52" i="8"/>
  <c r="N69" i="8"/>
  <c r="O69" i="8" s="1"/>
  <c r="N64" i="8"/>
  <c r="O64" i="8" s="1"/>
  <c r="N42" i="8"/>
  <c r="N71" i="8" s="1"/>
  <c r="O71" i="8" s="1"/>
  <c r="N48" i="8"/>
  <c r="O19" i="8"/>
  <c r="N25" i="8"/>
  <c r="N66" i="8" s="1"/>
  <c r="O66" i="8" s="1"/>
  <c r="L54" i="8"/>
  <c r="J14" i="6"/>
  <c r="N72" i="8" l="1"/>
  <c r="O72" i="8" s="1"/>
  <c r="O75" i="8" s="1"/>
  <c r="O48" i="8"/>
  <c r="N52" i="8"/>
  <c r="N54" i="8" s="1"/>
  <c r="L77" i="8"/>
  <c r="O42" i="8"/>
  <c r="C17" i="6"/>
  <c r="O25" i="8"/>
  <c r="M54" i="8"/>
  <c r="K14" i="6"/>
  <c r="O52" i="8" l="1"/>
  <c r="O54" i="8" s="1"/>
  <c r="N75" i="8"/>
  <c r="N77" i="8" s="1"/>
  <c r="M77" i="8"/>
  <c r="D17" i="6"/>
  <c r="C39" i="6"/>
  <c r="C41" i="6" s="1"/>
  <c r="L21" i="6"/>
  <c r="E17" i="6" l="1"/>
  <c r="D39" i="6"/>
  <c r="F17" i="6" l="1"/>
  <c r="E39" i="6"/>
  <c r="E41" i="6" s="1"/>
  <c r="G17" i="6" l="1"/>
  <c r="F39" i="6"/>
  <c r="F41" i="6" s="1"/>
  <c r="H17" i="6" l="1"/>
  <c r="G39" i="6"/>
  <c r="G41" i="6" s="1"/>
  <c r="I17" i="6" l="1"/>
  <c r="H39" i="6"/>
  <c r="H41" i="6" s="1"/>
  <c r="J17" i="6" l="1"/>
  <c r="I39" i="6"/>
  <c r="I41" i="6" s="1"/>
  <c r="K17" i="6" l="1"/>
  <c r="J39" i="6"/>
  <c r="J41" i="6" s="1"/>
  <c r="K39" i="6" l="1"/>
  <c r="K41" i="6" s="1"/>
  <c r="L17" i="6"/>
  <c r="L39" i="6" s="1"/>
  <c r="L14" i="6" l="1"/>
  <c r="L41" i="6" s="1"/>
  <c r="D14" i="6"/>
  <c r="D41" i="6" s="1"/>
</calcChain>
</file>

<file path=xl/sharedStrings.xml><?xml version="1.0" encoding="utf-8"?>
<sst xmlns="http://schemas.openxmlformats.org/spreadsheetml/2006/main" count="194" uniqueCount="125">
  <si>
    <t>KORMAN COMMERCIAL PROPERTIES, INC</t>
  </si>
  <si>
    <t>TOTAL</t>
  </si>
  <si>
    <t>Revenue</t>
  </si>
  <si>
    <t>NI LLC</t>
  </si>
  <si>
    <t xml:space="preserve">  Interest Income</t>
  </si>
  <si>
    <t>Sub-Total Revenues</t>
  </si>
  <si>
    <t>Operating Expenses</t>
  </si>
  <si>
    <t>Office Rent</t>
  </si>
  <si>
    <t xml:space="preserve">  Base Rents</t>
  </si>
  <si>
    <t xml:space="preserve">  Electric</t>
  </si>
  <si>
    <t xml:space="preserve">  Bank Fees</t>
  </si>
  <si>
    <t>Business Taxes</t>
  </si>
  <si>
    <t xml:space="preserve">   E-collect</t>
  </si>
  <si>
    <t xml:space="preserve">  N.J. Div of Revenue</t>
  </si>
  <si>
    <t xml:space="preserve">  PA Dept of State</t>
  </si>
  <si>
    <t xml:space="preserve">  NJ Div of Taxation</t>
  </si>
  <si>
    <t>Legal &amp; Accounting</t>
  </si>
  <si>
    <t>Employee Training</t>
  </si>
  <si>
    <t>Insurance</t>
  </si>
  <si>
    <t xml:space="preserve">  D&amp;O</t>
  </si>
  <si>
    <t xml:space="preserve">  W/C</t>
  </si>
  <si>
    <t xml:space="preserve">  Liab</t>
  </si>
  <si>
    <t>Postage</t>
  </si>
  <si>
    <t>Auto/ Vehicle Lease</t>
  </si>
  <si>
    <t>Non-Deductible expenses</t>
  </si>
  <si>
    <t>G&amp;A Clearing</t>
  </si>
  <si>
    <t>Accounting</t>
  </si>
  <si>
    <t>Sub-Total Expenses</t>
  </si>
  <si>
    <t>Net Income</t>
  </si>
  <si>
    <t xml:space="preserve">JV III  </t>
  </si>
  <si>
    <t>Shopping Centers</t>
  </si>
  <si>
    <t xml:space="preserve">   Rent Reimbursement</t>
  </si>
  <si>
    <t>INITIAL DRAFT 2024 BUDGET</t>
  </si>
  <si>
    <t>Payroll &amp; Benefits</t>
  </si>
  <si>
    <t>Auto Expenses</t>
  </si>
  <si>
    <t xml:space="preserve"> {1}</t>
  </si>
  <si>
    <t xml:space="preserve"> {2}</t>
  </si>
  <si>
    <t xml:space="preserve"> {3}</t>
  </si>
  <si>
    <t>All leasing activities, and employees, work from LIK Main Office. The Properties</t>
  </si>
  <si>
    <t>are billed back a portion of square feet used for leasing activities.</t>
  </si>
  <si>
    <t xml:space="preserve"> {4}</t>
  </si>
  <si>
    <t xml:space="preserve"> {5}</t>
  </si>
  <si>
    <t xml:space="preserve"> {6}</t>
  </si>
  <si>
    <t>Electric is estimated based on Jan 2024 rates that are set for three years.</t>
  </si>
  <si>
    <t>Usage is based on year 2023 usage. Starting 1 Sept 2027 electric is reduced</t>
  </si>
  <si>
    <t>in portion to the rent decrease.</t>
  </si>
  <si>
    <t xml:space="preserve"> {7}</t>
  </si>
  <si>
    <t>Bank Fees - estimated</t>
  </si>
  <si>
    <t xml:space="preserve"> {8}</t>
  </si>
  <si>
    <t xml:space="preserve"> {9}</t>
  </si>
  <si>
    <t>Local Business Privelige tax and NJ and PA filing/registration costs.</t>
  </si>
  <si>
    <t>Current rates times prior year annual revenues, paid April following year.</t>
  </si>
  <si>
    <t>2024 Egagement cost, plus estimate for misc work;  plus 5% increase per year.</t>
  </si>
  <si>
    <t xml:space="preserve"> {10}</t>
  </si>
  <si>
    <t>HR and Program training</t>
  </si>
  <si>
    <t xml:space="preserve"> {11}</t>
  </si>
  <si>
    <t>Property, Liability, Umbrella, D&amp;O, and other misc</t>
  </si>
  <si>
    <t xml:space="preserve"> {12}</t>
  </si>
  <si>
    <t xml:space="preserve"> {13}</t>
  </si>
  <si>
    <t xml:space="preserve"> {14}</t>
  </si>
  <si>
    <t>Office Equipment, IT service contract, misc.</t>
  </si>
  <si>
    <t>LIK MANAGEMENT INC</t>
  </si>
  <si>
    <t>YEAR</t>
  </si>
  <si>
    <t>Annual Increases of 3%</t>
  </si>
  <si>
    <t>Auto/ Vehicle Expenses</t>
  </si>
  <si>
    <t>Moving Costs</t>
  </si>
  <si>
    <t>Residential</t>
  </si>
  <si>
    <t>2025 was projected based on amouots earned in 2024</t>
  </si>
  <si>
    <t xml:space="preserve"> (Does not include NI LLC SD account interest, as NI LLC has its own account)</t>
  </si>
  <si>
    <t>For Year 2025 only the Salary of Alison Korman, part of Harry Feldman salary,</t>
  </si>
  <si>
    <t>Base Rent changeg 1 Sept 2024.  Lease obligation is through August 2026.</t>
  </si>
  <si>
    <t>Estimated monthly auto lease payment</t>
  </si>
  <si>
    <t xml:space="preserve"> {15}</t>
  </si>
  <si>
    <t>Notes to LIK Mgmt 2025 Draft Budget</t>
  </si>
  <si>
    <t>NOTES TO Year 2025 Budget:</t>
  </si>
  <si>
    <t>Estimated Other Vehicle Costs</t>
  </si>
  <si>
    <t>Contract services -- Treasurer/financial consultants, misc professional services</t>
  </si>
  <si>
    <t>Account</t>
  </si>
  <si>
    <t>Total</t>
  </si>
  <si>
    <t>4230-8501</t>
  </si>
  <si>
    <t>8000-9900</t>
  </si>
  <si>
    <t>8110-0000</t>
  </si>
  <si>
    <t>8190-8501</t>
  </si>
  <si>
    <t>8210-8501</t>
  </si>
  <si>
    <t>8510-9800</t>
  </si>
  <si>
    <t>8980-9800</t>
  </si>
  <si>
    <t>4510-0000</t>
  </si>
  <si>
    <t>Total Management Fees</t>
  </si>
  <si>
    <t>9190-0000</t>
  </si>
  <si>
    <t>8210-9800</t>
  </si>
  <si>
    <t>8310-9800</t>
  </si>
  <si>
    <t>8330-9800</t>
  </si>
  <si>
    <t>8510-8501</t>
  </si>
  <si>
    <t>8990-9800</t>
  </si>
  <si>
    <t>Accounting / Consultants</t>
  </si>
  <si>
    <t>8320-9800</t>
  </si>
  <si>
    <t>and part of Kathy Henry and Drew Winig salaries are included.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</si>
  <si>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</si>
  <si>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</si>
  <si>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</si>
  <si>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</si>
  <si>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</si>
  <si>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</si>
  <si>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</si>
  <si>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</si>
  <si>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</si>
  <si>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</si>
  <si>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</si>
  <si>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</si>
  <si>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Operating Budget</t>
  </si>
  <si>
    <t>Korman Commercial Properties, Inc.</t>
  </si>
  <si>
    <t>Input</t>
  </si>
  <si>
    <t>Notes</t>
  </si>
  <si>
    <t>All leasing activities, and employees, work from LIK Main Office. The Properties are billed back a portion of square feet used for leasing activities.</t>
  </si>
  <si>
    <t>2025 was projected based on amouots earned in 2024  (Does not include NI LLC SD account interest, as NI LLC has its own account)</t>
  </si>
  <si>
    <t>TOTAL REVENUES:</t>
  </si>
  <si>
    <t>DW</t>
  </si>
  <si>
    <t>Base rent as of 8/25</t>
  </si>
  <si>
    <t xml:space="preserve">From 2026 Payroll Budget </t>
  </si>
  <si>
    <t>Imported 10/15 from 2026 Budget</t>
  </si>
  <si>
    <t>None. TBD</t>
  </si>
  <si>
    <t>Estimated gas payments</t>
  </si>
  <si>
    <t>Eisner</t>
  </si>
  <si>
    <r>
      <t xml:space="preserve">Est. based on 1/24 rates that are set for three years. </t>
    </r>
    <r>
      <rPr>
        <sz val="12"/>
        <color theme="1"/>
        <rFont val="Calibri"/>
        <family val="2"/>
        <scheme val="minor"/>
      </rPr>
      <t>Usage is based on year 2023 usage. Starting 9/1/27 electric is reduced in portion to the rent decrease.</t>
    </r>
  </si>
  <si>
    <t>Office works clerical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</si>
</sst>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yyyy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rial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6"/>
      <name val="Century Gothic"/>
      <family val="2"/>
    </font>
    <font>
      <b/>
      <sz val="24"/>
      <name val="Century Gothic"/>
      <family val="2"/>
    </font>
    <font>
      <sz val="12"/>
      <color theme="1"/>
      <name val="Calibri"/>
      <family val="2"/>
      <scheme val="minor"/>
    </font>
    <font>
      <sz val="16"/>
      <color theme="1"/>
      <name val="Century Gothic"/>
      <family val="2"/>
    </font>
    <font>
      <i/>
      <sz val="10"/>
      <color theme="1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36"/>
      <name val="Century Gothic"/>
      <family val="2"/>
    </font>
    <font>
      <sz val="26"/>
      <name val="Century Gothic"/>
      <family val="2"/>
    </font>
    <font>
      <sz val="28"/>
      <name val="Century Gothic"/>
      <family val="2"/>
    </font>
    <font>
      <sz val="24"/>
      <name val="Century Gothic"/>
      <family val="2"/>
    </font>
    <font>
      <b/>
      <sz val="14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1" fillId="0" borderId="0"/>
    <xf numFmtId="41" fontId="22" fillId="0" borderId="0"/>
  </cellStyleXfs>
  <cellXfs count="118">
    <xf numFmtId="0" fontId="0" fillId="0" borderId="0" xfId="0"/>
    <xf numFmtId="0" fontId="5" fillId="0" borderId="0" xfId="0" applyFont="1" applyAlignment="1">
      <alignment horizontal="centerContinuous"/>
    </xf>
    <xf numFmtId="0" fontId="6" fillId="2" borderId="1" xfId="0" applyFont="1" applyFill="1" applyBorder="1" applyAlignment="1">
      <alignment horizontal="center"/>
    </xf>
    <xf numFmtId="0" fontId="4" fillId="0" borderId="0" xfId="0" applyFont="1"/>
    <xf numFmtId="164" fontId="0" fillId="0" borderId="0" xfId="0" applyNumberFormat="1"/>
    <xf numFmtId="164" fontId="0" fillId="0" borderId="0" xfId="2" applyNumberFormat="1" applyFont="1"/>
    <xf numFmtId="164" fontId="0" fillId="0" borderId="0" xfId="2" applyNumberFormat="1" applyFont="1" applyAlignment="1">
      <alignment vertical="top"/>
    </xf>
    <xf numFmtId="165" fontId="0" fillId="0" borderId="0" xfId="1" applyNumberFormat="1" applyFont="1"/>
    <xf numFmtId="43" fontId="0" fillId="0" borderId="0" xfId="0" applyNumberFormat="1"/>
    <xf numFmtId="0" fontId="0" fillId="0" borderId="2" xfId="0" applyBorder="1"/>
    <xf numFmtId="164" fontId="4" fillId="0" borderId="3" xfId="2" applyNumberFormat="1" applyFont="1" applyBorder="1"/>
    <xf numFmtId="165" fontId="0" fillId="0" borderId="0" xfId="0" applyNumberFormat="1"/>
    <xf numFmtId="165" fontId="4" fillId="0" borderId="3" xfId="0" applyNumberFormat="1" applyFont="1" applyBorder="1"/>
    <xf numFmtId="164" fontId="4" fillId="0" borderId="4" xfId="2" applyNumberFormat="1" applyFont="1" applyBorder="1"/>
    <xf numFmtId="165" fontId="4" fillId="3" borderId="0" xfId="1" applyNumberFormat="1" applyFont="1" applyFill="1"/>
    <xf numFmtId="165" fontId="0" fillId="3" borderId="0" xfId="1" applyNumberFormat="1" applyFont="1" applyFill="1"/>
    <xf numFmtId="0" fontId="4" fillId="3" borderId="0" xfId="0" applyFont="1" applyFill="1"/>
    <xf numFmtId="0" fontId="0" fillId="3" borderId="0" xfId="0" applyFill="1"/>
    <xf numFmtId="165" fontId="3" fillId="0" borderId="0" xfId="1" applyNumberFormat="1" applyFont="1" applyBorder="1"/>
    <xf numFmtId="165" fontId="7" fillId="0" borderId="0" xfId="1" applyNumberFormat="1" applyFont="1"/>
    <xf numFmtId="0" fontId="8" fillId="0" borderId="0" xfId="0" applyFont="1" applyAlignment="1">
      <alignment horizontal="centerContinuous"/>
    </xf>
    <xf numFmtId="0" fontId="9" fillId="2" borderId="0" xfId="0" applyFont="1" applyFill="1" applyAlignment="1">
      <alignment horizontal="centerContinuous"/>
    </xf>
    <xf numFmtId="1" fontId="6" fillId="2" borderId="1" xfId="0" applyNumberFormat="1" applyFont="1" applyFill="1" applyBorder="1" applyAlignment="1">
      <alignment horizontal="center"/>
    </xf>
    <xf numFmtId="44" fontId="0" fillId="0" borderId="0" xfId="2" applyFont="1"/>
    <xf numFmtId="1" fontId="0" fillId="0" borderId="0" xfId="0" applyNumberFormat="1"/>
    <xf numFmtId="164" fontId="10" fillId="4" borderId="1" xfId="2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Continuous" vertical="center"/>
    </xf>
    <xf numFmtId="0" fontId="12" fillId="4" borderId="0" xfId="0" applyFont="1" applyFill="1"/>
    <xf numFmtId="0" fontId="13" fillId="4" borderId="0" xfId="0" applyFont="1" applyFill="1" applyAlignment="1">
      <alignment horizontal="centerContinuous"/>
    </xf>
    <xf numFmtId="0" fontId="13" fillId="4" borderId="0" xfId="0" applyFont="1" applyFill="1"/>
    <xf numFmtId="164" fontId="12" fillId="4" borderId="0" xfId="2" applyNumberFormat="1" applyFont="1" applyFill="1"/>
    <xf numFmtId="165" fontId="12" fillId="4" borderId="0" xfId="1" applyNumberFormat="1" applyFont="1" applyFill="1"/>
    <xf numFmtId="165" fontId="12" fillId="4" borderId="0" xfId="0" applyNumberFormat="1" applyFont="1" applyFill="1"/>
    <xf numFmtId="164" fontId="12" fillId="4" borderId="0" xfId="2" applyNumberFormat="1" applyFont="1" applyFill="1" applyAlignment="1">
      <alignment vertical="top"/>
    </xf>
    <xf numFmtId="165" fontId="12" fillId="4" borderId="0" xfId="1" applyNumberFormat="1" applyFont="1" applyFill="1" applyAlignment="1">
      <alignment vertical="top"/>
    </xf>
    <xf numFmtId="0" fontId="12" fillId="4" borderId="2" xfId="0" applyFont="1" applyFill="1" applyBorder="1"/>
    <xf numFmtId="43" fontId="12" fillId="4" borderId="0" xfId="1" applyFont="1" applyFill="1"/>
    <xf numFmtId="43" fontId="12" fillId="4" borderId="0" xfId="0" applyNumberFormat="1" applyFont="1" applyFill="1"/>
    <xf numFmtId="0" fontId="12" fillId="4" borderId="5" xfId="0" applyFont="1" applyFill="1" applyBorder="1"/>
    <xf numFmtId="0" fontId="12" fillId="4" borderId="0" xfId="0" applyFont="1" applyFill="1" applyProtection="1">
      <protection locked="0"/>
    </xf>
    <xf numFmtId="0" fontId="12" fillId="4" borderId="0" xfId="0" applyFont="1" applyFill="1" applyAlignment="1">
      <alignment horizontal="right"/>
    </xf>
    <xf numFmtId="43" fontId="12" fillId="4" borderId="0" xfId="1" applyFont="1" applyFill="1" applyProtection="1">
      <protection locked="0"/>
    </xf>
    <xf numFmtId="164" fontId="12" fillId="4" borderId="0" xfId="0" applyNumberFormat="1" applyFont="1" applyFill="1"/>
    <xf numFmtId="0" fontId="12" fillId="5" borderId="0" xfId="0" applyFont="1" applyFill="1"/>
    <xf numFmtId="165" fontId="12" fillId="5" borderId="2" xfId="1" applyNumberFormat="1" applyFont="1" applyFill="1" applyBorder="1"/>
    <xf numFmtId="165" fontId="12" fillId="5" borderId="0" xfId="1" applyNumberFormat="1" applyFont="1" applyFill="1"/>
    <xf numFmtId="0" fontId="12" fillId="5" borderId="2" xfId="0" applyFont="1" applyFill="1" applyBorder="1"/>
    <xf numFmtId="165" fontId="13" fillId="5" borderId="0" xfId="1" applyNumberFormat="1" applyFont="1" applyFill="1"/>
    <xf numFmtId="0" fontId="15" fillId="4" borderId="2" xfId="0" applyFont="1" applyFill="1" applyBorder="1" applyAlignment="1">
      <alignment horizontal="right"/>
    </xf>
    <xf numFmtId="0" fontId="15" fillId="5" borderId="2" xfId="0" applyFont="1" applyFill="1" applyBorder="1" applyAlignment="1">
      <alignment horizontal="right"/>
    </xf>
    <xf numFmtId="166" fontId="16" fillId="4" borderId="0" xfId="0" applyNumberFormat="1" applyFont="1" applyFill="1" applyAlignment="1">
      <alignment horizontal="right" vertical="center"/>
    </xf>
    <xf numFmtId="0" fontId="17" fillId="4" borderId="0" xfId="0" applyFont="1" applyFill="1" applyAlignment="1">
      <alignment horizontal="centerContinuous" vertical="center"/>
    </xf>
    <xf numFmtId="0" fontId="12" fillId="4" borderId="0" xfId="0" applyFont="1" applyFill="1" applyAlignment="1">
      <alignment horizontal="centerContinuous"/>
    </xf>
    <xf numFmtId="0" fontId="15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left"/>
    </xf>
    <xf numFmtId="0" fontId="12" fillId="4" borderId="0" xfId="0" applyFont="1" applyFill="1" applyAlignment="1">
      <alignment wrapText="1"/>
    </xf>
    <xf numFmtId="0" fontId="14" fillId="4" borderId="0" xfId="0" applyFont="1" applyFill="1" applyProtection="1">
      <protection locked="0"/>
    </xf>
    <xf numFmtId="0" fontId="19" fillId="4" borderId="0" xfId="0" applyFont="1" applyFill="1" applyAlignment="1">
      <alignment horizontal="center" vertical="center"/>
    </xf>
    <xf numFmtId="43" fontId="12" fillId="6" borderId="7" xfId="1" applyFont="1" applyFill="1" applyBorder="1" applyProtection="1">
      <protection locked="0"/>
    </xf>
    <xf numFmtId="43" fontId="12" fillId="6" borderId="8" xfId="1" applyFont="1" applyFill="1" applyBorder="1" applyProtection="1">
      <protection locked="0"/>
    </xf>
    <xf numFmtId="43" fontId="12" fillId="6" borderId="0" xfId="1" applyFont="1" applyFill="1" applyBorder="1" applyProtection="1">
      <protection locked="0"/>
    </xf>
    <xf numFmtId="43" fontId="12" fillId="6" borderId="10" xfId="1" applyFont="1" applyFill="1" applyBorder="1" applyProtection="1">
      <protection locked="0"/>
    </xf>
    <xf numFmtId="43" fontId="12" fillId="6" borderId="0" xfId="1" applyFont="1" applyFill="1" applyBorder="1"/>
    <xf numFmtId="43" fontId="12" fillId="6" borderId="10" xfId="1" applyFont="1" applyFill="1" applyBorder="1"/>
    <xf numFmtId="43" fontId="12" fillId="6" borderId="12" xfId="1" applyFont="1" applyFill="1" applyBorder="1" applyProtection="1">
      <protection locked="0"/>
    </xf>
    <xf numFmtId="43" fontId="12" fillId="6" borderId="13" xfId="1" applyFont="1" applyFill="1" applyBorder="1" applyProtection="1">
      <protection locked="0"/>
    </xf>
    <xf numFmtId="0" fontId="20" fillId="4" borderId="0" xfId="0" applyFont="1" applyFill="1" applyAlignment="1">
      <alignment horizontal="center"/>
    </xf>
    <xf numFmtId="164" fontId="20" fillId="4" borderId="0" xfId="2" applyNumberFormat="1" applyFont="1" applyFill="1" applyAlignment="1">
      <alignment horizontal="center"/>
    </xf>
    <xf numFmtId="165" fontId="20" fillId="4" borderId="0" xfId="1" applyNumberFormat="1" applyFont="1" applyFill="1" applyAlignment="1">
      <alignment horizontal="center"/>
    </xf>
    <xf numFmtId="0" fontId="14" fillId="4" borderId="14" xfId="0" applyFont="1" applyFill="1" applyBorder="1"/>
    <xf numFmtId="0" fontId="14" fillId="4" borderId="16" xfId="0" applyFont="1" applyFill="1" applyBorder="1"/>
    <xf numFmtId="0" fontId="14" fillId="4" borderId="0" xfId="0" applyFont="1" applyFill="1"/>
    <xf numFmtId="165" fontId="12" fillId="4" borderId="14" xfId="1" applyNumberFormat="1" applyFont="1" applyFill="1" applyBorder="1"/>
    <xf numFmtId="165" fontId="12" fillId="4" borderId="18" xfId="1" applyNumberFormat="1" applyFont="1" applyFill="1" applyBorder="1"/>
    <xf numFmtId="165" fontId="12" fillId="4" borderId="16" xfId="1" applyNumberFormat="1" applyFont="1" applyFill="1" applyBorder="1"/>
    <xf numFmtId="165" fontId="14" fillId="4" borderId="2" xfId="1" applyNumberFormat="1" applyFont="1" applyFill="1" applyBorder="1"/>
    <xf numFmtId="0" fontId="12" fillId="4" borderId="14" xfId="0" applyFont="1" applyFill="1" applyBorder="1"/>
    <xf numFmtId="0" fontId="12" fillId="4" borderId="18" xfId="0" applyFont="1" applyFill="1" applyBorder="1"/>
    <xf numFmtId="0" fontId="12" fillId="4" borderId="16" xfId="0" applyFont="1" applyFill="1" applyBorder="1"/>
    <xf numFmtId="165" fontId="12" fillId="5" borderId="17" xfId="1" applyNumberFormat="1" applyFont="1" applyFill="1" applyBorder="1"/>
    <xf numFmtId="165" fontId="12" fillId="5" borderId="19" xfId="1" applyNumberFormat="1" applyFont="1" applyFill="1" applyBorder="1"/>
    <xf numFmtId="165" fontId="12" fillId="5" borderId="20" xfId="1" applyNumberFormat="1" applyFont="1" applyFill="1" applyBorder="1"/>
    <xf numFmtId="165" fontId="12" fillId="4" borderId="3" xfId="1" applyNumberFormat="1" applyFont="1" applyFill="1" applyBorder="1"/>
    <xf numFmtId="165" fontId="12" fillId="5" borderId="3" xfId="1" applyNumberFormat="1" applyFont="1" applyFill="1" applyBorder="1"/>
    <xf numFmtId="165" fontId="14" fillId="5" borderId="2" xfId="1" applyNumberFormat="1" applyFont="1" applyFill="1" applyBorder="1"/>
    <xf numFmtId="165" fontId="14" fillId="4" borderId="0" xfId="1" applyNumberFormat="1" applyFont="1" applyFill="1" applyBorder="1"/>
    <xf numFmtId="165" fontId="21" fillId="7" borderId="21" xfId="1" applyNumberFormat="1" applyFont="1" applyFill="1" applyBorder="1"/>
    <xf numFmtId="0" fontId="21" fillId="7" borderId="23" xfId="0" applyFont="1" applyFill="1" applyBorder="1" applyAlignment="1">
      <alignment horizontal="right"/>
    </xf>
    <xf numFmtId="165" fontId="21" fillId="5" borderId="22" xfId="1" applyNumberFormat="1" applyFont="1" applyFill="1" applyBorder="1"/>
    <xf numFmtId="165" fontId="12" fillId="3" borderId="15" xfId="1" applyNumberFormat="1" applyFont="1" applyFill="1" applyBorder="1" applyProtection="1">
      <protection locked="0"/>
    </xf>
    <xf numFmtId="165" fontId="12" fillId="3" borderId="0" xfId="1" applyNumberFormat="1" applyFont="1" applyFill="1" applyBorder="1" applyProtection="1">
      <protection locked="0"/>
    </xf>
    <xf numFmtId="165" fontId="12" fillId="3" borderId="2" xfId="1" applyNumberFormat="1" applyFont="1" applyFill="1" applyBorder="1" applyProtection="1">
      <protection locked="0"/>
    </xf>
    <xf numFmtId="164" fontId="12" fillId="3" borderId="0" xfId="2" applyNumberFormat="1" applyFont="1" applyFill="1" applyAlignment="1" applyProtection="1">
      <alignment vertical="top"/>
      <protection locked="0"/>
    </xf>
    <xf numFmtId="165" fontId="12" fillId="3" borderId="0" xfId="1" applyNumberFormat="1" applyFont="1" applyFill="1" applyAlignment="1" applyProtection="1">
      <alignment vertical="top"/>
      <protection locked="0"/>
    </xf>
    <xf numFmtId="165" fontId="12" fillId="3" borderId="0" xfId="1" applyNumberFormat="1" applyFont="1" applyFill="1" applyProtection="1">
      <protection locked="0"/>
    </xf>
    <xf numFmtId="165" fontId="14" fillId="3" borderId="15" xfId="1" applyNumberFormat="1" applyFont="1" applyFill="1" applyBorder="1" applyProtection="1">
      <protection locked="0"/>
    </xf>
    <xf numFmtId="165" fontId="14" fillId="3" borderId="2" xfId="1" applyNumberFormat="1" applyFont="1" applyFill="1" applyBorder="1" applyProtection="1">
      <protection locked="0"/>
    </xf>
    <xf numFmtId="165" fontId="12" fillId="4" borderId="0" xfId="1" applyNumberFormat="1" applyFont="1" applyFill="1" applyProtection="1">
      <protection locked="0"/>
    </xf>
    <xf numFmtId="0" fontId="14" fillId="4" borderId="0" xfId="0" applyFont="1" applyFill="1" applyAlignment="1">
      <alignment horizontal="center"/>
    </xf>
    <xf numFmtId="164" fontId="14" fillId="4" borderId="0" xfId="2" applyNumberFormat="1" applyFont="1" applyFill="1" applyAlignment="1">
      <alignment horizontal="center"/>
    </xf>
    <xf numFmtId="165" fontId="14" fillId="4" borderId="0" xfId="1" applyNumberFormat="1" applyFont="1" applyFill="1" applyAlignment="1">
      <alignment horizontal="center"/>
    </xf>
    <xf numFmtId="0" fontId="14" fillId="4" borderId="0" xfId="3" applyNumberFormat="1" applyFont="1" applyFill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4" borderId="0" xfId="0" applyFont="1" applyFill="1" applyAlignment="1">
      <alignment horizontal="left" indent="1"/>
    </xf>
    <xf numFmtId="0" fontId="2" fillId="4" borderId="0" xfId="0" applyFont="1" applyFill="1"/>
    <xf numFmtId="165" fontId="2" fillId="4" borderId="0" xfId="1" applyNumberFormat="1" applyFont="1" applyFill="1"/>
    <xf numFmtId="0" fontId="12" fillId="8" borderId="0" xfId="0" applyFont="1" applyFill="1"/>
    <xf numFmtId="0" fontId="1" fillId="4" borderId="0" xfId="0" applyFont="1" applyFill="1"/>
    <xf numFmtId="41" fontId="23" fillId="4" borderId="0" xfId="4" applyFont="1" applyFill="1" applyAlignment="1">
      <alignment horizontal="center"/>
    </xf>
    <xf numFmtId="41" fontId="24" fillId="4" borderId="0" xfId="4" applyFont="1" applyFill="1"/>
    <xf numFmtId="166" fontId="25" fillId="4" borderId="0" xfId="4" applyNumberFormat="1" applyFont="1" applyFill="1" applyAlignment="1">
      <alignment horizontal="center" vertical="center"/>
    </xf>
    <xf numFmtId="166" fontId="26" fillId="4" borderId="0" xfId="4" applyNumberFormat="1" applyFont="1" applyFill="1" applyAlignment="1">
      <alignment horizontal="center" vertical="center"/>
    </xf>
    <xf numFmtId="0" fontId="27" fillId="4" borderId="0" xfId="0" applyFont="1" applyFill="1"/>
    <xf numFmtId="41" fontId="27" fillId="4" borderId="0" xfId="4" applyFont="1" applyFill="1"/>
  </cellXfs>
  <cellStyles count="5">
    <cellStyle name="Comma" xfId="1" builtinId="3"/>
    <cellStyle name="Currency" xfId="2" builtinId="4"/>
    <cellStyle name="Normal" xfId="0" builtinId="0"/>
    <cellStyle name="Normal 2" xfId="4" xr:uid="{D1FDD8DB-D7EF-47F8-8265-73EDE24BE876}"/>
    <cellStyle name="Normal 3" xfId="3" xr:uid="{0C1402FF-2631-4ABD-BC9C-11F7C5A2F56F}"/>
  </cellStyles>
  <dxfs count="0"/>
  <tableStyles count="0" defaultTableStyle="TableStyleMedium2" defaultPivotStyle="PivotStyleLight16"/>
  <colors>
    <mruColors>
      <color rgb="FFE4DFE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B5-DCB2-4F56-A6B6-13460EAB48DD}">
  <dimension ref="A1:Q75"/>
  <sheetViews>
    <sheetView tabSelected="1" zoomScaleNormal="100" zoomScaleSheetLayoutView="220" workbookViewId="0">
      <selection activeCell="C19" sqref="C19"/>
    </sheetView>
  </sheetViews>
  <sheetFormatPr defaultRowHeight="32.5" x14ac:dyDescent="0.6"/>
  <cols>
    <col min="1" max="1" width="92.1796875" style="113" bestFit="1" customWidth="1"/>
    <col min="2" max="4" width="8.7265625" style="113"/>
    <col min="5" max="5" width="22.26953125" style="113" bestFit="1" customWidth="1"/>
    <col min="6" max="16" width="8.7265625" style="113"/>
    <col min="17" max="17" width="158.6328125" style="113" customWidth="1"/>
    <col min="18" max="16384" width="8.7265625" style="113"/>
  </cols>
  <sheetData>
    <row r="1" spans="1:17" ht="44" x14ac:dyDescent="0.8">
      <c r="A1" s="112" t="str">
        <f>'LIK Budget 2026'!B1</f>
        <v>Operating Budget</v>
      </c>
      <c r="Q1" s="117" t="s">
        <v>124</v>
      </c>
    </row>
    <row r="2" spans="1:17" ht="36.5" x14ac:dyDescent="0.6">
      <c r="A2" s="114" t="str">
        <f>'LIK Budget 2026'!B2</f>
        <v>Korman Commercial Properties, Inc.</v>
      </c>
    </row>
    <row r="3" spans="1:17" x14ac:dyDescent="0.6">
      <c r="A3" s="115">
        <f>'LIK Budget 2026'!O1</f>
        <v>46023</v>
      </c>
    </row>
    <row r="54" spans="3:3" x14ac:dyDescent="0.6">
      <c r="C54" s="113">
        <f>+C16-C52</f>
        <v>0</v>
      </c>
    </row>
    <row r="69" spans="15:15" x14ac:dyDescent="0.6">
      <c r="O69" s="113">
        <f>SUM(C69:N69)</f>
        <v>0</v>
      </c>
    </row>
    <row r="75" spans="15:15" x14ac:dyDescent="0.6">
      <c r="O75" s="113">
        <f>SUM(O61:O73)</f>
        <v>0</v>
      </c>
    </row>
  </sheetData>
  <printOptions horizontalCentered="1" verticalCentered="1"/>
  <pageMargins left="0.25" right="0.25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F9F8-5406-44EC-AB4A-AF7FA0A208A8}">
  <sheetPr>
    <pageSetUpPr fitToPage="1"/>
  </sheetPr>
  <dimension ref="A1:S80"/>
  <sheetViews>
    <sheetView tabSelected="1" topLeftCell="A3" zoomScaleNormal="100" workbookViewId="0">
      <selection activeCell="C19" sqref="C19"/>
    </sheetView>
  </sheetViews>
  <sheetFormatPr defaultRowHeight="16" x14ac:dyDescent="0.35"/>
  <cols>
    <col min="1" max="1" width="10" style="29" bestFit="1" customWidth="1"/>
    <col min="2" max="2" width="29.453125" style="29" bestFit="1" customWidth="1"/>
    <col min="3" max="3" width="13.6328125" style="29" bestFit="1" customWidth="1"/>
    <col min="4" max="4" width="14.453125" style="29" bestFit="1" customWidth="1"/>
    <col min="5" max="14" width="13.6328125" style="29" bestFit="1" customWidth="1"/>
    <col min="15" max="15" width="13.08984375" style="29" bestFit="1" customWidth="1"/>
    <col min="16" max="16" width="7.90625" style="100" hidden="1" customWidth="1"/>
    <col min="17" max="17" width="158.6328125" style="29" customWidth="1"/>
    <col min="18" max="18" width="11.54296875" style="29" bestFit="1" customWidth="1"/>
    <col min="19" max="16384" width="8.7265625" style="29"/>
  </cols>
  <sheetData>
    <row r="1" spans="1:19" ht="29" x14ac:dyDescent="0.35">
      <c r="A1" s="59">
        <v>2010</v>
      </c>
      <c r="B1" s="53" t="s">
        <v>109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52">
        <f>DATE(2026,1,1)</f>
        <v>46023</v>
      </c>
      <c r="Q1" s="116" t="s">
        <v>124</v>
      </c>
    </row>
    <row r="2" spans="1:19" x14ac:dyDescent="0.35">
      <c r="B2" s="54" t="s">
        <v>110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spans="1:19" ht="18" x14ac:dyDescent="0.35">
      <c r="A4" s="68"/>
      <c r="C4" s="50" t="s">
        <v>98</v>
      </c>
      <c r="D4" s="50" t="s">
        <v>97</v>
      </c>
      <c r="E4" s="50" t="s">
        <v>99</v>
      </c>
      <c r="F4" s="50" t="s">
        <v>100</v>
      </c>
      <c r="G4" s="50" t="s">
        <v>101</v>
      </c>
      <c r="H4" s="50" t="s">
        <v>102</v>
      </c>
      <c r="I4" s="50" t="s">
        <v>103</v>
      </c>
      <c r="J4" s="50" t="s">
        <v>104</v>
      </c>
      <c r="K4" s="50" t="s">
        <v>105</v>
      </c>
      <c r="L4" s="50" t="s">
        <v>106</v>
      </c>
      <c r="M4" s="50" t="s">
        <v>107</v>
      </c>
      <c r="N4" s="50" t="s">
        <v>108</v>
      </c>
      <c r="O4" s="51" t="s">
        <v>1</v>
      </c>
      <c r="P4" s="55" t="s">
        <v>111</v>
      </c>
      <c r="Q4" s="56" t="s">
        <v>112</v>
      </c>
    </row>
    <row r="5" spans="1:19" x14ac:dyDescent="0.35">
      <c r="A5" s="68"/>
      <c r="B5" s="31" t="s">
        <v>2</v>
      </c>
      <c r="O5" s="45"/>
    </row>
    <row r="6" spans="1:19" s="32" customFormat="1" x14ac:dyDescent="0.35">
      <c r="A6" s="69"/>
      <c r="B6" s="78" t="s">
        <v>29</v>
      </c>
      <c r="C6" s="91">
        <v>5984</v>
      </c>
      <c r="D6" s="91">
        <v>5936</v>
      </c>
      <c r="E6" s="91">
        <v>5866</v>
      </c>
      <c r="F6" s="91">
        <v>5188</v>
      </c>
      <c r="G6" s="91">
        <v>5172</v>
      </c>
      <c r="H6" s="91">
        <v>5188</v>
      </c>
      <c r="I6" s="91">
        <v>4939</v>
      </c>
      <c r="J6" s="91">
        <v>5153</v>
      </c>
      <c r="K6" s="91">
        <v>5125</v>
      </c>
      <c r="L6" s="91">
        <v>4470</v>
      </c>
      <c r="M6" s="91">
        <v>4573</v>
      </c>
      <c r="N6" s="91">
        <v>4842</v>
      </c>
      <c r="O6" s="81">
        <f t="shared" ref="O6:O14" si="0">SUM(C6:N6)</f>
        <v>62436</v>
      </c>
      <c r="P6" s="101" t="s">
        <v>116</v>
      </c>
      <c r="Q6" s="108" t="s">
        <v>119</v>
      </c>
    </row>
    <row r="7" spans="1:19" x14ac:dyDescent="0.35">
      <c r="A7" s="68"/>
      <c r="B7" s="79" t="s">
        <v>3</v>
      </c>
      <c r="C7" s="92">
        <v>19528</v>
      </c>
      <c r="D7" s="92">
        <v>19384</v>
      </c>
      <c r="E7" s="92">
        <v>20166</v>
      </c>
      <c r="F7" s="92">
        <v>20622</v>
      </c>
      <c r="G7" s="92">
        <v>20721</v>
      </c>
      <c r="H7" s="92">
        <v>21079</v>
      </c>
      <c r="I7" s="92">
        <v>20850</v>
      </c>
      <c r="J7" s="92">
        <v>20792</v>
      </c>
      <c r="K7" s="92">
        <v>20734</v>
      </c>
      <c r="L7" s="92">
        <v>20542</v>
      </c>
      <c r="M7" s="92">
        <v>20155</v>
      </c>
      <c r="N7" s="92">
        <v>21612</v>
      </c>
      <c r="O7" s="82">
        <f t="shared" si="0"/>
        <v>246185</v>
      </c>
      <c r="P7" s="102" t="s">
        <v>116</v>
      </c>
      <c r="Q7" s="108" t="s">
        <v>119</v>
      </c>
      <c r="R7" s="34"/>
      <c r="S7" s="34"/>
    </row>
    <row r="8" spans="1:19" x14ac:dyDescent="0.35">
      <c r="A8" s="68"/>
      <c r="B8" s="79" t="s">
        <v>30</v>
      </c>
      <c r="C8" s="92">
        <v>34542</v>
      </c>
      <c r="D8" s="92">
        <v>33922</v>
      </c>
      <c r="E8" s="92">
        <v>33949</v>
      </c>
      <c r="F8" s="92">
        <v>34508</v>
      </c>
      <c r="G8" s="92">
        <v>34257</v>
      </c>
      <c r="H8" s="92">
        <v>34451</v>
      </c>
      <c r="I8" s="92">
        <v>35098</v>
      </c>
      <c r="J8" s="92">
        <v>34781</v>
      </c>
      <c r="K8" s="92">
        <v>34853</v>
      </c>
      <c r="L8" s="92">
        <v>35377</v>
      </c>
      <c r="M8" s="92">
        <v>35389</v>
      </c>
      <c r="N8" s="92">
        <v>37996</v>
      </c>
      <c r="O8" s="82">
        <f t="shared" si="0"/>
        <v>419123</v>
      </c>
      <c r="P8" s="102" t="s">
        <v>116</v>
      </c>
      <c r="Q8" s="108" t="s">
        <v>119</v>
      </c>
    </row>
    <row r="9" spans="1:19" s="33" customFormat="1" x14ac:dyDescent="0.35">
      <c r="A9" s="70"/>
      <c r="B9" s="80" t="s">
        <v>66</v>
      </c>
      <c r="C9" s="93">
        <v>0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83">
        <f t="shared" si="0"/>
        <v>0</v>
      </c>
      <c r="P9" s="102"/>
      <c r="Q9" s="109" t="s">
        <v>120</v>
      </c>
    </row>
    <row r="10" spans="1:19" x14ac:dyDescent="0.35">
      <c r="A10" s="68" t="s">
        <v>86</v>
      </c>
      <c r="B10" s="29" t="s">
        <v>87</v>
      </c>
      <c r="C10" s="77">
        <f>SUM(C6:C9)</f>
        <v>60054</v>
      </c>
      <c r="D10" s="77">
        <f t="shared" ref="D10:O10" si="1">SUM(D6:D9)</f>
        <v>59242</v>
      </c>
      <c r="E10" s="77">
        <f t="shared" si="1"/>
        <v>59981</v>
      </c>
      <c r="F10" s="77">
        <f t="shared" si="1"/>
        <v>60318</v>
      </c>
      <c r="G10" s="77">
        <f t="shared" si="1"/>
        <v>60150</v>
      </c>
      <c r="H10" s="77">
        <f t="shared" si="1"/>
        <v>60718</v>
      </c>
      <c r="I10" s="77">
        <f t="shared" si="1"/>
        <v>60887</v>
      </c>
      <c r="J10" s="77">
        <f t="shared" si="1"/>
        <v>60726</v>
      </c>
      <c r="K10" s="77">
        <f t="shared" si="1"/>
        <v>60712</v>
      </c>
      <c r="L10" s="77">
        <f t="shared" si="1"/>
        <v>60389</v>
      </c>
      <c r="M10" s="77">
        <f t="shared" si="1"/>
        <v>60117</v>
      </c>
      <c r="N10" s="77">
        <f t="shared" si="1"/>
        <v>64450</v>
      </c>
      <c r="O10" s="46">
        <f t="shared" si="1"/>
        <v>727744</v>
      </c>
      <c r="P10" s="102"/>
    </row>
    <row r="11" spans="1:19" x14ac:dyDescent="0.35">
      <c r="A11" s="68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47"/>
      <c r="P11" s="102"/>
    </row>
    <row r="12" spans="1:19" x14ac:dyDescent="0.35">
      <c r="A12" s="68" t="s">
        <v>79</v>
      </c>
      <c r="B12" s="29" t="s">
        <v>31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5">
        <v>9500</v>
      </c>
      <c r="O12" s="47">
        <f t="shared" si="0"/>
        <v>9500</v>
      </c>
      <c r="P12" s="102"/>
      <c r="Q12" s="110" t="s">
        <v>113</v>
      </c>
    </row>
    <row r="13" spans="1:19" x14ac:dyDescent="0.35">
      <c r="A13" s="68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6"/>
      <c r="O13" s="47"/>
      <c r="P13" s="102"/>
    </row>
    <row r="14" spans="1:19" x14ac:dyDescent="0.35">
      <c r="A14" s="68" t="s">
        <v>88</v>
      </c>
      <c r="B14" s="29" t="s">
        <v>4</v>
      </c>
      <c r="C14" s="96">
        <v>2000</v>
      </c>
      <c r="D14" s="96">
        <v>2000</v>
      </c>
      <c r="E14" s="96">
        <v>2000</v>
      </c>
      <c r="F14" s="96">
        <v>2000</v>
      </c>
      <c r="G14" s="96">
        <v>2000</v>
      </c>
      <c r="H14" s="96">
        <v>2000</v>
      </c>
      <c r="I14" s="96">
        <v>2000</v>
      </c>
      <c r="J14" s="96">
        <v>2000</v>
      </c>
      <c r="K14" s="96">
        <v>2000</v>
      </c>
      <c r="L14" s="96">
        <v>2000</v>
      </c>
      <c r="M14" s="96">
        <v>2000</v>
      </c>
      <c r="N14" s="96">
        <v>2000</v>
      </c>
      <c r="O14" s="47">
        <f t="shared" si="0"/>
        <v>24000</v>
      </c>
      <c r="P14" s="102"/>
      <c r="Q14" s="29" t="s">
        <v>114</v>
      </c>
    </row>
    <row r="15" spans="1:19" ht="16.5" thickBot="1" x14ac:dyDescent="0.4">
      <c r="A15" s="68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8"/>
    </row>
    <row r="16" spans="1:19" ht="18" thickBot="1" x14ac:dyDescent="0.4">
      <c r="A16" s="68"/>
      <c r="B16" s="89" t="s">
        <v>115</v>
      </c>
      <c r="C16" s="88">
        <f>SUM(C10:C15)</f>
        <v>62054</v>
      </c>
      <c r="D16" s="88">
        <f>SUM(D10:D15)</f>
        <v>61242</v>
      </c>
      <c r="E16" s="88">
        <f t="shared" ref="E16:O16" si="2">SUM(E10:E15)</f>
        <v>61981</v>
      </c>
      <c r="F16" s="88">
        <f t="shared" si="2"/>
        <v>62318</v>
      </c>
      <c r="G16" s="88">
        <f t="shared" si="2"/>
        <v>62150</v>
      </c>
      <c r="H16" s="88">
        <f t="shared" si="2"/>
        <v>62718</v>
      </c>
      <c r="I16" s="88">
        <f t="shared" si="2"/>
        <v>62887</v>
      </c>
      <c r="J16" s="88">
        <f t="shared" si="2"/>
        <v>62726</v>
      </c>
      <c r="K16" s="88">
        <f t="shared" si="2"/>
        <v>62712</v>
      </c>
      <c r="L16" s="88">
        <f t="shared" si="2"/>
        <v>62389</v>
      </c>
      <c r="M16" s="88">
        <f t="shared" si="2"/>
        <v>62117</v>
      </c>
      <c r="N16" s="88">
        <f t="shared" si="2"/>
        <v>75950</v>
      </c>
      <c r="O16" s="90">
        <f t="shared" si="2"/>
        <v>761244</v>
      </c>
    </row>
    <row r="17" spans="1:18" x14ac:dyDescent="0.35">
      <c r="A17" s="68"/>
      <c r="O17" s="45"/>
    </row>
    <row r="18" spans="1:18" x14ac:dyDescent="0.35">
      <c r="A18" s="68"/>
      <c r="B18" s="31" t="s">
        <v>6</v>
      </c>
      <c r="O18" s="47"/>
    </row>
    <row r="19" spans="1:18" x14ac:dyDescent="0.35">
      <c r="A19" s="68" t="s">
        <v>80</v>
      </c>
      <c r="B19" s="29" t="s">
        <v>33</v>
      </c>
      <c r="C19" s="96">
        <v>22780</v>
      </c>
      <c r="D19" s="96">
        <f>C19</f>
        <v>22780</v>
      </c>
      <c r="E19" s="96">
        <f t="shared" ref="E19:N19" si="3">D19</f>
        <v>22780</v>
      </c>
      <c r="F19" s="96">
        <f t="shared" si="3"/>
        <v>22780</v>
      </c>
      <c r="G19" s="96">
        <f t="shared" si="3"/>
        <v>22780</v>
      </c>
      <c r="H19" s="96">
        <f t="shared" si="3"/>
        <v>22780</v>
      </c>
      <c r="I19" s="96">
        <f t="shared" si="3"/>
        <v>22780</v>
      </c>
      <c r="J19" s="96">
        <f t="shared" si="3"/>
        <v>22780</v>
      </c>
      <c r="K19" s="96">
        <f t="shared" si="3"/>
        <v>22780</v>
      </c>
      <c r="L19" s="96">
        <f t="shared" si="3"/>
        <v>22780</v>
      </c>
      <c r="M19" s="96">
        <f t="shared" si="3"/>
        <v>22780</v>
      </c>
      <c r="N19" s="96">
        <f t="shared" si="3"/>
        <v>22780</v>
      </c>
      <c r="O19" s="47">
        <f t="shared" ref="O19:O39" si="4">SUM(C19:N19)</f>
        <v>273360</v>
      </c>
      <c r="P19" s="102" t="s">
        <v>116</v>
      </c>
      <c r="Q19" s="108" t="s">
        <v>118</v>
      </c>
      <c r="R19" s="38"/>
    </row>
    <row r="20" spans="1:18" x14ac:dyDescent="0.35">
      <c r="A20" s="68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47"/>
      <c r="P20" s="102"/>
      <c r="R20" s="38"/>
    </row>
    <row r="21" spans="1:18" x14ac:dyDescent="0.35">
      <c r="A21" s="68"/>
      <c r="B21" s="71" t="s">
        <v>8</v>
      </c>
      <c r="C21" s="97">
        <v>5924</v>
      </c>
      <c r="D21" s="97">
        <f>+C21</f>
        <v>5924</v>
      </c>
      <c r="E21" s="97">
        <f t="shared" ref="E21:N25" si="5">+D21</f>
        <v>5924</v>
      </c>
      <c r="F21" s="97">
        <f t="shared" si="5"/>
        <v>5924</v>
      </c>
      <c r="G21" s="97">
        <f>+F21+7800</f>
        <v>13724</v>
      </c>
      <c r="H21" s="97">
        <f>+F21</f>
        <v>5924</v>
      </c>
      <c r="I21" s="97">
        <f t="shared" si="5"/>
        <v>5924</v>
      </c>
      <c r="J21" s="97">
        <f t="shared" si="5"/>
        <v>5924</v>
      </c>
      <c r="K21" s="97">
        <v>5924</v>
      </c>
      <c r="L21" s="97">
        <f t="shared" si="5"/>
        <v>5924</v>
      </c>
      <c r="M21" s="97">
        <f t="shared" si="5"/>
        <v>5924</v>
      </c>
      <c r="N21" s="97">
        <f t="shared" si="5"/>
        <v>5924</v>
      </c>
      <c r="O21" s="81">
        <f t="shared" si="4"/>
        <v>78888</v>
      </c>
      <c r="P21" s="102" t="s">
        <v>116</v>
      </c>
      <c r="Q21" s="29" t="s">
        <v>117</v>
      </c>
    </row>
    <row r="22" spans="1:18" x14ac:dyDescent="0.35">
      <c r="A22" s="68"/>
      <c r="B22" s="72" t="s">
        <v>9</v>
      </c>
      <c r="C22" s="98">
        <v>500</v>
      </c>
      <c r="D22" s="98">
        <f>+C22</f>
        <v>500</v>
      </c>
      <c r="E22" s="98">
        <f t="shared" si="5"/>
        <v>500</v>
      </c>
      <c r="F22" s="98">
        <f t="shared" si="5"/>
        <v>500</v>
      </c>
      <c r="G22" s="98">
        <f t="shared" si="5"/>
        <v>500</v>
      </c>
      <c r="H22" s="98">
        <f t="shared" si="5"/>
        <v>500</v>
      </c>
      <c r="I22" s="98">
        <f t="shared" si="5"/>
        <v>500</v>
      </c>
      <c r="J22" s="98">
        <f t="shared" si="5"/>
        <v>500</v>
      </c>
      <c r="K22" s="98">
        <f t="shared" si="5"/>
        <v>500</v>
      </c>
      <c r="L22" s="98">
        <f t="shared" si="5"/>
        <v>500</v>
      </c>
      <c r="M22" s="98">
        <f t="shared" si="5"/>
        <v>500</v>
      </c>
      <c r="N22" s="98">
        <f t="shared" si="5"/>
        <v>500</v>
      </c>
      <c r="O22" s="83">
        <f t="shared" si="4"/>
        <v>6000</v>
      </c>
      <c r="P22" s="102"/>
      <c r="Q22" s="111" t="s">
        <v>123</v>
      </c>
    </row>
    <row r="23" spans="1:18" x14ac:dyDescent="0.35">
      <c r="A23" s="68" t="s">
        <v>81</v>
      </c>
      <c r="B23" s="73" t="s">
        <v>7</v>
      </c>
      <c r="C23" s="77">
        <f>SUM(C21:C22)</f>
        <v>6424</v>
      </c>
      <c r="D23" s="77">
        <f t="shared" ref="D23:O23" si="6">SUM(D21:D22)</f>
        <v>6424</v>
      </c>
      <c r="E23" s="77">
        <f t="shared" si="6"/>
        <v>6424</v>
      </c>
      <c r="F23" s="77">
        <f t="shared" si="6"/>
        <v>6424</v>
      </c>
      <c r="G23" s="77">
        <f t="shared" si="6"/>
        <v>14224</v>
      </c>
      <c r="H23" s="77">
        <f t="shared" si="6"/>
        <v>6424</v>
      </c>
      <c r="I23" s="77">
        <f t="shared" si="6"/>
        <v>6424</v>
      </c>
      <c r="J23" s="77">
        <f t="shared" si="6"/>
        <v>6424</v>
      </c>
      <c r="K23" s="77">
        <f t="shared" si="6"/>
        <v>6424</v>
      </c>
      <c r="L23" s="77">
        <f t="shared" si="6"/>
        <v>6424</v>
      </c>
      <c r="M23" s="77">
        <f t="shared" si="6"/>
        <v>6424</v>
      </c>
      <c r="N23" s="77">
        <f t="shared" si="6"/>
        <v>6424</v>
      </c>
      <c r="O23" s="86">
        <f t="shared" si="6"/>
        <v>84888</v>
      </c>
      <c r="P23" s="102"/>
      <c r="Q23" s="57"/>
    </row>
    <row r="24" spans="1:18" x14ac:dyDescent="0.35">
      <c r="A24" s="68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49"/>
      <c r="P24" s="102"/>
      <c r="Q24" s="57"/>
    </row>
    <row r="25" spans="1:18" x14ac:dyDescent="0.35">
      <c r="A25" s="68" t="s">
        <v>82</v>
      </c>
      <c r="B25" s="29" t="s">
        <v>10</v>
      </c>
      <c r="C25" s="96">
        <v>100</v>
      </c>
      <c r="D25" s="96">
        <f>+C25</f>
        <v>100</v>
      </c>
      <c r="E25" s="96">
        <f t="shared" si="5"/>
        <v>100</v>
      </c>
      <c r="F25" s="96">
        <f t="shared" si="5"/>
        <v>100</v>
      </c>
      <c r="G25" s="96">
        <f t="shared" si="5"/>
        <v>100</v>
      </c>
      <c r="H25" s="96">
        <f t="shared" si="5"/>
        <v>100</v>
      </c>
      <c r="I25" s="96">
        <f t="shared" si="5"/>
        <v>100</v>
      </c>
      <c r="J25" s="96">
        <f t="shared" si="5"/>
        <v>100</v>
      </c>
      <c r="K25" s="96">
        <f t="shared" si="5"/>
        <v>100</v>
      </c>
      <c r="L25" s="96">
        <f t="shared" si="5"/>
        <v>100</v>
      </c>
      <c r="M25" s="96">
        <f t="shared" si="5"/>
        <v>100</v>
      </c>
      <c r="N25" s="96">
        <f t="shared" si="5"/>
        <v>100</v>
      </c>
      <c r="O25" s="47">
        <f t="shared" si="4"/>
        <v>1200</v>
      </c>
      <c r="P25" s="102"/>
      <c r="Q25" s="29" t="s">
        <v>47</v>
      </c>
    </row>
    <row r="26" spans="1:18" x14ac:dyDescent="0.35">
      <c r="A26" s="68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47"/>
      <c r="P26" s="102"/>
    </row>
    <row r="27" spans="1:18" x14ac:dyDescent="0.35">
      <c r="A27" s="68"/>
      <c r="B27" s="74" t="s">
        <v>12</v>
      </c>
      <c r="C27" s="91"/>
      <c r="D27" s="91"/>
      <c r="E27" s="91"/>
      <c r="F27" s="91">
        <v>1600</v>
      </c>
      <c r="G27" s="91"/>
      <c r="H27" s="91"/>
      <c r="I27" s="91"/>
      <c r="J27" s="91"/>
      <c r="K27" s="91"/>
      <c r="L27" s="91"/>
      <c r="M27" s="91"/>
      <c r="N27" s="91"/>
      <c r="O27" s="81">
        <f t="shared" si="4"/>
        <v>1600</v>
      </c>
      <c r="Q27" s="29" t="s">
        <v>51</v>
      </c>
    </row>
    <row r="28" spans="1:18" x14ac:dyDescent="0.35">
      <c r="A28" s="68"/>
      <c r="B28" s="75" t="s">
        <v>13</v>
      </c>
      <c r="C28" s="92"/>
      <c r="D28" s="92"/>
      <c r="E28" s="92"/>
      <c r="F28" s="92">
        <v>500</v>
      </c>
      <c r="G28" s="92"/>
      <c r="H28" s="92"/>
      <c r="I28" s="92"/>
      <c r="J28" s="92"/>
      <c r="K28" s="92"/>
      <c r="L28" s="92"/>
      <c r="M28" s="92"/>
      <c r="N28" s="92"/>
      <c r="O28" s="82">
        <f t="shared" si="4"/>
        <v>500</v>
      </c>
    </row>
    <row r="29" spans="1:18" x14ac:dyDescent="0.35">
      <c r="A29" s="68"/>
      <c r="B29" s="75" t="s">
        <v>14</v>
      </c>
      <c r="C29" s="92"/>
      <c r="D29" s="92"/>
      <c r="E29" s="92"/>
      <c r="F29" s="92"/>
      <c r="G29" s="92"/>
      <c r="H29" s="92"/>
      <c r="I29" s="92"/>
      <c r="J29" s="92">
        <v>50</v>
      </c>
      <c r="K29" s="92"/>
      <c r="L29" s="92"/>
      <c r="M29" s="92"/>
      <c r="N29" s="92"/>
      <c r="O29" s="82">
        <f t="shared" si="4"/>
        <v>50</v>
      </c>
    </row>
    <row r="30" spans="1:18" x14ac:dyDescent="0.35">
      <c r="A30" s="68"/>
      <c r="B30" s="76" t="s">
        <v>15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>
        <v>100</v>
      </c>
      <c r="O30" s="83">
        <f t="shared" si="4"/>
        <v>100</v>
      </c>
    </row>
    <row r="31" spans="1:18" x14ac:dyDescent="0.35">
      <c r="A31" s="68" t="s">
        <v>89</v>
      </c>
      <c r="B31" s="33" t="s">
        <v>11</v>
      </c>
      <c r="C31" s="77">
        <f>SUM(C27:C30)</f>
        <v>0</v>
      </c>
      <c r="D31" s="77">
        <f t="shared" ref="D31:N31" si="7">SUM(D27:D30)</f>
        <v>0</v>
      </c>
      <c r="E31" s="77">
        <f t="shared" si="7"/>
        <v>0</v>
      </c>
      <c r="F31" s="77">
        <f t="shared" si="7"/>
        <v>2100</v>
      </c>
      <c r="G31" s="77">
        <f t="shared" si="7"/>
        <v>0</v>
      </c>
      <c r="H31" s="77">
        <f t="shared" si="7"/>
        <v>0</v>
      </c>
      <c r="I31" s="77">
        <f t="shared" si="7"/>
        <v>0</v>
      </c>
      <c r="J31" s="77">
        <f t="shared" si="7"/>
        <v>50</v>
      </c>
      <c r="K31" s="77">
        <f t="shared" si="7"/>
        <v>0</v>
      </c>
      <c r="L31" s="77">
        <f t="shared" si="7"/>
        <v>0</v>
      </c>
      <c r="M31" s="77">
        <f t="shared" si="7"/>
        <v>0</v>
      </c>
      <c r="N31" s="77">
        <f t="shared" si="7"/>
        <v>100</v>
      </c>
      <c r="O31" s="86">
        <f>SUM(O27:O30)</f>
        <v>2250</v>
      </c>
      <c r="P31" s="102"/>
      <c r="Q31" s="29" t="s">
        <v>50</v>
      </c>
    </row>
    <row r="32" spans="1:18" x14ac:dyDescent="0.35">
      <c r="A32" s="6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47"/>
    </row>
    <row r="33" spans="1:17" x14ac:dyDescent="0.35">
      <c r="A33" s="68" t="s">
        <v>90</v>
      </c>
      <c r="B33" s="29" t="s">
        <v>16</v>
      </c>
      <c r="C33" s="96"/>
      <c r="D33" s="96"/>
      <c r="E33" s="96"/>
      <c r="F33" s="96"/>
      <c r="G33" s="96"/>
      <c r="H33" s="96"/>
      <c r="I33" s="96">
        <v>3300</v>
      </c>
      <c r="J33" s="96"/>
      <c r="K33" s="96"/>
      <c r="L33" s="96"/>
      <c r="M33" s="96">
        <v>300</v>
      </c>
      <c r="N33" s="96"/>
      <c r="O33" s="47">
        <f t="shared" si="4"/>
        <v>3600</v>
      </c>
      <c r="P33" s="102"/>
      <c r="Q33" s="29" t="s">
        <v>52</v>
      </c>
    </row>
    <row r="34" spans="1:17" x14ac:dyDescent="0.35">
      <c r="A34" s="68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47"/>
      <c r="P34" s="102"/>
    </row>
    <row r="35" spans="1:17" x14ac:dyDescent="0.35">
      <c r="A35" s="68" t="s">
        <v>91</v>
      </c>
      <c r="B35" s="29" t="s">
        <v>17</v>
      </c>
      <c r="C35" s="96"/>
      <c r="D35" s="96">
        <v>500</v>
      </c>
      <c r="E35" s="96"/>
      <c r="F35" s="96"/>
      <c r="G35" s="96">
        <v>500</v>
      </c>
      <c r="H35" s="96"/>
      <c r="I35" s="96"/>
      <c r="J35" s="96">
        <v>500</v>
      </c>
      <c r="K35" s="96"/>
      <c r="L35" s="96"/>
      <c r="M35" s="96">
        <v>500</v>
      </c>
      <c r="N35" s="96"/>
      <c r="O35" s="47">
        <f t="shared" si="4"/>
        <v>2000</v>
      </c>
      <c r="P35" s="102"/>
      <c r="Q35" s="29" t="s">
        <v>54</v>
      </c>
    </row>
    <row r="36" spans="1:17" x14ac:dyDescent="0.35">
      <c r="A36" s="68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47"/>
      <c r="P36" s="102"/>
    </row>
    <row r="37" spans="1:17" x14ac:dyDescent="0.35">
      <c r="A37" s="68"/>
      <c r="B37" s="78" t="s">
        <v>19</v>
      </c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81">
        <f t="shared" si="4"/>
        <v>0</v>
      </c>
    </row>
    <row r="38" spans="1:17" x14ac:dyDescent="0.35">
      <c r="A38" s="68"/>
      <c r="B38" s="79" t="s">
        <v>20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82">
        <f t="shared" si="4"/>
        <v>0</v>
      </c>
    </row>
    <row r="39" spans="1:17" x14ac:dyDescent="0.35">
      <c r="A39" s="68"/>
      <c r="B39" s="80" t="s">
        <v>21</v>
      </c>
      <c r="C39" s="93">
        <v>600</v>
      </c>
      <c r="D39" s="93">
        <v>600</v>
      </c>
      <c r="E39" s="93">
        <v>600</v>
      </c>
      <c r="F39" s="93">
        <v>600</v>
      </c>
      <c r="G39" s="93">
        <v>600</v>
      </c>
      <c r="H39" s="93">
        <v>600</v>
      </c>
      <c r="I39" s="93">
        <v>600</v>
      </c>
      <c r="J39" s="93">
        <v>600</v>
      </c>
      <c r="K39" s="93">
        <v>600</v>
      </c>
      <c r="L39" s="93">
        <v>600</v>
      </c>
      <c r="M39" s="93">
        <v>600</v>
      </c>
      <c r="N39" s="93">
        <v>600</v>
      </c>
      <c r="O39" s="83">
        <f t="shared" si="4"/>
        <v>7200</v>
      </c>
    </row>
    <row r="40" spans="1:17" x14ac:dyDescent="0.35">
      <c r="A40" s="68" t="s">
        <v>92</v>
      </c>
      <c r="B40" s="29" t="s">
        <v>18</v>
      </c>
      <c r="C40" s="84">
        <f>SUM(C37:C39)</f>
        <v>600</v>
      </c>
      <c r="D40" s="84">
        <f t="shared" ref="D40:O40" si="8">SUM(D37:D39)</f>
        <v>600</v>
      </c>
      <c r="E40" s="84">
        <f t="shared" si="8"/>
        <v>600</v>
      </c>
      <c r="F40" s="84">
        <f t="shared" si="8"/>
        <v>600</v>
      </c>
      <c r="G40" s="84">
        <f t="shared" si="8"/>
        <v>600</v>
      </c>
      <c r="H40" s="84">
        <f t="shared" si="8"/>
        <v>600</v>
      </c>
      <c r="I40" s="84">
        <f t="shared" si="8"/>
        <v>600</v>
      </c>
      <c r="J40" s="84">
        <f t="shared" si="8"/>
        <v>600</v>
      </c>
      <c r="K40" s="84">
        <f t="shared" si="8"/>
        <v>600</v>
      </c>
      <c r="L40" s="84">
        <f t="shared" si="8"/>
        <v>600</v>
      </c>
      <c r="M40" s="84">
        <f t="shared" si="8"/>
        <v>600</v>
      </c>
      <c r="N40" s="84">
        <f t="shared" si="8"/>
        <v>600</v>
      </c>
      <c r="O40" s="85">
        <f t="shared" si="8"/>
        <v>7200</v>
      </c>
      <c r="P40" s="102"/>
    </row>
    <row r="41" spans="1:17" x14ac:dyDescent="0.35">
      <c r="A41" s="68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47"/>
    </row>
    <row r="42" spans="1:17" x14ac:dyDescent="0.35">
      <c r="A42" s="68" t="s">
        <v>93</v>
      </c>
      <c r="B42" s="29" t="s">
        <v>23</v>
      </c>
      <c r="C42" s="96">
        <v>876</v>
      </c>
      <c r="D42" s="96">
        <f>+C42</f>
        <v>876</v>
      </c>
      <c r="E42" s="96">
        <f t="shared" ref="E42:N42" si="9">+D42</f>
        <v>876</v>
      </c>
      <c r="F42" s="96">
        <f t="shared" si="9"/>
        <v>876</v>
      </c>
      <c r="G42" s="96">
        <f t="shared" si="9"/>
        <v>876</v>
      </c>
      <c r="H42" s="96">
        <f t="shared" si="9"/>
        <v>876</v>
      </c>
      <c r="I42" s="96">
        <f t="shared" si="9"/>
        <v>876</v>
      </c>
      <c r="J42" s="96">
        <f t="shared" si="9"/>
        <v>876</v>
      </c>
      <c r="K42" s="96">
        <f t="shared" si="9"/>
        <v>876</v>
      </c>
      <c r="L42" s="96">
        <f t="shared" si="9"/>
        <v>876</v>
      </c>
      <c r="M42" s="96">
        <f t="shared" si="9"/>
        <v>876</v>
      </c>
      <c r="N42" s="96">
        <f t="shared" si="9"/>
        <v>876</v>
      </c>
      <c r="O42" s="47">
        <f>SUM(C42:N42)</f>
        <v>10512</v>
      </c>
      <c r="P42" s="102"/>
      <c r="Q42" s="29" t="s">
        <v>71</v>
      </c>
    </row>
    <row r="43" spans="1:17" x14ac:dyDescent="0.35">
      <c r="A43" s="68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47"/>
      <c r="P43" s="102"/>
    </row>
    <row r="44" spans="1:17" x14ac:dyDescent="0.35">
      <c r="A44" s="68" t="s">
        <v>93</v>
      </c>
      <c r="B44" s="29" t="s">
        <v>34</v>
      </c>
      <c r="C44" s="96">
        <v>500</v>
      </c>
      <c r="D44" s="96">
        <f>+C44</f>
        <v>500</v>
      </c>
      <c r="E44" s="96">
        <f t="shared" ref="E44" si="10">+D44</f>
        <v>500</v>
      </c>
      <c r="F44" s="96">
        <f t="shared" ref="F44" si="11">+E44</f>
        <v>500</v>
      </c>
      <c r="G44" s="96">
        <f t="shared" ref="G44" si="12">+F44</f>
        <v>500</v>
      </c>
      <c r="H44" s="96">
        <f t="shared" ref="H44" si="13">+G44</f>
        <v>500</v>
      </c>
      <c r="I44" s="96">
        <f t="shared" ref="I44" si="14">+H44</f>
        <v>500</v>
      </c>
      <c r="J44" s="96">
        <f t="shared" ref="J44" si="15">+I44</f>
        <v>500</v>
      </c>
      <c r="K44" s="96">
        <f t="shared" ref="K44" si="16">+J44</f>
        <v>500</v>
      </c>
      <c r="L44" s="96">
        <f t="shared" ref="L44" si="17">+K44</f>
        <v>500</v>
      </c>
      <c r="M44" s="96">
        <f t="shared" ref="M44" si="18">+L44</f>
        <v>500</v>
      </c>
      <c r="N44" s="96">
        <f t="shared" ref="N44" si="19">+M44</f>
        <v>500</v>
      </c>
      <c r="O44" s="47">
        <f>SUM(C44:N44)</f>
        <v>6000</v>
      </c>
      <c r="P44" s="102"/>
      <c r="Q44" s="108" t="s">
        <v>121</v>
      </c>
    </row>
    <row r="45" spans="1:17" x14ac:dyDescent="0.35">
      <c r="A45" s="68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47"/>
      <c r="P45" s="102"/>
    </row>
    <row r="46" spans="1:17" x14ac:dyDescent="0.35">
      <c r="A46" s="68"/>
      <c r="B46" s="29" t="s">
        <v>24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0</v>
      </c>
      <c r="K46" s="96">
        <v>0</v>
      </c>
      <c r="L46" s="96">
        <v>0</v>
      </c>
      <c r="M46" s="96">
        <v>0</v>
      </c>
      <c r="N46" s="96">
        <v>0</v>
      </c>
      <c r="O46" s="47">
        <f>SUM(C46:N46)</f>
        <v>0</v>
      </c>
    </row>
    <row r="47" spans="1:17" x14ac:dyDescent="0.35">
      <c r="A47" s="68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47"/>
    </row>
    <row r="48" spans="1:17" x14ac:dyDescent="0.35">
      <c r="A48" s="68" t="s">
        <v>85</v>
      </c>
      <c r="B48" s="29" t="s">
        <v>25</v>
      </c>
      <c r="C48" s="96">
        <v>1500</v>
      </c>
      <c r="D48" s="96">
        <f>+C48</f>
        <v>1500</v>
      </c>
      <c r="E48" s="96">
        <f t="shared" ref="E48:N48" si="20">+D48</f>
        <v>1500</v>
      </c>
      <c r="F48" s="96">
        <f t="shared" si="20"/>
        <v>1500</v>
      </c>
      <c r="G48" s="96">
        <f t="shared" si="20"/>
        <v>1500</v>
      </c>
      <c r="H48" s="96">
        <f t="shared" si="20"/>
        <v>1500</v>
      </c>
      <c r="I48" s="96">
        <f t="shared" si="20"/>
        <v>1500</v>
      </c>
      <c r="J48" s="96">
        <f t="shared" si="20"/>
        <v>1500</v>
      </c>
      <c r="K48" s="96">
        <f t="shared" si="20"/>
        <v>1500</v>
      </c>
      <c r="L48" s="96">
        <f t="shared" si="20"/>
        <v>1500</v>
      </c>
      <c r="M48" s="96">
        <f t="shared" si="20"/>
        <v>1500</v>
      </c>
      <c r="N48" s="96">
        <f t="shared" si="20"/>
        <v>1500</v>
      </c>
      <c r="O48" s="47">
        <f>SUM(C48:N48)</f>
        <v>18000</v>
      </c>
      <c r="P48" s="102"/>
      <c r="Q48" s="29" t="s">
        <v>60</v>
      </c>
    </row>
    <row r="49" spans="1:17" x14ac:dyDescent="0.35">
      <c r="A49" s="68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47"/>
      <c r="P49" s="102"/>
    </row>
    <row r="50" spans="1:17" x14ac:dyDescent="0.35">
      <c r="A50" s="68" t="s">
        <v>95</v>
      </c>
      <c r="B50" s="29" t="s">
        <v>94</v>
      </c>
      <c r="C50" s="96">
        <v>10000</v>
      </c>
      <c r="D50" s="96">
        <v>10000</v>
      </c>
      <c r="E50" s="96">
        <v>10000</v>
      </c>
      <c r="F50" s="96">
        <v>10000</v>
      </c>
      <c r="G50" s="96">
        <v>10000</v>
      </c>
      <c r="H50" s="96">
        <v>10000</v>
      </c>
      <c r="I50" s="96">
        <v>10000</v>
      </c>
      <c r="J50" s="96">
        <v>10000</v>
      </c>
      <c r="K50" s="96">
        <v>10000</v>
      </c>
      <c r="L50" s="96">
        <v>10000</v>
      </c>
      <c r="M50" s="96">
        <v>10000</v>
      </c>
      <c r="N50" s="96">
        <v>10000</v>
      </c>
      <c r="O50" s="47">
        <f>SUM(C50:N50)</f>
        <v>120000</v>
      </c>
      <c r="P50" s="102"/>
      <c r="Q50" s="108" t="s">
        <v>122</v>
      </c>
    </row>
    <row r="51" spans="1:17" ht="16.5" thickBot="1" x14ac:dyDescent="0.4">
      <c r="A51" s="68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47"/>
      <c r="P51" s="102"/>
    </row>
    <row r="52" spans="1:17" ht="18" thickBot="1" x14ac:dyDescent="0.4">
      <c r="A52" s="68"/>
      <c r="B52" s="89" t="s">
        <v>27</v>
      </c>
      <c r="C52" s="88">
        <f>SUM(C19,C23,C25,C31,C33,C35,C40,C42,C44,C46,C48,C50)</f>
        <v>42780</v>
      </c>
      <c r="D52" s="88">
        <f t="shared" ref="D52:O52" si="21">SUM(D19,D23,D25,D31,D33,D35,D40,D42,D44,D46,D48,D50)</f>
        <v>43280</v>
      </c>
      <c r="E52" s="88">
        <f t="shared" si="21"/>
        <v>42780</v>
      </c>
      <c r="F52" s="88">
        <f t="shared" si="21"/>
        <v>44880</v>
      </c>
      <c r="G52" s="88">
        <f t="shared" si="21"/>
        <v>51080</v>
      </c>
      <c r="H52" s="88">
        <f t="shared" si="21"/>
        <v>42780</v>
      </c>
      <c r="I52" s="88">
        <f t="shared" si="21"/>
        <v>46080</v>
      </c>
      <c r="J52" s="88">
        <f t="shared" si="21"/>
        <v>43330</v>
      </c>
      <c r="K52" s="88">
        <f t="shared" si="21"/>
        <v>42780</v>
      </c>
      <c r="L52" s="88">
        <f t="shared" si="21"/>
        <v>42780</v>
      </c>
      <c r="M52" s="88">
        <f t="shared" si="21"/>
        <v>43580</v>
      </c>
      <c r="N52" s="88">
        <f t="shared" si="21"/>
        <v>42880</v>
      </c>
      <c r="O52" s="90">
        <f t="shared" si="21"/>
        <v>529010</v>
      </c>
    </row>
    <row r="53" spans="1:17" ht="16.5" thickBot="1" x14ac:dyDescent="0.4">
      <c r="A53" s="68"/>
      <c r="O53" s="45"/>
    </row>
    <row r="54" spans="1:17" ht="18" thickBot="1" x14ac:dyDescent="0.4">
      <c r="A54" s="68"/>
      <c r="B54" s="89" t="s">
        <v>28</v>
      </c>
      <c r="C54" s="88">
        <f>+C16-C52</f>
        <v>19274</v>
      </c>
      <c r="D54" s="88">
        <f t="shared" ref="C54:O54" si="22">+D16-D52</f>
        <v>17962</v>
      </c>
      <c r="E54" s="88">
        <f t="shared" si="22"/>
        <v>19201</v>
      </c>
      <c r="F54" s="88">
        <f t="shared" si="22"/>
        <v>17438</v>
      </c>
      <c r="G54" s="88">
        <f t="shared" si="22"/>
        <v>11070</v>
      </c>
      <c r="H54" s="88">
        <f t="shared" si="22"/>
        <v>19938</v>
      </c>
      <c r="I54" s="88">
        <f t="shared" si="22"/>
        <v>16807</v>
      </c>
      <c r="J54" s="88">
        <f t="shared" si="22"/>
        <v>19396</v>
      </c>
      <c r="K54" s="88">
        <f t="shared" si="22"/>
        <v>19932</v>
      </c>
      <c r="L54" s="88">
        <f t="shared" si="22"/>
        <v>19609</v>
      </c>
      <c r="M54" s="88">
        <f t="shared" si="22"/>
        <v>18537</v>
      </c>
      <c r="N54" s="88">
        <f t="shared" si="22"/>
        <v>33070</v>
      </c>
      <c r="O54" s="90">
        <f t="shared" si="22"/>
        <v>232234</v>
      </c>
    </row>
    <row r="55" spans="1:17" x14ac:dyDescent="0.35">
      <c r="A55" s="68"/>
      <c r="C55" s="32"/>
    </row>
    <row r="56" spans="1:17" x14ac:dyDescent="0.35">
      <c r="O56" s="39"/>
    </row>
    <row r="58" spans="1:17" x14ac:dyDescent="0.3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1:17" x14ac:dyDescent="0.35">
      <c r="B59" s="58" t="str">
        <f>"Budget Import - "&amp;A1</f>
        <v>Budget Import - 2010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7" ht="16.5" thickBot="1" x14ac:dyDescent="0.4">
      <c r="B60" s="103" t="s">
        <v>77</v>
      </c>
      <c r="C60" s="41">
        <v>1</v>
      </c>
      <c r="D60" s="41">
        <v>2</v>
      </c>
      <c r="E60" s="41">
        <v>3</v>
      </c>
      <c r="F60" s="41">
        <v>4</v>
      </c>
      <c r="G60" s="41">
        <v>5</v>
      </c>
      <c r="H60" s="41">
        <v>6</v>
      </c>
      <c r="I60" s="41">
        <v>7</v>
      </c>
      <c r="J60" s="41">
        <v>8</v>
      </c>
      <c r="K60" s="41">
        <v>9</v>
      </c>
      <c r="L60" s="41">
        <v>10</v>
      </c>
      <c r="M60" s="41">
        <v>11</v>
      </c>
      <c r="N60" s="41">
        <v>12</v>
      </c>
      <c r="O60" s="107" t="s">
        <v>78</v>
      </c>
    </row>
    <row r="61" spans="1:17" x14ac:dyDescent="0.35">
      <c r="B61" s="104" t="s">
        <v>86</v>
      </c>
      <c r="C61" s="60">
        <f t="shared" ref="C61:N61" si="23">-C10</f>
        <v>-60054</v>
      </c>
      <c r="D61" s="60">
        <f t="shared" si="23"/>
        <v>-59242</v>
      </c>
      <c r="E61" s="60">
        <f t="shared" si="23"/>
        <v>-59981</v>
      </c>
      <c r="F61" s="60">
        <f t="shared" si="23"/>
        <v>-60318</v>
      </c>
      <c r="G61" s="60">
        <f t="shared" si="23"/>
        <v>-60150</v>
      </c>
      <c r="H61" s="60">
        <f t="shared" si="23"/>
        <v>-60718</v>
      </c>
      <c r="I61" s="60">
        <f t="shared" si="23"/>
        <v>-60887</v>
      </c>
      <c r="J61" s="60">
        <f t="shared" si="23"/>
        <v>-60726</v>
      </c>
      <c r="K61" s="60">
        <f t="shared" si="23"/>
        <v>-60712</v>
      </c>
      <c r="L61" s="60">
        <f t="shared" si="23"/>
        <v>-60389</v>
      </c>
      <c r="M61" s="60">
        <f t="shared" si="23"/>
        <v>-60117</v>
      </c>
      <c r="N61" s="61">
        <f t="shared" si="23"/>
        <v>-64450</v>
      </c>
      <c r="O61" s="44">
        <f>SUM(C61:N61)</f>
        <v>-727744</v>
      </c>
    </row>
    <row r="62" spans="1:17" x14ac:dyDescent="0.35">
      <c r="B62" s="105" t="s">
        <v>79</v>
      </c>
      <c r="C62" s="62">
        <f t="shared" ref="C62:N62" si="24">-C12</f>
        <v>0</v>
      </c>
      <c r="D62" s="62">
        <f t="shared" si="24"/>
        <v>0</v>
      </c>
      <c r="E62" s="62">
        <f t="shared" si="24"/>
        <v>0</v>
      </c>
      <c r="F62" s="62">
        <f t="shared" si="24"/>
        <v>0</v>
      </c>
      <c r="G62" s="62">
        <f t="shared" si="24"/>
        <v>0</v>
      </c>
      <c r="H62" s="62">
        <f t="shared" si="24"/>
        <v>0</v>
      </c>
      <c r="I62" s="62">
        <f t="shared" si="24"/>
        <v>0</v>
      </c>
      <c r="J62" s="62">
        <f t="shared" si="24"/>
        <v>0</v>
      </c>
      <c r="K62" s="62">
        <f t="shared" si="24"/>
        <v>0</v>
      </c>
      <c r="L62" s="62">
        <f t="shared" si="24"/>
        <v>0</v>
      </c>
      <c r="M62" s="62">
        <f t="shared" si="24"/>
        <v>0</v>
      </c>
      <c r="N62" s="63">
        <f t="shared" si="24"/>
        <v>-9500</v>
      </c>
      <c r="O62" s="44">
        <f t="shared" ref="O62:O73" si="25">SUM(C62:N62)</f>
        <v>-9500</v>
      </c>
    </row>
    <row r="63" spans="1:17" x14ac:dyDescent="0.35">
      <c r="B63" s="105" t="s">
        <v>88</v>
      </c>
      <c r="C63" s="62">
        <f t="shared" ref="C63:N63" si="26">-C14</f>
        <v>-2000</v>
      </c>
      <c r="D63" s="62">
        <f t="shared" si="26"/>
        <v>-2000</v>
      </c>
      <c r="E63" s="62">
        <f t="shared" si="26"/>
        <v>-2000</v>
      </c>
      <c r="F63" s="62">
        <f t="shared" si="26"/>
        <v>-2000</v>
      </c>
      <c r="G63" s="62">
        <f t="shared" si="26"/>
        <v>-2000</v>
      </c>
      <c r="H63" s="62">
        <f t="shared" si="26"/>
        <v>-2000</v>
      </c>
      <c r="I63" s="62">
        <f t="shared" si="26"/>
        <v>-2000</v>
      </c>
      <c r="J63" s="62">
        <f t="shared" si="26"/>
        <v>-2000</v>
      </c>
      <c r="K63" s="62">
        <f t="shared" si="26"/>
        <v>-2000</v>
      </c>
      <c r="L63" s="62">
        <f t="shared" si="26"/>
        <v>-2000</v>
      </c>
      <c r="M63" s="62">
        <f t="shared" si="26"/>
        <v>-2000</v>
      </c>
      <c r="N63" s="63">
        <f t="shared" si="26"/>
        <v>-2000</v>
      </c>
      <c r="O63" s="44">
        <f t="shared" si="25"/>
        <v>-24000</v>
      </c>
    </row>
    <row r="64" spans="1:17" x14ac:dyDescent="0.35">
      <c r="B64" s="105" t="s">
        <v>80</v>
      </c>
      <c r="C64" s="62">
        <f t="shared" ref="C64:N64" si="27">C19</f>
        <v>22780</v>
      </c>
      <c r="D64" s="62">
        <f t="shared" si="27"/>
        <v>22780</v>
      </c>
      <c r="E64" s="62">
        <f t="shared" si="27"/>
        <v>22780</v>
      </c>
      <c r="F64" s="62">
        <f t="shared" si="27"/>
        <v>22780</v>
      </c>
      <c r="G64" s="62">
        <f t="shared" si="27"/>
        <v>22780</v>
      </c>
      <c r="H64" s="62">
        <f t="shared" si="27"/>
        <v>22780</v>
      </c>
      <c r="I64" s="62">
        <f t="shared" si="27"/>
        <v>22780</v>
      </c>
      <c r="J64" s="62">
        <f t="shared" si="27"/>
        <v>22780</v>
      </c>
      <c r="K64" s="62">
        <f t="shared" si="27"/>
        <v>22780</v>
      </c>
      <c r="L64" s="62">
        <f t="shared" si="27"/>
        <v>22780</v>
      </c>
      <c r="M64" s="62">
        <f t="shared" si="27"/>
        <v>22780</v>
      </c>
      <c r="N64" s="63">
        <f t="shared" si="27"/>
        <v>22780</v>
      </c>
      <c r="O64" s="44">
        <f t="shared" si="25"/>
        <v>273360</v>
      </c>
    </row>
    <row r="65" spans="2:15" x14ac:dyDescent="0.35">
      <c r="B65" s="105" t="s">
        <v>81</v>
      </c>
      <c r="C65" s="62">
        <f t="shared" ref="C65:N65" si="28">C23</f>
        <v>6424</v>
      </c>
      <c r="D65" s="62">
        <f t="shared" si="28"/>
        <v>6424</v>
      </c>
      <c r="E65" s="62">
        <f t="shared" si="28"/>
        <v>6424</v>
      </c>
      <c r="F65" s="62">
        <f t="shared" si="28"/>
        <v>6424</v>
      </c>
      <c r="G65" s="62">
        <f t="shared" si="28"/>
        <v>14224</v>
      </c>
      <c r="H65" s="62">
        <f t="shared" si="28"/>
        <v>6424</v>
      </c>
      <c r="I65" s="62">
        <f t="shared" si="28"/>
        <v>6424</v>
      </c>
      <c r="J65" s="62">
        <f t="shared" si="28"/>
        <v>6424</v>
      </c>
      <c r="K65" s="62">
        <f t="shared" si="28"/>
        <v>6424</v>
      </c>
      <c r="L65" s="62">
        <f t="shared" si="28"/>
        <v>6424</v>
      </c>
      <c r="M65" s="62">
        <f t="shared" si="28"/>
        <v>6424</v>
      </c>
      <c r="N65" s="63">
        <f t="shared" si="28"/>
        <v>6424</v>
      </c>
      <c r="O65" s="44">
        <f t="shared" si="25"/>
        <v>84888</v>
      </c>
    </row>
    <row r="66" spans="2:15" x14ac:dyDescent="0.35">
      <c r="B66" s="105" t="s">
        <v>82</v>
      </c>
      <c r="C66" s="64">
        <f t="shared" ref="C66:N66" si="29">C25</f>
        <v>100</v>
      </c>
      <c r="D66" s="64">
        <f t="shared" si="29"/>
        <v>100</v>
      </c>
      <c r="E66" s="64">
        <f t="shared" si="29"/>
        <v>100</v>
      </c>
      <c r="F66" s="64">
        <f t="shared" si="29"/>
        <v>100</v>
      </c>
      <c r="G66" s="64">
        <f t="shared" si="29"/>
        <v>100</v>
      </c>
      <c r="H66" s="64">
        <f t="shared" si="29"/>
        <v>100</v>
      </c>
      <c r="I66" s="64">
        <f t="shared" si="29"/>
        <v>100</v>
      </c>
      <c r="J66" s="64">
        <f t="shared" si="29"/>
        <v>100</v>
      </c>
      <c r="K66" s="64">
        <f t="shared" si="29"/>
        <v>100</v>
      </c>
      <c r="L66" s="64">
        <f t="shared" si="29"/>
        <v>100</v>
      </c>
      <c r="M66" s="64">
        <f t="shared" si="29"/>
        <v>100</v>
      </c>
      <c r="N66" s="65">
        <f t="shared" si="29"/>
        <v>100</v>
      </c>
      <c r="O66" s="44">
        <f t="shared" si="25"/>
        <v>1200</v>
      </c>
    </row>
    <row r="67" spans="2:15" x14ac:dyDescent="0.35">
      <c r="B67" s="105" t="s">
        <v>83</v>
      </c>
      <c r="C67" s="62">
        <f t="shared" ref="C67:N67" si="30">C31</f>
        <v>0</v>
      </c>
      <c r="D67" s="62">
        <f t="shared" si="30"/>
        <v>0</v>
      </c>
      <c r="E67" s="62">
        <f t="shared" si="30"/>
        <v>0</v>
      </c>
      <c r="F67" s="62">
        <f t="shared" si="30"/>
        <v>2100</v>
      </c>
      <c r="G67" s="62">
        <f t="shared" si="30"/>
        <v>0</v>
      </c>
      <c r="H67" s="62">
        <f t="shared" si="30"/>
        <v>0</v>
      </c>
      <c r="I67" s="62">
        <f t="shared" si="30"/>
        <v>0</v>
      </c>
      <c r="J67" s="62">
        <f t="shared" si="30"/>
        <v>50</v>
      </c>
      <c r="K67" s="62">
        <f t="shared" si="30"/>
        <v>0</v>
      </c>
      <c r="L67" s="62">
        <f t="shared" si="30"/>
        <v>0</v>
      </c>
      <c r="M67" s="62">
        <f t="shared" si="30"/>
        <v>0</v>
      </c>
      <c r="N67" s="63">
        <f t="shared" si="30"/>
        <v>100</v>
      </c>
      <c r="O67" s="44">
        <f t="shared" si="25"/>
        <v>2250</v>
      </c>
    </row>
    <row r="68" spans="2:15" x14ac:dyDescent="0.35">
      <c r="B68" s="105" t="s">
        <v>90</v>
      </c>
      <c r="C68" s="62">
        <f t="shared" ref="C68:N68" si="31">+C33</f>
        <v>0</v>
      </c>
      <c r="D68" s="62">
        <f t="shared" si="31"/>
        <v>0</v>
      </c>
      <c r="E68" s="62">
        <f t="shared" si="31"/>
        <v>0</v>
      </c>
      <c r="F68" s="62">
        <f t="shared" si="31"/>
        <v>0</v>
      </c>
      <c r="G68" s="62">
        <f t="shared" si="31"/>
        <v>0</v>
      </c>
      <c r="H68" s="62">
        <f t="shared" si="31"/>
        <v>0</v>
      </c>
      <c r="I68" s="62">
        <f t="shared" si="31"/>
        <v>3300</v>
      </c>
      <c r="J68" s="62">
        <f t="shared" si="31"/>
        <v>0</v>
      </c>
      <c r="K68" s="62">
        <f t="shared" si="31"/>
        <v>0</v>
      </c>
      <c r="L68" s="62">
        <f t="shared" si="31"/>
        <v>0</v>
      </c>
      <c r="M68" s="62">
        <f t="shared" si="31"/>
        <v>300</v>
      </c>
      <c r="N68" s="63">
        <f t="shared" si="31"/>
        <v>0</v>
      </c>
      <c r="O68" s="44">
        <f t="shared" si="25"/>
        <v>3600</v>
      </c>
    </row>
    <row r="69" spans="2:15" x14ac:dyDescent="0.35">
      <c r="B69" s="105" t="s">
        <v>84</v>
      </c>
      <c r="C69" s="62">
        <f t="shared" ref="C69:N69" si="32">C40</f>
        <v>600</v>
      </c>
      <c r="D69" s="62">
        <f t="shared" si="32"/>
        <v>600</v>
      </c>
      <c r="E69" s="62">
        <f t="shared" si="32"/>
        <v>600</v>
      </c>
      <c r="F69" s="62">
        <f t="shared" si="32"/>
        <v>600</v>
      </c>
      <c r="G69" s="62">
        <f t="shared" si="32"/>
        <v>600</v>
      </c>
      <c r="H69" s="62">
        <f t="shared" si="32"/>
        <v>600</v>
      </c>
      <c r="I69" s="62">
        <f t="shared" si="32"/>
        <v>600</v>
      </c>
      <c r="J69" s="62">
        <f t="shared" si="32"/>
        <v>600</v>
      </c>
      <c r="K69" s="62">
        <f t="shared" si="32"/>
        <v>600</v>
      </c>
      <c r="L69" s="62">
        <f t="shared" si="32"/>
        <v>600</v>
      </c>
      <c r="M69" s="62">
        <f t="shared" si="32"/>
        <v>600</v>
      </c>
      <c r="N69" s="63">
        <f t="shared" si="32"/>
        <v>600</v>
      </c>
      <c r="O69" s="44">
        <f>SUM(C69:N69)</f>
        <v>7200</v>
      </c>
    </row>
    <row r="70" spans="2:15" x14ac:dyDescent="0.35">
      <c r="B70" s="105" t="s">
        <v>91</v>
      </c>
      <c r="C70" s="62">
        <f t="shared" ref="C70:N70" si="33">+C35</f>
        <v>0</v>
      </c>
      <c r="D70" s="62">
        <f t="shared" si="33"/>
        <v>500</v>
      </c>
      <c r="E70" s="62">
        <f t="shared" si="33"/>
        <v>0</v>
      </c>
      <c r="F70" s="62">
        <f t="shared" si="33"/>
        <v>0</v>
      </c>
      <c r="G70" s="62">
        <f t="shared" si="33"/>
        <v>500</v>
      </c>
      <c r="H70" s="62">
        <f t="shared" si="33"/>
        <v>0</v>
      </c>
      <c r="I70" s="62">
        <f t="shared" si="33"/>
        <v>0</v>
      </c>
      <c r="J70" s="62">
        <f t="shared" si="33"/>
        <v>500</v>
      </c>
      <c r="K70" s="62">
        <f t="shared" si="33"/>
        <v>0</v>
      </c>
      <c r="L70" s="62">
        <f t="shared" si="33"/>
        <v>0</v>
      </c>
      <c r="M70" s="62">
        <f t="shared" si="33"/>
        <v>500</v>
      </c>
      <c r="N70" s="63">
        <f t="shared" si="33"/>
        <v>0</v>
      </c>
      <c r="O70" s="44">
        <f t="shared" si="25"/>
        <v>2000</v>
      </c>
    </row>
    <row r="71" spans="2:15" x14ac:dyDescent="0.35">
      <c r="B71" s="105" t="s">
        <v>93</v>
      </c>
      <c r="C71" s="62">
        <f>+C42+C44</f>
        <v>1376</v>
      </c>
      <c r="D71" s="62">
        <f t="shared" ref="D71:N71" si="34">+D42+D44</f>
        <v>1376</v>
      </c>
      <c r="E71" s="62">
        <f t="shared" si="34"/>
        <v>1376</v>
      </c>
      <c r="F71" s="62">
        <f t="shared" si="34"/>
        <v>1376</v>
      </c>
      <c r="G71" s="62">
        <f t="shared" si="34"/>
        <v>1376</v>
      </c>
      <c r="H71" s="62">
        <f t="shared" si="34"/>
        <v>1376</v>
      </c>
      <c r="I71" s="62">
        <f t="shared" si="34"/>
        <v>1376</v>
      </c>
      <c r="J71" s="62">
        <f t="shared" si="34"/>
        <v>1376</v>
      </c>
      <c r="K71" s="62">
        <f t="shared" si="34"/>
        <v>1376</v>
      </c>
      <c r="L71" s="62">
        <f t="shared" si="34"/>
        <v>1376</v>
      </c>
      <c r="M71" s="62">
        <f t="shared" si="34"/>
        <v>1376</v>
      </c>
      <c r="N71" s="63">
        <f t="shared" si="34"/>
        <v>1376</v>
      </c>
      <c r="O71" s="44">
        <f t="shared" si="25"/>
        <v>16512</v>
      </c>
    </row>
    <row r="72" spans="2:15" x14ac:dyDescent="0.35">
      <c r="B72" s="105" t="s">
        <v>85</v>
      </c>
      <c r="C72" s="62">
        <f>+C48</f>
        <v>1500</v>
      </c>
      <c r="D72" s="62">
        <f t="shared" ref="D72:N72" si="35">+D48</f>
        <v>1500</v>
      </c>
      <c r="E72" s="62">
        <f t="shared" si="35"/>
        <v>1500</v>
      </c>
      <c r="F72" s="62">
        <f t="shared" si="35"/>
        <v>1500</v>
      </c>
      <c r="G72" s="62">
        <f t="shared" si="35"/>
        <v>1500</v>
      </c>
      <c r="H72" s="62">
        <f t="shared" si="35"/>
        <v>1500</v>
      </c>
      <c r="I72" s="62">
        <f t="shared" si="35"/>
        <v>1500</v>
      </c>
      <c r="J72" s="62">
        <f t="shared" si="35"/>
        <v>1500</v>
      </c>
      <c r="K72" s="62">
        <f t="shared" si="35"/>
        <v>1500</v>
      </c>
      <c r="L72" s="62">
        <f t="shared" si="35"/>
        <v>1500</v>
      </c>
      <c r="M72" s="62">
        <f t="shared" si="35"/>
        <v>1500</v>
      </c>
      <c r="N72" s="63">
        <f t="shared" si="35"/>
        <v>1500</v>
      </c>
      <c r="O72" s="44">
        <f t="shared" si="25"/>
        <v>18000</v>
      </c>
    </row>
    <row r="73" spans="2:15" ht="16.5" thickBot="1" x14ac:dyDescent="0.4">
      <c r="B73" s="106" t="s">
        <v>95</v>
      </c>
      <c r="C73" s="66">
        <f>+C50</f>
        <v>10000</v>
      </c>
      <c r="D73" s="66">
        <f t="shared" ref="D73:N73" si="36">+D50</f>
        <v>10000</v>
      </c>
      <c r="E73" s="66">
        <f t="shared" si="36"/>
        <v>10000</v>
      </c>
      <c r="F73" s="66">
        <f t="shared" si="36"/>
        <v>10000</v>
      </c>
      <c r="G73" s="66">
        <f t="shared" si="36"/>
        <v>10000</v>
      </c>
      <c r="H73" s="66">
        <f t="shared" si="36"/>
        <v>10000</v>
      </c>
      <c r="I73" s="66">
        <f t="shared" si="36"/>
        <v>10000</v>
      </c>
      <c r="J73" s="66">
        <f t="shared" si="36"/>
        <v>10000</v>
      </c>
      <c r="K73" s="66">
        <f t="shared" si="36"/>
        <v>10000</v>
      </c>
      <c r="L73" s="66">
        <f t="shared" si="36"/>
        <v>10000</v>
      </c>
      <c r="M73" s="66">
        <f t="shared" si="36"/>
        <v>10000</v>
      </c>
      <c r="N73" s="67">
        <f t="shared" si="36"/>
        <v>10000</v>
      </c>
      <c r="O73" s="44">
        <f t="shared" si="25"/>
        <v>120000</v>
      </c>
    </row>
    <row r="74" spans="2:15" x14ac:dyDescent="0.35"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</row>
    <row r="75" spans="2:15" x14ac:dyDescent="0.35">
      <c r="C75" s="38">
        <f t="shared" ref="C75:N75" si="37">SUM(C61:C73)</f>
        <v>-19274</v>
      </c>
      <c r="D75" s="38">
        <f t="shared" si="37"/>
        <v>-17962</v>
      </c>
      <c r="E75" s="38">
        <f t="shared" si="37"/>
        <v>-19201</v>
      </c>
      <c r="F75" s="38">
        <f t="shared" si="37"/>
        <v>-17438</v>
      </c>
      <c r="G75" s="38">
        <f t="shared" si="37"/>
        <v>-11070</v>
      </c>
      <c r="H75" s="38">
        <f t="shared" si="37"/>
        <v>-19938</v>
      </c>
      <c r="I75" s="38">
        <f t="shared" si="37"/>
        <v>-16807</v>
      </c>
      <c r="J75" s="38">
        <f t="shared" si="37"/>
        <v>-19396</v>
      </c>
      <c r="K75" s="38">
        <f t="shared" si="37"/>
        <v>-19932</v>
      </c>
      <c r="L75" s="38">
        <f t="shared" si="37"/>
        <v>-19609</v>
      </c>
      <c r="M75" s="38">
        <f t="shared" si="37"/>
        <v>-18537</v>
      </c>
      <c r="N75" s="38">
        <f t="shared" si="37"/>
        <v>-33070</v>
      </c>
      <c r="O75" s="44">
        <f>SUM(O61:O73)</f>
        <v>-232234</v>
      </c>
    </row>
    <row r="76" spans="2:15" x14ac:dyDescent="0.35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</row>
    <row r="77" spans="2:15" x14ac:dyDescent="0.35">
      <c r="C77" s="38">
        <f t="shared" ref="C77:N77" si="38">+C54+C75</f>
        <v>0</v>
      </c>
      <c r="D77" s="38">
        <f t="shared" si="38"/>
        <v>0</v>
      </c>
      <c r="E77" s="38">
        <f t="shared" si="38"/>
        <v>0</v>
      </c>
      <c r="F77" s="38">
        <f t="shared" si="38"/>
        <v>0</v>
      </c>
      <c r="G77" s="38">
        <f t="shared" si="38"/>
        <v>0</v>
      </c>
      <c r="H77" s="38">
        <f t="shared" si="38"/>
        <v>0</v>
      </c>
      <c r="I77" s="38">
        <f t="shared" si="38"/>
        <v>0</v>
      </c>
      <c r="J77" s="38">
        <f t="shared" si="38"/>
        <v>0</v>
      </c>
      <c r="K77" s="38">
        <f t="shared" si="38"/>
        <v>0</v>
      </c>
      <c r="L77" s="38">
        <f t="shared" si="38"/>
        <v>0</v>
      </c>
      <c r="M77" s="38">
        <f t="shared" si="38"/>
        <v>0</v>
      </c>
      <c r="N77" s="38">
        <f t="shared" si="38"/>
        <v>0</v>
      </c>
    </row>
    <row r="78" spans="2:15" x14ac:dyDescent="0.35"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2:15" x14ac:dyDescent="0.35"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2:15" x14ac:dyDescent="0.35"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</sheetData>
  <pageMargins left="0.25" right="0.25" top="0.75" bottom="0.75" header="0.3" footer="0.3"/>
  <pageSetup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topLeftCell="A11" workbookViewId="0">
      <selection activeCell="B7" sqref="B7"/>
    </sheetView>
  </sheetViews>
  <sheetFormatPr defaultRowHeight="14.5" x14ac:dyDescent="0.35"/>
  <cols>
    <col min="2" max="2" width="69.81640625" bestFit="1" customWidth="1"/>
    <col min="8" max="8" width="16.7265625" customWidth="1"/>
    <col min="10" max="10" width="11.453125" hidden="1" customWidth="1"/>
    <col min="11" max="17" width="0" hidden="1" customWidth="1"/>
  </cols>
  <sheetData>
    <row r="1" spans="1:8" ht="23.5" x14ac:dyDescent="0.55000000000000004">
      <c r="A1" s="28" t="s">
        <v>61</v>
      </c>
      <c r="B1" s="28"/>
      <c r="C1" s="27"/>
      <c r="D1" s="20"/>
      <c r="E1" s="20"/>
      <c r="F1" s="20"/>
      <c r="G1" s="20"/>
      <c r="H1" s="20"/>
    </row>
    <row r="2" spans="1:8" ht="23.5" x14ac:dyDescent="0.55000000000000004">
      <c r="A2" s="28" t="s">
        <v>73</v>
      </c>
      <c r="B2" s="28"/>
      <c r="C2" s="27"/>
      <c r="D2" s="20"/>
      <c r="E2" s="20"/>
      <c r="F2" s="20"/>
      <c r="G2" s="20"/>
      <c r="H2" s="20"/>
    </row>
    <row r="4" spans="1:8" x14ac:dyDescent="0.35">
      <c r="A4" s="3" t="s">
        <v>74</v>
      </c>
    </row>
    <row r="6" spans="1:8" x14ac:dyDescent="0.35">
      <c r="A6" s="19"/>
    </row>
    <row r="8" spans="1:8" x14ac:dyDescent="0.35">
      <c r="A8" s="19" t="s">
        <v>36</v>
      </c>
      <c r="B8" t="s">
        <v>38</v>
      </c>
    </row>
    <row r="9" spans="1:8" x14ac:dyDescent="0.35">
      <c r="B9" t="s">
        <v>39</v>
      </c>
    </row>
    <row r="11" spans="1:8" x14ac:dyDescent="0.35">
      <c r="A11" s="19" t="s">
        <v>37</v>
      </c>
      <c r="B11" t="s">
        <v>67</v>
      </c>
    </row>
    <row r="12" spans="1:8" ht="18.75" customHeight="1" x14ac:dyDescent="0.35">
      <c r="B12" t="s">
        <v>68</v>
      </c>
    </row>
    <row r="14" spans="1:8" x14ac:dyDescent="0.35">
      <c r="A14" s="19" t="s">
        <v>40</v>
      </c>
      <c r="B14" t="s">
        <v>69</v>
      </c>
    </row>
    <row r="15" spans="1:8" x14ac:dyDescent="0.35">
      <c r="B15" s="26" t="s">
        <v>96</v>
      </c>
    </row>
    <row r="16" spans="1:8" x14ac:dyDescent="0.35">
      <c r="B16" t="s">
        <v>63</v>
      </c>
    </row>
    <row r="18" spans="1:17" x14ac:dyDescent="0.35">
      <c r="A18" s="19" t="s">
        <v>41</v>
      </c>
      <c r="B18" t="s">
        <v>70</v>
      </c>
    </row>
    <row r="20" spans="1:17" x14ac:dyDescent="0.35">
      <c r="A20" s="19" t="s">
        <v>42</v>
      </c>
      <c r="B20" t="s">
        <v>43</v>
      </c>
      <c r="J20" s="5">
        <f>5754*12</f>
        <v>69048</v>
      </c>
      <c r="K20">
        <v>4443</v>
      </c>
      <c r="L20" s="23">
        <f>+J20/K20</f>
        <v>15.540850776502364</v>
      </c>
      <c r="M20">
        <f>+J20/12*8</f>
        <v>46032</v>
      </c>
      <c r="O20">
        <v>12000</v>
      </c>
      <c r="P20">
        <f>+O20/K20</f>
        <v>2.7008777852802162</v>
      </c>
      <c r="Q20">
        <v>8000</v>
      </c>
    </row>
    <row r="21" spans="1:17" x14ac:dyDescent="0.35">
      <c r="B21" t="s">
        <v>44</v>
      </c>
      <c r="J21" s="4">
        <f>+K21*L21</f>
        <v>48000</v>
      </c>
      <c r="K21">
        <v>3000</v>
      </c>
      <c r="L21" s="23">
        <v>16</v>
      </c>
      <c r="M21">
        <f>+J21/4</f>
        <v>12000</v>
      </c>
      <c r="O21" s="24">
        <v>8100</v>
      </c>
      <c r="Q21">
        <f>+O21/12*4</f>
        <v>2700</v>
      </c>
    </row>
    <row r="22" spans="1:17" x14ac:dyDescent="0.35">
      <c r="B22" t="s">
        <v>45</v>
      </c>
    </row>
    <row r="24" spans="1:17" x14ac:dyDescent="0.35">
      <c r="A24" s="19" t="s">
        <v>46</v>
      </c>
      <c r="B24" t="s">
        <v>47</v>
      </c>
    </row>
    <row r="26" spans="1:17" x14ac:dyDescent="0.35">
      <c r="A26" s="19" t="s">
        <v>48</v>
      </c>
      <c r="B26" t="s">
        <v>50</v>
      </c>
    </row>
    <row r="27" spans="1:17" x14ac:dyDescent="0.35">
      <c r="B27" t="s">
        <v>51</v>
      </c>
    </row>
    <row r="29" spans="1:17" x14ac:dyDescent="0.35">
      <c r="A29" s="19" t="s">
        <v>49</v>
      </c>
      <c r="B29" t="s">
        <v>52</v>
      </c>
    </row>
    <row r="31" spans="1:17" x14ac:dyDescent="0.35">
      <c r="A31" s="19" t="s">
        <v>53</v>
      </c>
      <c r="B31" t="s">
        <v>54</v>
      </c>
    </row>
    <row r="33" spans="1:2" x14ac:dyDescent="0.35">
      <c r="A33" s="19" t="s">
        <v>55</v>
      </c>
      <c r="B33" t="s">
        <v>56</v>
      </c>
    </row>
    <row r="35" spans="1:2" x14ac:dyDescent="0.35">
      <c r="A35" s="19" t="s">
        <v>57</v>
      </c>
      <c r="B35" t="s">
        <v>71</v>
      </c>
    </row>
    <row r="36" spans="1:2" x14ac:dyDescent="0.35">
      <c r="A36" s="19"/>
    </row>
    <row r="37" spans="1:2" x14ac:dyDescent="0.35">
      <c r="A37" s="19" t="s">
        <v>58</v>
      </c>
      <c r="B37" t="s">
        <v>75</v>
      </c>
    </row>
    <row r="39" spans="1:2" x14ac:dyDescent="0.35">
      <c r="A39" s="19" t="s">
        <v>59</v>
      </c>
      <c r="B39" t="s">
        <v>60</v>
      </c>
    </row>
    <row r="41" spans="1:2" x14ac:dyDescent="0.35">
      <c r="A41" s="19" t="s">
        <v>72</v>
      </c>
      <c r="B41" t="s">
        <v>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workbookViewId="0">
      <selection activeCell="P27" sqref="P27"/>
    </sheetView>
  </sheetViews>
  <sheetFormatPr defaultRowHeight="14.5" x14ac:dyDescent="0.35"/>
  <cols>
    <col min="1" max="1" width="23.7265625" customWidth="1"/>
    <col min="2" max="2" width="12.54296875" bestFit="1" customWidth="1"/>
    <col min="3" max="3" width="10.54296875" bestFit="1" customWidth="1"/>
    <col min="4" max="6" width="10" bestFit="1" customWidth="1"/>
    <col min="7" max="7" width="12.54296875" bestFit="1" customWidth="1"/>
    <col min="8" max="10" width="10" bestFit="1" customWidth="1"/>
    <col min="11" max="11" width="12.54296875" bestFit="1" customWidth="1"/>
    <col min="12" max="12" width="12.26953125" bestFit="1" customWidth="1"/>
    <col min="13" max="13" width="6.26953125" bestFit="1" customWidth="1"/>
    <col min="14" max="14" width="19.7265625" customWidth="1"/>
    <col min="15" max="15" width="10" customWidth="1"/>
    <col min="16" max="16" width="11.54296875" customWidth="1"/>
    <col min="17" max="17" width="9.1796875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7" ht="18.5" x14ac:dyDescent="0.45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7" ht="18.5" x14ac:dyDescent="0.45">
      <c r="B3" s="21" t="s">
        <v>62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7" ht="18.5" x14ac:dyDescent="0.45">
      <c r="B4" s="21">
        <v>2024</v>
      </c>
      <c r="C4" s="21">
        <v>2025</v>
      </c>
      <c r="D4" s="21">
        <v>2026</v>
      </c>
      <c r="E4" s="21">
        <v>2027</v>
      </c>
      <c r="F4" s="21">
        <v>2028</v>
      </c>
      <c r="G4" s="21">
        <v>2029</v>
      </c>
      <c r="H4" s="21">
        <v>2030</v>
      </c>
      <c r="I4" s="21">
        <v>2031</v>
      </c>
      <c r="J4" s="21">
        <v>2032</v>
      </c>
      <c r="K4" s="21">
        <v>2033</v>
      </c>
      <c r="L4" s="21">
        <v>2034</v>
      </c>
    </row>
    <row r="5" spans="1:17" hidden="1" x14ac:dyDescent="0.35">
      <c r="B5" s="22">
        <v>2024</v>
      </c>
      <c r="C5" s="22">
        <v>2025</v>
      </c>
      <c r="D5" s="22">
        <v>2026</v>
      </c>
      <c r="E5" s="22">
        <v>2027</v>
      </c>
      <c r="F5" s="22">
        <v>2028</v>
      </c>
      <c r="G5" s="22">
        <v>2029</v>
      </c>
      <c r="H5" s="22">
        <v>2030</v>
      </c>
      <c r="I5" s="22">
        <v>2031</v>
      </c>
      <c r="J5" s="22">
        <v>2032</v>
      </c>
      <c r="K5" s="22">
        <v>2033</v>
      </c>
      <c r="L5" s="2" t="s">
        <v>1</v>
      </c>
    </row>
    <row r="6" spans="1:17" x14ac:dyDescent="0.35">
      <c r="A6" s="3" t="s">
        <v>2</v>
      </c>
    </row>
    <row r="7" spans="1:17" x14ac:dyDescent="0.35">
      <c r="A7" t="s">
        <v>29</v>
      </c>
      <c r="B7" s="25">
        <v>72740</v>
      </c>
      <c r="C7" s="25">
        <v>62561</v>
      </c>
      <c r="D7" s="18"/>
      <c r="E7" s="18"/>
      <c r="F7" s="18"/>
      <c r="G7" s="18"/>
      <c r="H7" s="18"/>
      <c r="I7" s="18"/>
      <c r="J7" s="18"/>
      <c r="K7" s="18"/>
      <c r="L7" s="5">
        <f>SUM(B7:K7)</f>
        <v>135301</v>
      </c>
      <c r="M7" s="19" t="s">
        <v>35</v>
      </c>
    </row>
    <row r="8" spans="1:17" x14ac:dyDescent="0.35">
      <c r="A8" t="s">
        <v>3</v>
      </c>
      <c r="B8" s="7">
        <v>253973</v>
      </c>
      <c r="C8" s="7">
        <v>249802</v>
      </c>
      <c r="D8" s="7"/>
      <c r="E8" s="7"/>
      <c r="F8" s="7"/>
      <c r="G8" s="7"/>
      <c r="H8" s="7"/>
      <c r="I8" s="7"/>
      <c r="J8" s="7"/>
      <c r="K8" s="7"/>
      <c r="L8" s="5">
        <f>SUM(B8:K8)</f>
        <v>503775</v>
      </c>
      <c r="M8" s="19" t="s">
        <v>35</v>
      </c>
    </row>
    <row r="9" spans="1:17" x14ac:dyDescent="0.35">
      <c r="A9" t="s">
        <v>30</v>
      </c>
      <c r="B9" s="7">
        <v>455826.26181400003</v>
      </c>
      <c r="C9" s="7">
        <v>470321.53693968523</v>
      </c>
      <c r="D9" s="7">
        <v>485277.76181436726</v>
      </c>
      <c r="E9" s="7">
        <v>500709.59464006417</v>
      </c>
      <c r="F9" s="7">
        <v>516632.15974961821</v>
      </c>
      <c r="G9" s="7">
        <v>533061.06242965604</v>
      </c>
      <c r="H9" s="7">
        <v>550012.40421491908</v>
      </c>
      <c r="I9" s="7">
        <v>567502.79866895359</v>
      </c>
      <c r="J9" s="7">
        <v>585549.38766662637</v>
      </c>
      <c r="K9" s="7">
        <v>604169.85819442512</v>
      </c>
      <c r="L9" s="5">
        <f>SUM(B9:K9)</f>
        <v>5269062.8261323152</v>
      </c>
      <c r="M9" s="19" t="s">
        <v>35</v>
      </c>
      <c r="N9" s="11">
        <f>+C9</f>
        <v>470321.53693968523</v>
      </c>
      <c r="O9" s="4">
        <f>SUM(C7:C8)</f>
        <v>312363</v>
      </c>
      <c r="P9" s="8">
        <f>+O9+N9</f>
        <v>782684.53693968523</v>
      </c>
      <c r="Q9" s="8">
        <f>+O9/P9</f>
        <v>0.39909182468500859</v>
      </c>
    </row>
    <row r="10" spans="1:17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7" x14ac:dyDescent="0.35">
      <c r="A11" t="s">
        <v>31</v>
      </c>
      <c r="B11" s="6">
        <v>9500</v>
      </c>
      <c r="C11" s="6">
        <f>+B11</f>
        <v>9500</v>
      </c>
      <c r="D11" s="6">
        <v>3000</v>
      </c>
      <c r="E11" s="6">
        <v>3000</v>
      </c>
      <c r="F11" s="6">
        <v>3000</v>
      </c>
      <c r="G11" s="6">
        <v>3000</v>
      </c>
      <c r="H11" s="6">
        <v>3000</v>
      </c>
      <c r="I11" s="6">
        <v>3000</v>
      </c>
      <c r="J11" s="6">
        <v>3000</v>
      </c>
      <c r="K11" s="6">
        <v>3000</v>
      </c>
      <c r="L11" s="5">
        <f>SUM(B11:K11)</f>
        <v>43000</v>
      </c>
      <c r="M11" s="19" t="s">
        <v>36</v>
      </c>
    </row>
    <row r="12" spans="1:17" x14ac:dyDescent="0.35">
      <c r="A12" t="s">
        <v>4</v>
      </c>
      <c r="B12" s="7">
        <v>2400</v>
      </c>
      <c r="C12" s="7">
        <f>+B12</f>
        <v>2400</v>
      </c>
      <c r="D12" s="7">
        <v>2000</v>
      </c>
      <c r="E12" s="7">
        <v>2000</v>
      </c>
      <c r="F12" s="7">
        <v>2000</v>
      </c>
      <c r="G12" s="7">
        <v>2000</v>
      </c>
      <c r="H12" s="7">
        <v>2000</v>
      </c>
      <c r="I12" s="7">
        <v>2000</v>
      </c>
      <c r="J12" s="7">
        <v>2000</v>
      </c>
      <c r="K12" s="7">
        <v>2000</v>
      </c>
      <c r="L12" s="5">
        <f>SUM(B12:K12)</f>
        <v>20800</v>
      </c>
      <c r="M12" s="19" t="s">
        <v>37</v>
      </c>
    </row>
    <row r="13" spans="1:17" x14ac:dyDescent="0.3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7" x14ac:dyDescent="0.35">
      <c r="A14" s="3" t="s">
        <v>5</v>
      </c>
      <c r="B14" s="10">
        <f t="shared" ref="B14:K14" si="0">SUM(B7:B12)</f>
        <v>794439.26181400008</v>
      </c>
      <c r="C14" s="10">
        <f t="shared" si="0"/>
        <v>794584.53693968523</v>
      </c>
      <c r="D14" s="10">
        <f t="shared" si="0"/>
        <v>490277.76181436726</v>
      </c>
      <c r="E14" s="10">
        <f t="shared" si="0"/>
        <v>505709.59464006417</v>
      </c>
      <c r="F14" s="10">
        <f t="shared" si="0"/>
        <v>521632.15974961821</v>
      </c>
      <c r="G14" s="10">
        <f t="shared" si="0"/>
        <v>538061.06242965604</v>
      </c>
      <c r="H14" s="10">
        <f t="shared" si="0"/>
        <v>555012.40421491908</v>
      </c>
      <c r="I14" s="10">
        <f t="shared" si="0"/>
        <v>572502.79866895359</v>
      </c>
      <c r="J14" s="10">
        <f t="shared" si="0"/>
        <v>590549.38766662637</v>
      </c>
      <c r="K14" s="10">
        <f t="shared" si="0"/>
        <v>609169.85819442512</v>
      </c>
      <c r="L14" s="10">
        <f>SUM(L7:L13)</f>
        <v>5971938.8261323152</v>
      </c>
    </row>
    <row r="16" spans="1:17" x14ac:dyDescent="0.35">
      <c r="A16" s="3" t="s">
        <v>6</v>
      </c>
      <c r="L16" s="7"/>
    </row>
    <row r="17" spans="1:13" x14ac:dyDescent="0.35">
      <c r="A17" s="3" t="s">
        <v>33</v>
      </c>
      <c r="B17" s="7">
        <v>389640</v>
      </c>
      <c r="C17" s="7">
        <f>+'LIK Budget 2026'!O19</f>
        <v>273360</v>
      </c>
      <c r="D17" s="7">
        <f>+C17*1.03</f>
        <v>281560.8</v>
      </c>
      <c r="E17" s="7">
        <f t="shared" ref="E17:K17" si="1">+D17*1.03</f>
        <v>290007.62400000001</v>
      </c>
      <c r="F17" s="7">
        <f t="shared" si="1"/>
        <v>298707.85272000002</v>
      </c>
      <c r="G17" s="7">
        <f t="shared" si="1"/>
        <v>307669.08830160002</v>
      </c>
      <c r="H17" s="7">
        <f t="shared" si="1"/>
        <v>316899.16095064802</v>
      </c>
      <c r="I17" s="7">
        <f t="shared" si="1"/>
        <v>326406.13577916747</v>
      </c>
      <c r="J17" s="7">
        <f t="shared" si="1"/>
        <v>336198.31985254248</v>
      </c>
      <c r="K17" s="7">
        <f t="shared" si="1"/>
        <v>346284.26944811875</v>
      </c>
      <c r="L17" s="7">
        <f t="shared" ref="L17:L35" si="2">SUM(B17:K17)</f>
        <v>3166733.2510520769</v>
      </c>
      <c r="M17" s="19" t="s">
        <v>40</v>
      </c>
    </row>
    <row r="18" spans="1:13" x14ac:dyDescent="0.35">
      <c r="A18" s="16" t="s">
        <v>7</v>
      </c>
      <c r="B18" s="14">
        <v>83528</v>
      </c>
      <c r="C18" s="14">
        <f t="shared" ref="C18:K18" si="3">+C19+C20</f>
        <v>95190</v>
      </c>
      <c r="D18" s="14">
        <f t="shared" si="3"/>
        <v>91665</v>
      </c>
      <c r="E18" s="14">
        <f t="shared" si="3"/>
        <v>68750</v>
      </c>
      <c r="F18" s="14">
        <f t="shared" si="3"/>
        <v>66150</v>
      </c>
      <c r="G18" s="14">
        <f t="shared" si="3"/>
        <v>66930</v>
      </c>
      <c r="H18" s="14">
        <f t="shared" si="3"/>
        <v>67500</v>
      </c>
      <c r="I18" s="14">
        <f t="shared" si="3"/>
        <v>67500</v>
      </c>
      <c r="J18" s="14">
        <f t="shared" si="3"/>
        <v>68625</v>
      </c>
      <c r="K18" s="14">
        <f t="shared" si="3"/>
        <v>70200</v>
      </c>
      <c r="L18" s="14">
        <f t="shared" si="2"/>
        <v>746038</v>
      </c>
    </row>
    <row r="19" spans="1:13" x14ac:dyDescent="0.35">
      <c r="A19" s="17" t="s">
        <v>8</v>
      </c>
      <c r="B19" s="15">
        <f>77528+4841</f>
        <v>82369</v>
      </c>
      <c r="C19" s="15">
        <f>77528+5662</f>
        <v>83190</v>
      </c>
      <c r="D19" s="15">
        <f>75865+3800</f>
        <v>79665</v>
      </c>
      <c r="E19" s="15">
        <v>58050</v>
      </c>
      <c r="F19" s="15">
        <v>58050</v>
      </c>
      <c r="G19" s="15">
        <v>58830</v>
      </c>
      <c r="H19" s="15">
        <v>59400</v>
      </c>
      <c r="I19" s="15">
        <f t="shared" ref="D19:K21" si="4">+H19</f>
        <v>59400</v>
      </c>
      <c r="J19" s="15">
        <v>60525</v>
      </c>
      <c r="K19" s="15">
        <v>62100</v>
      </c>
      <c r="L19" s="15">
        <f t="shared" si="2"/>
        <v>661579</v>
      </c>
      <c r="M19" s="19" t="s">
        <v>41</v>
      </c>
    </row>
    <row r="20" spans="1:13" x14ac:dyDescent="0.35">
      <c r="A20" s="17" t="s">
        <v>9</v>
      </c>
      <c r="B20" s="15">
        <v>12000</v>
      </c>
      <c r="C20" s="15">
        <f>+B20</f>
        <v>12000</v>
      </c>
      <c r="D20" s="15">
        <f t="shared" si="4"/>
        <v>12000</v>
      </c>
      <c r="E20" s="15">
        <v>10700</v>
      </c>
      <c r="F20" s="15">
        <v>8100</v>
      </c>
      <c r="G20" s="15">
        <f t="shared" si="4"/>
        <v>8100</v>
      </c>
      <c r="H20" s="15">
        <f t="shared" si="4"/>
        <v>8100</v>
      </c>
      <c r="I20" s="15">
        <f t="shared" si="4"/>
        <v>8100</v>
      </c>
      <c r="J20" s="15">
        <f t="shared" si="4"/>
        <v>8100</v>
      </c>
      <c r="K20" s="15">
        <f t="shared" si="4"/>
        <v>8100</v>
      </c>
      <c r="L20" s="15">
        <f t="shared" si="2"/>
        <v>95300</v>
      </c>
      <c r="M20" s="19" t="s">
        <v>42</v>
      </c>
    </row>
    <row r="21" spans="1:13" x14ac:dyDescent="0.35">
      <c r="A21" t="s">
        <v>10</v>
      </c>
      <c r="B21" s="7">
        <v>1200</v>
      </c>
      <c r="C21" s="7">
        <f>+B21</f>
        <v>1200</v>
      </c>
      <c r="D21" s="7">
        <f t="shared" si="4"/>
        <v>1200</v>
      </c>
      <c r="E21" s="7">
        <f t="shared" si="4"/>
        <v>1200</v>
      </c>
      <c r="F21" s="7">
        <f t="shared" si="4"/>
        <v>1200</v>
      </c>
      <c r="G21" s="7">
        <f t="shared" si="4"/>
        <v>1200</v>
      </c>
      <c r="H21" s="7">
        <f t="shared" si="4"/>
        <v>1200</v>
      </c>
      <c r="I21" s="7">
        <f t="shared" si="4"/>
        <v>1200</v>
      </c>
      <c r="J21" s="7">
        <f t="shared" si="4"/>
        <v>1200</v>
      </c>
      <c r="K21" s="7">
        <f t="shared" si="4"/>
        <v>1200</v>
      </c>
      <c r="L21" s="7">
        <f t="shared" si="2"/>
        <v>12000</v>
      </c>
      <c r="M21" s="19" t="s">
        <v>46</v>
      </c>
    </row>
    <row r="22" spans="1:13" x14ac:dyDescent="0.35">
      <c r="A22" s="14" t="s">
        <v>11</v>
      </c>
      <c r="B22" s="14">
        <v>2250</v>
      </c>
      <c r="C22" s="14">
        <f t="shared" ref="C22:D22" si="5">+C23+C24+C25+C26</f>
        <v>2250</v>
      </c>
      <c r="D22" s="14">
        <f t="shared" si="5"/>
        <v>2250</v>
      </c>
      <c r="E22" s="14">
        <f>+E23+E24+E25+E26</f>
        <v>2250</v>
      </c>
      <c r="F22" s="14">
        <f t="shared" ref="F22:K22" si="6">+F23+F24+F25+F26</f>
        <v>2250</v>
      </c>
      <c r="G22" s="14">
        <f t="shared" si="6"/>
        <v>2250</v>
      </c>
      <c r="H22" s="14">
        <f t="shared" si="6"/>
        <v>2250</v>
      </c>
      <c r="I22" s="14">
        <f t="shared" si="6"/>
        <v>2250</v>
      </c>
      <c r="J22" s="14">
        <f t="shared" si="6"/>
        <v>2250</v>
      </c>
      <c r="K22" s="14">
        <f t="shared" si="6"/>
        <v>2250</v>
      </c>
      <c r="L22" s="15">
        <f t="shared" si="2"/>
        <v>22500</v>
      </c>
      <c r="M22" s="19" t="s">
        <v>48</v>
      </c>
    </row>
    <row r="23" spans="1:13" x14ac:dyDescent="0.35">
      <c r="A23" s="15" t="s">
        <v>12</v>
      </c>
      <c r="B23" s="15">
        <v>1600</v>
      </c>
      <c r="C23" s="15">
        <v>1600</v>
      </c>
      <c r="D23" s="15">
        <v>1600</v>
      </c>
      <c r="E23" s="15">
        <v>1600</v>
      </c>
      <c r="F23" s="15">
        <v>1600</v>
      </c>
      <c r="G23" s="15">
        <v>1600</v>
      </c>
      <c r="H23" s="15">
        <v>1600</v>
      </c>
      <c r="I23" s="15">
        <v>1600</v>
      </c>
      <c r="J23" s="15">
        <v>1600</v>
      </c>
      <c r="K23" s="15">
        <v>1600</v>
      </c>
      <c r="L23" s="15">
        <f t="shared" si="2"/>
        <v>16000</v>
      </c>
    </row>
    <row r="24" spans="1:13" x14ac:dyDescent="0.35">
      <c r="A24" s="15" t="s">
        <v>13</v>
      </c>
      <c r="B24" s="15">
        <v>500</v>
      </c>
      <c r="C24" s="15">
        <v>500</v>
      </c>
      <c r="D24" s="15">
        <v>500</v>
      </c>
      <c r="E24" s="15">
        <v>500</v>
      </c>
      <c r="F24" s="15">
        <v>500</v>
      </c>
      <c r="G24" s="15">
        <v>500</v>
      </c>
      <c r="H24" s="15">
        <v>500</v>
      </c>
      <c r="I24" s="15">
        <v>500</v>
      </c>
      <c r="J24" s="15">
        <v>500</v>
      </c>
      <c r="K24" s="15">
        <v>500</v>
      </c>
      <c r="L24" s="15">
        <f t="shared" si="2"/>
        <v>5000</v>
      </c>
    </row>
    <row r="25" spans="1:13" x14ac:dyDescent="0.35">
      <c r="A25" s="15" t="s">
        <v>14</v>
      </c>
      <c r="B25" s="15">
        <v>50</v>
      </c>
      <c r="C25" s="15">
        <v>50</v>
      </c>
      <c r="D25" s="15">
        <v>50</v>
      </c>
      <c r="E25" s="15">
        <v>50</v>
      </c>
      <c r="F25" s="15">
        <v>50</v>
      </c>
      <c r="G25" s="15">
        <v>50</v>
      </c>
      <c r="H25" s="15">
        <v>50</v>
      </c>
      <c r="I25" s="15">
        <v>50</v>
      </c>
      <c r="J25" s="15">
        <v>50</v>
      </c>
      <c r="K25" s="15">
        <v>50</v>
      </c>
      <c r="L25" s="15">
        <f t="shared" si="2"/>
        <v>500</v>
      </c>
    </row>
    <row r="26" spans="1:13" x14ac:dyDescent="0.35">
      <c r="A26" s="15" t="s">
        <v>15</v>
      </c>
      <c r="B26" s="15">
        <v>100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f t="shared" si="2"/>
        <v>1000</v>
      </c>
    </row>
    <row r="27" spans="1:13" x14ac:dyDescent="0.35">
      <c r="A27" s="3" t="s">
        <v>16</v>
      </c>
      <c r="B27" s="7">
        <v>3600</v>
      </c>
      <c r="C27" s="7">
        <f>+B27*1.05</f>
        <v>3780</v>
      </c>
      <c r="D27" s="7">
        <f t="shared" ref="D27:K27" si="7">+C27*1.05</f>
        <v>3969</v>
      </c>
      <c r="E27" s="7">
        <f t="shared" si="7"/>
        <v>4167.45</v>
      </c>
      <c r="F27" s="7">
        <f t="shared" si="7"/>
        <v>4375.8225000000002</v>
      </c>
      <c r="G27" s="7">
        <f t="shared" si="7"/>
        <v>4594.6136250000009</v>
      </c>
      <c r="H27" s="7">
        <f t="shared" si="7"/>
        <v>4824.344306250001</v>
      </c>
      <c r="I27" s="7">
        <f t="shared" si="7"/>
        <v>5065.5615215625012</v>
      </c>
      <c r="J27" s="7">
        <f t="shared" si="7"/>
        <v>5318.8395976406264</v>
      </c>
      <c r="K27" s="7">
        <f t="shared" si="7"/>
        <v>5584.7815775226582</v>
      </c>
      <c r="L27" s="7">
        <f t="shared" si="2"/>
        <v>45280.413127975786</v>
      </c>
      <c r="M27" s="19" t="s">
        <v>49</v>
      </c>
    </row>
    <row r="28" spans="1:13" x14ac:dyDescent="0.35">
      <c r="A28" s="3" t="s">
        <v>17</v>
      </c>
      <c r="B28" s="7">
        <v>2000</v>
      </c>
      <c r="C28" s="7">
        <f>+B28*1.03</f>
        <v>2060</v>
      </c>
      <c r="D28" s="7">
        <v>1000</v>
      </c>
      <c r="E28" s="7">
        <v>1000</v>
      </c>
      <c r="F28" s="7">
        <v>1000</v>
      </c>
      <c r="G28" s="7">
        <v>1000</v>
      </c>
      <c r="H28" s="7">
        <v>1000</v>
      </c>
      <c r="I28" s="7">
        <v>1000</v>
      </c>
      <c r="J28" s="7">
        <v>1000</v>
      </c>
      <c r="K28" s="7">
        <v>1000</v>
      </c>
      <c r="L28" s="7">
        <f t="shared" si="2"/>
        <v>12060</v>
      </c>
      <c r="M28" s="19" t="s">
        <v>53</v>
      </c>
    </row>
    <row r="29" spans="1:13" x14ac:dyDescent="0.35">
      <c r="A29" s="3" t="s">
        <v>18</v>
      </c>
      <c r="B29" s="7">
        <v>7200</v>
      </c>
      <c r="C29" s="7">
        <f>+B29*1.04</f>
        <v>7488</v>
      </c>
      <c r="D29" s="7">
        <v>5000</v>
      </c>
      <c r="E29" s="7">
        <f>+D29*1.03</f>
        <v>5150</v>
      </c>
      <c r="F29" s="7">
        <f t="shared" ref="F29:K29" si="8">+E29*1.03</f>
        <v>5304.5</v>
      </c>
      <c r="G29" s="7">
        <f t="shared" si="8"/>
        <v>5463.6350000000002</v>
      </c>
      <c r="H29" s="7">
        <f t="shared" si="8"/>
        <v>5627.5440500000004</v>
      </c>
      <c r="I29" s="7">
        <f t="shared" si="8"/>
        <v>5796.3703715000001</v>
      </c>
      <c r="J29" s="7">
        <f t="shared" si="8"/>
        <v>5970.2614826449999</v>
      </c>
      <c r="K29" s="7">
        <f t="shared" si="8"/>
        <v>6149.3693271243501</v>
      </c>
      <c r="L29" s="7">
        <f t="shared" si="2"/>
        <v>59149.680231269362</v>
      </c>
      <c r="M29" s="19" t="s">
        <v>55</v>
      </c>
    </row>
    <row r="30" spans="1:13" x14ac:dyDescent="0.35">
      <c r="A30" t="s">
        <v>19</v>
      </c>
      <c r="B30" s="7">
        <v>0</v>
      </c>
      <c r="C30" s="7"/>
      <c r="D30" s="7"/>
      <c r="E30" s="7"/>
      <c r="F30" s="7"/>
      <c r="G30" s="7"/>
      <c r="H30" s="7"/>
      <c r="I30" s="7"/>
      <c r="J30" s="7"/>
      <c r="K30" s="7"/>
      <c r="L30" s="7">
        <f t="shared" si="2"/>
        <v>0</v>
      </c>
    </row>
    <row r="31" spans="1:13" x14ac:dyDescent="0.35">
      <c r="A31" t="s">
        <v>20</v>
      </c>
      <c r="B31" s="7">
        <v>0</v>
      </c>
      <c r="C31" s="7"/>
      <c r="D31" s="7"/>
      <c r="E31" s="7"/>
      <c r="F31" s="7"/>
      <c r="G31" s="7"/>
      <c r="H31" s="7"/>
      <c r="I31" s="7"/>
      <c r="J31" s="7"/>
      <c r="K31" s="7"/>
      <c r="L31" s="7">
        <f t="shared" si="2"/>
        <v>0</v>
      </c>
    </row>
    <row r="32" spans="1:13" x14ac:dyDescent="0.35">
      <c r="A32" t="s">
        <v>21</v>
      </c>
      <c r="B32" s="7">
        <v>0</v>
      </c>
      <c r="C32" s="7"/>
      <c r="D32" s="7"/>
      <c r="E32" s="7"/>
      <c r="F32" s="7"/>
      <c r="G32" s="7"/>
      <c r="H32" s="7"/>
      <c r="I32" s="7"/>
      <c r="J32" s="7"/>
      <c r="K32" s="7"/>
      <c r="L32" s="7">
        <f t="shared" si="2"/>
        <v>0</v>
      </c>
    </row>
    <row r="33" spans="1:13" x14ac:dyDescent="0.35">
      <c r="A33" s="3" t="s">
        <v>22</v>
      </c>
      <c r="B33" s="7">
        <v>0</v>
      </c>
      <c r="C33" s="7"/>
      <c r="D33" s="7"/>
      <c r="E33" s="7"/>
      <c r="F33" s="7"/>
      <c r="G33" s="7"/>
      <c r="H33" s="7"/>
      <c r="I33" s="7"/>
      <c r="J33" s="7"/>
      <c r="K33" s="7"/>
      <c r="L33" s="7">
        <f t="shared" si="2"/>
        <v>0</v>
      </c>
    </row>
    <row r="34" spans="1:13" x14ac:dyDescent="0.35">
      <c r="A34" s="3" t="s">
        <v>64</v>
      </c>
      <c r="B34" s="7">
        <v>2400</v>
      </c>
      <c r="C34" s="7">
        <f>+B34*1.1</f>
        <v>2640</v>
      </c>
      <c r="D34" s="7">
        <f t="shared" ref="D34:E34" si="9">+C34*1.1</f>
        <v>2904.0000000000005</v>
      </c>
      <c r="E34" s="7">
        <f t="shared" si="9"/>
        <v>3194.4000000000005</v>
      </c>
      <c r="F34" s="7">
        <v>2400</v>
      </c>
      <c r="G34" s="7">
        <v>2400</v>
      </c>
      <c r="H34" s="7">
        <v>2400</v>
      </c>
      <c r="I34" s="7">
        <v>2400</v>
      </c>
      <c r="J34" s="7">
        <v>2400</v>
      </c>
      <c r="K34" s="7">
        <v>2400</v>
      </c>
      <c r="L34" s="7">
        <f t="shared" si="2"/>
        <v>25538.400000000001</v>
      </c>
      <c r="M34" s="19" t="s">
        <v>57</v>
      </c>
    </row>
    <row r="35" spans="1:13" x14ac:dyDescent="0.35">
      <c r="A35" s="3" t="s">
        <v>65</v>
      </c>
      <c r="B35" s="7">
        <v>0</v>
      </c>
      <c r="C35" s="7"/>
      <c r="D35" s="7">
        <v>10800</v>
      </c>
      <c r="E35" s="7"/>
      <c r="F35" s="7"/>
      <c r="G35" s="7"/>
      <c r="H35" s="7"/>
      <c r="I35" s="7"/>
      <c r="J35" s="7"/>
      <c r="K35" s="7"/>
      <c r="L35" s="7">
        <f t="shared" si="2"/>
        <v>10800</v>
      </c>
    </row>
    <row r="36" spans="1:13" x14ac:dyDescent="0.35">
      <c r="A36" s="3" t="s">
        <v>24</v>
      </c>
      <c r="B36" s="7"/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/>
    </row>
    <row r="37" spans="1:13" x14ac:dyDescent="0.35">
      <c r="A37" s="3" t="s">
        <v>25</v>
      </c>
      <c r="B37" s="7">
        <v>14400</v>
      </c>
      <c r="C37" s="7">
        <f>+B37*1.04</f>
        <v>14976</v>
      </c>
      <c r="D37" s="7">
        <f>+C37*0.6</f>
        <v>8985.6</v>
      </c>
      <c r="E37" s="7">
        <f t="shared" ref="E37:K37" si="10">+D37*1.04</f>
        <v>9345.0240000000013</v>
      </c>
      <c r="F37" s="7">
        <f t="shared" si="10"/>
        <v>9718.8249600000017</v>
      </c>
      <c r="G37" s="7">
        <f t="shared" si="10"/>
        <v>10107.577958400003</v>
      </c>
      <c r="H37" s="7">
        <f t="shared" si="10"/>
        <v>10511.881076736003</v>
      </c>
      <c r="I37" s="7">
        <f t="shared" si="10"/>
        <v>10932.356319805443</v>
      </c>
      <c r="J37" s="7">
        <f t="shared" si="10"/>
        <v>11369.650572597662</v>
      </c>
      <c r="K37" s="7">
        <f t="shared" si="10"/>
        <v>11824.436595501569</v>
      </c>
      <c r="L37" s="7">
        <f>SUM(B37:K37)</f>
        <v>112171.35148304066</v>
      </c>
      <c r="M37" s="19" t="s">
        <v>58</v>
      </c>
    </row>
    <row r="38" spans="1:13" x14ac:dyDescent="0.35">
      <c r="A38" s="3" t="s">
        <v>26</v>
      </c>
      <c r="B38" s="11">
        <v>80000</v>
      </c>
      <c r="C38" s="11">
        <f>+B38*1.03</f>
        <v>82400</v>
      </c>
      <c r="D38" s="7">
        <f>+C38/2</f>
        <v>41200</v>
      </c>
      <c r="E38" s="7">
        <f t="shared" ref="E38:K38" si="11">+D38*1.04</f>
        <v>42848</v>
      </c>
      <c r="F38" s="7">
        <f t="shared" si="11"/>
        <v>44561.919999999998</v>
      </c>
      <c r="G38" s="7">
        <f t="shared" si="11"/>
        <v>46344.396800000002</v>
      </c>
      <c r="H38" s="7">
        <f t="shared" si="11"/>
        <v>48198.172672000001</v>
      </c>
      <c r="I38" s="7">
        <f t="shared" si="11"/>
        <v>50126.099578879999</v>
      </c>
      <c r="J38" s="7">
        <f t="shared" si="11"/>
        <v>52131.143562035199</v>
      </c>
      <c r="K38" s="7">
        <f t="shared" si="11"/>
        <v>54216.389304516611</v>
      </c>
      <c r="L38" s="7">
        <f>SUM(B38:K38)</f>
        <v>542026.12191743182</v>
      </c>
      <c r="M38" s="19" t="s">
        <v>59</v>
      </c>
    </row>
    <row r="39" spans="1:13" x14ac:dyDescent="0.35">
      <c r="A39" s="3" t="s">
        <v>27</v>
      </c>
      <c r="B39" s="12">
        <f>SUM(B27:B38)+B21+B22+B18+B17</f>
        <v>586218</v>
      </c>
      <c r="C39" s="12">
        <f>SUM(C27:C38)+C21+C22+C18+C17</f>
        <v>485344</v>
      </c>
      <c r="D39" s="12">
        <f t="shared" ref="D39:K39" si="12">SUM(D27:D38)+D21+D22+D18+D17</f>
        <v>450534.40000000002</v>
      </c>
      <c r="E39" s="12">
        <f t="shared" si="12"/>
        <v>427912.49800000002</v>
      </c>
      <c r="F39" s="12">
        <f t="shared" si="12"/>
        <v>435668.92018000002</v>
      </c>
      <c r="G39" s="12">
        <f t="shared" si="12"/>
        <v>447959.31168500002</v>
      </c>
      <c r="H39" s="12">
        <f t="shared" si="12"/>
        <v>460411.10305563401</v>
      </c>
      <c r="I39" s="12">
        <f t="shared" si="12"/>
        <v>472676.52357091539</v>
      </c>
      <c r="J39" s="12">
        <f t="shared" si="12"/>
        <v>486463.21506746096</v>
      </c>
      <c r="K39" s="12">
        <f t="shared" si="12"/>
        <v>501109.24625278392</v>
      </c>
      <c r="L39" s="12">
        <f>SUM(L27:L38)+L21+L22+L18+L17</f>
        <v>4754297.217811795</v>
      </c>
    </row>
    <row r="41" spans="1:13" ht="15" thickBot="1" x14ac:dyDescent="0.4">
      <c r="A41" s="3" t="s">
        <v>28</v>
      </c>
      <c r="B41" s="13">
        <f>+B14-B39</f>
        <v>208221.26181400008</v>
      </c>
      <c r="C41" s="13">
        <f t="shared" ref="C41:L41" si="13">+C14-C39</f>
        <v>309240.53693968523</v>
      </c>
      <c r="D41" s="13">
        <f t="shared" si="13"/>
        <v>39743.361814367236</v>
      </c>
      <c r="E41" s="13">
        <f t="shared" si="13"/>
        <v>77797.096640064148</v>
      </c>
      <c r="F41" s="13">
        <f t="shared" si="13"/>
        <v>85963.239569618192</v>
      </c>
      <c r="G41" s="13">
        <f t="shared" si="13"/>
        <v>90101.750744656019</v>
      </c>
      <c r="H41" s="13">
        <f t="shared" si="13"/>
        <v>94601.301159285067</v>
      </c>
      <c r="I41" s="13">
        <f t="shared" si="13"/>
        <v>99826.275098038197</v>
      </c>
      <c r="J41" s="13">
        <f t="shared" si="13"/>
        <v>104086.17259916541</v>
      </c>
      <c r="K41" s="13">
        <f t="shared" si="13"/>
        <v>108060.6119416412</v>
      </c>
      <c r="L41" s="13">
        <f t="shared" si="13"/>
        <v>1217641.6083205203</v>
      </c>
    </row>
    <row r="42" spans="1:13" ht="15" thickTop="1" x14ac:dyDescent="0.35">
      <c r="B42" s="5"/>
      <c r="K42">
        <v>5</v>
      </c>
    </row>
  </sheetData>
  <pageMargins left="0.7" right="0.7" top="0.75" bottom="0.75" header="0.3" footer="0.3"/>
  <pageSetup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a51aef5a9874e8330807ea08ce1bcdcd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a66b4b197bc76c681623a7287e85f302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04E30-0AEF-424C-B7BD-EE89D2706E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5A9DF-F144-4417-9F61-36B0A70C4316}">
  <ds:schemaRefs>
    <ds:schemaRef ds:uri="http://purl.org/dc/elements/1.1/"/>
    <ds:schemaRef ds:uri="http://schemas.microsoft.com/office/2006/metadata/properties"/>
    <ds:schemaRef ds:uri="d8bb4864-1f15-4dbc-8993-a0057cbdf711"/>
    <ds:schemaRef ds:uri="http://purl.org/dc/terms/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FF6763-363A-4D34-AFE1-D60DCC38E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 Sheet</vt:lpstr>
      <vt:lpstr>LIK Budget 2026</vt:lpstr>
      <vt:lpstr>Notes to Projections</vt:lpstr>
      <vt:lpstr>10 Year Projection</vt:lpstr>
      <vt:lpstr>'10 Year Projection'!Print_Area</vt:lpstr>
      <vt:lpstr>'Cover Sheet'!Print_Area</vt:lpstr>
      <vt:lpstr>'LIK Budget 2026'!Print_Area</vt:lpstr>
      <vt:lpstr>'Notes to Projections'!Print_Area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Menard</dc:creator>
  <cp:lastModifiedBy>Drew Winig</cp:lastModifiedBy>
  <cp:lastPrinted>2025-10-22T20:11:38Z</cp:lastPrinted>
  <dcterms:created xsi:type="dcterms:W3CDTF">2022-12-29T16:59:30Z</dcterms:created>
  <dcterms:modified xsi:type="dcterms:W3CDTF">2026-05-01T13:24:30Z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